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showInkAnnotation="0" updateLinks="never" codeName="DieseArbeitsmappe" autoCompressPictures="0"/>
  <bookViews>
    <workbookView xWindow="3516" yWindow="36" windowWidth="2112" windowHeight="2508" tabRatio="837" firstSheet="2" activeTab="25"/>
  </bookViews>
  <sheets>
    <sheet name="D1-D2-D3" sheetId="1" r:id="rId1"/>
    <sheet name="Risk assesment (for D3 &amp; D5)" sheetId="32" r:id="rId2"/>
    <sheet name="D4. Data-Facts-Numbers" sheetId="2" r:id="rId3"/>
    <sheet name="D4. Ishikawa-chart" sheetId="9" r:id="rId4"/>
    <sheet name="D4.5Why's-D5-D6" sheetId="4" r:id="rId5"/>
    <sheet name="D4-D5-D6 Pictures" sheetId="6" r:id="rId6"/>
    <sheet name="D6.Verification-D7-D8" sheetId="7" r:id="rId7"/>
    <sheet name="8D-Report (with link)" sheetId="8" r:id="rId8"/>
    <sheet name="8D-Report (no link)" sheetId="33" r:id="rId9"/>
    <sheet name="DropDown" sheetId="10" state="hidden" r:id="rId10"/>
    <sheet name="Amendments" sheetId="11" r:id="rId11"/>
    <sheet name="Lessons Learned Card" sheetId="3" state="hidden" r:id="rId12"/>
    <sheet name="Fault catalogue" sheetId="12" state="hidden" r:id="rId13"/>
    <sheet name="ENGLISH" sheetId="27" state="hidden" r:id="rId14"/>
    <sheet name="DEUTSCH" sheetId="14" state="hidden" r:id="rId15"/>
    <sheet name="CZECH" sheetId="13" state="hidden" r:id="rId16"/>
    <sheet name="ESPANOL" sheetId="16" state="hidden" r:id="rId17"/>
    <sheet name="FRANÇAIS" sheetId="17" state="hidden" r:id="rId18"/>
    <sheet name="MAGYAR" sheetId="18" state="hidden" r:id="rId19"/>
    <sheet name="Македонски" sheetId="19" state="hidden" r:id="rId20"/>
    <sheet name="PORTUGESE" sheetId="21" state="hidden" r:id="rId21"/>
    <sheet name="ROMANA" sheetId="22" state="hidden" r:id="rId22"/>
    <sheet name="Српски" sheetId="23" state="hidden" r:id="rId23"/>
    <sheet name="SLOVAK" sheetId="24" state="hidden" r:id="rId24"/>
    <sheet name="УКРАЇНСьКА" sheetId="25" state="hidden" r:id="rId25"/>
    <sheet name="中文" sheetId="26" r:id="rId26"/>
  </sheets>
  <externalReferences>
    <externalReference r:id="rId27"/>
  </externalReferences>
  <definedNames>
    <definedName name="_Toc74834714" localSheetId="9">DropDown!$O$1</definedName>
    <definedName name="AuswahlX" localSheetId="2">[1]DropDown!$H$2:$H$3</definedName>
    <definedName name="AuswahlX" localSheetId="1">[1]DropDown!$H$2:$H$3</definedName>
    <definedName name="AuswahlX">DropDown!$H$2:$H$3</definedName>
    <definedName name="Fehlerart" localSheetId="2">[1]DropDown!$A$2:$A$12</definedName>
    <definedName name="Fehlerart" localSheetId="1">[1]DropDown!$A$2:$A$12</definedName>
    <definedName name="Fehlerart">DropDown!$A$4:$A$13</definedName>
    <definedName name="KSK_No." localSheetId="9">'D1-D2-D3'!$D$14</definedName>
    <definedName name="_xlnm.Print_Area" localSheetId="8">'8D-Report (no link)'!$A$1:$DU$240</definedName>
    <definedName name="_xlnm.Print_Area" localSheetId="7">'8D-Report (with link)'!$A$1:$DU$240</definedName>
    <definedName name="_xlnm.Print_Area" localSheetId="0">'D1-D2-D3'!$A$1:$DT$112</definedName>
    <definedName name="_xlnm.Print_Area" localSheetId="2">'D4. Data-Facts-Numbers'!$A$1:$BP$69</definedName>
    <definedName name="_xlnm.Print_Area" localSheetId="3">'D4. Ishikawa-chart'!$A$11:$AP$69</definedName>
    <definedName name="_xlnm.Print_Area" localSheetId="4">'D4.5Why''s-D5-D6'!$B$2:$AL$61</definedName>
    <definedName name="_xlnm.Print_Area" localSheetId="5">'D4-D5-D6 Pictures'!$A$1:$U$89</definedName>
    <definedName name="_xlnm.Print_Area" localSheetId="6">'D6.Verification-D7-D8'!$A$1:$AG$128</definedName>
    <definedName name="_xlnm.Print_Area" localSheetId="11">'Lessons Learned Card'!$A$1:$Z$129</definedName>
    <definedName name="_xlnm.Print_Area" localSheetId="1">'Risk assesment (for D3 &amp; D5)'!$A$1:$BU$54</definedName>
    <definedName name="Product" comment="Products" localSheetId="9">DropDown!$N$2:$N$3</definedName>
    <definedName name="Product">DropDown!$N$2:$N$3</definedName>
    <definedName name="sortingaction" localSheetId="0">'D1-D2-D3'!$AD$93</definedName>
    <definedName name="Sprachen" localSheetId="2">[1]DropDown!$C$2:$C$15</definedName>
    <definedName name="Sprachen" localSheetId="1">[1]DropDown!$C$2:$C$15</definedName>
    <definedName name="Sprachen">DropDown!$C$2:$C$15</definedName>
    <definedName name="Syst" localSheetId="8">#REF!</definedName>
    <definedName name="Syst" localSheetId="1">#REF!</definedName>
    <definedName name="Syst">#REF!</definedName>
    <definedName name="X" localSheetId="8">#REF!</definedName>
    <definedName name="X" localSheetId="7">#REF!</definedName>
    <definedName name="X" localSheetId="4">#REF!</definedName>
    <definedName name="X" localSheetId="13">#REF!</definedName>
    <definedName name="X" localSheetId="1">#REF!</definedName>
    <definedName name="X">#REF!</definedName>
    <definedName name="YesNo" localSheetId="8">#REF!</definedName>
    <definedName name="YesNo" localSheetId="7">#REF!</definedName>
    <definedName name="YesNo" localSheetId="4">#REF!</definedName>
    <definedName name="YesNo" localSheetId="13">#REF!</definedName>
    <definedName name="YesNo" localSheetId="1">#REF!</definedName>
    <definedName name="YesNo">#REF!</definedName>
    <definedName name="YN" localSheetId="8">#REF!</definedName>
    <definedName name="YN" localSheetId="7">#REF!</definedName>
    <definedName name="YN" localSheetId="4">#REF!</definedName>
    <definedName name="YN" localSheetId="13">#REF!</definedName>
    <definedName name="YN" localSheetId="1">#REF!</definedName>
    <definedName name="YN">#REF!</definedName>
    <definedName name="Z_727552C9_10E3_4948_B2AE_8FE165517887_.wvu.Cols" localSheetId="2" hidden="1">'D4. Data-Facts-Numbers'!$AE:$AE</definedName>
    <definedName name="Z_727552C9_10E3_4948_B2AE_8FE165517887_.wvu.Cols" localSheetId="4" hidden="1">'D4.5Why''s-D5-D6'!$E:$E</definedName>
    <definedName name="Z_727552C9_10E3_4948_B2AE_8FE165517887_.wvu.Cols" localSheetId="1" hidden="1">'Risk assesment (for D3 &amp; D5)'!$AJ:$AJ</definedName>
    <definedName name="Z_727552C9_10E3_4948_B2AE_8FE165517887_.wvu.PrintArea" localSheetId="0" hidden="1">'D1-D2-D3'!$A$1:$DT$110</definedName>
    <definedName name="Z_727552C9_10E3_4948_B2AE_8FE165517887_.wvu.PrintArea" localSheetId="2" hidden="1">'D4. Data-Facts-Numbers'!$A$1:$BP$69</definedName>
    <definedName name="Z_727552C9_10E3_4948_B2AE_8FE165517887_.wvu.PrintArea" localSheetId="3" hidden="1">'D4. Ishikawa-chart'!$A$11:$AP$44</definedName>
    <definedName name="Z_727552C9_10E3_4948_B2AE_8FE165517887_.wvu.PrintArea" localSheetId="4" hidden="1">'D4.5Why''s-D5-D6'!$B$2:$AK$39</definedName>
    <definedName name="Z_727552C9_10E3_4948_B2AE_8FE165517887_.wvu.PrintArea" localSheetId="5" hidden="1">'D4-D5-D6 Pictures'!$A$1:$U$32</definedName>
    <definedName name="Z_727552C9_10E3_4948_B2AE_8FE165517887_.wvu.PrintArea" localSheetId="6" hidden="1">'D6.Verification-D7-D8'!$A$1:$AG$90</definedName>
    <definedName name="Z_727552C9_10E3_4948_B2AE_8FE165517887_.wvu.PrintArea" localSheetId="11" hidden="1">'Lessons Learned Card'!$A$1:$Z$129</definedName>
    <definedName name="Z_727552C9_10E3_4948_B2AE_8FE165517887_.wvu.PrintArea" localSheetId="1" hidden="1">'Risk assesment (for D3 &amp; D5)'!$A$1:$BU$54</definedName>
    <definedName name="Z_727552C9_10E3_4948_B2AE_8FE165517887_.wvu.Rows" localSheetId="8" hidden="1">'8D-Report (no link)'!#REF!</definedName>
    <definedName name="Z_727552C9_10E3_4948_B2AE_8FE165517887_.wvu.Rows" localSheetId="7" hidden="1">'8D-Report (with link)'!#REF!</definedName>
    <definedName name="Z_727552C9_10E3_4948_B2AE_8FE165517887_.wvu.Rows" localSheetId="0" hidden="1">'D1-D2-D3'!$111:$111</definedName>
    <definedName name="Z_727552C9_10E3_4948_B2AE_8FE165517887_.wvu.Rows" localSheetId="4" hidden="1">'D4.5Why''s-D5-D6'!#REF!,'D4.5Why''s-D5-D6'!$1:$1</definedName>
    <definedName name="Z_727552C9_10E3_4948_B2AE_8FE165517887_.wvu.Rows" localSheetId="5" hidden="1">'D4-D5-D6 Pictures'!$32:$32</definedName>
    <definedName name="Z_727552C9_10E3_4948_B2AE_8FE165517887_.wvu.Rows" localSheetId="6" hidden="1">'D6.Verification-D7-D8'!$48:$48</definedName>
  </definedNames>
  <calcPr calcId="144525"/>
  <customWorkbookViews>
    <customWorkbookView name="ADRIAN DAMIAN - Personal View" guid="{727552C9-10E3-4948-B2AE-8FE165517887}" mergeInterval="0" personalView="1" maximized="1" windowWidth="1591" windowHeight="720" tabRatio="828" activeSheetId="7"/>
  </customWorkbookViews>
  <webPublishing allowPng="1" targetScreenSize="1024x768" codePage="65001"/>
</workbook>
</file>

<file path=xl/calcChain.xml><?xml version="1.0" encoding="utf-8"?>
<calcChain xmlns="http://schemas.openxmlformats.org/spreadsheetml/2006/main">
  <c r="CT72" i="33" l="1"/>
  <c r="AK205" i="33"/>
  <c r="BS113" i="33"/>
  <c r="AH113" i="33"/>
  <c r="BW233" i="33"/>
  <c r="BX68" i="33"/>
  <c r="B35" i="33"/>
  <c r="AR68" i="33"/>
  <c r="BF230" i="33"/>
  <c r="BF113" i="33"/>
  <c r="CH54" i="33"/>
  <c r="DI200" i="33"/>
  <c r="W205" i="33"/>
  <c r="BK72" i="33"/>
  <c r="CF113" i="33"/>
  <c r="BK206" i="33"/>
  <c r="D50" i="7"/>
  <c r="H87" i="33"/>
  <c r="B230" i="33"/>
  <c r="BY72" i="33"/>
  <c r="D164" i="33"/>
  <c r="AV48" i="33"/>
  <c r="D47" i="33"/>
  <c r="D236" i="33"/>
  <c r="DD151" i="33"/>
  <c r="B64" i="33"/>
  <c r="AC151" i="33"/>
  <c r="DB223" i="33"/>
  <c r="Q205" i="33"/>
  <c r="AV46" i="33"/>
  <c r="AS58" i="33"/>
  <c r="Y233" i="33"/>
  <c r="CS113" i="33"/>
  <c r="AS113" i="33"/>
  <c r="R101" i="33"/>
  <c r="AS46" i="33"/>
  <c r="CG151" i="33"/>
  <c r="CH60" i="33"/>
  <c r="DI230" i="33"/>
  <c r="CO151" i="33"/>
  <c r="CH46" i="33"/>
  <c r="AV234" i="33"/>
  <c r="AV236" i="33"/>
  <c r="BM75" i="33"/>
  <c r="CM214" i="33"/>
  <c r="Y223" i="33"/>
  <c r="CR74" i="33"/>
  <c r="D233" i="33"/>
  <c r="DI151" i="33"/>
  <c r="CO216" i="33"/>
  <c r="AS205" i="33"/>
  <c r="BK207" i="33"/>
  <c r="CH56" i="33"/>
  <c r="AV75" i="33"/>
  <c r="G74" i="33"/>
  <c r="BZ151" i="33"/>
  <c r="D115" i="33"/>
  <c r="CH45" i="33"/>
  <c r="AO75" i="33"/>
  <c r="BY205" i="33"/>
  <c r="AV235" i="33"/>
  <c r="DB216" i="33"/>
  <c r="D126" i="33"/>
  <c r="D103" i="33"/>
  <c r="T75" i="33"/>
  <c r="CD101" i="33"/>
  <c r="DC113" i="33"/>
  <c r="BL38" i="33"/>
  <c r="CH58" i="33"/>
  <c r="CH52" i="33"/>
  <c r="D209" i="33"/>
  <c r="AS50" i="33"/>
  <c r="D235" i="33"/>
  <c r="D113" i="33"/>
  <c r="AM17" i="33"/>
  <c r="C221" i="33"/>
  <c r="D137" i="33"/>
  <c r="B143" i="33"/>
  <c r="AV56" i="33"/>
  <c r="BM74" i="33"/>
  <c r="CE205" i="33"/>
  <c r="D216" i="33"/>
  <c r="D237" i="33"/>
  <c r="AV52" i="33"/>
  <c r="D83" i="33"/>
  <c r="D80" i="33"/>
  <c r="H181" i="33"/>
  <c r="D68" i="33"/>
  <c r="BK208" i="33"/>
  <c r="CC14" i="33"/>
  <c r="BR65" i="33"/>
  <c r="D70" i="33"/>
  <c r="CB75" i="33"/>
  <c r="C178" i="33"/>
  <c r="CH50" i="33"/>
  <c r="B110" i="33"/>
  <c r="AV237" i="33"/>
  <c r="D207" i="33"/>
  <c r="AV60" i="33"/>
  <c r="D208" i="33"/>
  <c r="D190" i="33"/>
  <c r="CT205" i="33"/>
  <c r="D181" i="33"/>
  <c r="C212" i="33"/>
  <c r="D223" i="33"/>
  <c r="AV58" i="33"/>
  <c r="AV45" i="33"/>
  <c r="D206" i="33"/>
  <c r="D234" i="33"/>
  <c r="BK209" i="33"/>
  <c r="AV54" i="33"/>
  <c r="BK205" i="33"/>
  <c r="AS54" i="33"/>
  <c r="BK210" i="33"/>
  <c r="CH48" i="33"/>
  <c r="D210" i="33"/>
  <c r="DJ205" i="33"/>
  <c r="D77" i="33"/>
  <c r="D72" i="33"/>
  <c r="D45" i="33"/>
  <c r="CO223" i="33"/>
  <c r="DI65" i="33"/>
  <c r="CZ72" i="33"/>
  <c r="BR200" i="33"/>
  <c r="AX101" i="33"/>
  <c r="B200" i="33"/>
  <c r="C214" i="33"/>
  <c r="DB205" i="33"/>
  <c r="AF9" i="33"/>
  <c r="Y216" i="33"/>
  <c r="DN75" i="33"/>
  <c r="D182" i="33"/>
  <c r="D151" i="33"/>
  <c r="CJ72" i="33"/>
  <c r="D205" i="33"/>
  <c r="BQ151" i="33"/>
  <c r="BA205" i="33"/>
  <c r="D149" i="33"/>
  <c r="AV50" i="33"/>
  <c r="CF75" i="33"/>
  <c r="D38" i="33"/>
  <c r="D146" i="33"/>
  <c r="AV233" i="33"/>
  <c r="BD75" i="33"/>
  <c r="D202" i="33"/>
  <c r="AR101" i="33" l="1"/>
  <c r="L101" i="33"/>
  <c r="AZ4" i="33"/>
  <c r="C7" i="33"/>
  <c r="BM9" i="33"/>
  <c r="AF7" i="33"/>
  <c r="C4" i="33"/>
  <c r="AA4" i="33"/>
  <c r="BY101" i="33" l="1"/>
  <c r="D51" i="33"/>
  <c r="DX9" i="33" l="1"/>
  <c r="BW210" i="33"/>
  <c r="BW209" i="33"/>
  <c r="BW208" i="33"/>
  <c r="BW207" i="33"/>
  <c r="CZ200" i="33"/>
  <c r="CB85" i="33"/>
  <c r="CB84" i="33"/>
  <c r="CB83" i="33"/>
  <c r="CB82" i="33"/>
  <c r="CB81" i="33"/>
  <c r="CB80" i="33"/>
  <c r="BM7" i="33"/>
  <c r="CD23" i="33"/>
  <c r="D55" i="33"/>
  <c r="CH94" i="33"/>
  <c r="CO146" i="33"/>
  <c r="BK23" i="33"/>
  <c r="D22" i="33"/>
  <c r="D56" i="33"/>
  <c r="D53" i="33"/>
  <c r="R2" i="33"/>
  <c r="W23" i="33"/>
  <c r="AU97" i="33"/>
  <c r="CH99" i="33"/>
  <c r="AU94" i="33"/>
  <c r="D23" i="33"/>
  <c r="D17" i="33"/>
  <c r="BL22" i="33"/>
  <c r="H97" i="33"/>
  <c r="H89" i="33"/>
  <c r="CH97" i="33"/>
  <c r="D87" i="33"/>
  <c r="D57" i="33"/>
  <c r="BM45" i="4" l="1"/>
  <c r="BM46" i="4"/>
  <c r="BM47" i="4"/>
  <c r="BM48" i="4"/>
  <c r="BM49" i="4"/>
  <c r="BM50" i="4"/>
  <c r="BM51" i="4"/>
  <c r="BM52" i="4"/>
  <c r="BM53" i="4"/>
  <c r="BM44" i="4"/>
  <c r="BM20" i="4"/>
  <c r="BM21" i="4"/>
  <c r="BM22" i="4"/>
  <c r="BM23" i="4"/>
  <c r="BM24" i="4"/>
  <c r="BM25" i="4"/>
  <c r="BM26" i="4"/>
  <c r="BM27" i="4"/>
  <c r="BM28" i="4"/>
  <c r="BM19" i="4"/>
  <c r="H94" i="33"/>
  <c r="D60" i="33"/>
  <c r="L19" i="10"/>
  <c r="D58" i="33"/>
  <c r="L18" i="10"/>
  <c r="L15" i="10"/>
  <c r="CH89" i="33"/>
  <c r="D26" i="33"/>
  <c r="D50" i="33"/>
  <c r="C9" i="33"/>
  <c r="AU91" i="33"/>
  <c r="H91" i="33"/>
  <c r="CH91" i="33"/>
  <c r="L16" i="10"/>
  <c r="AU89" i="33"/>
  <c r="CR75" i="33"/>
  <c r="AU87" i="33"/>
  <c r="DC75" i="33"/>
  <c r="D59" i="33"/>
  <c r="DH75" i="33"/>
  <c r="CH87" i="33"/>
  <c r="R60" i="33"/>
  <c r="DW16" i="1" l="1"/>
  <c r="DW15" i="1"/>
  <c r="DV15" i="1" s="1"/>
  <c r="R61" i="8"/>
  <c r="D84" i="1"/>
  <c r="DV16" i="1" l="1"/>
  <c r="DX15" i="1" s="1"/>
  <c r="BG230" i="8"/>
  <c r="CQ24" i="8" l="1"/>
  <c r="CA24" i="8"/>
  <c r="BL24" i="8"/>
  <c r="CM214" i="8"/>
  <c r="G50" i="7"/>
  <c r="I64" i="7"/>
  <c r="J25" i="10"/>
  <c r="J24" i="10"/>
  <c r="D40" i="4"/>
  <c r="B113" i="1"/>
  <c r="AV45" i="4" l="1"/>
  <c r="AV46" i="4"/>
  <c r="AV47" i="4"/>
  <c r="AV48" i="4"/>
  <c r="AV49" i="4"/>
  <c r="AV50" i="4"/>
  <c r="AV51" i="4"/>
  <c r="AV52" i="4"/>
  <c r="AV53" i="4"/>
  <c r="AU45" i="4"/>
  <c r="AU46" i="4"/>
  <c r="AU47" i="4"/>
  <c r="AU48" i="4"/>
  <c r="AU49" i="4"/>
  <c r="AU50" i="4"/>
  <c r="AU51" i="4"/>
  <c r="AU52" i="4"/>
  <c r="AU53" i="4"/>
  <c r="AT45" i="4"/>
  <c r="AT46" i="4"/>
  <c r="AT47" i="4"/>
  <c r="AT48" i="4"/>
  <c r="AT49" i="4"/>
  <c r="AT50" i="4"/>
  <c r="AT51" i="4"/>
  <c r="AT52" i="4"/>
  <c r="AT53" i="4"/>
  <c r="AS45" i="4"/>
  <c r="AS46" i="4"/>
  <c r="AS47" i="4"/>
  <c r="AS48" i="4"/>
  <c r="AS49" i="4"/>
  <c r="AS50" i="4"/>
  <c r="AS51" i="4"/>
  <c r="AS52" i="4"/>
  <c r="AS53" i="4"/>
  <c r="AR45" i="4"/>
  <c r="AR46" i="4"/>
  <c r="AR47" i="4"/>
  <c r="AR48" i="4"/>
  <c r="AR49" i="4"/>
  <c r="AR50" i="4"/>
  <c r="AR51" i="4"/>
  <c r="AR52" i="4"/>
  <c r="AR53" i="4"/>
  <c r="AQ45" i="4"/>
  <c r="AQ46" i="4"/>
  <c r="AQ47" i="4"/>
  <c r="AQ48" i="4"/>
  <c r="AQ49" i="4"/>
  <c r="AQ50" i="4"/>
  <c r="AQ51" i="4"/>
  <c r="AQ52" i="4"/>
  <c r="AQ53" i="4"/>
  <c r="AP45" i="4"/>
  <c r="AN45" i="4" s="1"/>
  <c r="AP46" i="4"/>
  <c r="AO46" i="4" s="1"/>
  <c r="AP47" i="4"/>
  <c r="AP48" i="4"/>
  <c r="AP49" i="4"/>
  <c r="AP50" i="4"/>
  <c r="AP51" i="4"/>
  <c r="AP52" i="4"/>
  <c r="AP53" i="4"/>
  <c r="AO47" i="4"/>
  <c r="AO48" i="4"/>
  <c r="AO49" i="4"/>
  <c r="AO50" i="4"/>
  <c r="AO51" i="4"/>
  <c r="AO52" i="4"/>
  <c r="AO53" i="4"/>
  <c r="AN47" i="4"/>
  <c r="AM47" i="4" s="1"/>
  <c r="AN48" i="4"/>
  <c r="AM48" i="4" s="1"/>
  <c r="AN49" i="4"/>
  <c r="AM49" i="4" s="1"/>
  <c r="AN50" i="4"/>
  <c r="AM50" i="4" s="1"/>
  <c r="AN51" i="4"/>
  <c r="AM51" i="4" s="1"/>
  <c r="AN52" i="4"/>
  <c r="AM52" i="4" s="1"/>
  <c r="AN53" i="4"/>
  <c r="AM53" i="4" s="1"/>
  <c r="AV44" i="4"/>
  <c r="AU44" i="4"/>
  <c r="AT44" i="4"/>
  <c r="AS44" i="4"/>
  <c r="AR44" i="4"/>
  <c r="AQ44" i="4"/>
  <c r="AP44" i="4"/>
  <c r="AO44" i="4" s="1"/>
  <c r="AN46" i="4" l="1"/>
  <c r="AO45" i="4"/>
  <c r="AN44" i="4"/>
  <c r="AM44" i="4" s="1"/>
  <c r="AM45" i="4" s="1"/>
  <c r="AM46" i="4" s="1"/>
  <c r="BJ20" i="4"/>
  <c r="BJ21" i="4"/>
  <c r="BJ22" i="4"/>
  <c r="BJ23" i="4"/>
  <c r="BJ24" i="4"/>
  <c r="BJ25" i="4"/>
  <c r="BJ26" i="4"/>
  <c r="BJ27" i="4"/>
  <c r="BJ28" i="4"/>
  <c r="BJ19" i="4"/>
  <c r="BI20" i="4"/>
  <c r="BI21" i="4"/>
  <c r="BI22" i="4"/>
  <c r="BI23" i="4"/>
  <c r="BI24" i="4"/>
  <c r="BI25" i="4"/>
  <c r="BI26" i="4"/>
  <c r="BI27" i="4"/>
  <c r="BI28" i="4"/>
  <c r="BK20" i="4"/>
  <c r="BT20" i="4" s="1"/>
  <c r="BK21" i="4"/>
  <c r="BT21" i="4" s="1"/>
  <c r="BK22" i="4"/>
  <c r="BP22" i="4" s="1"/>
  <c r="BK23" i="4"/>
  <c r="BS23" i="4" s="1"/>
  <c r="BK24" i="4"/>
  <c r="BS24" i="4" s="1"/>
  <c r="BK25" i="4"/>
  <c r="BS25" i="4" s="1"/>
  <c r="BK26" i="4"/>
  <c r="BT26" i="4" s="1"/>
  <c r="BK27" i="4"/>
  <c r="BS27" i="4" s="1"/>
  <c r="BK28" i="4"/>
  <c r="BU28" i="4" s="1"/>
  <c r="AV26" i="4"/>
  <c r="AV27" i="4"/>
  <c r="AV28" i="4"/>
  <c r="AU26" i="4"/>
  <c r="AU27" i="4"/>
  <c r="AU28" i="4"/>
  <c r="AT26" i="4"/>
  <c r="AT27" i="4"/>
  <c r="AT28" i="4"/>
  <c r="AS26" i="4"/>
  <c r="AS27" i="4"/>
  <c r="AS28" i="4"/>
  <c r="AR26" i="4"/>
  <c r="AR27" i="4"/>
  <c r="AR28" i="4"/>
  <c r="AQ26" i="4"/>
  <c r="AQ27" i="4"/>
  <c r="AQ28" i="4"/>
  <c r="AP26" i="4"/>
  <c r="AO26" i="4" s="1"/>
  <c r="AP27" i="4"/>
  <c r="AO27" i="4" s="1"/>
  <c r="AP28" i="4"/>
  <c r="AN28" i="4" s="1"/>
  <c r="AM28" i="4" s="1"/>
  <c r="CH49" i="32"/>
  <c r="DH173" i="8" s="1"/>
  <c r="CH50" i="32"/>
  <c r="DH174" i="8" s="1"/>
  <c r="CH51" i="32"/>
  <c r="DH175" i="8" s="1"/>
  <c r="CF49" i="32"/>
  <c r="CO173" i="8" s="1"/>
  <c r="CF50" i="32"/>
  <c r="CO174" i="8" s="1"/>
  <c r="CF51" i="32"/>
  <c r="CO175" i="8" s="1"/>
  <c r="CC49" i="32"/>
  <c r="CC50" i="32"/>
  <c r="CC51" i="32"/>
  <c r="CB49" i="32"/>
  <c r="CB50" i="32"/>
  <c r="CB51" i="32"/>
  <c r="CA49" i="32"/>
  <c r="CA50" i="32"/>
  <c r="CA51" i="32"/>
  <c r="BY49" i="32"/>
  <c r="BY50" i="32"/>
  <c r="BY51" i="32"/>
  <c r="BX49" i="32"/>
  <c r="BX50" i="32"/>
  <c r="BX51" i="32"/>
  <c r="BW49" i="32"/>
  <c r="BW50" i="32"/>
  <c r="BW51" i="32"/>
  <c r="CH38" i="32"/>
  <c r="DH160" i="8" s="1"/>
  <c r="CH39" i="32"/>
  <c r="DH161" i="8" s="1"/>
  <c r="CH40" i="32"/>
  <c r="DH162" i="8" s="1"/>
  <c r="CF38" i="32"/>
  <c r="CO160" i="8" s="1"/>
  <c r="CF39" i="32"/>
  <c r="CO161" i="8" s="1"/>
  <c r="CF40" i="32"/>
  <c r="CO162" i="8" s="1"/>
  <c r="CC38" i="32"/>
  <c r="CC39" i="32"/>
  <c r="CC40" i="32"/>
  <c r="CB38" i="32"/>
  <c r="CB39" i="32"/>
  <c r="CB40" i="32"/>
  <c r="CA38" i="32"/>
  <c r="CA39" i="32"/>
  <c r="CA40" i="32"/>
  <c r="BY38" i="32"/>
  <c r="BY39" i="32"/>
  <c r="BY40" i="32"/>
  <c r="BX38" i="32"/>
  <c r="BX39" i="32"/>
  <c r="BX40" i="32"/>
  <c r="BW38" i="32"/>
  <c r="BW39" i="32"/>
  <c r="BW40" i="32"/>
  <c r="BO40" i="32"/>
  <c r="BL40" i="32"/>
  <c r="AO40" i="32"/>
  <c r="AL40" i="32"/>
  <c r="BO39" i="32"/>
  <c r="BL39" i="32"/>
  <c r="AO39" i="32"/>
  <c r="AL39" i="32"/>
  <c r="BO38" i="32"/>
  <c r="BL38" i="32"/>
  <c r="AO38" i="32"/>
  <c r="AL38" i="32"/>
  <c r="BO51" i="32"/>
  <c r="BL51" i="32"/>
  <c r="AO51" i="32"/>
  <c r="AL51" i="32"/>
  <c r="BO50" i="32"/>
  <c r="BL50" i="32"/>
  <c r="AO50" i="32"/>
  <c r="AL50" i="32"/>
  <c r="BO49" i="32"/>
  <c r="BL49" i="32"/>
  <c r="AO49" i="32"/>
  <c r="AL49" i="32"/>
  <c r="BN51" i="4"/>
  <c r="BN52" i="4"/>
  <c r="BN53" i="4"/>
  <c r="BL51" i="4"/>
  <c r="BQ51" i="4" s="1"/>
  <c r="BL52" i="4"/>
  <c r="BQ52" i="4" s="1"/>
  <c r="BL53" i="4"/>
  <c r="BQ53" i="4" s="1"/>
  <c r="BK51" i="4"/>
  <c r="BP51" i="4" s="1"/>
  <c r="BO51" i="4" s="1"/>
  <c r="BK52" i="4"/>
  <c r="BU52" i="4" s="1"/>
  <c r="BK53" i="4"/>
  <c r="BU53" i="4" s="1"/>
  <c r="BJ51" i="4"/>
  <c r="BR51" i="4" s="1"/>
  <c r="BJ52" i="4"/>
  <c r="BR52" i="4" s="1"/>
  <c r="BJ53" i="4"/>
  <c r="BR53" i="4" s="1"/>
  <c r="BI51" i="4"/>
  <c r="BI52" i="4"/>
  <c r="BI53" i="4"/>
  <c r="BN26" i="4"/>
  <c r="BN27" i="4"/>
  <c r="BN28" i="4"/>
  <c r="BL26" i="4"/>
  <c r="BQ26" i="4" s="1"/>
  <c r="BL27" i="4"/>
  <c r="BQ27" i="4" s="1"/>
  <c r="BL28" i="4"/>
  <c r="BX200" i="8"/>
  <c r="I43" i="4"/>
  <c r="AB11" i="4"/>
  <c r="D43" i="4"/>
  <c r="BS52" i="4" l="1"/>
  <c r="BS51" i="4"/>
  <c r="BT53" i="4"/>
  <c r="BU51" i="4"/>
  <c r="BT52" i="4"/>
  <c r="BT51" i="4"/>
  <c r="BS21" i="4"/>
  <c r="BP25" i="4"/>
  <c r="BS53" i="4"/>
  <c r="BT24" i="4"/>
  <c r="BT22" i="4"/>
  <c r="BP21" i="4"/>
  <c r="BT27" i="4"/>
  <c r="BP20" i="4"/>
  <c r="BR28" i="4"/>
  <c r="BR27" i="4"/>
  <c r="BU26" i="4"/>
  <c r="BT23" i="4"/>
  <c r="BR26" i="4"/>
  <c r="BR25" i="4"/>
  <c r="BR24" i="4"/>
  <c r="BR23" i="4"/>
  <c r="BT25" i="4"/>
  <c r="BR22" i="4"/>
  <c r="BU27" i="4"/>
  <c r="BP24" i="4"/>
  <c r="BR21" i="4"/>
  <c r="BS26" i="4"/>
  <c r="BR20" i="4"/>
  <c r="BP27" i="4"/>
  <c r="BP23" i="4"/>
  <c r="BP26" i="4"/>
  <c r="BT28" i="4"/>
  <c r="BP28" i="4"/>
  <c r="BS28" i="4"/>
  <c r="AN27" i="4"/>
  <c r="AM27" i="4" s="1"/>
  <c r="AN26" i="4"/>
  <c r="AM26" i="4" s="1"/>
  <c r="BQ28" i="4"/>
  <c r="AO28" i="4"/>
  <c r="BP53" i="4"/>
  <c r="BO53" i="4" s="1"/>
  <c r="BP52" i="4"/>
  <c r="BO52" i="4" s="1"/>
  <c r="K20" i="32"/>
  <c r="K21" i="32"/>
  <c r="K22" i="32"/>
  <c r="K23" i="32"/>
  <c r="K24" i="32"/>
  <c r="K25" i="32"/>
  <c r="K26" i="32"/>
  <c r="K27" i="32"/>
  <c r="H20" i="32"/>
  <c r="H21" i="32"/>
  <c r="H22" i="32"/>
  <c r="H23" i="32"/>
  <c r="H24" i="32"/>
  <c r="H25" i="32"/>
  <c r="H26" i="32"/>
  <c r="H27" i="32"/>
  <c r="D22" i="6"/>
  <c r="B56" i="6"/>
  <c r="D72" i="6"/>
  <c r="O4" i="6"/>
  <c r="D58" i="6"/>
  <c r="D44" i="6"/>
  <c r="D37" i="6"/>
  <c r="D51" i="6"/>
  <c r="D18" i="6"/>
  <c r="O25" i="6"/>
  <c r="O18" i="6"/>
  <c r="O75" i="6"/>
  <c r="B84" i="6"/>
  <c r="B25" i="6"/>
  <c r="B11" i="6"/>
  <c r="D86" i="6"/>
  <c r="D82" i="6"/>
  <c r="O54" i="6"/>
  <c r="O61" i="6"/>
  <c r="H2" i="6"/>
  <c r="D61" i="6"/>
  <c r="B70" i="6"/>
  <c r="D29" i="6"/>
  <c r="O33" i="6"/>
  <c r="B77" i="6"/>
  <c r="O47" i="6"/>
  <c r="D4" i="6"/>
  <c r="O40" i="6"/>
  <c r="O11" i="6"/>
  <c r="D47" i="6"/>
  <c r="D79" i="6"/>
  <c r="D65" i="6"/>
  <c r="D11" i="6"/>
  <c r="B33" i="6"/>
  <c r="D25" i="6"/>
  <c r="B63" i="6"/>
  <c r="B42" i="6"/>
  <c r="O82" i="6"/>
  <c r="D40" i="6"/>
  <c r="D8" i="6"/>
  <c r="D54" i="6"/>
  <c r="B4" i="6"/>
  <c r="O68" i="6"/>
  <c r="D33" i="6"/>
  <c r="D68" i="6"/>
  <c r="T2" i="6"/>
  <c r="B18" i="6"/>
  <c r="B49" i="6"/>
  <c r="D15" i="6"/>
  <c r="D75" i="6"/>
  <c r="AJ72" i="8" l="1"/>
  <c r="BA68" i="8"/>
  <c r="AJ68" i="8"/>
  <c r="M61" i="8"/>
  <c r="BY68" i="8"/>
  <c r="AF6" i="4"/>
  <c r="D52" i="1" l="1"/>
  <c r="CD21" i="1"/>
  <c r="DB223" i="8"/>
  <c r="AG11" i="4"/>
  <c r="DB216" i="8"/>
  <c r="AG13" i="4"/>
  <c r="Y66" i="7"/>
  <c r="BW69" i="1"/>
  <c r="Y73" i="7"/>
  <c r="BX68" i="8" l="1"/>
  <c r="DB207" i="8"/>
  <c r="DB208" i="8"/>
  <c r="DB209" i="8"/>
  <c r="DB210" i="8"/>
  <c r="DB206" i="8"/>
  <c r="CT207" i="8"/>
  <c r="CT208" i="8"/>
  <c r="CT209" i="8"/>
  <c r="CT210" i="8"/>
  <c r="CT206" i="8"/>
  <c r="DJ207" i="8"/>
  <c r="DJ208" i="8"/>
  <c r="DJ209" i="8"/>
  <c r="DJ210" i="8"/>
  <c r="CE207" i="8"/>
  <c r="CE208" i="8"/>
  <c r="CE209" i="8"/>
  <c r="CE210" i="8"/>
  <c r="CE206" i="8"/>
  <c r="BY207" i="8"/>
  <c r="BY208" i="8"/>
  <c r="BY209" i="8"/>
  <c r="BY210" i="8"/>
  <c r="BY206" i="8"/>
  <c r="BA207" i="8"/>
  <c r="BA208" i="8"/>
  <c r="BA209" i="8"/>
  <c r="BA210" i="8"/>
  <c r="AS209" i="8"/>
  <c r="AS210" i="8"/>
  <c r="AK209" i="8"/>
  <c r="AK210" i="8"/>
  <c r="W209" i="8"/>
  <c r="W210" i="8"/>
  <c r="Q209" i="8"/>
  <c r="Q210" i="8"/>
  <c r="AI18" i="32"/>
  <c r="BL18" i="32"/>
  <c r="BE17" i="32"/>
  <c r="BI18" i="32"/>
  <c r="AL18" i="32"/>
  <c r="V2" i="7" l="1"/>
  <c r="V3" i="4"/>
  <c r="BW2" i="1"/>
  <c r="AO2" i="32"/>
  <c r="DM80" i="1"/>
  <c r="AZ80" i="1"/>
  <c r="BC2" i="32"/>
  <c r="I3" i="4"/>
  <c r="BG80" i="1"/>
  <c r="AV75" i="8" l="1"/>
  <c r="AO75" i="8"/>
  <c r="DD80" i="1"/>
  <c r="J7" i="10"/>
  <c r="J13" i="10"/>
  <c r="J8" i="10"/>
  <c r="DN78" i="8" l="1"/>
  <c r="DN79" i="8"/>
  <c r="DN80" i="8"/>
  <c r="DN81" i="8"/>
  <c r="DN82" i="8"/>
  <c r="DN83" i="8"/>
  <c r="DN84" i="8"/>
  <c r="DN85" i="8"/>
  <c r="DH78" i="8"/>
  <c r="DH79" i="8"/>
  <c r="DH80" i="8"/>
  <c r="DH81" i="8"/>
  <c r="DH82" i="8"/>
  <c r="DH83" i="8"/>
  <c r="DH84" i="8"/>
  <c r="DH85" i="8"/>
  <c r="DC78" i="8"/>
  <c r="DC79" i="8"/>
  <c r="DC80" i="8"/>
  <c r="DC81" i="8"/>
  <c r="DC82" i="8"/>
  <c r="DC83" i="8"/>
  <c r="DC84" i="8"/>
  <c r="DC85" i="8"/>
  <c r="CR78" i="8"/>
  <c r="CR79" i="8"/>
  <c r="CR80" i="8"/>
  <c r="CR81" i="8"/>
  <c r="CR82" i="8"/>
  <c r="CR83" i="8"/>
  <c r="CR84" i="8"/>
  <c r="CR85" i="8"/>
  <c r="DC77" i="8"/>
  <c r="DN77" i="8"/>
  <c r="CF78" i="8"/>
  <c r="CF79" i="8"/>
  <c r="CF80" i="8"/>
  <c r="CF81" i="8"/>
  <c r="CF82" i="8"/>
  <c r="CF83" i="8"/>
  <c r="CF84" i="8"/>
  <c r="CF85" i="8"/>
  <c r="BM78" i="8"/>
  <c r="BM79" i="8"/>
  <c r="BM80" i="8"/>
  <c r="BM81" i="8"/>
  <c r="BM82" i="8"/>
  <c r="BM83" i="8"/>
  <c r="BM84" i="8"/>
  <c r="BM85" i="8"/>
  <c r="AO78" i="8"/>
  <c r="AO79" i="8"/>
  <c r="AO80" i="8"/>
  <c r="AO81" i="8"/>
  <c r="AO82" i="8"/>
  <c r="AO83" i="8"/>
  <c r="AO84" i="8"/>
  <c r="AO85" i="8"/>
  <c r="AO77" i="8"/>
  <c r="BC78" i="8"/>
  <c r="BC79" i="8"/>
  <c r="BC80" i="8"/>
  <c r="BC81" i="8"/>
  <c r="BC82" i="8"/>
  <c r="BC83" i="8"/>
  <c r="BC84" i="8"/>
  <c r="BC85" i="8"/>
  <c r="AV78" i="8"/>
  <c r="AV79" i="8"/>
  <c r="AV80" i="8"/>
  <c r="AV81" i="8"/>
  <c r="AV82" i="8"/>
  <c r="AV83" i="8"/>
  <c r="AV84" i="8"/>
  <c r="AV85" i="8"/>
  <c r="T78" i="8"/>
  <c r="T79" i="8"/>
  <c r="T80" i="8"/>
  <c r="T81" i="8"/>
  <c r="T82" i="8"/>
  <c r="T83" i="8"/>
  <c r="T84" i="8"/>
  <c r="T85" i="8"/>
  <c r="L78" i="8"/>
  <c r="L79" i="8"/>
  <c r="L80" i="8"/>
  <c r="L81" i="8"/>
  <c r="L82" i="8"/>
  <c r="L83" i="8"/>
  <c r="L84" i="8"/>
  <c r="L85" i="8"/>
  <c r="D17" i="4" l="1"/>
  <c r="J12" i="10"/>
  <c r="J23" i="10"/>
  <c r="J21" i="10"/>
  <c r="J10" i="10"/>
  <c r="J20" i="10"/>
  <c r="X43" i="4"/>
  <c r="J22" i="10"/>
  <c r="J11" i="10"/>
  <c r="J19" i="10"/>
  <c r="C92" i="7"/>
  <c r="AV20" i="4" l="1"/>
  <c r="AV21" i="4"/>
  <c r="AV22" i="4"/>
  <c r="AV23" i="4"/>
  <c r="AV24" i="4"/>
  <c r="AV25" i="4"/>
  <c r="AU20" i="4"/>
  <c r="AU21" i="4"/>
  <c r="AU22" i="4"/>
  <c r="AU23" i="4"/>
  <c r="AU24" i="4"/>
  <c r="AU25" i="4"/>
  <c r="AT20" i="4"/>
  <c r="AT21" i="4"/>
  <c r="AT22" i="4"/>
  <c r="AT23" i="4"/>
  <c r="AT24" i="4"/>
  <c r="AT25" i="4"/>
  <c r="AS20" i="4"/>
  <c r="AS21" i="4"/>
  <c r="AS22" i="4"/>
  <c r="AS23" i="4"/>
  <c r="AS24" i="4"/>
  <c r="AS25" i="4"/>
  <c r="AR20" i="4"/>
  <c r="AR21" i="4"/>
  <c r="AR22" i="4"/>
  <c r="AR23" i="4"/>
  <c r="AR24" i="4"/>
  <c r="AR25" i="4"/>
  <c r="AQ20" i="4"/>
  <c r="AQ21" i="4"/>
  <c r="AQ22" i="4"/>
  <c r="AQ23" i="4"/>
  <c r="AQ24" i="4"/>
  <c r="AQ25" i="4"/>
  <c r="AP20" i="4"/>
  <c r="AO20" i="4" s="1"/>
  <c r="AP21" i="4"/>
  <c r="AO21" i="4" s="1"/>
  <c r="AP22" i="4"/>
  <c r="AO22" i="4" s="1"/>
  <c r="AP23" i="4"/>
  <c r="AO23" i="4" s="1"/>
  <c r="AP24" i="4"/>
  <c r="AO24" i="4" s="1"/>
  <c r="AP25" i="4"/>
  <c r="AO25" i="4" s="1"/>
  <c r="CH32" i="32"/>
  <c r="CH36" i="32"/>
  <c r="CH37" i="32"/>
  <c r="CF34" i="32"/>
  <c r="CO156" i="8" s="1"/>
  <c r="CF35" i="32"/>
  <c r="CO157" i="8" s="1"/>
  <c r="CF36" i="32"/>
  <c r="CO158" i="8" s="1"/>
  <c r="CF37" i="32"/>
  <c r="CO159" i="8" s="1"/>
  <c r="BI45" i="4"/>
  <c r="BI46" i="4"/>
  <c r="BI47" i="4"/>
  <c r="BI48" i="4"/>
  <c r="BI49" i="4"/>
  <c r="BI50" i="4"/>
  <c r="BI44" i="4"/>
  <c r="B5" i="7"/>
  <c r="C14" i="9"/>
  <c r="B79" i="7"/>
  <c r="B44" i="7"/>
  <c r="B230" i="8" l="1"/>
  <c r="B200" i="8"/>
  <c r="AN25" i="4"/>
  <c r="AM25" i="4" s="1"/>
  <c r="AN24" i="4"/>
  <c r="AM24" i="4" s="1"/>
  <c r="AN22" i="4"/>
  <c r="AM22" i="4" s="1"/>
  <c r="AN23" i="4"/>
  <c r="AN21" i="4"/>
  <c r="AN20" i="4"/>
  <c r="CH48" i="32" l="1"/>
  <c r="DH172" i="8" s="1"/>
  <c r="CF48" i="32"/>
  <c r="CO172" i="8" s="1"/>
  <c r="CH47" i="32"/>
  <c r="DH171" i="8" s="1"/>
  <c r="CF47" i="32"/>
  <c r="CO171" i="8" s="1"/>
  <c r="CH46" i="32"/>
  <c r="DH170" i="8" s="1"/>
  <c r="CF46" i="32"/>
  <c r="CO170" i="8" s="1"/>
  <c r="CH44" i="32"/>
  <c r="DH168" i="8" s="1"/>
  <c r="CH43" i="32"/>
  <c r="DH167" i="8" s="1"/>
  <c r="CF43" i="32"/>
  <c r="CO167" i="8" s="1"/>
  <c r="DH154" i="8"/>
  <c r="DH158" i="8"/>
  <c r="DH159" i="8"/>
  <c r="T75" i="8"/>
  <c r="DI151" i="8"/>
  <c r="BQ151" i="8"/>
  <c r="BC75" i="8"/>
  <c r="D19" i="4"/>
  <c r="CO146" i="8"/>
  <c r="G74" i="8"/>
  <c r="CO151" i="8"/>
  <c r="BZ151" i="8"/>
  <c r="CG151" i="8"/>
  <c r="D151" i="8" l="1"/>
  <c r="CR74" i="8"/>
  <c r="BM75" i="8"/>
  <c r="CF75" i="8"/>
  <c r="BM74" i="8"/>
  <c r="H19" i="32" l="1"/>
  <c r="O43" i="4"/>
  <c r="J43" i="4"/>
  <c r="B6" i="9"/>
  <c r="L8" i="9"/>
  <c r="C18" i="10"/>
  <c r="AE5" i="9"/>
  <c r="B8" i="9"/>
  <c r="V8" i="9"/>
  <c r="D42" i="32"/>
  <c r="AB9" i="4"/>
  <c r="D31" i="32"/>
  <c r="B2" i="9"/>
  <c r="AE7" i="9"/>
  <c r="L4" i="9"/>
  <c r="T43" i="4"/>
  <c r="L43" i="4"/>
  <c r="V6" i="9"/>
  <c r="D18" i="4"/>
  <c r="L7" i="9"/>
  <c r="L9" i="9"/>
  <c r="B5" i="9"/>
  <c r="AE43" i="4"/>
  <c r="V5" i="9"/>
  <c r="X16" i="4"/>
  <c r="J17" i="4"/>
  <c r="AB43" i="4"/>
  <c r="AE8" i="9"/>
  <c r="J41" i="4"/>
  <c r="AE3" i="9"/>
  <c r="G30" i="4"/>
  <c r="AJ43" i="4"/>
  <c r="L6" i="9"/>
  <c r="AF43" i="4"/>
  <c r="AE6" i="9"/>
  <c r="B9" i="9"/>
  <c r="V4" i="9"/>
  <c r="C17" i="10"/>
  <c r="L5" i="9"/>
  <c r="Q43" i="4"/>
  <c r="I18" i="4"/>
  <c r="D44" i="4"/>
  <c r="B3" i="9"/>
  <c r="L3" i="9"/>
  <c r="AE4" i="9"/>
  <c r="V3" i="9"/>
  <c r="AH43" i="4"/>
  <c r="B7" i="9"/>
  <c r="V7" i="9"/>
  <c r="B4" i="9"/>
  <c r="AI9" i="4"/>
  <c r="Z43" i="4"/>
  <c r="D106" i="4" l="1"/>
  <c r="D164" i="8"/>
  <c r="D149" i="8"/>
  <c r="CS113" i="8"/>
  <c r="D126" i="8"/>
  <c r="D115" i="8"/>
  <c r="D113" i="8"/>
  <c r="L77" i="8"/>
  <c r="CQ28" i="8"/>
  <c r="CQ29" i="8"/>
  <c r="CQ30" i="8"/>
  <c r="CQ31" i="8"/>
  <c r="CQ32" i="8"/>
  <c r="CA29" i="8"/>
  <c r="CA30" i="8"/>
  <c r="CA31" i="8"/>
  <c r="CA32" i="8"/>
  <c r="CA28" i="8"/>
  <c r="BL29" i="8"/>
  <c r="BL30" i="8"/>
  <c r="BL31" i="8"/>
  <c r="BL32" i="8"/>
  <c r="BL28" i="8"/>
  <c r="AI29" i="8"/>
  <c r="AI30" i="8"/>
  <c r="AI31" i="8"/>
  <c r="AI32" i="8"/>
  <c r="AI28" i="8"/>
  <c r="S29" i="8"/>
  <c r="S30" i="8"/>
  <c r="S31" i="8"/>
  <c r="S32" i="8"/>
  <c r="S28" i="8"/>
  <c r="D29" i="8"/>
  <c r="D30" i="8"/>
  <c r="D31" i="8"/>
  <c r="D32" i="8"/>
  <c r="D28" i="8"/>
  <c r="AI24" i="8"/>
  <c r="S24" i="8"/>
  <c r="D24" i="8"/>
  <c r="D85" i="7"/>
  <c r="D190" i="8"/>
  <c r="CO216" i="8"/>
  <c r="U73" i="7"/>
  <c r="D66" i="7"/>
  <c r="AS18" i="32"/>
  <c r="AB40" i="4"/>
  <c r="E12" i="32"/>
  <c r="AI9" i="32"/>
  <c r="AE17" i="32"/>
  <c r="C28" i="7"/>
  <c r="L86" i="7"/>
  <c r="L87" i="7"/>
  <c r="D73" i="7"/>
  <c r="T8" i="32"/>
  <c r="D64" i="7"/>
  <c r="L83" i="7"/>
  <c r="C214" i="8"/>
  <c r="L85" i="7"/>
  <c r="H181" i="8"/>
  <c r="AI10" i="32"/>
  <c r="T9" i="32"/>
  <c r="Z40" i="4"/>
  <c r="C221" i="8"/>
  <c r="D81" i="7"/>
  <c r="D6" i="32"/>
  <c r="Y216" i="8"/>
  <c r="N83" i="7"/>
  <c r="C62" i="7"/>
  <c r="D181" i="8"/>
  <c r="S6" i="32"/>
  <c r="I66" i="7"/>
  <c r="E11" i="32"/>
  <c r="L84" i="7"/>
  <c r="D71" i="7"/>
  <c r="X40" i="4"/>
  <c r="Y223" i="8"/>
  <c r="BO18" i="32"/>
  <c r="AM10" i="32"/>
  <c r="AI11" i="32"/>
  <c r="D216" i="8"/>
  <c r="E10" i="32"/>
  <c r="D83" i="7"/>
  <c r="AM9" i="32"/>
  <c r="D86" i="7"/>
  <c r="C212" i="8"/>
  <c r="BD13" i="32"/>
  <c r="U66" i="7"/>
  <c r="D87" i="7"/>
  <c r="T11" i="32"/>
  <c r="BE18" i="32"/>
  <c r="AM11" i="32"/>
  <c r="T10" i="32"/>
  <c r="J15" i="10"/>
  <c r="D223" i="8"/>
  <c r="D182" i="8"/>
  <c r="J16" i="10"/>
  <c r="E8" i="32"/>
  <c r="J17" i="10"/>
  <c r="AI12" i="32"/>
  <c r="J40" i="4"/>
  <c r="CO223" i="8"/>
  <c r="AE18" i="32"/>
  <c r="AG6" i="32"/>
  <c r="I73" i="7"/>
  <c r="L81" i="7"/>
  <c r="D60" i="7"/>
  <c r="AO18" i="32"/>
  <c r="E9" i="32"/>
  <c r="BB8" i="32"/>
  <c r="AM12" i="32"/>
  <c r="T12" i="32"/>
  <c r="U18" i="32"/>
  <c r="DD151" i="8" l="1"/>
  <c r="CB75" i="8"/>
  <c r="D235" i="8"/>
  <c r="D11" i="7"/>
  <c r="O46" i="7"/>
  <c r="D7" i="7"/>
  <c r="D54" i="7"/>
  <c r="F2" i="7"/>
  <c r="U50" i="7"/>
  <c r="Z7" i="7"/>
  <c r="O50" i="7"/>
  <c r="E10" i="7"/>
  <c r="D51" i="7"/>
  <c r="AA2" i="7"/>
  <c r="D59" i="7"/>
  <c r="D53" i="7"/>
  <c r="D19" i="7"/>
  <c r="D52" i="7"/>
  <c r="D10" i="7"/>
  <c r="I50" i="7"/>
  <c r="D46" i="7"/>
  <c r="D56" i="7"/>
  <c r="R50" i="7"/>
  <c r="Z46" i="7"/>
  <c r="D57" i="7"/>
  <c r="T18" i="4"/>
  <c r="O7" i="7"/>
  <c r="D58" i="7"/>
  <c r="Y50" i="7"/>
  <c r="E55" i="4"/>
  <c r="D55" i="7"/>
  <c r="C178" i="8" l="1"/>
  <c r="M56" i="8"/>
  <c r="M57" i="8"/>
  <c r="M58" i="8"/>
  <c r="M59" i="8"/>
  <c r="M55" i="8"/>
  <c r="M53" i="8"/>
  <c r="AH50" i="8"/>
  <c r="CH95" i="1"/>
  <c r="Z18" i="4"/>
  <c r="B6" i="4"/>
  <c r="I12" i="9"/>
  <c r="D87" i="1"/>
  <c r="CW80" i="1"/>
  <c r="CZ66" i="1"/>
  <c r="X46" i="9"/>
  <c r="AD32" i="9"/>
  <c r="D109" i="1"/>
  <c r="G31" i="4"/>
  <c r="H93" i="1"/>
  <c r="H91" i="1"/>
  <c r="AH18" i="4"/>
  <c r="D30" i="4"/>
  <c r="B65" i="1"/>
  <c r="CH91" i="1"/>
  <c r="O18" i="4"/>
  <c r="D93" i="1"/>
  <c r="J44" i="9"/>
  <c r="L32" i="9"/>
  <c r="BR66" i="1"/>
  <c r="CH98" i="1"/>
  <c r="Z16" i="4"/>
  <c r="AX2" i="2"/>
  <c r="F46" i="9"/>
  <c r="J18" i="4"/>
  <c r="BN80" i="1"/>
  <c r="F32" i="9"/>
  <c r="AU98" i="1"/>
  <c r="H95" i="1"/>
  <c r="J16" i="4"/>
  <c r="AA31" i="4"/>
  <c r="AR69" i="1"/>
  <c r="D81" i="1"/>
  <c r="AU91" i="1"/>
  <c r="D48" i="1"/>
  <c r="CH103" i="1"/>
  <c r="X18" i="4"/>
  <c r="Q18" i="4"/>
  <c r="X32" i="9"/>
  <c r="D46" i="1"/>
  <c r="AI31" i="4"/>
  <c r="AE18" i="4"/>
  <c r="J47" i="9"/>
  <c r="AU93" i="1"/>
  <c r="BX80" i="1"/>
  <c r="AZ75" i="1"/>
  <c r="AH32" i="9"/>
  <c r="AX106" i="1"/>
  <c r="K2" i="2"/>
  <c r="AB16" i="4"/>
  <c r="CH101" i="1"/>
  <c r="AJ18" i="4"/>
  <c r="H98" i="1"/>
  <c r="AF18" i="4"/>
  <c r="D79" i="1"/>
  <c r="H101" i="1"/>
  <c r="AE3" i="4"/>
  <c r="F18" i="9"/>
  <c r="D28" i="2"/>
  <c r="AC31" i="4"/>
  <c r="BK21" i="1"/>
  <c r="AF12" i="9"/>
  <c r="L18" i="9"/>
  <c r="D14" i="2"/>
  <c r="D20" i="1"/>
  <c r="R18" i="9"/>
  <c r="D6" i="2"/>
  <c r="CH93" i="1"/>
  <c r="AB47" i="9"/>
  <c r="AB6" i="4"/>
  <c r="L18" i="4"/>
  <c r="X18" i="9"/>
  <c r="F16" i="9"/>
  <c r="BL77" i="1"/>
  <c r="D71" i="1"/>
  <c r="R106" i="1"/>
  <c r="K6" i="4"/>
  <c r="T75" i="1"/>
  <c r="D73" i="1"/>
  <c r="AD18" i="9"/>
  <c r="AU95" i="1"/>
  <c r="D69" i="1"/>
  <c r="CH106" i="1"/>
  <c r="AB18" i="4"/>
  <c r="D7" i="2"/>
  <c r="AJ18" i="9"/>
  <c r="P6" i="4"/>
  <c r="B62" i="2"/>
  <c r="D24" i="1"/>
  <c r="AU101" i="1"/>
  <c r="AB32" i="9"/>
  <c r="H36" i="4"/>
  <c r="W16" i="9"/>
  <c r="CC79" i="1"/>
  <c r="BL20" i="1"/>
  <c r="BX75" i="1"/>
  <c r="B143" i="8" l="1"/>
  <c r="D72" i="8"/>
  <c r="DC113" i="8"/>
  <c r="D16" i="4"/>
  <c r="AC151" i="8"/>
  <c r="D83" i="8"/>
  <c r="D80" i="8"/>
  <c r="D77" i="8"/>
  <c r="D29" i="32"/>
  <c r="BN45" i="4" l="1"/>
  <c r="BN46" i="4"/>
  <c r="BN47" i="4"/>
  <c r="BN48" i="4"/>
  <c r="BN49" i="4"/>
  <c r="BN50" i="4"/>
  <c r="BL45" i="4"/>
  <c r="BL46" i="4"/>
  <c r="BQ46" i="4" s="1"/>
  <c r="BL47" i="4"/>
  <c r="BQ47" i="4" s="1"/>
  <c r="BL48" i="4"/>
  <c r="BQ48" i="4" s="1"/>
  <c r="BL49" i="4"/>
  <c r="BQ49" i="4" s="1"/>
  <c r="BL50" i="4"/>
  <c r="BQ50" i="4" s="1"/>
  <c r="BK45" i="4"/>
  <c r="BK46" i="4"/>
  <c r="BU46" i="4" s="1"/>
  <c r="BK47" i="4"/>
  <c r="BU47" i="4" s="1"/>
  <c r="BK48" i="4"/>
  <c r="BU48" i="4" s="1"/>
  <c r="BK49" i="4"/>
  <c r="BU49" i="4" s="1"/>
  <c r="BK50" i="4"/>
  <c r="BS50" i="4" s="1"/>
  <c r="BH46" i="4"/>
  <c r="BH47" i="4" s="1"/>
  <c r="BJ50" i="4"/>
  <c r="BR50" i="4" s="1"/>
  <c r="BJ49" i="4"/>
  <c r="BR49" i="4" s="1"/>
  <c r="BJ48" i="4"/>
  <c r="BR48" i="4" s="1"/>
  <c r="BJ47" i="4"/>
  <c r="BR47" i="4" s="1"/>
  <c r="BJ46" i="4"/>
  <c r="BR46" i="4" s="1"/>
  <c r="BJ45" i="4"/>
  <c r="BN44" i="4"/>
  <c r="BL44" i="4"/>
  <c r="BK44" i="4"/>
  <c r="BJ44" i="4"/>
  <c r="BH44" i="4"/>
  <c r="BH45" i="4" s="1"/>
  <c r="BH48" i="4" l="1"/>
  <c r="BU50" i="4"/>
  <c r="BT50" i="4"/>
  <c r="BR44" i="4"/>
  <c r="BU45" i="4"/>
  <c r="BP48" i="4"/>
  <c r="BO48" i="4" s="1"/>
  <c r="BS48" i="4"/>
  <c r="BT48" i="4"/>
  <c r="BQ45" i="4"/>
  <c r="BS45" i="4"/>
  <c r="BT45" i="4"/>
  <c r="BQ44" i="4"/>
  <c r="BP45" i="4"/>
  <c r="BP44" i="4"/>
  <c r="BO44" i="4" s="1"/>
  <c r="BR45" i="4"/>
  <c r="BP49" i="4"/>
  <c r="BO49" i="4" s="1"/>
  <c r="BS49" i="4"/>
  <c r="BT49" i="4"/>
  <c r="BT46" i="4"/>
  <c r="BS46" i="4"/>
  <c r="BS44" i="4"/>
  <c r="BT44" i="4"/>
  <c r="BP47" i="4"/>
  <c r="BO47" i="4" s="1"/>
  <c r="BU44" i="4"/>
  <c r="BP46" i="4"/>
  <c r="BO46" i="4" s="1"/>
  <c r="BS47" i="4"/>
  <c r="BT47" i="4"/>
  <c r="BP50" i="4"/>
  <c r="BO50" i="4" s="1"/>
  <c r="DB225" i="8"/>
  <c r="DB226" i="8"/>
  <c r="DB224" i="8"/>
  <c r="CO225" i="8"/>
  <c r="CO226" i="8"/>
  <c r="CO224" i="8"/>
  <c r="Y225" i="8"/>
  <c r="Y226" i="8"/>
  <c r="Y224" i="8"/>
  <c r="D225" i="8"/>
  <c r="D226" i="8"/>
  <c r="D224" i="8"/>
  <c r="DB218" i="8"/>
  <c r="DB219" i="8"/>
  <c r="CO218" i="8"/>
  <c r="CO219" i="8"/>
  <c r="DB217" i="8"/>
  <c r="DM214" i="8"/>
  <c r="DM204" i="7"/>
  <c r="CO217" i="8"/>
  <c r="Y218" i="8"/>
  <c r="Y219" i="8"/>
  <c r="Y217" i="8"/>
  <c r="D218" i="8"/>
  <c r="D219" i="8"/>
  <c r="D217" i="8"/>
  <c r="BH49" i="4" l="1"/>
  <c r="BH50" i="4" s="1"/>
  <c r="BO45" i="4"/>
  <c r="CB45" i="4" s="1"/>
  <c r="BH51" i="4" l="1"/>
  <c r="CA44" i="4"/>
  <c r="CA46" i="4"/>
  <c r="BW49" i="4"/>
  <c r="D171" i="8" s="1"/>
  <c r="BW48" i="4"/>
  <c r="D170" i="8" s="1"/>
  <c r="BY49" i="4"/>
  <c r="BX49" i="4"/>
  <c r="BW53" i="4"/>
  <c r="D175" i="8" s="1"/>
  <c r="BX51" i="4"/>
  <c r="CB49" i="4"/>
  <c r="CG171" i="8" s="1"/>
  <c r="BZ48" i="4"/>
  <c r="CA53" i="4"/>
  <c r="BZ175" i="8" s="1"/>
  <c r="BZ45" i="4"/>
  <c r="BQ167" i="8" s="1"/>
  <c r="CB47" i="4"/>
  <c r="CG169" i="8" s="1"/>
  <c r="BW50" i="4"/>
  <c r="D172" i="8" s="1"/>
  <c r="BY47" i="4"/>
  <c r="BZ49" i="4"/>
  <c r="BQ171" i="8" s="1"/>
  <c r="CB52" i="4"/>
  <c r="CG174" i="8" s="1"/>
  <c r="BZ44" i="4"/>
  <c r="BX46" i="4"/>
  <c r="CB44" i="4"/>
  <c r="BY45" i="4"/>
  <c r="BW52" i="4"/>
  <c r="D174" i="8" s="1"/>
  <c r="BZ51" i="4"/>
  <c r="BQ173" i="8" s="1"/>
  <c r="CB53" i="4"/>
  <c r="CG175" i="8" s="1"/>
  <c r="BY48" i="4"/>
  <c r="CB51" i="4"/>
  <c r="CG173" i="8" s="1"/>
  <c r="CB50" i="4"/>
  <c r="CG172" i="8" s="1"/>
  <c r="BY44" i="4"/>
  <c r="AC166" i="8" s="1"/>
  <c r="BW51" i="4"/>
  <c r="D173" i="8" s="1"/>
  <c r="BX53" i="4"/>
  <c r="BY51" i="4"/>
  <c r="CA45" i="4"/>
  <c r="BZ167" i="8" s="1"/>
  <c r="BZ47" i="4"/>
  <c r="BQ169" i="8" s="1"/>
  <c r="BY46" i="4"/>
  <c r="CA52" i="4"/>
  <c r="BZ174" i="8" s="1"/>
  <c r="CA51" i="4"/>
  <c r="BZ173" i="8" s="1"/>
  <c r="BY53" i="4"/>
  <c r="BW45" i="4"/>
  <c r="D167" i="8" s="1"/>
  <c r="CA48" i="4"/>
  <c r="BZ170" i="8" s="1"/>
  <c r="CB46" i="4"/>
  <c r="CG168" i="8" s="1"/>
  <c r="BX50" i="4"/>
  <c r="BX48" i="4"/>
  <c r="BX47" i="4"/>
  <c r="BX45" i="4"/>
  <c r="CA50" i="4"/>
  <c r="BZ172" i="8" s="1"/>
  <c r="BW44" i="4"/>
  <c r="CA49" i="4"/>
  <c r="BZ171" i="8" s="1"/>
  <c r="BX52" i="4"/>
  <c r="BY50" i="4"/>
  <c r="BZ52" i="4"/>
  <c r="BQ174" i="8" s="1"/>
  <c r="BZ50" i="4"/>
  <c r="BQ172" i="8" s="1"/>
  <c r="BZ46" i="4"/>
  <c r="BQ168" i="8" s="1"/>
  <c r="BZ53" i="4"/>
  <c r="BQ175" i="8" s="1"/>
  <c r="BW47" i="4"/>
  <c r="D169" i="8" s="1"/>
  <c r="BW46" i="4"/>
  <c r="D168" i="8" s="1"/>
  <c r="CB48" i="4"/>
  <c r="CG170" i="8" s="1"/>
  <c r="BY52" i="4"/>
  <c r="BX44" i="4"/>
  <c r="I166" i="8" s="1"/>
  <c r="CA47" i="4"/>
  <c r="BZ169" i="8" s="1"/>
  <c r="BQ170" i="8"/>
  <c r="CG167" i="8"/>
  <c r="BZ168" i="8"/>
  <c r="BN20" i="4"/>
  <c r="BN21" i="4"/>
  <c r="BN22" i="4"/>
  <c r="BN23" i="4"/>
  <c r="BN24" i="4"/>
  <c r="BN25" i="4"/>
  <c r="BN19" i="4"/>
  <c r="BL20" i="4"/>
  <c r="BL21" i="4"/>
  <c r="BQ21" i="4" s="1"/>
  <c r="BL22" i="4"/>
  <c r="BL23" i="4"/>
  <c r="BQ23" i="4" s="1"/>
  <c r="BL24" i="4"/>
  <c r="BQ24" i="4" s="1"/>
  <c r="BL25" i="4"/>
  <c r="BQ25" i="4" s="1"/>
  <c r="BL19" i="4"/>
  <c r="BQ19" i="4" s="1"/>
  <c r="BI19" i="4"/>
  <c r="BH19" i="4" s="1"/>
  <c r="BK19" i="4"/>
  <c r="BQ22" i="4" l="1"/>
  <c r="BS22" i="4"/>
  <c r="BQ20" i="4"/>
  <c r="BS20" i="4"/>
  <c r="I168" i="8"/>
  <c r="H168" i="8"/>
  <c r="AC169" i="8"/>
  <c r="AB169" i="8"/>
  <c r="H173" i="8"/>
  <c r="I173" i="8"/>
  <c r="H167" i="8"/>
  <c r="I167" i="8"/>
  <c r="H170" i="8"/>
  <c r="I170" i="8"/>
  <c r="H171" i="8"/>
  <c r="I171" i="8"/>
  <c r="AC172" i="8"/>
  <c r="AB172" i="8"/>
  <c r="AB175" i="8"/>
  <c r="AC175" i="8"/>
  <c r="AC171" i="8"/>
  <c r="AB171" i="8"/>
  <c r="H175" i="8"/>
  <c r="I175" i="8"/>
  <c r="I172" i="8"/>
  <c r="H172" i="8"/>
  <c r="AB174" i="8"/>
  <c r="AC174" i="8"/>
  <c r="I174" i="8"/>
  <c r="H174" i="8"/>
  <c r="AC173" i="8"/>
  <c r="AB173" i="8"/>
  <c r="AC170" i="8"/>
  <c r="AB170" i="8"/>
  <c r="AC168" i="8"/>
  <c r="AB168" i="8"/>
  <c r="AC167" i="8"/>
  <c r="AB167" i="8"/>
  <c r="H169" i="8"/>
  <c r="I169" i="8"/>
  <c r="BH52" i="4"/>
  <c r="BH53" i="4" s="1"/>
  <c r="E49" i="32"/>
  <c r="CG49" i="32" s="1"/>
  <c r="DD173" i="8" s="1"/>
  <c r="E50" i="32"/>
  <c r="CG50" i="32" s="1"/>
  <c r="DD174" i="8" s="1"/>
  <c r="E51" i="32"/>
  <c r="CG51" i="32" s="1"/>
  <c r="DD175" i="8" s="1"/>
  <c r="E43" i="32"/>
  <c r="E46" i="32"/>
  <c r="CG46" i="32" s="1"/>
  <c r="DD170" i="8" s="1"/>
  <c r="E44" i="32"/>
  <c r="E47" i="32"/>
  <c r="CG47" i="32" s="1"/>
  <c r="DD171" i="8" s="1"/>
  <c r="E48" i="32"/>
  <c r="CG48" i="32" s="1"/>
  <c r="DD172" i="8" s="1"/>
  <c r="E45" i="32"/>
  <c r="D166" i="8"/>
  <c r="CG166" i="8"/>
  <c r="BZ166" i="8"/>
  <c r="BQ166" i="8"/>
  <c r="BU24" i="4"/>
  <c r="BU21" i="4"/>
  <c r="BU23" i="4"/>
  <c r="BP19" i="4"/>
  <c r="BO19" i="4" s="1"/>
  <c r="BR19" i="4"/>
  <c r="BU19" i="4"/>
  <c r="BS19" i="4"/>
  <c r="BT19" i="4"/>
  <c r="BU22" i="4"/>
  <c r="BU20" i="4"/>
  <c r="BU25" i="4"/>
  <c r="BH20" i="4"/>
  <c r="CA43" i="32"/>
  <c r="CB43" i="32" s="1"/>
  <c r="BL43" i="32" s="1"/>
  <c r="CA44" i="32"/>
  <c r="CC44" i="32" s="1"/>
  <c r="BO44" i="32" s="1"/>
  <c r="CA45" i="32"/>
  <c r="CC45" i="32" s="1"/>
  <c r="BO45" i="32" s="1"/>
  <c r="CA46" i="32"/>
  <c r="CC46" i="32" s="1"/>
  <c r="BO46" i="32" s="1"/>
  <c r="CA47" i="32"/>
  <c r="CB47" i="32" s="1"/>
  <c r="BL47" i="32" s="1"/>
  <c r="CA48" i="32"/>
  <c r="CB48" i="32" s="1"/>
  <c r="BL48" i="32" s="1"/>
  <c r="BW43" i="32"/>
  <c r="BY43" i="32" s="1"/>
  <c r="BW44" i="32"/>
  <c r="BX44" i="32" s="1"/>
  <c r="AL44" i="32" s="1"/>
  <c r="BW45" i="32"/>
  <c r="BY45" i="32" s="1"/>
  <c r="BW46" i="32"/>
  <c r="BY46" i="32" s="1"/>
  <c r="BW47" i="32"/>
  <c r="BY47" i="32" s="1"/>
  <c r="BW48" i="32"/>
  <c r="BY48" i="32" s="1"/>
  <c r="CA42" i="32"/>
  <c r="CC42" i="32" s="1"/>
  <c r="BO42" i="32" s="1"/>
  <c r="BW42" i="32"/>
  <c r="BY42" i="32" s="1"/>
  <c r="CA37" i="32"/>
  <c r="CC37" i="32" s="1"/>
  <c r="BO37" i="32" s="1"/>
  <c r="BW37" i="32"/>
  <c r="AO37" i="32" s="1"/>
  <c r="CA36" i="32"/>
  <c r="CC36" i="32" s="1"/>
  <c r="BO36" i="32" s="1"/>
  <c r="BW36" i="32"/>
  <c r="AO36" i="32" s="1"/>
  <c r="CA35" i="32"/>
  <c r="CC35" i="32" s="1"/>
  <c r="BO35" i="32" s="1"/>
  <c r="BW35" i="32"/>
  <c r="BX35" i="32" s="1"/>
  <c r="AL35" i="32" s="1"/>
  <c r="CA34" i="32"/>
  <c r="CC34" i="32" s="1"/>
  <c r="BO34" i="32" s="1"/>
  <c r="BW34" i="32"/>
  <c r="BY34" i="32" s="1"/>
  <c r="CA33" i="32"/>
  <c r="CC33" i="32" s="1"/>
  <c r="BO33" i="32" s="1"/>
  <c r="BW33" i="32"/>
  <c r="BY33" i="32" s="1"/>
  <c r="CA32" i="32"/>
  <c r="CC32" i="32" s="1"/>
  <c r="BO32" i="32" s="1"/>
  <c r="BW32" i="32"/>
  <c r="BY32" i="32" s="1"/>
  <c r="CA31" i="32"/>
  <c r="CC31" i="32" s="1"/>
  <c r="BO31" i="32" s="1"/>
  <c r="BW31" i="32"/>
  <c r="BY31" i="32" s="1"/>
  <c r="AV19" i="4"/>
  <c r="AU19" i="4"/>
  <c r="AO33" i="32" l="1"/>
  <c r="AO34" i="32"/>
  <c r="H166" i="8"/>
  <c r="CG44" i="32"/>
  <c r="DD168" i="8" s="1"/>
  <c r="CF44" i="32"/>
  <c r="CO168" i="8" s="1"/>
  <c r="CF45" i="32"/>
  <c r="CO169" i="8" s="1"/>
  <c r="CG45" i="32"/>
  <c r="DD169" i="8" s="1"/>
  <c r="CH45" i="32"/>
  <c r="DH169" i="8" s="1"/>
  <c r="BH21" i="4"/>
  <c r="AB166" i="8"/>
  <c r="E42" i="32"/>
  <c r="AO42" i="32"/>
  <c r="AO48" i="32"/>
  <c r="AO47" i="32"/>
  <c r="AO46" i="32"/>
  <c r="AO45" i="32"/>
  <c r="AO44" i="32"/>
  <c r="AO43" i="32"/>
  <c r="CG43" i="32" s="1"/>
  <c r="DD167" i="8" s="1"/>
  <c r="BX33" i="32"/>
  <c r="AL33" i="32" s="1"/>
  <c r="CB34" i="32"/>
  <c r="BL34" i="32" s="1"/>
  <c r="BX43" i="32"/>
  <c r="AL43" i="32" s="1"/>
  <c r="AO31" i="32"/>
  <c r="AO32" i="32"/>
  <c r="CB45" i="32"/>
  <c r="BL45" i="32" s="1"/>
  <c r="CB46" i="32"/>
  <c r="BL46" i="32" s="1"/>
  <c r="CB44" i="32"/>
  <c r="BL44" i="32" s="1"/>
  <c r="CC47" i="32"/>
  <c r="BO47" i="32" s="1"/>
  <c r="CC48" i="32"/>
  <c r="BO48" i="32" s="1"/>
  <c r="CC43" i="32"/>
  <c r="BO43" i="32" s="1"/>
  <c r="BX47" i="32"/>
  <c r="AL47" i="32" s="1"/>
  <c r="BX48" i="32"/>
  <c r="AL48" i="32" s="1"/>
  <c r="BX45" i="32"/>
  <c r="AL45" i="32" s="1"/>
  <c r="BX46" i="32"/>
  <c r="AL46" i="32" s="1"/>
  <c r="BY44" i="32"/>
  <c r="CB42" i="32"/>
  <c r="BL42" i="32" s="1"/>
  <c r="BX42" i="32"/>
  <c r="AL42" i="32" s="1"/>
  <c r="CB36" i="32"/>
  <c r="BL36" i="32" s="1"/>
  <c r="CB31" i="32"/>
  <c r="BL31" i="32" s="1"/>
  <c r="BY37" i="32"/>
  <c r="CB35" i="32"/>
  <c r="BL35" i="32" s="1"/>
  <c r="BX31" i="32"/>
  <c r="AL31" i="32" s="1"/>
  <c r="BX32" i="32"/>
  <c r="AL32" i="32" s="1"/>
  <c r="BX37" i="32"/>
  <c r="AL37" i="32" s="1"/>
  <c r="CB37" i="32"/>
  <c r="BL37" i="32" s="1"/>
  <c r="CB32" i="32"/>
  <c r="BL32" i="32" s="1"/>
  <c r="BY36" i="32"/>
  <c r="AO35" i="32"/>
  <c r="BY35" i="32"/>
  <c r="BX36" i="32"/>
  <c r="AL36" i="32" s="1"/>
  <c r="CB33" i="32"/>
  <c r="BL33" i="32" s="1"/>
  <c r="BX34" i="32"/>
  <c r="AL34" i="32" s="1"/>
  <c r="CF42" i="32" l="1"/>
  <c r="CO166" i="8" s="1"/>
  <c r="CH42" i="32"/>
  <c r="DH166" i="8" s="1"/>
  <c r="CG42" i="32"/>
  <c r="DD166" i="8" s="1"/>
  <c r="BO20" i="4"/>
  <c r="BH22" i="4"/>
  <c r="BH23" i="4" s="1"/>
  <c r="BH24" i="4" s="1"/>
  <c r="AP19" i="4"/>
  <c r="BH25" i="4" l="1"/>
  <c r="BH26" i="4" s="1"/>
  <c r="BO21" i="4"/>
  <c r="DJ206" i="8"/>
  <c r="AS207" i="8"/>
  <c r="AS208" i="8"/>
  <c r="AK207" i="8"/>
  <c r="AK208" i="8"/>
  <c r="W207" i="8"/>
  <c r="W208" i="8"/>
  <c r="Q207" i="8"/>
  <c r="Q208" i="8"/>
  <c r="BW207" i="8"/>
  <c r="BW208" i="8"/>
  <c r="BW209" i="8"/>
  <c r="BW210" i="8"/>
  <c r="Q206" i="8"/>
  <c r="AS206" i="8"/>
  <c r="AK206" i="8"/>
  <c r="BA206" i="8"/>
  <c r="S221" i="8"/>
  <c r="S214" i="8"/>
  <c r="W206" i="8"/>
  <c r="BH27" i="4" l="1"/>
  <c r="BH28" i="4" s="1"/>
  <c r="BO22" i="4"/>
  <c r="BO23" i="4"/>
  <c r="BO24" i="4" s="1"/>
  <c r="CF77" i="8"/>
  <c r="BM77" i="8"/>
  <c r="K19" i="32"/>
  <c r="BO25" i="4" l="1"/>
  <c r="T77" i="8"/>
  <c r="BO26" i="4" l="1"/>
  <c r="CF31" i="32"/>
  <c r="CO153" i="8" s="1"/>
  <c r="CH31" i="32"/>
  <c r="DH153" i="8" s="1"/>
  <c r="CF32" i="32"/>
  <c r="CO154" i="8" s="1"/>
  <c r="CF33" i="32"/>
  <c r="CO155" i="8" s="1"/>
  <c r="CH33" i="32"/>
  <c r="DH155" i="8" s="1"/>
  <c r="CH35" i="32"/>
  <c r="DH157" i="8" s="1"/>
  <c r="CH34" i="32"/>
  <c r="DH156" i="8" s="1"/>
  <c r="DH77" i="8"/>
  <c r="CR77" i="8"/>
  <c r="BC77" i="8"/>
  <c r="AV77" i="8"/>
  <c r="CA20" i="32"/>
  <c r="CB20" i="32" s="1"/>
  <c r="BL20" i="32" s="1"/>
  <c r="CA21" i="32"/>
  <c r="CC21" i="32" s="1"/>
  <c r="BO21" i="32" s="1"/>
  <c r="CA22" i="32"/>
  <c r="CB22" i="32" s="1"/>
  <c r="BL22" i="32" s="1"/>
  <c r="CA23" i="32"/>
  <c r="CB23" i="32" s="1"/>
  <c r="BL23" i="32" s="1"/>
  <c r="CA24" i="32"/>
  <c r="CB24" i="32" s="1"/>
  <c r="BL24" i="32" s="1"/>
  <c r="CA25" i="32"/>
  <c r="CB25" i="32" s="1"/>
  <c r="BL25" i="32" s="1"/>
  <c r="CA26" i="32"/>
  <c r="CB26" i="32" s="1"/>
  <c r="BL26" i="32" s="1"/>
  <c r="CA27" i="32"/>
  <c r="CB27" i="32" s="1"/>
  <c r="BL27" i="32" s="1"/>
  <c r="CA19" i="32"/>
  <c r="CB19" i="32" s="1"/>
  <c r="BL19" i="32" s="1"/>
  <c r="BO27" i="4" l="1"/>
  <c r="BO28" i="4"/>
  <c r="BY27" i="4" s="1"/>
  <c r="CC19" i="32"/>
  <c r="BO19" i="32" s="1"/>
  <c r="CB21" i="32"/>
  <c r="BL21" i="32" s="1"/>
  <c r="CC24" i="32"/>
  <c r="BO24" i="32" s="1"/>
  <c r="CC27" i="32"/>
  <c r="BO27" i="32" s="1"/>
  <c r="CC25" i="32"/>
  <c r="BO25" i="32" s="1"/>
  <c r="CC22" i="32"/>
  <c r="BO22" i="32" s="1"/>
  <c r="CC26" i="32"/>
  <c r="BO26" i="32" s="1"/>
  <c r="CC23" i="32"/>
  <c r="BO23" i="32" s="1"/>
  <c r="CC20" i="32"/>
  <c r="BO20" i="32" s="1"/>
  <c r="BW20" i="32"/>
  <c r="AO20" i="32" s="1"/>
  <c r="CB78" i="8" s="1"/>
  <c r="BW21" i="32"/>
  <c r="BX21" i="32" s="1"/>
  <c r="AL21" i="32" s="1"/>
  <c r="BW22" i="32"/>
  <c r="BX22" i="32" s="1"/>
  <c r="AL22" i="32" s="1"/>
  <c r="BW23" i="32"/>
  <c r="AO23" i="32" s="1"/>
  <c r="CB81" i="8" s="1"/>
  <c r="BW24" i="32"/>
  <c r="BY24" i="32" s="1"/>
  <c r="BW25" i="32"/>
  <c r="AO25" i="32" s="1"/>
  <c r="CB83" i="8" s="1"/>
  <c r="BW26" i="32"/>
  <c r="AO26" i="32" s="1"/>
  <c r="CB84" i="8" s="1"/>
  <c r="BW27" i="32"/>
  <c r="AO27" i="32" s="1"/>
  <c r="CB85" i="8" s="1"/>
  <c r="BW19" i="32"/>
  <c r="BX19" i="32" s="1"/>
  <c r="AL19" i="32" s="1"/>
  <c r="CA22" i="4" l="1"/>
  <c r="BZ156" i="8" s="1"/>
  <c r="CB20" i="4"/>
  <c r="CG154" i="8" s="1"/>
  <c r="CB24" i="4"/>
  <c r="CG158" i="8" s="1"/>
  <c r="BY19" i="4"/>
  <c r="BX23" i="4"/>
  <c r="I157" i="8" s="1"/>
  <c r="BW22" i="4"/>
  <c r="D156" i="8" s="1"/>
  <c r="CB25" i="4"/>
  <c r="CG159" i="8" s="1"/>
  <c r="BW24" i="4"/>
  <c r="D158" i="8" s="1"/>
  <c r="CB19" i="4"/>
  <c r="CG153" i="8" s="1"/>
  <c r="BZ23" i="4"/>
  <c r="BQ157" i="8" s="1"/>
  <c r="CA24" i="4"/>
  <c r="BZ158" i="8" s="1"/>
  <c r="BY23" i="4"/>
  <c r="BX20" i="4"/>
  <c r="I154" i="8" s="1"/>
  <c r="BZ24" i="4"/>
  <c r="BQ158" i="8" s="1"/>
  <c r="BZ19" i="4"/>
  <c r="BQ153" i="8" s="1"/>
  <c r="CB26" i="4"/>
  <c r="CG160" i="8" s="1"/>
  <c r="BY26" i="4"/>
  <c r="AC160" i="8" s="1"/>
  <c r="BW23" i="4"/>
  <c r="D157" i="8" s="1"/>
  <c r="CA19" i="4"/>
  <c r="BZ153" i="8" s="1"/>
  <c r="CA21" i="4"/>
  <c r="BZ155" i="8" s="1"/>
  <c r="BX21" i="4"/>
  <c r="I155" i="8" s="1"/>
  <c r="BZ25" i="4"/>
  <c r="BQ159" i="8" s="1"/>
  <c r="E31" i="32"/>
  <c r="CG31" i="32" s="1"/>
  <c r="DD153" i="8" s="1"/>
  <c r="AC153" i="8"/>
  <c r="BX24" i="4"/>
  <c r="I158" i="8" s="1"/>
  <c r="BW19" i="4"/>
  <c r="D153" i="8" s="1"/>
  <c r="BW26" i="4"/>
  <c r="D160" i="8" s="1"/>
  <c r="BY24" i="4"/>
  <c r="BW21" i="4"/>
  <c r="D155" i="8" s="1"/>
  <c r="CB23" i="4"/>
  <c r="CG157" i="8" s="1"/>
  <c r="CB22" i="4"/>
  <c r="CG156" i="8" s="1"/>
  <c r="CA25" i="4"/>
  <c r="BZ159" i="8" s="1"/>
  <c r="AC157" i="8"/>
  <c r="E35" i="32"/>
  <c r="CG35" i="32" s="1"/>
  <c r="DD157" i="8" s="1"/>
  <c r="CA20" i="4"/>
  <c r="BZ154" i="8" s="1"/>
  <c r="CA26" i="4"/>
  <c r="BZ160" i="8" s="1"/>
  <c r="CA23" i="4"/>
  <c r="BZ157" i="8" s="1"/>
  <c r="BW20" i="4"/>
  <c r="D154" i="8" s="1"/>
  <c r="BX19" i="4"/>
  <c r="I153" i="8" s="1"/>
  <c r="BZ22" i="4"/>
  <c r="BQ156" i="8" s="1"/>
  <c r="BY22" i="4"/>
  <c r="BZ21" i="4"/>
  <c r="BQ155" i="8" s="1"/>
  <c r="BY20" i="4"/>
  <c r="BW25" i="4"/>
  <c r="D159" i="8" s="1"/>
  <c r="BY25" i="4"/>
  <c r="BX22" i="4"/>
  <c r="I156" i="8" s="1"/>
  <c r="BZ26" i="4"/>
  <c r="BQ160" i="8" s="1"/>
  <c r="BZ20" i="4"/>
  <c r="BQ154" i="8" s="1"/>
  <c r="BX25" i="4"/>
  <c r="I159" i="8" s="1"/>
  <c r="BY21" i="4"/>
  <c r="CB21" i="4"/>
  <c r="CG155" i="8" s="1"/>
  <c r="CB27" i="4"/>
  <c r="CG161" i="8" s="1"/>
  <c r="BZ27" i="4"/>
  <c r="BQ161" i="8" s="1"/>
  <c r="E39" i="32"/>
  <c r="CG39" i="32" s="1"/>
  <c r="DD161" i="8" s="1"/>
  <c r="AC161" i="8"/>
  <c r="CA27" i="4"/>
  <c r="BZ161" i="8" s="1"/>
  <c r="BX26" i="4"/>
  <c r="I160" i="8" s="1"/>
  <c r="BX27" i="4"/>
  <c r="I161" i="8" s="1"/>
  <c r="BW27" i="4"/>
  <c r="D161" i="8" s="1"/>
  <c r="BY28" i="4"/>
  <c r="CB28" i="4"/>
  <c r="CG162" i="8" s="1"/>
  <c r="BX28" i="4"/>
  <c r="I162" i="8" s="1"/>
  <c r="BZ28" i="4"/>
  <c r="BQ162" i="8" s="1"/>
  <c r="CA28" i="4"/>
  <c r="BZ162" i="8" s="1"/>
  <c r="BW28" i="4"/>
  <c r="D162" i="8" s="1"/>
  <c r="BX25" i="32"/>
  <c r="AL25" i="32" s="1"/>
  <c r="BY25" i="32"/>
  <c r="BY26" i="32"/>
  <c r="BX27" i="32"/>
  <c r="AL27" i="32" s="1"/>
  <c r="BX26" i="32"/>
  <c r="AL26" i="32" s="1"/>
  <c r="BX20" i="32"/>
  <c r="AL20" i="32" s="1"/>
  <c r="BY27" i="32"/>
  <c r="BY20" i="32"/>
  <c r="AO24" i="32"/>
  <c r="CB82" i="8" s="1"/>
  <c r="BX24" i="32"/>
  <c r="AL24" i="32" s="1"/>
  <c r="BY19" i="32"/>
  <c r="AO19" i="32"/>
  <c r="CB77" i="8" s="1"/>
  <c r="BY21" i="32"/>
  <c r="BY22" i="32"/>
  <c r="BX23" i="32"/>
  <c r="AL23" i="32" s="1"/>
  <c r="BY23" i="32"/>
  <c r="AO22" i="32"/>
  <c r="CB80" i="8" s="1"/>
  <c r="AO21" i="32"/>
  <c r="CB79" i="8" s="1"/>
  <c r="E38" i="32" l="1"/>
  <c r="CG38" i="32" s="1"/>
  <c r="DD160" i="8" s="1"/>
  <c r="E32" i="32"/>
  <c r="CG32" i="32" s="1"/>
  <c r="DD154" i="8" s="1"/>
  <c r="AC154" i="8"/>
  <c r="AC156" i="8"/>
  <c r="E34" i="32"/>
  <c r="CG34" i="32" s="1"/>
  <c r="DD156" i="8" s="1"/>
  <c r="E37" i="32"/>
  <c r="CG37" i="32" s="1"/>
  <c r="DD159" i="8" s="1"/>
  <c r="AC159" i="8"/>
  <c r="AC158" i="8"/>
  <c r="E36" i="32"/>
  <c r="CG36" i="32" s="1"/>
  <c r="DD158" i="8" s="1"/>
  <c r="E33" i="32"/>
  <c r="CG33" i="32" s="1"/>
  <c r="DD155" i="8" s="1"/>
  <c r="AC155" i="8"/>
  <c r="AC162" i="8"/>
  <c r="E40" i="32"/>
  <c r="CG40" i="32" s="1"/>
  <c r="DD162" i="8" s="1"/>
  <c r="D47" i="8"/>
  <c r="V47" i="8"/>
  <c r="V45" i="8"/>
  <c r="D45" i="8"/>
  <c r="BM7" i="8" l="1"/>
  <c r="DD99" i="8"/>
  <c r="DD97" i="8"/>
  <c r="DD94" i="8"/>
  <c r="DD91" i="8"/>
  <c r="BQ91" i="8"/>
  <c r="BQ94" i="8"/>
  <c r="BQ97" i="8"/>
  <c r="AD94" i="8"/>
  <c r="AD91" i="8"/>
  <c r="DD89" i="8"/>
  <c r="BQ89" i="8"/>
  <c r="AD89" i="8"/>
  <c r="AI2" i="32"/>
  <c r="DW9" i="1" l="1"/>
  <c r="J4" i="10"/>
  <c r="J3" i="10"/>
  <c r="J2" i="10"/>
  <c r="BU8" i="1"/>
  <c r="BM9" i="8" l="1"/>
  <c r="AD97" i="8" l="1"/>
  <c r="D51" i="8"/>
  <c r="D58" i="1"/>
  <c r="D61" i="1"/>
  <c r="D56" i="1"/>
  <c r="D59" i="1"/>
  <c r="R61" i="1"/>
  <c r="AU49" i="1"/>
  <c r="D54" i="1"/>
  <c r="D60" i="1"/>
  <c r="D51" i="1"/>
  <c r="D57" i="1"/>
  <c r="CH61" i="8" l="1"/>
  <c r="CH59" i="8"/>
  <c r="CH57" i="8"/>
  <c r="CH55" i="8"/>
  <c r="CH53" i="8"/>
  <c r="CH51" i="8"/>
  <c r="CH49" i="8"/>
  <c r="CH47" i="8"/>
  <c r="AV61" i="8"/>
  <c r="AV57" i="8"/>
  <c r="AV55" i="8"/>
  <c r="AV53" i="8"/>
  <c r="AV51" i="8"/>
  <c r="AV49" i="8"/>
  <c r="AV47" i="8"/>
  <c r="DJ230" i="8"/>
  <c r="DJ65" i="8" l="1"/>
  <c r="BY65" i="8"/>
  <c r="DJ200" i="8"/>
  <c r="AM57" i="4" l="1"/>
  <c r="D14" i="8" l="1"/>
  <c r="AI4" i="8"/>
  <c r="J4" i="8"/>
  <c r="C9" i="8"/>
  <c r="BK23" i="8"/>
  <c r="AU91" i="8"/>
  <c r="CR75" i="8"/>
  <c r="D50" i="8"/>
  <c r="D22" i="8"/>
  <c r="D60" i="8"/>
  <c r="DC75" i="8"/>
  <c r="AU87" i="8"/>
  <c r="AU97" i="8"/>
  <c r="W23" i="8"/>
  <c r="AU94" i="8"/>
  <c r="R2" i="8"/>
  <c r="D56" i="8"/>
  <c r="CD23" i="8"/>
  <c r="D23" i="8"/>
  <c r="BL22" i="8"/>
  <c r="D59" i="8"/>
  <c r="H97" i="8"/>
  <c r="CH94" i="8"/>
  <c r="D58" i="8"/>
  <c r="D55" i="8"/>
  <c r="H87" i="8"/>
  <c r="AU89" i="8"/>
  <c r="CH89" i="8"/>
  <c r="CH99" i="8"/>
  <c r="D53" i="8"/>
  <c r="R60" i="8"/>
  <c r="D26" i="8"/>
  <c r="D57" i="8"/>
  <c r="H89" i="8"/>
  <c r="CH91" i="8"/>
  <c r="CH87" i="8"/>
  <c r="H91" i="8"/>
  <c r="H94" i="8"/>
  <c r="D87" i="8"/>
  <c r="CH97" i="8"/>
  <c r="DH75" i="8"/>
  <c r="AT19" i="4" l="1"/>
  <c r="AS19" i="4"/>
  <c r="AR19" i="4"/>
  <c r="AQ19" i="4"/>
  <c r="P2" i="32"/>
  <c r="AR106" i="1" l="1"/>
  <c r="L106" i="1"/>
  <c r="AV59" i="8"/>
  <c r="CG57" i="1"/>
  <c r="CG51" i="1"/>
  <c r="B33" i="1"/>
  <c r="AR47" i="1"/>
  <c r="AU53" i="1"/>
  <c r="T3" i="4"/>
  <c r="AR55" i="1"/>
  <c r="AD2" i="2"/>
  <c r="AU59" i="1"/>
  <c r="AU46" i="1"/>
  <c r="AU57" i="1"/>
  <c r="AR51" i="1"/>
  <c r="AU51" i="1"/>
  <c r="AR59" i="1"/>
  <c r="T2" i="7"/>
  <c r="G83" i="7"/>
  <c r="AF8" i="1"/>
  <c r="M2" i="6"/>
  <c r="CG46" i="1"/>
  <c r="AM16" i="1"/>
  <c r="CG49" i="1"/>
  <c r="N12" i="10"/>
  <c r="W12" i="9"/>
  <c r="D36" i="1"/>
  <c r="B18" i="1"/>
  <c r="CG59" i="1"/>
  <c r="AU55" i="1"/>
  <c r="N11" i="10"/>
  <c r="D21" i="1"/>
  <c r="AU47" i="1"/>
  <c r="CG55" i="1"/>
  <c r="BL36" i="1"/>
  <c r="CG53" i="1"/>
  <c r="T21" i="1"/>
  <c r="CG47" i="1"/>
  <c r="AU61" i="1"/>
  <c r="CG61" i="1"/>
  <c r="B20" i="33" l="1"/>
  <c r="BA77" i="9"/>
  <c r="BA78" i="9"/>
  <c r="BA79" i="9"/>
  <c r="BA80" i="9"/>
  <c r="BA76" i="9"/>
  <c r="BA72" i="9"/>
  <c r="BA75" i="9"/>
  <c r="BA73" i="9"/>
  <c r="BA74" i="9"/>
  <c r="BA71" i="9"/>
  <c r="BA67" i="9"/>
  <c r="BA68" i="9"/>
  <c r="BA69" i="9"/>
  <c r="BA70" i="9"/>
  <c r="BA66" i="9"/>
  <c r="BA62" i="9"/>
  <c r="BA63" i="9"/>
  <c r="BA64" i="9"/>
  <c r="BA65" i="9"/>
  <c r="BA61" i="9"/>
  <c r="BA57" i="9"/>
  <c r="BA58" i="9"/>
  <c r="BA59" i="9"/>
  <c r="BA60" i="9"/>
  <c r="BA56" i="9"/>
  <c r="BA52" i="9"/>
  <c r="BA53" i="9"/>
  <c r="BA54" i="9"/>
  <c r="BA55" i="9"/>
  <c r="BA51" i="9"/>
  <c r="AZ51" i="9" s="1"/>
  <c r="AT77" i="9"/>
  <c r="AT78" i="9"/>
  <c r="AT79" i="9"/>
  <c r="AT80" i="9"/>
  <c r="AT76" i="9"/>
  <c r="AT72" i="9"/>
  <c r="AT73" i="9"/>
  <c r="AT74" i="9"/>
  <c r="AT75" i="9"/>
  <c r="AT71" i="9"/>
  <c r="AT67" i="9"/>
  <c r="AT68" i="9"/>
  <c r="AT69" i="9"/>
  <c r="AT70" i="9"/>
  <c r="AT66" i="9"/>
  <c r="AT62" i="9"/>
  <c r="AT63" i="9"/>
  <c r="AT64" i="9"/>
  <c r="AT65" i="9"/>
  <c r="AT61" i="9"/>
  <c r="AT57" i="9"/>
  <c r="AT58" i="9"/>
  <c r="AT59" i="9"/>
  <c r="AT60" i="9"/>
  <c r="AT56" i="9"/>
  <c r="AT52" i="9"/>
  <c r="AT53" i="9"/>
  <c r="AT54" i="9"/>
  <c r="AT55" i="9"/>
  <c r="AT51" i="9"/>
  <c r="AS51" i="9" s="1"/>
  <c r="BA45" i="9"/>
  <c r="BA46" i="9"/>
  <c r="BA47" i="9"/>
  <c r="BA48" i="9"/>
  <c r="BA44" i="9"/>
  <c r="BA40" i="9"/>
  <c r="BA41" i="9"/>
  <c r="BA42" i="9"/>
  <c r="BA43" i="9"/>
  <c r="BA39" i="9"/>
  <c r="BA35" i="9"/>
  <c r="BA36" i="9"/>
  <c r="BA37" i="9"/>
  <c r="BA38" i="9"/>
  <c r="BA34" i="9"/>
  <c r="BA30" i="9"/>
  <c r="BA32" i="9"/>
  <c r="BA31" i="9"/>
  <c r="BA33" i="9"/>
  <c r="BA29" i="9"/>
  <c r="BA25" i="9"/>
  <c r="BA26" i="9"/>
  <c r="BA28" i="9"/>
  <c r="BA27" i="9"/>
  <c r="BA24" i="9"/>
  <c r="BA20" i="9"/>
  <c r="BA21" i="9"/>
  <c r="BA23" i="9"/>
  <c r="BA22" i="9"/>
  <c r="BA19" i="9"/>
  <c r="AZ19" i="9" s="1"/>
  <c r="AT20" i="9"/>
  <c r="AT21" i="9"/>
  <c r="AT22" i="9"/>
  <c r="AT23" i="9"/>
  <c r="AT45" i="9"/>
  <c r="AT46" i="9"/>
  <c r="AT47" i="9"/>
  <c r="AT48" i="9"/>
  <c r="AT44" i="9"/>
  <c r="AT40" i="9"/>
  <c r="AT41" i="9"/>
  <c r="AT42" i="9"/>
  <c r="AT43" i="9"/>
  <c r="AT39" i="9"/>
  <c r="AT35" i="9"/>
  <c r="AT36" i="9"/>
  <c r="AT37" i="9"/>
  <c r="AT38" i="9"/>
  <c r="AT34" i="9"/>
  <c r="AT30" i="9"/>
  <c r="AT31" i="9"/>
  <c r="AT32" i="9"/>
  <c r="AT33" i="9"/>
  <c r="AT25" i="9"/>
  <c r="AT26" i="9"/>
  <c r="AT27" i="9"/>
  <c r="AT28" i="9"/>
  <c r="AT24" i="9"/>
  <c r="AT29" i="9"/>
  <c r="AT19" i="9"/>
  <c r="BF230" i="8"/>
  <c r="D236" i="8"/>
  <c r="D237" i="8"/>
  <c r="D146" i="8"/>
  <c r="D17" i="32"/>
  <c r="CF113" i="8"/>
  <c r="BS113" i="8"/>
  <c r="BF113" i="8"/>
  <c r="AS113" i="8"/>
  <c r="AH113" i="8"/>
  <c r="DB205" i="8"/>
  <c r="CT205" i="8"/>
  <c r="CE205" i="8"/>
  <c r="BK205" i="8"/>
  <c r="BK206" i="8"/>
  <c r="BY205" i="8"/>
  <c r="BK210" i="8"/>
  <c r="BK209" i="8"/>
  <c r="BK208" i="8"/>
  <c r="BK207" i="8"/>
  <c r="DJ205" i="8"/>
  <c r="Q205" i="8"/>
  <c r="AS205" i="8"/>
  <c r="AK205" i="8"/>
  <c r="D25" i="32"/>
  <c r="D22" i="32"/>
  <c r="D19" i="32"/>
  <c r="CB106" i="1"/>
  <c r="AV56" i="8"/>
  <c r="CH56" i="8"/>
  <c r="AV237" i="8"/>
  <c r="AV236" i="8"/>
  <c r="AV235" i="8"/>
  <c r="AV234" i="8"/>
  <c r="BW233" i="8"/>
  <c r="AV233" i="8"/>
  <c r="Y233" i="8"/>
  <c r="D233" i="8"/>
  <c r="DI230" i="8"/>
  <c r="D210" i="8"/>
  <c r="D209" i="8"/>
  <c r="D208" i="8"/>
  <c r="D207" i="8"/>
  <c r="D206" i="8"/>
  <c r="BA205" i="8"/>
  <c r="W205" i="8"/>
  <c r="D205" i="8"/>
  <c r="D202" i="8"/>
  <c r="DI200" i="8"/>
  <c r="BR200" i="8"/>
  <c r="D137" i="8"/>
  <c r="B110" i="8"/>
  <c r="D103" i="8"/>
  <c r="CH101" i="8"/>
  <c r="AX101" i="8"/>
  <c r="R101" i="8"/>
  <c r="BL72" i="8"/>
  <c r="D70" i="8"/>
  <c r="AR68" i="8"/>
  <c r="D68" i="8"/>
  <c r="DI65" i="8"/>
  <c r="BR65" i="8"/>
  <c r="B64" i="8"/>
  <c r="CH60" i="8"/>
  <c r="CH58" i="8"/>
  <c r="CH54" i="8"/>
  <c r="CH52" i="8"/>
  <c r="CH50" i="8"/>
  <c r="CH48" i="8"/>
  <c r="CH46" i="8"/>
  <c r="AV60" i="8"/>
  <c r="AV58" i="8"/>
  <c r="AV54" i="8"/>
  <c r="AV52" i="8"/>
  <c r="AV50" i="8"/>
  <c r="AV48" i="8"/>
  <c r="AV46" i="8"/>
  <c r="AS58" i="8"/>
  <c r="AS54" i="8"/>
  <c r="AS50" i="8"/>
  <c r="AS46" i="8"/>
  <c r="CH45" i="8"/>
  <c r="AV45" i="8"/>
  <c r="BL38" i="8"/>
  <c r="D38" i="8"/>
  <c r="B35" i="8"/>
  <c r="B20" i="8"/>
  <c r="CC17" i="8"/>
  <c r="AM17" i="8"/>
  <c r="AF9" i="8"/>
  <c r="C8" i="1"/>
  <c r="R2" i="1"/>
  <c r="C4" i="1"/>
  <c r="AF7" i="1"/>
  <c r="N5" i="10"/>
  <c r="D16" i="1"/>
  <c r="H33" i="4"/>
  <c r="CY2" i="1"/>
  <c r="AA4" i="1"/>
  <c r="AZ4" i="1"/>
  <c r="N6" i="10"/>
  <c r="C7" i="1"/>
  <c r="L36" i="4"/>
  <c r="B11" i="1"/>
  <c r="BN2" i="1"/>
  <c r="DX8" i="33" l="1"/>
  <c r="DX7" i="33"/>
  <c r="DW7" i="33" s="1"/>
  <c r="B11" i="33"/>
  <c r="AZ52" i="9"/>
  <c r="AZ20" i="9"/>
  <c r="AS52" i="9"/>
  <c r="AS53" i="9" s="1"/>
  <c r="AS19" i="9"/>
  <c r="AS20" i="9" s="1"/>
  <c r="D17" i="8"/>
  <c r="B11" i="8"/>
  <c r="AF7" i="8"/>
  <c r="C7" i="8"/>
  <c r="AZ4" i="8"/>
  <c r="AA4" i="8"/>
  <c r="C4" i="8"/>
  <c r="DW8" i="33" l="1"/>
  <c r="DW9" i="33" s="1"/>
  <c r="AZ21" i="9"/>
  <c r="AS54" i="9"/>
  <c r="AZ53" i="9"/>
  <c r="AS21" i="9"/>
  <c r="AS22" i="9" s="1"/>
  <c r="DW8" i="1"/>
  <c r="DV8" i="1" s="1"/>
  <c r="DW7" i="1"/>
  <c r="DV7" i="1" s="1"/>
  <c r="AS55" i="9" l="1"/>
  <c r="AS56" i="9" s="1"/>
  <c r="AS23" i="9"/>
  <c r="AS24" i="9" s="1"/>
  <c r="AZ22" i="9"/>
  <c r="AZ54" i="9"/>
  <c r="AZ55" i="9" s="1"/>
  <c r="AZ56" i="9" l="1"/>
  <c r="AZ57" i="9" s="1"/>
  <c r="AZ58" i="9" s="1"/>
  <c r="AS57" i="9"/>
  <c r="AZ23" i="9"/>
  <c r="AS25" i="9"/>
  <c r="DV9" i="1"/>
  <c r="DX7" i="1" l="1"/>
  <c r="AM14" i="1" s="1"/>
  <c r="AZ59" i="9"/>
  <c r="AZ24" i="9"/>
  <c r="AZ60" i="9"/>
  <c r="AS58" i="9"/>
  <c r="AS26" i="9"/>
  <c r="Y12" i="9"/>
  <c r="AZ25" i="9" l="1"/>
  <c r="AS27" i="9"/>
  <c r="AS28" i="9" s="1"/>
  <c r="AS59" i="9"/>
  <c r="AS60" i="9" s="1"/>
  <c r="AZ61" i="9"/>
  <c r="AZ26" i="9"/>
  <c r="AZ62" i="9" l="1"/>
  <c r="AZ63" i="9" s="1"/>
  <c r="AS61" i="9"/>
  <c r="AS29" i="9"/>
  <c r="AZ27" i="9"/>
  <c r="AZ28" i="9" s="1"/>
  <c r="AZ29" i="9" s="1"/>
  <c r="AZ30" i="9" s="1"/>
  <c r="N14" i="8"/>
  <c r="AZ64" i="9" l="1"/>
  <c r="AZ65" i="9" s="1"/>
  <c r="AZ66" i="9" s="1"/>
  <c r="AZ31" i="9"/>
  <c r="AS62" i="9"/>
  <c r="AZ32" i="9"/>
  <c r="AS30" i="9"/>
  <c r="AM14" i="8"/>
  <c r="CK9" i="8"/>
  <c r="AS31" i="9" l="1"/>
  <c r="AZ33" i="9"/>
  <c r="AS63" i="9"/>
  <c r="AZ67" i="9"/>
  <c r="BC14" i="8"/>
  <c r="N17" i="8"/>
  <c r="BC17" i="8"/>
  <c r="BJ4" i="8"/>
  <c r="DD14" i="8"/>
  <c r="AZ34" i="9" l="1"/>
  <c r="AS64" i="9"/>
  <c r="AS32" i="9"/>
  <c r="AZ68" i="9"/>
  <c r="CZ200" i="8"/>
  <c r="Y237" i="8"/>
  <c r="Y236" i="8"/>
  <c r="Y235" i="8"/>
  <c r="Y234" i="8"/>
  <c r="BW237" i="8"/>
  <c r="BW236" i="8"/>
  <c r="BW235" i="8"/>
  <c r="BW234" i="8"/>
  <c r="BJ237" i="8"/>
  <c r="BJ236" i="8"/>
  <c r="BJ235" i="8"/>
  <c r="BJ234" i="8"/>
  <c r="AZ69" i="9" l="1"/>
  <c r="AZ35" i="9"/>
  <c r="AS33" i="9"/>
  <c r="AS65" i="9"/>
  <c r="DD17" i="8"/>
  <c r="AR9" i="8"/>
  <c r="N9" i="8"/>
  <c r="AR7" i="8"/>
  <c r="N7" i="8"/>
  <c r="AZ70" i="9" l="1"/>
  <c r="AZ36" i="9"/>
  <c r="AS66" i="9"/>
  <c r="AS34" i="9"/>
  <c r="BB77" i="1"/>
  <c r="BB72" i="8" s="1"/>
  <c r="AZ37" i="9" l="1"/>
  <c r="AZ71" i="9"/>
  <c r="AS35" i="9"/>
  <c r="AS67" i="9"/>
  <c r="AJ2" i="2"/>
  <c r="C7" i="7"/>
  <c r="AS36" i="9" l="1"/>
  <c r="AZ38" i="9"/>
  <c r="AZ72" i="9"/>
  <c r="AZ73" i="9" s="1"/>
  <c r="AZ74" i="9" s="1"/>
  <c r="AZ75" i="9" s="1"/>
  <c r="AZ76" i="9" s="1"/>
  <c r="AZ77" i="9" s="1"/>
  <c r="AZ78" i="9" s="1"/>
  <c r="AZ79" i="9" s="1"/>
  <c r="AZ80" i="9" s="1"/>
  <c r="BD64" i="9" s="1"/>
  <c r="BE64" i="9" s="1"/>
  <c r="X61" i="9" s="1"/>
  <c r="AS68" i="9"/>
  <c r="AS69" i="9" s="1"/>
  <c r="AS70" i="9" s="1"/>
  <c r="AS71" i="9" s="1"/>
  <c r="AS72" i="9" s="1"/>
  <c r="AS73" i="9" s="1"/>
  <c r="AS74" i="9" s="1"/>
  <c r="AS75" i="9" s="1"/>
  <c r="AS76" i="9" s="1"/>
  <c r="AS77" i="9" s="1"/>
  <c r="P2" i="6"/>
  <c r="M1" i="4"/>
  <c r="C46" i="7"/>
  <c r="BD63" i="9" l="1"/>
  <c r="BE63" i="9" s="1"/>
  <c r="X60" i="9" s="1"/>
  <c r="BD69" i="9"/>
  <c r="BE69" i="9" s="1"/>
  <c r="X66" i="9" s="1"/>
  <c r="BD75" i="9"/>
  <c r="BE75" i="9" s="1"/>
  <c r="BD65" i="9"/>
  <c r="BE65" i="9" s="1"/>
  <c r="X62" i="9" s="1"/>
  <c r="BD77" i="9"/>
  <c r="BE77" i="9" s="1"/>
  <c r="BD66" i="9"/>
  <c r="BE66" i="9" s="1"/>
  <c r="X63" i="9" s="1"/>
  <c r="BD72" i="9"/>
  <c r="BE72" i="9" s="1"/>
  <c r="BD59" i="9"/>
  <c r="BE59" i="9" s="1"/>
  <c r="X56" i="9" s="1"/>
  <c r="BD51" i="9"/>
  <c r="BE51" i="9" s="1"/>
  <c r="X48" i="9" s="1"/>
  <c r="BD71" i="9"/>
  <c r="BE71" i="9" s="1"/>
  <c r="BD61" i="9"/>
  <c r="BE61" i="9" s="1"/>
  <c r="X58" i="9" s="1"/>
  <c r="BD70" i="9"/>
  <c r="BE70" i="9" s="1"/>
  <c r="X67" i="9" s="1"/>
  <c r="BD74" i="9"/>
  <c r="BE74" i="9" s="1"/>
  <c r="BD76" i="9"/>
  <c r="BE76" i="9" s="1"/>
  <c r="BD58" i="9"/>
  <c r="BE58" i="9" s="1"/>
  <c r="X55" i="9" s="1"/>
  <c r="BD79" i="9"/>
  <c r="BE79" i="9" s="1"/>
  <c r="BD55" i="9"/>
  <c r="BE55" i="9" s="1"/>
  <c r="X52" i="9" s="1"/>
  <c r="BD60" i="9"/>
  <c r="BE60" i="9" s="1"/>
  <c r="X57" i="9" s="1"/>
  <c r="BD78" i="9"/>
  <c r="BE78" i="9" s="1"/>
  <c r="BD80" i="9"/>
  <c r="BE80" i="9" s="1"/>
  <c r="BD73" i="9"/>
  <c r="BE73" i="9" s="1"/>
  <c r="AZ39" i="9"/>
  <c r="AZ40" i="9" s="1"/>
  <c r="AS37" i="9"/>
  <c r="BD67" i="9"/>
  <c r="BE67" i="9" s="1"/>
  <c r="X64" i="9" s="1"/>
  <c r="BD54" i="9"/>
  <c r="BE54" i="9" s="1"/>
  <c r="X51" i="9" s="1"/>
  <c r="BD68" i="9"/>
  <c r="BE68" i="9" s="1"/>
  <c r="X65" i="9" s="1"/>
  <c r="BD56" i="9"/>
  <c r="BE56" i="9" s="1"/>
  <c r="X53" i="9" s="1"/>
  <c r="BD53" i="9"/>
  <c r="BE53" i="9" s="1"/>
  <c r="X50" i="9" s="1"/>
  <c r="BD52" i="9"/>
  <c r="BE52" i="9" s="1"/>
  <c r="X49" i="9" s="1"/>
  <c r="BD57" i="9"/>
  <c r="BE57" i="9" s="1"/>
  <c r="X54" i="9" s="1"/>
  <c r="BD62" i="9"/>
  <c r="BE62" i="9" s="1"/>
  <c r="X59" i="9" s="1"/>
  <c r="AS78" i="9"/>
  <c r="AS79" i="9" s="1"/>
  <c r="AS80" i="9" s="1"/>
  <c r="AR101" i="8"/>
  <c r="L101" i="8"/>
  <c r="CC14" i="1"/>
  <c r="AZ41" i="9" l="1"/>
  <c r="AZ42" i="9" s="1"/>
  <c r="AZ43" i="9" s="1"/>
  <c r="AZ44" i="9" s="1"/>
  <c r="AZ45" i="9" s="1"/>
  <c r="AZ46" i="9" s="1"/>
  <c r="AZ47" i="9" s="1"/>
  <c r="AZ48" i="9" s="1"/>
  <c r="BD27" i="9" s="1"/>
  <c r="BE27" i="9" s="1"/>
  <c r="BH41" i="9" s="1"/>
  <c r="AW65" i="9"/>
  <c r="AX65" i="9" s="1"/>
  <c r="F62" i="9" s="1"/>
  <c r="AW66" i="9"/>
  <c r="AX66" i="9" s="1"/>
  <c r="F63" i="9" s="1"/>
  <c r="AW64" i="9"/>
  <c r="AX64" i="9" s="1"/>
  <c r="F61" i="9" s="1"/>
  <c r="AW62" i="9"/>
  <c r="AX62" i="9" s="1"/>
  <c r="F59" i="9" s="1"/>
  <c r="AW52" i="9"/>
  <c r="AX52" i="9" s="1"/>
  <c r="F49" i="9" s="1"/>
  <c r="AW55" i="9"/>
  <c r="AX55" i="9" s="1"/>
  <c r="F52" i="9" s="1"/>
  <c r="AW61" i="9"/>
  <c r="AX61" i="9" s="1"/>
  <c r="F58" i="9" s="1"/>
  <c r="AW51" i="9"/>
  <c r="AX51" i="9" s="1"/>
  <c r="F48" i="9" s="1"/>
  <c r="AW56" i="9"/>
  <c r="AX56" i="9" s="1"/>
  <c r="F53" i="9" s="1"/>
  <c r="AW57" i="9"/>
  <c r="AX57" i="9" s="1"/>
  <c r="F54" i="9" s="1"/>
  <c r="AW60" i="9"/>
  <c r="AX60" i="9" s="1"/>
  <c r="F57" i="9" s="1"/>
  <c r="AW58" i="9"/>
  <c r="AX58" i="9" s="1"/>
  <c r="F55" i="9" s="1"/>
  <c r="AW53" i="9"/>
  <c r="AX53" i="9" s="1"/>
  <c r="F50" i="9" s="1"/>
  <c r="AW59" i="9"/>
  <c r="AX59" i="9" s="1"/>
  <c r="F56" i="9" s="1"/>
  <c r="AS38" i="9"/>
  <c r="AW54" i="9"/>
  <c r="AX54" i="9" s="1"/>
  <c r="F51" i="9" s="1"/>
  <c r="AW63" i="9"/>
  <c r="AX63" i="9" s="1"/>
  <c r="F60" i="9" s="1"/>
  <c r="AW72" i="9"/>
  <c r="AX72" i="9" s="1"/>
  <c r="AW74" i="9"/>
  <c r="AX74" i="9" s="1"/>
  <c r="AW71" i="9"/>
  <c r="AX71" i="9" s="1"/>
  <c r="AW69" i="9"/>
  <c r="AX69" i="9" s="1"/>
  <c r="F66" i="9" s="1"/>
  <c r="AW79" i="9"/>
  <c r="AX79" i="9" s="1"/>
  <c r="AW77" i="9"/>
  <c r="AX77" i="9" s="1"/>
  <c r="AW67" i="9"/>
  <c r="AX67" i="9" s="1"/>
  <c r="F64" i="9" s="1"/>
  <c r="AW68" i="9"/>
  <c r="AX68" i="9" s="1"/>
  <c r="F65" i="9" s="1"/>
  <c r="AW73" i="9"/>
  <c r="AX73" i="9" s="1"/>
  <c r="AW76" i="9"/>
  <c r="AX76" i="9" s="1"/>
  <c r="AW70" i="9"/>
  <c r="AX70" i="9" s="1"/>
  <c r="F67" i="9" s="1"/>
  <c r="AW78" i="9"/>
  <c r="AX78" i="9" s="1"/>
  <c r="AW75" i="9"/>
  <c r="AX75" i="9" s="1"/>
  <c r="AW80" i="9"/>
  <c r="AX80" i="9" s="1"/>
  <c r="CC14" i="8"/>
  <c r="CB101" i="8"/>
  <c r="BD25" i="9" l="1"/>
  <c r="BE25" i="9" s="1"/>
  <c r="BH39" i="9" s="1"/>
  <c r="BD31" i="9"/>
  <c r="BE31" i="9" s="1"/>
  <c r="BH45" i="9" s="1"/>
  <c r="BD30" i="9"/>
  <c r="BE30" i="9" s="1"/>
  <c r="BH44" i="9" s="1"/>
  <c r="BD24" i="9"/>
  <c r="BE24" i="9" s="1"/>
  <c r="BH38" i="9" s="1"/>
  <c r="BD23" i="9"/>
  <c r="BE23" i="9" s="1"/>
  <c r="BH37" i="9" s="1"/>
  <c r="BD26" i="9"/>
  <c r="BE26" i="9" s="1"/>
  <c r="BH40" i="9" s="1"/>
  <c r="BD47" i="9"/>
  <c r="BE47" i="9" s="1"/>
  <c r="BD36" i="9"/>
  <c r="BE36" i="9" s="1"/>
  <c r="BD20" i="9"/>
  <c r="BE20" i="9" s="1"/>
  <c r="BH34" i="9" s="1"/>
  <c r="BD41" i="9"/>
  <c r="BE41" i="9" s="1"/>
  <c r="BD46" i="9"/>
  <c r="BE46" i="9" s="1"/>
  <c r="BD32" i="9"/>
  <c r="BE32" i="9" s="1"/>
  <c r="BH46" i="9" s="1"/>
  <c r="BD22" i="9"/>
  <c r="BE22" i="9" s="1"/>
  <c r="BH36" i="9" s="1"/>
  <c r="BD38" i="9"/>
  <c r="BE38" i="9" s="1"/>
  <c r="BD34" i="9"/>
  <c r="BE34" i="9" s="1"/>
  <c r="BH48" i="9" s="1"/>
  <c r="BD44" i="9"/>
  <c r="BE44" i="9" s="1"/>
  <c r="BD45" i="9"/>
  <c r="BE45" i="9" s="1"/>
  <c r="BD35" i="9"/>
  <c r="BE35" i="9" s="1"/>
  <c r="BD29" i="9"/>
  <c r="BE29" i="9" s="1"/>
  <c r="BH43" i="9" s="1"/>
  <c r="BD19" i="9"/>
  <c r="BE19" i="9" s="1"/>
  <c r="BH33" i="9" s="1"/>
  <c r="BD39" i="9"/>
  <c r="BE39" i="9" s="1"/>
  <c r="BD42" i="9"/>
  <c r="BE42" i="9" s="1"/>
  <c r="BD40" i="9"/>
  <c r="BE40" i="9" s="1"/>
  <c r="BD33" i="9"/>
  <c r="BE33" i="9" s="1"/>
  <c r="BH47" i="9" s="1"/>
  <c r="BD37" i="9"/>
  <c r="BE37" i="9" s="1"/>
  <c r="BD21" i="9"/>
  <c r="BE21" i="9" s="1"/>
  <c r="BH35" i="9" s="1"/>
  <c r="BD28" i="9"/>
  <c r="BE28" i="9" s="1"/>
  <c r="BH42" i="9" s="1"/>
  <c r="BD48" i="9"/>
  <c r="BE48" i="9" s="1"/>
  <c r="BD43" i="9"/>
  <c r="BE43" i="9" s="1"/>
  <c r="AS39" i="9"/>
  <c r="R37" i="3"/>
  <c r="R33" i="3"/>
  <c r="AS40" i="9" l="1"/>
  <c r="AO19" i="4"/>
  <c r="AN19" i="4"/>
  <c r="AM19" i="4" s="1"/>
  <c r="AS41" i="9" l="1"/>
  <c r="AM20" i="4"/>
  <c r="AM21" i="4" l="1"/>
  <c r="AS42" i="9"/>
  <c r="AM23" i="4" l="1"/>
  <c r="BF25" i="4" s="1"/>
  <c r="DC121" i="8" s="1"/>
  <c r="BB24" i="4"/>
  <c r="BF120" i="8" s="1"/>
  <c r="AZ23" i="4"/>
  <c r="AH119" i="8" s="1"/>
  <c r="BA23" i="4"/>
  <c r="AS119" i="8" s="1"/>
  <c r="BE28" i="4"/>
  <c r="CS124" i="8" s="1"/>
  <c r="BD25" i="4"/>
  <c r="CF121" i="8" s="1"/>
  <c r="AY26" i="4"/>
  <c r="M122" i="8" s="1"/>
  <c r="BB23" i="4"/>
  <c r="BF119" i="8" s="1"/>
  <c r="AZ26" i="4"/>
  <c r="AH122" i="8" s="1"/>
  <c r="AY28" i="4"/>
  <c r="M124" i="8" s="1"/>
  <c r="BF22" i="4"/>
  <c r="DC118" i="8" s="1"/>
  <c r="AZ27" i="4"/>
  <c r="AH123" i="8" s="1"/>
  <c r="BF26" i="4"/>
  <c r="DC122" i="8" s="1"/>
  <c r="AS43" i="9"/>
  <c r="BF27" i="4" l="1"/>
  <c r="DC123" i="8" s="1"/>
  <c r="BD24" i="4"/>
  <c r="CF120" i="8" s="1"/>
  <c r="BD22" i="4"/>
  <c r="CF118" i="8" s="1"/>
  <c r="BB26" i="4"/>
  <c r="BF122" i="8" s="1"/>
  <c r="AY27" i="4"/>
  <c r="M123" i="8" s="1"/>
  <c r="AX28" i="4"/>
  <c r="E124" i="8" s="1"/>
  <c r="BF24" i="4"/>
  <c r="DC120" i="8" s="1"/>
  <c r="BE21" i="4"/>
  <c r="CS117" i="8" s="1"/>
  <c r="BB27" i="4"/>
  <c r="BF123" i="8" s="1"/>
  <c r="BA27" i="4"/>
  <c r="AS123" i="8" s="1"/>
  <c r="BA25" i="4"/>
  <c r="AS121" i="8" s="1"/>
  <c r="BF23" i="4"/>
  <c r="DC119" i="8" s="1"/>
  <c r="BE24" i="4"/>
  <c r="CS120" i="8" s="1"/>
  <c r="AY21" i="4"/>
  <c r="M117" i="8" s="1"/>
  <c r="BC24" i="4"/>
  <c r="BS120" i="8" s="1"/>
  <c r="AS44" i="9"/>
  <c r="AS45" i="9" s="1"/>
  <c r="AS46" i="9" s="1"/>
  <c r="AS47" i="9" s="1"/>
  <c r="AS48" i="9" s="1"/>
  <c r="AW21" i="9" s="1"/>
  <c r="AX21" i="9" s="1"/>
  <c r="BH21" i="9" s="1"/>
  <c r="BD20" i="4"/>
  <c r="CF116" i="8" s="1"/>
  <c r="BC20" i="4"/>
  <c r="BS116" i="8" s="1"/>
  <c r="BA21" i="4"/>
  <c r="AS117" i="8" s="1"/>
  <c r="AY20" i="4"/>
  <c r="M116" i="8" s="1"/>
  <c r="BD19" i="4"/>
  <c r="BB20" i="4"/>
  <c r="BF116" i="8" s="1"/>
  <c r="BE20" i="4"/>
  <c r="CS116" i="8" s="1"/>
  <c r="BC19" i="4"/>
  <c r="AX19" i="4"/>
  <c r="E115" i="8" s="1"/>
  <c r="AZ20" i="4"/>
  <c r="AH116" i="8" s="1"/>
  <c r="BA28" i="4"/>
  <c r="AS124" i="8" s="1"/>
  <c r="AY22" i="4"/>
  <c r="M118" i="8" s="1"/>
  <c r="AX25" i="4"/>
  <c r="E121" i="8" s="1"/>
  <c r="BB25" i="4"/>
  <c r="BF121" i="8" s="1"/>
  <c r="BE22" i="4"/>
  <c r="CS118" i="8" s="1"/>
  <c r="BA24" i="4"/>
  <c r="AS120" i="8" s="1"/>
  <c r="AZ19" i="4"/>
  <c r="AH115" i="8" s="1"/>
  <c r="BA22" i="4"/>
  <c r="AS118" i="8" s="1"/>
  <c r="BE25" i="4"/>
  <c r="CS121" i="8" s="1"/>
  <c r="BB21" i="4"/>
  <c r="BF117" i="8" s="1"/>
  <c r="AX24" i="4"/>
  <c r="E120" i="8" s="1"/>
  <c r="BF19" i="4"/>
  <c r="DC115" i="8" s="1"/>
  <c r="BC26" i="4"/>
  <c r="BS122" i="8" s="1"/>
  <c r="BE27" i="4"/>
  <c r="CS123" i="8" s="1"/>
  <c r="BB19" i="4"/>
  <c r="BF115" i="8" s="1"/>
  <c r="BF20" i="4"/>
  <c r="DC116" i="8" s="1"/>
  <c r="AY19" i="4"/>
  <c r="M115" i="8" s="1"/>
  <c r="BC22" i="4"/>
  <c r="BS118" i="8" s="1"/>
  <c r="BF28" i="4"/>
  <c r="DC124" i="8" s="1"/>
  <c r="AZ25" i="4"/>
  <c r="AH121" i="8" s="1"/>
  <c r="AZ28" i="4"/>
  <c r="AH124" i="8" s="1"/>
  <c r="BA19" i="4"/>
  <c r="AS115" i="8" s="1"/>
  <c r="AX23" i="4"/>
  <c r="E119" i="8" s="1"/>
  <c r="BB22" i="4"/>
  <c r="BF118" i="8" s="1"/>
  <c r="BA20" i="4"/>
  <c r="AS116" i="8" s="1"/>
  <c r="BC27" i="4"/>
  <c r="BS123" i="8" s="1"/>
  <c r="AX20" i="4"/>
  <c r="E116" i="8" s="1"/>
  <c r="BE23" i="4"/>
  <c r="CS119" i="8" s="1"/>
  <c r="AY23" i="4"/>
  <c r="M119" i="8" s="1"/>
  <c r="AY24" i="4"/>
  <c r="M120" i="8" s="1"/>
  <c r="AZ21" i="4"/>
  <c r="AH117" i="8" s="1"/>
  <c r="BC25" i="4"/>
  <c r="BS121" i="8" s="1"/>
  <c r="BE19" i="4"/>
  <c r="CS115" i="8" s="1"/>
  <c r="BC28" i="4"/>
  <c r="BS124" i="8" s="1"/>
  <c r="BD23" i="4"/>
  <c r="CF119" i="8" s="1"/>
  <c r="BF21" i="4"/>
  <c r="DC117" i="8" s="1"/>
  <c r="BD27" i="4"/>
  <c r="CF123" i="8" s="1"/>
  <c r="AY25" i="4"/>
  <c r="M121" i="8" s="1"/>
  <c r="BA26" i="4"/>
  <c r="AS122" i="8" s="1"/>
  <c r="AZ22" i="4"/>
  <c r="AH118" i="8" s="1"/>
  <c r="BB28" i="4"/>
  <c r="BF124" i="8" s="1"/>
  <c r="AX21" i="4"/>
  <c r="E117" i="8" s="1"/>
  <c r="BD21" i="4"/>
  <c r="CF117" i="8" s="1"/>
  <c r="BC23" i="4"/>
  <c r="BS119" i="8" s="1"/>
  <c r="AX22" i="4"/>
  <c r="E118" i="8" s="1"/>
  <c r="AX26" i="4"/>
  <c r="E122" i="8" s="1"/>
  <c r="AX27" i="4"/>
  <c r="E123" i="8" s="1"/>
  <c r="BD26" i="4"/>
  <c r="CF122" i="8" s="1"/>
  <c r="BD28" i="4"/>
  <c r="CF124" i="8" s="1"/>
  <c r="BE26" i="4"/>
  <c r="CS122" i="8" s="1"/>
  <c r="AZ24" i="4"/>
  <c r="AH120" i="8" s="1"/>
  <c r="BC21" i="4"/>
  <c r="BS117" i="8" s="1"/>
  <c r="CH19" i="4"/>
  <c r="BS115" i="8"/>
  <c r="AW25" i="9" l="1"/>
  <c r="AX25" i="9" s="1"/>
  <c r="BH25" i="9" s="1"/>
  <c r="AW26" i="9"/>
  <c r="AX26" i="9" s="1"/>
  <c r="BH26" i="9" s="1"/>
  <c r="AW27" i="9"/>
  <c r="AX27" i="9" s="1"/>
  <c r="BH27" i="9" s="1"/>
  <c r="AW23" i="9"/>
  <c r="AX23" i="9" s="1"/>
  <c r="BH23" i="9" s="1"/>
  <c r="AW39" i="9"/>
  <c r="AX39" i="9" s="1"/>
  <c r="AW46" i="9"/>
  <c r="AX46" i="9" s="1"/>
  <c r="AW35" i="9"/>
  <c r="AX35" i="9" s="1"/>
  <c r="AW33" i="9"/>
  <c r="AX33" i="9" s="1"/>
  <c r="AW22" i="9"/>
  <c r="AX22" i="9" s="1"/>
  <c r="BH22" i="9" s="1"/>
  <c r="AW34" i="9"/>
  <c r="AX34" i="9" s="1"/>
  <c r="AW44" i="9"/>
  <c r="AX44" i="9" s="1"/>
  <c r="AW31" i="9"/>
  <c r="AX31" i="9" s="1"/>
  <c r="BH31" i="9" s="1"/>
  <c r="AW20" i="9"/>
  <c r="AX20" i="9" s="1"/>
  <c r="BH20" i="9" s="1"/>
  <c r="AW40" i="9"/>
  <c r="AX40" i="9" s="1"/>
  <c r="AW43" i="9"/>
  <c r="AX43" i="9" s="1"/>
  <c r="AW45" i="9"/>
  <c r="AX45" i="9" s="1"/>
  <c r="AW41" i="9"/>
  <c r="AX41" i="9" s="1"/>
  <c r="AW36" i="9"/>
  <c r="AX36" i="9" s="1"/>
  <c r="AW29" i="9"/>
  <c r="AX29" i="9" s="1"/>
  <c r="BH29" i="9" s="1"/>
  <c r="AW30" i="9"/>
  <c r="AX30" i="9" s="1"/>
  <c r="BH30" i="9" s="1"/>
  <c r="AW19" i="9"/>
  <c r="AX19" i="9" s="1"/>
  <c r="BH19" i="9" s="1"/>
  <c r="BG19" i="9" s="1"/>
  <c r="AW28" i="9"/>
  <c r="AX28" i="9" s="1"/>
  <c r="BH28" i="9" s="1"/>
  <c r="AW24" i="9"/>
  <c r="AX24" i="9" s="1"/>
  <c r="BH24" i="9" s="1"/>
  <c r="AW37" i="9"/>
  <c r="AX37" i="9" s="1"/>
  <c r="AW48" i="9"/>
  <c r="AX48" i="9" s="1"/>
  <c r="AW38" i="9"/>
  <c r="AX38" i="9" s="1"/>
  <c r="AW42" i="9"/>
  <c r="AX42" i="9" s="1"/>
  <c r="AW32" i="9"/>
  <c r="AX32" i="9" s="1"/>
  <c r="BH32" i="9" s="1"/>
  <c r="AW47" i="9"/>
  <c r="AX47" i="9" s="1"/>
  <c r="CH28" i="4"/>
  <c r="CH27" i="4"/>
  <c r="CH26" i="4"/>
  <c r="CH24" i="4"/>
  <c r="CH25" i="4"/>
  <c r="CH23" i="4"/>
  <c r="CF115" i="8"/>
  <c r="CH20" i="4"/>
  <c r="CH21" i="4"/>
  <c r="CH22" i="4"/>
  <c r="BG20" i="9" l="1"/>
  <c r="BG21" i="9" s="1"/>
  <c r="BG22" i="9" s="1"/>
  <c r="AX44" i="4"/>
  <c r="E126" i="8" s="1"/>
  <c r="AY44" i="4"/>
  <c r="M126" i="8" s="1"/>
  <c r="BB47" i="4"/>
  <c r="BF129" i="8" s="1"/>
  <c r="AX51" i="4"/>
  <c r="E133" i="8" s="1"/>
  <c r="BC53" i="4"/>
  <c r="BC48" i="4"/>
  <c r="BE46" i="4"/>
  <c r="CS128" i="8" s="1"/>
  <c r="BB51" i="4"/>
  <c r="BF133" i="8" s="1"/>
  <c r="BD50" i="4"/>
  <c r="BF44" i="4"/>
  <c r="DC126" i="8" s="1"/>
  <c r="BD48" i="4"/>
  <c r="BF45" i="4"/>
  <c r="DC127" i="8" s="1"/>
  <c r="AZ50" i="4"/>
  <c r="AH132" i="8" s="1"/>
  <c r="BF46" i="4"/>
  <c r="DC128" i="8" s="1"/>
  <c r="BC49" i="4"/>
  <c r="AY50" i="4"/>
  <c r="M132" i="8" s="1"/>
  <c r="BE48" i="4"/>
  <c r="CS130" i="8" s="1"/>
  <c r="BF52" i="4"/>
  <c r="DC134" i="8" s="1"/>
  <c r="AY46" i="4"/>
  <c r="M128" i="8" s="1"/>
  <c r="AZ45" i="4"/>
  <c r="AH127" i="8" s="1"/>
  <c r="BC52" i="4"/>
  <c r="AZ49" i="4"/>
  <c r="AH131" i="8" s="1"/>
  <c r="AY53" i="4"/>
  <c r="M135" i="8" s="1"/>
  <c r="AZ48" i="4"/>
  <c r="AH130" i="8" s="1"/>
  <c r="BD46" i="4"/>
  <c r="BE52" i="4"/>
  <c r="CS134" i="8" s="1"/>
  <c r="BC45" i="4"/>
  <c r="BD44" i="4"/>
  <c r="DB126" i="8" s="1"/>
  <c r="AZ46" i="4"/>
  <c r="AH128" i="8" s="1"/>
  <c r="BB46" i="4"/>
  <c r="BF128" i="8" s="1"/>
  <c r="BE53" i="4"/>
  <c r="CS135" i="8" s="1"/>
  <c r="BF51" i="4"/>
  <c r="DC133" i="8" s="1"/>
  <c r="AX47" i="4"/>
  <c r="E129" i="8" s="1"/>
  <c r="AY47" i="4"/>
  <c r="M129" i="8" s="1"/>
  <c r="AY45" i="4"/>
  <c r="M127" i="8" s="1"/>
  <c r="BE44" i="4"/>
  <c r="CS126" i="8" s="1"/>
  <c r="BE51" i="4"/>
  <c r="CS133" i="8" s="1"/>
  <c r="BF47" i="4"/>
  <c r="DC129" i="8" s="1"/>
  <c r="AZ47" i="4"/>
  <c r="AH129" i="8" s="1"/>
  <c r="BE50" i="4"/>
  <c r="CS132" i="8" s="1"/>
  <c r="BB44" i="4"/>
  <c r="BF126" i="8" s="1"/>
  <c r="AZ51" i="4"/>
  <c r="AH133" i="8" s="1"/>
  <c r="AZ44" i="4"/>
  <c r="AH126" i="8" s="1"/>
  <c r="BC47" i="4"/>
  <c r="AY51" i="4"/>
  <c r="M133" i="8" s="1"/>
  <c r="BD53" i="4"/>
  <c r="BC44" i="4"/>
  <c r="CK126" i="8" s="1"/>
  <c r="BD47" i="4"/>
  <c r="AX48" i="4"/>
  <c r="E130" i="8" s="1"/>
  <c r="BD51" i="4"/>
  <c r="BA53" i="4"/>
  <c r="AS135" i="8" s="1"/>
  <c r="AY49" i="4"/>
  <c r="M131" i="8" s="1"/>
  <c r="BD52" i="4"/>
  <c r="BC50" i="4"/>
  <c r="AX45" i="4"/>
  <c r="E127" i="8" s="1"/>
  <c r="AY48" i="4"/>
  <c r="M130" i="8" s="1"/>
  <c r="BE45" i="4"/>
  <c r="CS127" i="8" s="1"/>
  <c r="BC51" i="4"/>
  <c r="BF53" i="4"/>
  <c r="DC135" i="8" s="1"/>
  <c r="BD45" i="4"/>
  <c r="BA52" i="4"/>
  <c r="AS134" i="8" s="1"/>
  <c r="AX50" i="4"/>
  <c r="E132" i="8" s="1"/>
  <c r="BA44" i="4"/>
  <c r="AS126" i="8" s="1"/>
  <c r="BB52" i="4"/>
  <c r="BF134" i="8" s="1"/>
  <c r="BB53" i="4"/>
  <c r="BF135" i="8" s="1"/>
  <c r="AZ52" i="4"/>
  <c r="AH134" i="8" s="1"/>
  <c r="BD49" i="4"/>
  <c r="BA45" i="4"/>
  <c r="AS127" i="8" s="1"/>
  <c r="BC46" i="4"/>
  <c r="AX49" i="4"/>
  <c r="E131" i="8" s="1"/>
  <c r="BF48" i="4"/>
  <c r="DC130" i="8" s="1"/>
  <c r="BA51" i="4"/>
  <c r="AS133" i="8" s="1"/>
  <c r="AX46" i="4"/>
  <c r="E128" i="8" s="1"/>
  <c r="BA50" i="4"/>
  <c r="AS132" i="8" s="1"/>
  <c r="BE49" i="4"/>
  <c r="CS131" i="8" s="1"/>
  <c r="BF50" i="4"/>
  <c r="DC132" i="8" s="1"/>
  <c r="BE47" i="4"/>
  <c r="CS129" i="8" s="1"/>
  <c r="BA46" i="4"/>
  <c r="AS128" i="8" s="1"/>
  <c r="AX53" i="4"/>
  <c r="E135" i="8" s="1"/>
  <c r="BF49" i="4"/>
  <c r="DC131" i="8" s="1"/>
  <c r="AZ53" i="4"/>
  <c r="AH135" i="8" s="1"/>
  <c r="AX52" i="4"/>
  <c r="E134" i="8" s="1"/>
  <c r="BB50" i="4"/>
  <c r="BF132" i="8" s="1"/>
  <c r="BA48" i="4"/>
  <c r="AS130" i="8" s="1"/>
  <c r="BA47" i="4"/>
  <c r="AS129" i="8" s="1"/>
  <c r="BA49" i="4"/>
  <c r="AS131" i="8" s="1"/>
  <c r="BB48" i="4"/>
  <c r="BF130" i="8" s="1"/>
  <c r="BB49" i="4"/>
  <c r="BF131" i="8" s="1"/>
  <c r="BB45" i="4"/>
  <c r="BF127" i="8" s="1"/>
  <c r="AY52" i="4"/>
  <c r="M134" i="8" s="1"/>
  <c r="DB128" i="8" l="1"/>
  <c r="CF128" i="8"/>
  <c r="DB130" i="8"/>
  <c r="CF130" i="8"/>
  <c r="CF133" i="8"/>
  <c r="DB133" i="8"/>
  <c r="BS131" i="8"/>
  <c r="CK131" i="8"/>
  <c r="CF132" i="8"/>
  <c r="DB132" i="8"/>
  <c r="BS134" i="8"/>
  <c r="CK134" i="8"/>
  <c r="DB129" i="8"/>
  <c r="CF129" i="8"/>
  <c r="CF131" i="8"/>
  <c r="DB131" i="8"/>
  <c r="DB127" i="8"/>
  <c r="CF127" i="8"/>
  <c r="DB135" i="8"/>
  <c r="CF135" i="8"/>
  <c r="CK130" i="8"/>
  <c r="BS130" i="8"/>
  <c r="CK135" i="8"/>
  <c r="BS135" i="8"/>
  <c r="BS129" i="8"/>
  <c r="CK129" i="8"/>
  <c r="BS127" i="8"/>
  <c r="CK127" i="8"/>
  <c r="CK128" i="8"/>
  <c r="BS128" i="8"/>
  <c r="CK133" i="8"/>
  <c r="BS133" i="8"/>
  <c r="CK132" i="8"/>
  <c r="BS132" i="8"/>
  <c r="CF134" i="8"/>
  <c r="DB134" i="8"/>
  <c r="BG23" i="9"/>
  <c r="CF126" i="8"/>
  <c r="BS126" i="8"/>
  <c r="BG24" i="9" l="1"/>
  <c r="BG25" i="9" s="1"/>
  <c r="BG26" i="9" s="1"/>
  <c r="BG27" i="9" s="1"/>
  <c r="BG28" i="9" l="1"/>
  <c r="BG29" i="9" l="1"/>
  <c r="BG30" i="9" s="1"/>
  <c r="BG31" i="9" s="1"/>
  <c r="BG32" i="9" s="1"/>
  <c r="BG33" i="9" s="1"/>
  <c r="BG34" i="9" s="1"/>
  <c r="BG35" i="9" s="1"/>
  <c r="BG36" i="9" s="1"/>
  <c r="BG37" i="9" s="1"/>
  <c r="BG38" i="9" s="1"/>
  <c r="BG39" i="9" s="1"/>
  <c r="BG40" i="9" s="1"/>
  <c r="BG41" i="9" s="1"/>
  <c r="BG42" i="9" s="1"/>
  <c r="BG43" i="9" s="1"/>
  <c r="BG44" i="9" s="1"/>
  <c r="BG45" i="9" s="1"/>
  <c r="BG46" i="9" s="1"/>
  <c r="BG47" i="9" s="1"/>
  <c r="BG48" i="9" s="1"/>
  <c r="BJ22" i="9" l="1"/>
  <c r="BK22" i="9" s="1"/>
  <c r="BJ28" i="9"/>
  <c r="BK28" i="9" s="1"/>
  <c r="BJ24" i="9"/>
  <c r="BK24" i="9" s="1"/>
  <c r="BJ20" i="9"/>
  <c r="BK20" i="9" s="1"/>
  <c r="BJ33" i="9"/>
  <c r="BK33" i="9" s="1"/>
  <c r="BJ25" i="9"/>
  <c r="BK25" i="9" s="1"/>
  <c r="BJ27" i="9"/>
  <c r="BK27" i="9" s="1"/>
  <c r="BJ21" i="9"/>
  <c r="BK21" i="9" s="1"/>
  <c r="BJ19" i="9"/>
  <c r="BK19" i="9" s="1"/>
  <c r="BJ23" i="9"/>
  <c r="BK23" i="9" s="1"/>
  <c r="BJ26" i="9"/>
  <c r="BK26" i="9" s="1"/>
  <c r="BJ46" i="9"/>
  <c r="BK46" i="9" s="1"/>
  <c r="BJ37" i="9"/>
  <c r="BK37" i="9" s="1"/>
  <c r="BJ45" i="9"/>
  <c r="BK45" i="9" s="1"/>
  <c r="BJ42" i="9"/>
  <c r="BK42" i="9" s="1"/>
  <c r="BJ35" i="9"/>
  <c r="BK35" i="9" s="1"/>
  <c r="BJ44" i="9"/>
  <c r="BK44" i="9" s="1"/>
  <c r="BJ47" i="9"/>
  <c r="BK47" i="9" s="1"/>
  <c r="BJ36" i="9"/>
  <c r="BK36" i="9" s="1"/>
  <c r="BJ43" i="9"/>
  <c r="BK43" i="9" s="1"/>
  <c r="BJ29" i="9"/>
  <c r="BK29" i="9" s="1"/>
  <c r="BJ41" i="9"/>
  <c r="BK41" i="9" s="1"/>
  <c r="BJ34" i="9"/>
  <c r="BK34" i="9" s="1"/>
  <c r="BJ40" i="9"/>
  <c r="BK40" i="9" s="1"/>
  <c r="BJ39" i="9"/>
  <c r="BK39" i="9" s="1"/>
  <c r="BJ48" i="9"/>
  <c r="BK48" i="9" s="1"/>
  <c r="BJ32" i="9"/>
  <c r="BK32" i="9" s="1"/>
  <c r="BJ38" i="9"/>
  <c r="BK38" i="9" s="1"/>
  <c r="BJ31" i="9"/>
  <c r="BK31" i="9" s="1"/>
  <c r="BJ30" i="9"/>
  <c r="BK30" i="9" s="1"/>
  <c r="D84" i="7"/>
  <c r="D234" i="8" l="1"/>
  <c r="DY7" i="33" l="1"/>
  <c r="AM14" i="33" s="1"/>
</calcChain>
</file>

<file path=xl/comments1.xml><?xml version="1.0" encoding="utf-8"?>
<comments xmlns="http://schemas.openxmlformats.org/spreadsheetml/2006/main">
  <authors>
    <author>ADRIAN DAMIAN</author>
    <author>Bakirova, Yulia</author>
  </authors>
  <commentList>
    <comment ref="J4" authorId="0">
      <text>
        <r>
          <rPr>
            <sz val="14"/>
            <color indexed="81"/>
            <rFont val="Tahoma"/>
            <family val="2"/>
          </rPr>
          <t>Select from drop-down menu the language(for the moment only english and german are available)</t>
        </r>
      </text>
    </comment>
    <comment ref="AI4" authorId="0">
      <text>
        <r>
          <rPr>
            <sz val="14"/>
            <color indexed="81"/>
            <rFont val="Tahoma"/>
            <family val="2"/>
          </rPr>
          <t>Number of PSS according to PSS-Overview registration</t>
        </r>
      </text>
    </comment>
    <comment ref="BJ4" authorId="0">
      <text>
        <r>
          <rPr>
            <sz val="14"/>
            <color indexed="81"/>
            <rFont val="Tahoma"/>
            <family val="2"/>
          </rPr>
          <t>Select from the drop-down menu fault type(e.g. PPM-0KM,Hotline,TOP PA faults)</t>
        </r>
      </text>
    </comment>
    <comment ref="N7" authorId="0">
      <text>
        <r>
          <rPr>
            <sz val="14"/>
            <color indexed="81"/>
            <rFont val="Tahoma"/>
            <family val="2"/>
          </rPr>
          <t>Kroschu plant(number and plant name) chose from drop down menu
E.g: 12_KSRO-Me</t>
        </r>
      </text>
    </comment>
    <comment ref="AR7" authorId="0">
      <text>
        <r>
          <rPr>
            <sz val="14"/>
            <color indexed="81"/>
            <rFont val="Tahoma"/>
            <family val="2"/>
          </rPr>
          <t>When was the fault detected? (the same date for starting processing time of problem solving sheet) 
Format of date dd-mm-yyyy</t>
        </r>
      </text>
    </comment>
    <comment ref="BU7" authorId="1">
      <text>
        <r>
          <rPr>
            <sz val="14"/>
            <color indexed="81"/>
            <rFont val="Tahoma"/>
            <family val="2"/>
          </rPr>
          <t>Fill in according to the customer requirement (feature for KSA)</t>
        </r>
      </text>
    </comment>
    <comment ref="N8" authorId="0">
      <text>
        <r>
          <rPr>
            <sz val="14"/>
            <color indexed="81"/>
            <rFont val="Tahoma"/>
            <family val="2"/>
          </rPr>
          <t>Which project and which customer belongs to the defective part?</t>
        </r>
      </text>
    </comment>
    <comment ref="AR8" authorId="0">
      <text>
        <r>
          <rPr>
            <sz val="14"/>
            <color indexed="81"/>
            <rFont val="Tahoma"/>
            <family val="2"/>
          </rPr>
          <t>Project code according KROSCHU projects</t>
        </r>
      </text>
    </comment>
    <comment ref="D14" authorId="1">
      <text>
        <r>
          <rPr>
            <sz val="14"/>
            <color indexed="81"/>
            <rFont val="Tahoma"/>
            <family val="2"/>
          </rPr>
          <t>Choose from drop down menu:
KSK
P-Module
Ident (Part Nr.)</t>
        </r>
      </text>
    </comment>
    <comment ref="N14" authorId="0">
      <text>
        <r>
          <rPr>
            <sz val="14"/>
            <color indexed="81"/>
            <rFont val="Tahoma"/>
            <family val="2"/>
          </rPr>
          <t>KSK Number: Ident of defective part and add the derivate of the harness (for example: 123456789 AV_IRM_LL)
P-Module Number: In case of Modules, insert P-Module Number and (if possible) KSK Number
Ident (Part Nr.); Ident of the claimed part (for plastic production)</t>
        </r>
      </text>
    </comment>
    <comment ref="BC14" authorId="0">
      <text>
        <r>
          <rPr>
            <sz val="14"/>
            <color indexed="81"/>
            <rFont val="Tahoma"/>
            <family val="2"/>
          </rPr>
          <t>KSK number: Internal Ident of defective part
or Box number of P-Module
or external (customer) part number for plastic production</t>
        </r>
      </text>
    </comment>
    <comment ref="N16" authorId="0">
      <text>
        <r>
          <rPr>
            <sz val="14"/>
            <color indexed="81"/>
            <rFont val="Tahoma"/>
            <family val="2"/>
          </rPr>
          <t>What is the Index of the KSK?</t>
        </r>
      </text>
    </comment>
    <comment ref="BC16" authorId="0">
      <text>
        <r>
          <rPr>
            <sz val="14"/>
            <color indexed="81"/>
            <rFont val="Tahoma"/>
            <family val="2"/>
          </rPr>
          <t>What is the running No. of the KSK?</t>
        </r>
      </text>
    </comment>
    <comment ref="CC16" authorId="1">
      <text>
        <r>
          <rPr>
            <sz val="14"/>
            <color indexed="81"/>
            <rFont val="Tahoma"/>
            <family val="2"/>
          </rPr>
          <t>Choose from drop down menu:
- Safety-relevant characteristic
- FuSi (Functional safety)</t>
        </r>
      </text>
    </comment>
    <comment ref="DD16" authorId="0">
      <text>
        <r>
          <rPr>
            <sz val="14"/>
            <color indexed="81"/>
            <rFont val="Tahoma"/>
            <family val="2"/>
          </rPr>
          <t>Is the defect marked as safety-relevant characteristic?</t>
        </r>
      </text>
    </comment>
    <comment ref="D22" authorId="1">
      <text>
        <r>
          <rPr>
            <sz val="14"/>
            <color indexed="81"/>
            <rFont val="Tahoma"/>
            <family val="2"/>
          </rPr>
          <t>Designation of  PSS-coordinator (most times from AP-Team)
in case of Champions Program: Champion itself</t>
        </r>
      </text>
    </comment>
    <comment ref="BL22" authorId="1">
      <text>
        <r>
          <rPr>
            <sz val="14"/>
            <color indexed="81"/>
            <rFont val="Tahoma"/>
            <family val="2"/>
          </rPr>
          <t>Designation of  Sponsor
(supporting executive; should be interested in the problem solving)</t>
        </r>
      </text>
    </comment>
    <comment ref="V46" authorId="1">
      <text>
        <r>
          <rPr>
            <sz val="14"/>
            <color indexed="81"/>
            <rFont val="Tahoma"/>
            <family val="2"/>
          </rPr>
          <t>Result (or outcome) of the problem, e.g: no electrical connection</t>
        </r>
        <r>
          <rPr>
            <b/>
            <sz val="9"/>
            <color indexed="81"/>
            <rFont val="Segoe UI"/>
            <family val="2"/>
          </rPr>
          <t xml:space="preserve">
</t>
        </r>
      </text>
    </comment>
    <comment ref="AU46" authorId="1">
      <text>
        <r>
          <rPr>
            <sz val="14"/>
            <color indexed="81"/>
            <rFont val="Tahoma"/>
            <family val="2"/>
          </rPr>
          <t>Enter answers to the following questions.
Try to consider all data and facts</t>
        </r>
        <r>
          <rPr>
            <sz val="9"/>
            <color indexed="81"/>
            <rFont val="Segoe UI"/>
            <family val="2"/>
          </rPr>
          <t xml:space="preserve">
</t>
        </r>
      </text>
    </comment>
    <comment ref="CG46" authorId="1">
      <text>
        <r>
          <rPr>
            <sz val="14"/>
            <color indexed="81"/>
            <rFont val="Tahoma"/>
            <family val="2"/>
          </rPr>
          <t>Enter answers to the following questions.
Try to consider all data and facts</t>
        </r>
      </text>
    </comment>
    <comment ref="V48" authorId="1">
      <text>
        <r>
          <rPr>
            <sz val="14"/>
            <color indexed="81"/>
            <rFont val="Tahoma"/>
            <family val="2"/>
          </rPr>
          <t>The defect itself, e.g. wire 111 not plugged
(will be used for Ishikawa)</t>
        </r>
      </text>
    </comment>
    <comment ref="AH51" authorId="0">
      <text>
        <r>
          <rPr>
            <sz val="14"/>
            <color indexed="81"/>
            <rFont val="Tahoma"/>
            <family val="2"/>
          </rPr>
          <t>Fault code according to document 4.15.04.00 – Fault catalogue for cable harness manufacture
(the FC has to be introduced with minimum 3 digits - for example 050)</t>
        </r>
      </text>
    </comment>
    <comment ref="M54" authorId="1">
      <text>
        <r>
          <rPr>
            <sz val="14"/>
            <color indexed="81"/>
            <rFont val="Tahoma"/>
            <family val="2"/>
          </rPr>
          <t>Where is the defect on the harness? - localize it on the harness</t>
        </r>
      </text>
    </comment>
    <comment ref="M56" authorId="1">
      <text>
        <r>
          <rPr>
            <sz val="14"/>
            <color indexed="81"/>
            <rFont val="Tahoma"/>
            <family val="2"/>
          </rPr>
          <t>On which working place was the complained part produced?</t>
        </r>
      </text>
    </comment>
    <comment ref="M57" authorId="1">
      <text>
        <r>
          <rPr>
            <sz val="14"/>
            <color indexed="81"/>
            <rFont val="Tahoma"/>
            <family val="2"/>
          </rPr>
          <t>Was the operator qualified to do the job? Ask from HR department for operator training
From Atol: date (not outdue) and corresponding qualification name, e.g. 01.01.2021-01.01.2020 – 4.1 Wire routing</t>
        </r>
      </text>
    </comment>
    <comment ref="M58" authorId="1">
      <text>
        <r>
          <rPr>
            <sz val="14"/>
            <color indexed="81"/>
            <rFont val="Tahoma"/>
            <family val="2"/>
          </rPr>
          <t xml:space="preserve">Which production line produced the complained part? </t>
        </r>
      </text>
    </comment>
    <comment ref="M59" authorId="1">
      <text>
        <r>
          <rPr>
            <sz val="14"/>
            <color indexed="81"/>
            <rFont val="Tahoma"/>
            <family val="2"/>
          </rPr>
          <t xml:space="preserve">Which team/s produced the complained part? </t>
        </r>
      </text>
    </comment>
    <comment ref="M60" authorId="1">
      <text>
        <r>
          <rPr>
            <sz val="14"/>
            <color indexed="81"/>
            <rFont val="Tahoma"/>
            <family val="2"/>
          </rPr>
          <t>Which machines are potentially affected? If possible enter the BM-ID. 
For example: welding faults – welding machines with BM-ID, 
in case of crimping faults – crimping machines with BM-ID, 
Which machine/s produced the fault?</t>
        </r>
      </text>
    </comment>
    <comment ref="M62" authorId="0">
      <text>
        <r>
          <rPr>
            <sz val="14"/>
            <color indexed="81"/>
            <rFont val="Tahoma"/>
            <family val="2"/>
          </rPr>
          <t>Select from dropdown menu "YES"or "NO" according description of repetitive fault in WI 3.12.30.00 chapter 5.1.4</t>
        </r>
      </text>
    </comment>
    <comment ref="R62" authorId="1">
      <text>
        <r>
          <rPr>
            <sz val="14"/>
            <color indexed="81"/>
            <rFont val="Tahoma"/>
            <family val="2"/>
          </rPr>
          <t>Enter the PSS-Number from PSS-Overview in case of selected "YES"for repetitive fault. Previous PSS from PSS-Overview</t>
        </r>
      </text>
    </comment>
    <comment ref="BY66" authorId="0">
      <text>
        <r>
          <rPr>
            <sz val="14"/>
            <color indexed="81"/>
            <rFont val="Tahoma"/>
            <family val="2"/>
          </rPr>
          <t>Select from dropdown menu "In Work" or "Completed" what is the current status of D3 discipline.
  &gt; after all imediate action(s) are taken -&gt; Completed.
D3 discipline is complete and ready to be sent to costomer in case of needed and requested.</t>
        </r>
      </text>
    </comment>
    <comment ref="DE66" authorId="0">
      <text>
        <r>
          <rPr>
            <sz val="14"/>
            <color indexed="81"/>
            <rFont val="Tahoma"/>
            <family val="2"/>
          </rPr>
          <t>Date of finishing D3.
Format of date dd-mm-yyyy</t>
        </r>
      </text>
    </comment>
    <comment ref="AH69" authorId="0">
      <text>
        <r>
          <rPr>
            <sz val="14"/>
            <color indexed="81"/>
            <rFont val="Tahoma"/>
            <family val="2"/>
          </rPr>
          <t>Answer the question if the relevant employees were informed about the fault by selecting from dropdown menu "YES" or  "NO"</t>
        </r>
      </text>
    </comment>
    <comment ref="BA69" authorId="0">
      <text>
        <r>
          <rPr>
            <sz val="14"/>
            <color indexed="81"/>
            <rFont val="Tahoma"/>
            <family val="2"/>
          </rPr>
          <t>Enter the date when information about the complaint(fault/defect) was given to relevant employees.
Format of date dd-mm-yyyy</t>
        </r>
      </text>
    </comment>
    <comment ref="BA73" authorId="0">
      <text>
        <r>
          <rPr>
            <sz val="14"/>
            <color indexed="81"/>
            <rFont val="Tahoma"/>
            <family val="2"/>
          </rPr>
          <t>Answer the question if a limitation of the affected products is possilble by selecting from dropdown menu "YES" or "NO
If "NO"is selected the limitation cells will disappear</t>
        </r>
      </text>
    </comment>
    <comment ref="AR75" authorId="0">
      <text>
        <r>
          <rPr>
            <sz val="14"/>
            <color indexed="81"/>
            <rFont val="Tahoma"/>
            <family val="2"/>
          </rPr>
          <t>How many products which are potentially affected are at the customer?
Ask from Logistic</t>
        </r>
      </text>
    </comment>
    <comment ref="BP75" authorId="0">
      <text>
        <r>
          <rPr>
            <sz val="14"/>
            <color indexed="81"/>
            <rFont val="Tahoma"/>
            <family val="2"/>
          </rPr>
          <t xml:space="preserve">How many potentially affected parts are on transit? Also include the amounts of the JIS-center into transit-amounts.
Take the products in transit into consideration: 
- From module plant to production plant
- From production plant to distribution center
- From distribution center to customer
- From production plant to customer
</t>
        </r>
        <r>
          <rPr>
            <sz val="8"/>
            <color indexed="81"/>
            <rFont val="Tahoma"/>
            <family val="2"/>
          </rPr>
          <t xml:space="preserve">
</t>
        </r>
        <r>
          <rPr>
            <sz val="14"/>
            <color indexed="81"/>
            <rFont val="Tahoma"/>
            <family val="2"/>
          </rPr>
          <t>Ask from Logistic</t>
        </r>
      </text>
    </comment>
    <comment ref="CN75" authorId="0">
      <text>
        <r>
          <rPr>
            <sz val="14"/>
            <color indexed="81"/>
            <rFont val="Tahoma"/>
            <family val="2"/>
          </rPr>
          <t>How many potentially affected parts are at Kroschu?
Consider the stock of
│ Production plant of main harness
│ Production plant of modules
│ Distribution center</t>
        </r>
      </text>
    </comment>
    <comment ref="BB77" authorId="0">
      <text>
        <r>
          <rPr>
            <sz val="14"/>
            <color indexed="81"/>
            <rFont val="Tahoma"/>
            <family val="2"/>
          </rPr>
          <t>Automatically calculated from the inserted amount of potentially affected parts</t>
        </r>
      </text>
    </comment>
    <comment ref="BX80" authorId="1">
      <text>
        <r>
          <rPr>
            <sz val="14"/>
            <color indexed="81"/>
            <rFont val="Tahoma"/>
            <family val="2"/>
          </rPr>
          <t>proof of efficiency throug</t>
        </r>
      </text>
    </comment>
    <comment ref="CW80" authorId="1">
      <text>
        <r>
          <rPr>
            <sz val="14"/>
            <color indexed="81"/>
            <rFont val="Tahoma"/>
            <family val="2"/>
          </rPr>
          <t>Date when the efficiency check was done</t>
        </r>
      </text>
    </comment>
    <comment ref="DM80" authorId="1">
      <text>
        <r>
          <rPr>
            <sz val="14"/>
            <color indexed="81"/>
            <rFont val="Tahoma"/>
            <family val="2"/>
          </rPr>
          <t>Result of the effectiveness check - select from drop down menu</t>
        </r>
      </text>
    </comment>
    <comment ref="L81" authorId="1">
      <text>
        <r>
          <rPr>
            <sz val="14"/>
            <color indexed="81"/>
            <rFont val="Tahoma"/>
            <family val="2"/>
          </rPr>
          <t>Select the "area" where the responding measures are done:
- customer
- on transit
- at Kroschu</t>
        </r>
      </text>
    </comment>
    <comment ref="AD93" authorId="0">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BQ93" authorId="0">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DD93" authorId="0">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AD95" authorId="0">
      <text>
        <r>
          <rPr>
            <sz val="14"/>
            <color indexed="81"/>
            <rFont val="Tahoma"/>
            <family val="2"/>
          </rPr>
          <t>Total of sorted harnesses.</t>
        </r>
      </text>
    </comment>
    <comment ref="BQ95" authorId="0">
      <text>
        <r>
          <rPr>
            <sz val="14"/>
            <color indexed="81"/>
            <rFont val="Tahoma"/>
            <family val="2"/>
          </rPr>
          <t>Total of sorted harnesses.</t>
        </r>
      </text>
    </comment>
    <comment ref="DD95" authorId="1">
      <text>
        <r>
          <rPr>
            <sz val="14"/>
            <color indexed="81"/>
            <rFont val="Tahoma"/>
            <family val="2"/>
          </rPr>
          <t>Total of sorted harnesses</t>
        </r>
      </text>
    </comment>
    <comment ref="AD98" authorId="0">
      <text>
        <r>
          <rPr>
            <sz val="14"/>
            <color indexed="81"/>
            <rFont val="Tahoma"/>
            <family val="2"/>
          </rPr>
          <t>How many harnesses were NIO(not OK)</t>
        </r>
      </text>
    </comment>
    <comment ref="BQ98" authorId="0">
      <text>
        <r>
          <rPr>
            <sz val="14"/>
            <color indexed="81"/>
            <rFont val="Tahoma"/>
            <family val="2"/>
          </rPr>
          <t>How many harnesses were NIO(not OK)</t>
        </r>
      </text>
    </comment>
    <comment ref="DD98" authorId="0">
      <text>
        <r>
          <rPr>
            <sz val="14"/>
            <color indexed="81"/>
            <rFont val="Tahoma"/>
            <family val="2"/>
          </rPr>
          <t>How many harnesses were NIO(not OK)</t>
        </r>
      </text>
    </comment>
    <comment ref="AD101" authorId="0">
      <text>
        <r>
          <rPr>
            <sz val="14"/>
            <color indexed="81"/>
            <rFont val="Tahoma"/>
            <family val="2"/>
          </rPr>
          <t>e.g. green marking of controlled harnesses, first OK KSK-number or Box number etc.</t>
        </r>
      </text>
    </comment>
    <comment ref="BQ101" authorId="0">
      <text>
        <r>
          <rPr>
            <sz val="14"/>
            <color indexed="81"/>
            <rFont val="Tahoma"/>
            <family val="2"/>
          </rPr>
          <t>e.g. green marking of controlled harnesses, first OK KSK-number or Box number etc.</t>
        </r>
      </text>
    </comment>
    <comment ref="DD101" authorId="0">
      <text>
        <r>
          <rPr>
            <sz val="14"/>
            <color indexed="81"/>
            <rFont val="Tahoma"/>
            <family val="2"/>
          </rPr>
          <t>e.g. green marking of controlled harnesses, first OK KSK-number</t>
        </r>
      </text>
    </comment>
    <comment ref="DD103" authorId="0">
      <text>
        <r>
          <rPr>
            <sz val="14"/>
            <color indexed="81"/>
            <rFont val="Tahoma"/>
            <family val="2"/>
          </rPr>
          <t>if not specified otherwise by the customer, the Clean Point corresponds to the packaging date of the first 100% OK tested product (KSK)</t>
        </r>
      </text>
    </comment>
    <comment ref="L106" authorId="0">
      <text>
        <r>
          <rPr>
            <sz val="14"/>
            <color indexed="81"/>
            <rFont val="Tahoma"/>
            <family val="2"/>
          </rPr>
          <t>Automatically calculated from the inserted amount of potentially sorted harnesses</t>
        </r>
      </text>
    </comment>
    <comment ref="AR106" authorId="0">
      <text>
        <r>
          <rPr>
            <sz val="14"/>
            <color indexed="81"/>
            <rFont val="Tahoma"/>
            <family val="2"/>
          </rPr>
          <t>Automatically calculated from the inserted amount of NIO(not OK) harnesses sorted</t>
        </r>
      </text>
    </comment>
    <comment ref="CB106" authorId="0">
      <text>
        <r>
          <rPr>
            <sz val="14"/>
            <color indexed="81"/>
            <rFont val="Tahoma"/>
            <family val="2"/>
          </rPr>
          <t>Automatically calculated from the sorted harnesses TOTAL- NOK</t>
        </r>
      </text>
    </comment>
    <comment ref="H109" authorId="0">
      <text>
        <r>
          <rPr>
            <sz val="14"/>
            <color indexed="81"/>
            <rFont val="Tahoma"/>
            <family val="2"/>
          </rPr>
          <t>Enter comments regarding immediate action, e.g.
In which timeframe were the potentially affected parts produced?
How can the parts be limited? Introduce information about the potentially affected parts; in which timeframe were the parts produced? Which parts can be reworked, which parts have to be replaced and other important information?</t>
        </r>
      </text>
    </comment>
    <comment ref="B115" authorId="0">
      <text>
        <r>
          <rPr>
            <sz val="12"/>
            <color indexed="81"/>
            <rFont val="Tahoma"/>
            <family val="2"/>
          </rPr>
          <t>The free field after comments can be used for additional notes (pictures etc. E.g. the reason if the sorting can not be done and so on). This field is optional.</t>
        </r>
      </text>
    </comment>
  </commentList>
</comments>
</file>

<file path=xl/comments2.xml><?xml version="1.0" encoding="utf-8"?>
<comments xmlns="http://schemas.openxmlformats.org/spreadsheetml/2006/main">
  <authors>
    <author>Bakirova, Yulia</author>
  </authors>
  <commentList>
    <comment ref="D17" authorId="0">
      <text>
        <r>
          <rPr>
            <sz val="14"/>
            <color indexed="81"/>
            <rFont val="Tahoma"/>
            <family val="2"/>
          </rPr>
          <t>Immediate actions from D3, will be taken automatically</t>
        </r>
      </text>
    </comment>
    <comment ref="U18" authorId="0">
      <text>
        <r>
          <rPr>
            <sz val="14"/>
            <color indexed="81"/>
            <rFont val="Tahoma"/>
            <family val="2"/>
          </rPr>
          <t>Side effects of the measures (which risks can appear withing the defined immediate actions)</t>
        </r>
      </text>
    </comment>
    <comment ref="AE18" authorId="0">
      <text>
        <r>
          <rPr>
            <sz val="14"/>
            <color indexed="81"/>
            <rFont val="Tahoma"/>
            <family val="2"/>
          </rPr>
          <t>Chose from drop down menu the chance of this event (table above "Probability")</t>
        </r>
      </text>
    </comment>
    <comment ref="AI18" authorId="0">
      <text>
        <r>
          <rPr>
            <sz val="14"/>
            <color indexed="81"/>
            <rFont val="Tahoma"/>
            <family val="2"/>
          </rPr>
          <t>Chose from drop down menu the chance of this event (table above "Effect")</t>
        </r>
      </text>
    </comment>
    <comment ref="AL18" authorId="0">
      <text>
        <r>
          <rPr>
            <sz val="14"/>
            <color indexed="81"/>
            <rFont val="Tahoma"/>
            <family val="2"/>
          </rPr>
          <t>Automatically calculated</t>
        </r>
      </text>
    </comment>
    <comment ref="AO18" authorId="0">
      <text>
        <r>
          <rPr>
            <sz val="14"/>
            <color indexed="81"/>
            <rFont val="Tahoma"/>
            <family val="2"/>
          </rPr>
          <t>Assigned according to the evaluation table above "Level"</t>
        </r>
      </text>
    </comment>
    <comment ref="AS18" authorId="0">
      <text>
        <r>
          <rPr>
            <sz val="14"/>
            <color indexed="81"/>
            <rFont val="Tahoma"/>
            <family val="2"/>
          </rPr>
          <t>Counter-measures need to be defined according to the leven evaluation (see table "Level" above)</t>
        </r>
      </text>
    </comment>
    <comment ref="D29" authorId="0">
      <text>
        <r>
          <rPr>
            <sz val="14"/>
            <color indexed="81"/>
            <rFont val="Tahoma"/>
            <family val="2"/>
          </rPr>
          <t>Corrective actions and their classification (Technical or Systemic) will be taken automatically from D5</t>
        </r>
      </text>
    </comment>
  </commentList>
</comments>
</file>

<file path=xl/comments3.xml><?xml version="1.0" encoding="utf-8"?>
<comments xmlns="http://schemas.openxmlformats.org/spreadsheetml/2006/main">
  <authors>
    <author>ADRIAN DAMIAN</author>
  </authors>
  <commentList>
    <comment ref="G6" authorId="0">
      <text>
        <r>
          <rPr>
            <sz val="12"/>
            <color indexed="81"/>
            <rFont val="Tahoma"/>
            <family val="2"/>
          </rPr>
          <t xml:space="preserve">Was the complained part reworked? Choose from DropDown 
“Yes, relevant rework”, 
“Yes, but no relevant rework” or
 “No, no rework” 
</t>
        </r>
      </text>
    </comment>
    <comment ref="D8" authorId="0">
      <text>
        <r>
          <rPr>
            <sz val="14"/>
            <color indexed="81"/>
            <rFont val="Tahoma"/>
            <family val="2"/>
          </rPr>
          <t>Enter detailed information about the rework beneath</t>
        </r>
      </text>
    </comment>
    <comment ref="D16" authorId="0">
      <text>
        <r>
          <rPr>
            <sz val="12"/>
            <color indexed="81"/>
            <rFont val="Tahoma"/>
            <family val="2"/>
          </rPr>
          <t> How often did the fault occur in the last 3 months internal as well as external (in special cases it’s useful to increase the timeframe up to 6/10 months, such as in case of low runner modules)? (Check the PPM-, Hotline-, Testing-, Rework- as well as Product audit-faults)
  Are there some deviations in the datas recognizable, etc.?</t>
        </r>
      </text>
    </comment>
    <comment ref="D30" authorId="0">
      <text>
        <r>
          <rPr>
            <sz val="12"/>
            <color indexed="81"/>
            <rFont val="Tahoma"/>
            <family val="2"/>
          </rPr>
          <t>Analyse all the additional information that can be found about the fault; e.g. the checkpoint list in Power Search Tool: (of the complained harness as well as from the noticeable harnesses which were found in QIS)
 Are there some deviations recognizable?
 Are there some similarities recognizable? (same KFB, produced in night shift, etc.)
 How long was the harness at electrical testboard? 
 How often was the electrical test startet at testboard? Etc. 
 Was there a special incident before the fault occurred? Such as:
o After drawing change 
o After part change (e.g. other supplier);
o After tool change 
 Analyse the Bandplan: Is it correct? Are the operators working according the Bandplan? 
 According to which drawing date or version was the part produced?</t>
        </r>
        <r>
          <rPr>
            <sz val="8"/>
            <color indexed="81"/>
            <rFont val="Tahoma"/>
            <family val="2"/>
          </rPr>
          <t xml:space="preserve">
</t>
        </r>
      </text>
    </comment>
    <comment ref="B63" authorId="0">
      <text>
        <r>
          <rPr>
            <sz val="12"/>
            <color indexed="81"/>
            <rFont val="Tahoma"/>
            <family val="2"/>
          </rPr>
          <t>Follow a harness in the production and think about which processes can cause the respective defect. Observe these processes and display the process flow (only the steps where the fault can happen are necessary)</t>
        </r>
      </text>
    </comment>
  </commentList>
</comments>
</file>

<file path=xl/comments4.xml><?xml version="1.0" encoding="utf-8"?>
<comments xmlns="http://schemas.openxmlformats.org/spreadsheetml/2006/main">
  <authors>
    <author>Bakirova, Yulia</author>
  </authors>
  <commentList>
    <comment ref="J19" authorId="0">
      <text>
        <r>
          <rPr>
            <sz val="16"/>
            <color indexed="81"/>
            <rFont val="Tahoma"/>
            <family val="2"/>
          </rPr>
          <t>Select "</t>
        </r>
        <r>
          <rPr>
            <b/>
            <sz val="16"/>
            <color indexed="81"/>
            <rFont val="Tahoma"/>
            <family val="2"/>
          </rPr>
          <t>Yes</t>
        </r>
        <r>
          <rPr>
            <sz val="16"/>
            <color indexed="81"/>
            <rFont val="Tahoma"/>
            <family val="2"/>
          </rPr>
          <t>" if the influent factor is identified as possible root cause; and "</t>
        </r>
        <r>
          <rPr>
            <b/>
            <sz val="16"/>
            <color indexed="81"/>
            <rFont val="Tahoma"/>
            <family val="2"/>
          </rPr>
          <t>No</t>
        </r>
        <r>
          <rPr>
            <sz val="16"/>
            <color indexed="81"/>
            <rFont val="Tahoma"/>
            <family val="2"/>
          </rPr>
          <t>" if you can exclude this cause with the explained reasons</t>
        </r>
      </text>
    </comment>
    <comment ref="J44" authorId="0">
      <text>
        <r>
          <rPr>
            <sz val="16"/>
            <color indexed="81"/>
            <rFont val="Tahoma"/>
            <family val="2"/>
          </rPr>
          <t>Will be automatically taken if the influent factor was identified in Ishikawa as "No"</t>
        </r>
      </text>
    </comment>
  </commentList>
</comments>
</file>

<file path=xl/comments5.xml><?xml version="1.0" encoding="utf-8"?>
<comments xmlns="http://schemas.openxmlformats.org/spreadsheetml/2006/main">
  <authors>
    <author>ADRIAN DAMIAN</author>
    <author>Bakirova, Yulia</author>
  </authors>
  <commentList>
    <comment ref="K6" authorId="0">
      <text>
        <r>
          <rPr>
            <sz val="14"/>
            <color indexed="81"/>
            <rFont val="Tahoma"/>
            <family val="2"/>
          </rPr>
          <t>Enter the status of D4:
in work or completed and note down the date of finishing D4.</t>
        </r>
      </text>
    </comment>
    <comment ref="AF9" authorId="0">
      <text>
        <r>
          <rPr>
            <sz val="14"/>
            <color indexed="81"/>
            <rFont val="Tahoma"/>
            <family val="2"/>
          </rPr>
          <t>Answer the question if the relevant employees were retrained regarding the fault (if necessary). Enter the date of the training and the date of the effectiveness check of the training</t>
        </r>
      </text>
    </comment>
    <comment ref="J16" authorId="0">
      <text>
        <r>
          <rPr>
            <sz val="14"/>
            <color indexed="81"/>
            <rFont val="Tahoma"/>
            <family val="2"/>
          </rPr>
          <t xml:space="preserve"> 5-Why-Analysis: Go on with the analysis of the potential causes line per line. Ask the question “Why” step by step to determine the root.</t>
        </r>
      </text>
    </comment>
    <comment ref="X16" authorId="1">
      <text>
        <r>
          <rPr>
            <sz val="14"/>
            <color indexed="81"/>
            <rFont val="Tahoma"/>
            <family val="2"/>
          </rPr>
          <t>To which category the fault can be assigned?</t>
        </r>
      </text>
    </comment>
    <comment ref="Z16" authorId="1">
      <text>
        <r>
          <rPr>
            <sz val="14"/>
            <color indexed="81"/>
            <rFont val="Tahoma"/>
            <family val="2"/>
          </rPr>
          <t>The confirmation of the identified causes</t>
        </r>
      </text>
    </comment>
    <comment ref="D17" authorId="1">
      <text>
        <r>
          <rPr>
            <sz val="14"/>
            <color indexed="81"/>
            <rFont val="Tahoma"/>
            <family val="2"/>
          </rPr>
          <t>will appear automatically from D2 “Problem description”</t>
        </r>
      </text>
    </comment>
    <comment ref="X18" authorId="1">
      <text>
        <r>
          <rPr>
            <sz val="12"/>
            <color indexed="81"/>
            <rFont val="Tahoma"/>
            <family val="2"/>
          </rPr>
          <t xml:space="preserve">Assign the category for the fault - e.g.  </t>
        </r>
        <r>
          <rPr>
            <i/>
            <sz val="12"/>
            <color indexed="81"/>
            <rFont val="Tahoma"/>
            <family val="2"/>
          </rPr>
          <t xml:space="preserve">Development </t>
        </r>
        <r>
          <rPr>
            <sz val="12"/>
            <color indexed="81"/>
            <rFont val="Tahoma"/>
            <family val="2"/>
          </rPr>
          <t>or</t>
        </r>
        <r>
          <rPr>
            <i/>
            <sz val="12"/>
            <color indexed="81"/>
            <rFont val="Tahoma"/>
            <family val="2"/>
          </rPr>
          <t xml:space="preserve"> Production etc.</t>
        </r>
      </text>
    </comment>
    <comment ref="AB18" authorId="0">
      <text>
        <r>
          <rPr>
            <sz val="14"/>
            <color indexed="81"/>
            <rFont val="Tahoma"/>
            <family val="2"/>
          </rPr>
          <t xml:space="preserve"> Explicit, short description of corrective action to eliminate the fault cause.
All correction actions have to be entered, also those which were rejected or which are not in the responsibility of the plant itself (e.g. measures where the departments from outside the plant are involved)
IMPORTANT to select Factor identification and Influent factors to assign the corrective action.</t>
        </r>
      </text>
    </comment>
    <comment ref="AE18" authorId="0">
      <text>
        <r>
          <rPr>
            <sz val="14"/>
            <color indexed="81"/>
            <rFont val="Tahoma"/>
            <family val="2"/>
          </rPr>
          <t xml:space="preserve"> If there are pictures of the actions (before/after), is it possible to enter a picture number here and put in the pictures in the tab "D4-D5-D6 Pictures” in the corresponding field.</t>
        </r>
      </text>
    </comment>
    <comment ref="AF18" authorId="0">
      <text>
        <r>
          <rPr>
            <sz val="14"/>
            <color indexed="81"/>
            <rFont val="Tahoma"/>
            <family val="2"/>
          </rPr>
          <t>Responsible person for implementing the corrective action</t>
        </r>
      </text>
    </comment>
    <comment ref="AH18" authorId="0">
      <text>
        <r>
          <rPr>
            <sz val="14"/>
            <color indexed="81"/>
            <rFont val="Tahoma"/>
            <family val="2"/>
          </rPr>
          <t xml:space="preserve"> Realistic target date for implementation of the measure</t>
        </r>
      </text>
    </comment>
    <comment ref="AJ18" authorId="0">
      <text>
        <r>
          <rPr>
            <sz val="18"/>
            <color indexed="81"/>
            <rFont val="Tahoma"/>
            <family val="2"/>
          </rPr>
          <t xml:space="preserve"> </t>
        </r>
        <r>
          <rPr>
            <sz val="14"/>
            <color indexed="81"/>
            <rFont val="Tahoma"/>
            <family val="2"/>
          </rPr>
          <t>Actual implementation date of the corrective action.</t>
        </r>
      </text>
    </comment>
    <comment ref="D30" authorId="1">
      <text>
        <r>
          <rPr>
            <sz val="14"/>
            <color indexed="81"/>
            <rFont val="Tahoma"/>
            <family val="2"/>
          </rPr>
          <t>In order to confirm the analysed root causes for occurrence and non-detection the defect must be reproduced by creating same condition (if possible). 
Select “yes”, enter the responsible and date for the simulation. 
Explain what was done to reproduce the fault.
As a result the root cause will be verified if the reproduced defect matches the given fault.
If a simulation is not possible, tick “no” and explain the reason why it is not possible.</t>
        </r>
      </text>
    </comment>
    <comment ref="AB31" authorId="1">
      <text>
        <r>
          <rPr>
            <sz val="12"/>
            <color indexed="81"/>
            <rFont val="Tahoma"/>
            <family val="2"/>
          </rPr>
          <t>Answer, if it is possible to make a simulation to confirm the cause</t>
        </r>
      </text>
    </comment>
    <comment ref="AE31" authorId="1">
      <text>
        <r>
          <rPr>
            <sz val="12"/>
            <color indexed="81"/>
            <rFont val="Tahoma"/>
            <family val="2"/>
          </rPr>
          <t>Responsible for the cause verification</t>
        </r>
      </text>
    </comment>
    <comment ref="AJ31" authorId="1">
      <text>
        <r>
          <rPr>
            <sz val="12"/>
            <color indexed="81"/>
            <rFont val="Tahoma"/>
            <family val="2"/>
          </rPr>
          <t>Date when the fault verification was done</t>
        </r>
      </text>
    </comment>
    <comment ref="J40" authorId="0">
      <text>
        <r>
          <rPr>
            <sz val="14"/>
            <color indexed="81"/>
            <rFont val="Tahoma"/>
            <family val="2"/>
          </rPr>
          <t xml:space="preserve"> 5-Why-Analysis: Go on with the analysis of the potential causes line per line. Ask the question “Why” step by step to determine the root.</t>
        </r>
      </text>
    </comment>
    <comment ref="X40" authorId="1">
      <text>
        <r>
          <rPr>
            <sz val="14"/>
            <color indexed="81"/>
            <rFont val="Tahoma"/>
            <family val="2"/>
          </rPr>
          <t>To which category the fault can be assigned?</t>
        </r>
      </text>
    </comment>
    <comment ref="Z40" authorId="1">
      <text>
        <r>
          <rPr>
            <sz val="12"/>
            <color indexed="81"/>
            <rFont val="Tahoma"/>
            <family val="2"/>
          </rPr>
          <t>The confirmation of the identified causes</t>
        </r>
      </text>
    </comment>
    <comment ref="I43" authorId="1">
      <text>
        <r>
          <rPr>
            <sz val="14"/>
            <color indexed="81"/>
            <rFont val="Tahoma"/>
            <family val="2"/>
          </rPr>
          <t xml:space="preserve">Last </t>
        </r>
        <r>
          <rPr>
            <i/>
            <sz val="14"/>
            <color indexed="81"/>
            <rFont val="Tahoma"/>
            <family val="2"/>
          </rPr>
          <t>Why5</t>
        </r>
        <r>
          <rPr>
            <sz val="14"/>
            <color indexed="81"/>
            <rFont val="Tahoma"/>
            <family val="2"/>
          </rPr>
          <t xml:space="preserve"> from </t>
        </r>
        <r>
          <rPr>
            <i/>
            <sz val="14"/>
            <color indexed="81"/>
            <rFont val="Tahoma"/>
            <family val="2"/>
          </rPr>
          <t>Technical consideration</t>
        </r>
        <r>
          <rPr>
            <sz val="14"/>
            <color indexed="81"/>
            <rFont val="Tahoma"/>
            <family val="2"/>
          </rPr>
          <t xml:space="preserve"> - select from drop down menue.
If there is less than 5Why's - type manually </t>
        </r>
        <r>
          <rPr>
            <b/>
            <sz val="14"/>
            <color indexed="81"/>
            <rFont val="Tahoma"/>
            <family val="2"/>
          </rPr>
          <t>the last "Why"</t>
        </r>
        <r>
          <rPr>
            <sz val="14"/>
            <color indexed="81"/>
            <rFont val="Tahoma"/>
            <family val="2"/>
          </rPr>
          <t xml:space="preserve"> from </t>
        </r>
        <r>
          <rPr>
            <i/>
            <sz val="14"/>
            <color indexed="81"/>
            <rFont val="Tahoma"/>
            <family val="2"/>
          </rPr>
          <t>Technical consideration</t>
        </r>
      </text>
    </comment>
    <comment ref="X43" authorId="1">
      <text>
        <r>
          <rPr>
            <sz val="12"/>
            <color indexed="81"/>
            <rFont val="Tahoma"/>
            <family val="2"/>
          </rPr>
          <t xml:space="preserve">Assign the category for the fault - e.g.  </t>
        </r>
        <r>
          <rPr>
            <i/>
            <sz val="12"/>
            <color indexed="81"/>
            <rFont val="Tahoma"/>
            <family val="2"/>
          </rPr>
          <t>Development</t>
        </r>
        <r>
          <rPr>
            <sz val="12"/>
            <color indexed="81"/>
            <rFont val="Tahoma"/>
            <family val="2"/>
          </rPr>
          <t xml:space="preserve"> or </t>
        </r>
        <r>
          <rPr>
            <i/>
            <sz val="12"/>
            <color indexed="81"/>
            <rFont val="Tahoma"/>
            <family val="2"/>
          </rPr>
          <t>Production, Administration</t>
        </r>
        <r>
          <rPr>
            <sz val="12"/>
            <color indexed="81"/>
            <rFont val="Tahoma"/>
            <family val="2"/>
          </rPr>
          <t xml:space="preserve"> etc.</t>
        </r>
      </text>
    </comment>
    <comment ref="AB43" authorId="0">
      <text>
        <r>
          <rPr>
            <sz val="14"/>
            <color indexed="81"/>
            <rFont val="Tahoma"/>
            <family val="2"/>
          </rPr>
          <t xml:space="preserve"> Explicit, short description of corrective action to eliminate the fault cause.
All correction actions have to be entered, also those which were rejected or which are not in the responsibility of the plant itself (e.g. measures where the departments from outside the plant are involved)</t>
        </r>
      </text>
    </comment>
    <comment ref="AE43" authorId="0">
      <text>
        <r>
          <rPr>
            <sz val="14"/>
            <color indexed="81"/>
            <rFont val="Tahoma"/>
            <family val="2"/>
          </rPr>
          <t xml:space="preserve"> If there are pictures of the actions (before/after), is it possible to enter a picture number here and put in the pictures in the tab "D4-D5-D6 Pictures” in the corresponding field.</t>
        </r>
      </text>
    </comment>
    <comment ref="AF43" authorId="0">
      <text>
        <r>
          <rPr>
            <sz val="14"/>
            <color indexed="81"/>
            <rFont val="Tahoma"/>
            <family val="2"/>
          </rPr>
          <t>Responsible person for implementing the corrective action</t>
        </r>
      </text>
    </comment>
    <comment ref="AH43" authorId="0">
      <text>
        <r>
          <rPr>
            <sz val="14"/>
            <color indexed="81"/>
            <rFont val="Tahoma"/>
            <family val="2"/>
          </rPr>
          <t xml:space="preserve"> Realistic target date for implementation of the measure</t>
        </r>
      </text>
    </comment>
    <comment ref="AJ43" authorId="0">
      <text>
        <r>
          <rPr>
            <sz val="18"/>
            <color indexed="81"/>
            <rFont val="Tahoma"/>
            <family val="2"/>
          </rPr>
          <t xml:space="preserve"> </t>
        </r>
        <r>
          <rPr>
            <sz val="14"/>
            <color indexed="81"/>
            <rFont val="Tahoma"/>
            <family val="2"/>
          </rPr>
          <t>Actual implementation date of the corrective action.</t>
        </r>
      </text>
    </comment>
  </commentList>
</comments>
</file>

<file path=xl/comments6.xml><?xml version="1.0" encoding="utf-8"?>
<comments xmlns="http://schemas.openxmlformats.org/spreadsheetml/2006/main">
  <authors>
    <author>ADRIAN DAMIAN</author>
    <author>Bakirova, Yulia</author>
  </authors>
  <commentList>
    <comment ref="H2" authorId="0">
      <text>
        <r>
          <rPr>
            <sz val="16"/>
            <color indexed="81"/>
            <rFont val="Tahoma"/>
            <family val="2"/>
          </rPr>
          <t xml:space="preserve">Insert pictures if it is necesarry according the corrective action taken for Occurrence or Non-Detection.
</t>
        </r>
      </text>
    </comment>
    <comment ref="B41" authorId="1">
      <text>
        <r>
          <rPr>
            <sz val="18"/>
            <color indexed="81"/>
            <rFont val="Tahoma"/>
            <family val="2"/>
          </rPr>
          <t>Write here the following Nr. of the pictures</t>
        </r>
      </text>
    </comment>
    <comment ref="B48" authorId="1">
      <text>
        <r>
          <rPr>
            <sz val="18"/>
            <color indexed="81"/>
            <rFont val="Tahoma"/>
            <family val="2"/>
          </rPr>
          <t>Write here the following Nr. of the pictures</t>
        </r>
      </text>
    </comment>
    <comment ref="B55" authorId="1">
      <text>
        <r>
          <rPr>
            <sz val="18"/>
            <color indexed="81"/>
            <rFont val="Tahoma"/>
            <family val="2"/>
          </rPr>
          <t>Write here the following Nr. of the pictures</t>
        </r>
      </text>
    </comment>
    <comment ref="B62" authorId="1">
      <text>
        <r>
          <rPr>
            <sz val="18"/>
            <color indexed="81"/>
            <rFont val="Tahoma"/>
            <family val="2"/>
          </rPr>
          <t>Write here the following Nr. of the pictures</t>
        </r>
      </text>
    </comment>
    <comment ref="B69" authorId="1">
      <text>
        <r>
          <rPr>
            <sz val="18"/>
            <color indexed="81"/>
            <rFont val="Tahoma"/>
            <family val="2"/>
          </rPr>
          <t>Write here the following Nr. of the pictures</t>
        </r>
      </text>
    </comment>
    <comment ref="B76" authorId="1">
      <text>
        <r>
          <rPr>
            <sz val="18"/>
            <color indexed="81"/>
            <rFont val="Tahoma"/>
            <family val="2"/>
          </rPr>
          <t>Write here the following Nr. of the pictures</t>
        </r>
      </text>
    </comment>
    <comment ref="B83" authorId="1">
      <text>
        <r>
          <rPr>
            <sz val="18"/>
            <color indexed="81"/>
            <rFont val="Tahoma"/>
            <family val="2"/>
          </rPr>
          <t>Write here the following Nr. of the pictures</t>
        </r>
      </text>
    </comment>
  </commentList>
</comments>
</file>

<file path=xl/comments7.xml><?xml version="1.0" encoding="utf-8"?>
<comments xmlns="http://schemas.openxmlformats.org/spreadsheetml/2006/main">
  <authors>
    <author>ADRIAN DAMIAN</author>
    <author>Bakirova, Yulia</author>
  </authors>
  <commentList>
    <comment ref="O7" authorId="0">
      <text>
        <r>
          <rPr>
            <sz val="14"/>
            <color indexed="81"/>
            <rFont val="Tahoma"/>
            <family val="2"/>
          </rPr>
          <t>Enter the status of D6: in work or completed and note down the date of finishing D6.</t>
        </r>
      </text>
    </comment>
    <comment ref="E10" authorId="1">
      <text>
        <r>
          <rPr>
            <sz val="14"/>
            <color indexed="81"/>
            <rFont val="Tahoma"/>
            <family val="2"/>
          </rPr>
          <t>Fill in the field with the information of Responisble for effectiveness check, timeframe and documentation, e.g. screenshots, charts that confirm that implemented actions are succesful/ not successful</t>
        </r>
      </text>
    </comment>
    <comment ref="C30" authorId="0">
      <text>
        <r>
          <rPr>
            <sz val="12"/>
            <color indexed="81"/>
            <rFont val="Tahoma"/>
            <family val="2"/>
          </rPr>
          <t xml:space="preserve"> Explicit, short documentation of effectiveness check for all fault types (such as: monitoring the occurrence over a period of minimum 15 working days) and result of effectiveness check (successful / not successful) for occurrence and non-detection
For supplier faults: only do the effectiveness check for the defined actions for non-detection; if there were no actions defined, ask Incoming Inspection for effectiveness proof</t>
        </r>
      </text>
    </comment>
    <comment ref="O46" authorId="0">
      <text>
        <r>
          <rPr>
            <sz val="14"/>
            <color indexed="81"/>
            <rFont val="Tahoma"/>
            <family val="2"/>
          </rPr>
          <t>Enter the status of D7: in work or completed and note down the date of finishing D7.</t>
        </r>
      </text>
    </comment>
    <comment ref="G50" authorId="1">
      <text>
        <r>
          <rPr>
            <sz val="14"/>
            <color indexed="81"/>
            <rFont val="Tahoma"/>
            <family val="2"/>
          </rPr>
          <t xml:space="preserve">Select from drop down menu the related action: </t>
        </r>
        <r>
          <rPr>
            <i/>
            <sz val="14"/>
            <color indexed="81"/>
            <rFont val="Tahoma"/>
            <family val="2"/>
          </rPr>
          <t>new/ updated/ checked, not applicable</t>
        </r>
        <r>
          <rPr>
            <sz val="14"/>
            <color indexed="81"/>
            <rFont val="Tahoma"/>
            <family val="2"/>
          </rPr>
          <t xml:space="preserve"> to the respective designation</t>
        </r>
      </text>
    </comment>
    <comment ref="I50" authorId="0">
      <text>
        <r>
          <rPr>
            <sz val="14"/>
            <color indexed="81"/>
            <rFont val="Tahoma"/>
            <family val="2"/>
          </rPr>
          <t xml:space="preserve"> Enter the designation of the respective documents that have to be revised/ created new during fault analysis.
If the corrective actions are transferable to other product/ project/ process, respective FMEAs and PCPs also have to be updated.</t>
        </r>
      </text>
    </comment>
    <comment ref="O50" authorId="0">
      <text>
        <r>
          <rPr>
            <sz val="14"/>
            <color indexed="81"/>
            <rFont val="Tahoma"/>
            <family val="2"/>
          </rPr>
          <t xml:space="preserve"> Enter the target date for the change.</t>
        </r>
      </text>
    </comment>
    <comment ref="R50" authorId="0">
      <text>
        <r>
          <rPr>
            <sz val="14"/>
            <color indexed="81"/>
            <rFont val="Tahoma"/>
            <family val="2"/>
          </rPr>
          <t xml:space="preserve"> Enter the implementation date of the change.</t>
        </r>
      </text>
    </comment>
    <comment ref="U50" authorId="0">
      <text>
        <r>
          <rPr>
            <sz val="14"/>
            <color indexed="81"/>
            <rFont val="Tahoma"/>
            <family val="2"/>
          </rPr>
          <t>Enter the responsible person for creating, revising or checking of the documents</t>
        </r>
      </text>
    </comment>
    <comment ref="Y50" authorId="0">
      <text>
        <r>
          <rPr>
            <sz val="14"/>
            <color indexed="81"/>
            <rFont val="Tahoma"/>
            <family val="2"/>
          </rPr>
          <t>Enter comments, e.g. e-mail was send to the responsible person, who is in charge to change the document (especially for changes in global valid WI/ PI to inform central departments)</t>
        </r>
      </text>
    </comment>
    <comment ref="C62" authorId="0">
      <text>
        <r>
          <rPr>
            <sz val="20"/>
            <color indexed="81"/>
            <rFont val="Tahoma"/>
            <family val="2"/>
          </rPr>
          <t xml:space="preserve"> Can other products/processes be affected by this fault? 
– e.g. material of clips is brittle and breaks easily;
- In which projects is this clip also used?
- Which products have to be controlled/sorted? 
-Inform the responsible person and limit the defective parts to a timescale/box/ident or processes.
If the corrective actions are transferable to other product/ project/ process, respective FMEAs and PCPs also have to be updated.</t>
        </r>
      </text>
    </comment>
    <comment ref="D64" authorId="0">
      <text>
        <r>
          <rPr>
            <sz val="14"/>
            <color indexed="81"/>
            <rFont val="Tahoma"/>
            <family val="2"/>
          </rPr>
          <t xml:space="preserve"> Are the corrective actions transferable to other processes/products? Choose “yes” or “no”.</t>
        </r>
      </text>
    </comment>
    <comment ref="W64" authorId="1">
      <text>
        <r>
          <rPr>
            <sz val="14"/>
            <color indexed="81"/>
            <rFont val="Tahoma"/>
            <family val="2"/>
          </rPr>
          <t>If the technical corrective measures can be transferable and/ or can influence the change of the the standard process, inform the Prevention-team</t>
        </r>
      </text>
    </comment>
    <comment ref="D66" authorId="0">
      <text>
        <r>
          <rPr>
            <sz val="14"/>
            <color indexed="81"/>
            <rFont val="Tahoma"/>
            <family val="2"/>
          </rPr>
          <t>If yes, enter the concerned processes/products that must be improved.</t>
        </r>
      </text>
    </comment>
    <comment ref="I66" authorId="0">
      <text>
        <r>
          <rPr>
            <sz val="14"/>
            <color indexed="81"/>
            <rFont val="Tahoma"/>
            <family val="2"/>
          </rPr>
          <t>Enter the corrective action that needs to be transferred to other processes/products.</t>
        </r>
      </text>
    </comment>
    <comment ref="U66" authorId="0">
      <text>
        <r>
          <rPr>
            <sz val="14"/>
            <color indexed="81"/>
            <rFont val="Tahoma"/>
            <family val="2"/>
          </rPr>
          <t>If technical corrective actions are transferable to other processes/products, inform the responsible of the affected processes/products.</t>
        </r>
      </text>
    </comment>
    <comment ref="Y66" authorId="0">
      <text>
        <r>
          <rPr>
            <sz val="14"/>
            <color indexed="81"/>
            <rFont val="Tahoma"/>
            <family val="2"/>
          </rPr>
          <t xml:space="preserve"> Note down the date when the e-mail was sent to the responsible.</t>
        </r>
      </text>
    </comment>
    <comment ref="D71" authorId="0">
      <text>
        <r>
          <rPr>
            <sz val="14"/>
            <color indexed="81"/>
            <rFont val="Tahoma"/>
            <family val="2"/>
          </rPr>
          <t>Are the corrective actions transferable to other processes/products?
 Choose “yes” or “no”.</t>
        </r>
      </text>
    </comment>
    <comment ref="G81" authorId="0">
      <text>
        <r>
          <rPr>
            <sz val="14"/>
            <color indexed="81"/>
            <rFont val="Tahoma"/>
            <family val="2"/>
          </rPr>
          <t xml:space="preserve">When was the last update (saved change) of the PSS? </t>
        </r>
      </text>
    </comment>
    <comment ref="N81" authorId="0">
      <text>
        <r>
          <rPr>
            <sz val="14"/>
            <color indexed="81"/>
            <rFont val="Tahoma"/>
            <family val="2"/>
          </rPr>
          <t>What is the current status of the complaint?
- During problem solving process → not filled means in work
- PSS closed → accepted or rejected (accepted from customer/ supplier/other Korschu-plant</t>
        </r>
      </text>
    </comment>
    <comment ref="D84" authorId="0">
      <text>
        <r>
          <rPr>
            <sz val="14"/>
            <color indexed="81"/>
            <rFont val="Tahoma"/>
            <family val="2"/>
          </rPr>
          <t>PSC has to be informed about the content of the PSS (in case of safety-relevant characteristic)
If a FuSi relevant part is affected, the responsible customer center FSM have to be informed immediately too</t>
        </r>
      </text>
    </comment>
    <comment ref="D85" authorId="0">
      <text>
        <r>
          <rPr>
            <sz val="14"/>
            <color indexed="81"/>
            <rFont val="Tahoma"/>
            <family val="2"/>
          </rPr>
          <t>Responsible Q plant confirms that she/he was informed</t>
        </r>
      </text>
    </comment>
    <comment ref="D86" authorId="0">
      <text>
        <r>
          <rPr>
            <sz val="14"/>
            <color indexed="81"/>
            <rFont val="Tahoma"/>
            <family val="2"/>
          </rPr>
          <t>AP-team leader confirms that the PSS was checked</t>
        </r>
      </text>
    </comment>
    <comment ref="D87" authorId="0">
      <text>
        <r>
          <rPr>
            <sz val="14"/>
            <color indexed="81"/>
            <rFont val="Tahoma"/>
            <family val="2"/>
          </rPr>
          <t>Problem coordinator confirms that the affected areas are informed about the solution of the problem</t>
        </r>
      </text>
    </comment>
    <comment ref="C93" authorId="1">
      <text>
        <r>
          <rPr>
            <sz val="14"/>
            <color indexed="81"/>
            <rFont val="Tahoma"/>
            <family val="2"/>
          </rPr>
          <t>Add a proof about the result, e.g. screenshot from QIS (evaluation for the same fault type) in the corresponding field from PSS after 8D.</t>
        </r>
      </text>
    </comment>
  </commentList>
</comments>
</file>

<file path=xl/comments8.xml><?xml version="1.0" encoding="utf-8"?>
<comments xmlns="http://schemas.openxmlformats.org/spreadsheetml/2006/main">
  <authors>
    <author>Bakirova, Yulia</author>
    <author>ADRIAN DAMIAN</author>
  </authors>
  <commentList>
    <comment ref="R2" authorId="0">
      <text>
        <r>
          <rPr>
            <sz val="14"/>
            <color indexed="81"/>
            <rFont val="Tahoma"/>
            <family val="2"/>
          </rPr>
          <t>All data is automatically taken over from the PSS-format.
Is there additional information still necessary, add it to the available fields for comments</t>
        </r>
      </text>
    </comment>
    <comment ref="BM7" authorId="0">
      <text>
        <r>
          <rPr>
            <sz val="14"/>
            <color indexed="81"/>
            <rFont val="Tahoma"/>
            <family val="2"/>
          </rPr>
          <t>Fill in according to the customer requirement (feature for KSA)</t>
        </r>
      </text>
    </comment>
    <comment ref="D24" authorId="0">
      <text>
        <r>
          <rPr>
            <sz val="14"/>
            <color indexed="81"/>
            <rFont val="Tahoma"/>
            <family val="2"/>
          </rPr>
          <t>Designation of  PSS-coordinator (most times from AP-Team)
in case of Champions Program: Champion itself</t>
        </r>
      </text>
    </comment>
    <comment ref="BL24" authorId="0">
      <text>
        <r>
          <rPr>
            <sz val="14"/>
            <color indexed="81"/>
            <rFont val="Tahoma"/>
            <family val="2"/>
          </rPr>
          <t>Designation of  Sponsor
(supporting executive; should be interested in the problem solving)</t>
        </r>
      </text>
    </comment>
    <comment ref="V45" authorId="0">
      <text>
        <r>
          <rPr>
            <sz val="14"/>
            <color indexed="81"/>
            <rFont val="Tahoma"/>
            <family val="2"/>
          </rPr>
          <t>Result or outcome of the problem</t>
        </r>
        <r>
          <rPr>
            <b/>
            <sz val="9"/>
            <color indexed="81"/>
            <rFont val="Segoe UI"/>
            <family val="2"/>
          </rPr>
          <t xml:space="preserve">
</t>
        </r>
      </text>
    </comment>
    <comment ref="AH50" authorId="1">
      <text>
        <r>
          <rPr>
            <sz val="14"/>
            <color indexed="81"/>
            <rFont val="Tahoma"/>
            <family val="2"/>
          </rPr>
          <t>Fault code according to document 4.15.04.00 – Fault catalogue for cable harness manufacture
(the FC has to be introduced with minimum 3 digits - for example 050)</t>
        </r>
      </text>
    </comment>
    <comment ref="M53" authorId="0">
      <text>
        <r>
          <rPr>
            <sz val="14"/>
            <color indexed="81"/>
            <rFont val="Tahoma"/>
            <family val="2"/>
          </rPr>
          <t>Where is the defect on the harness? - localize it on the harness</t>
        </r>
      </text>
    </comment>
    <comment ref="M55" authorId="0">
      <text>
        <r>
          <rPr>
            <sz val="14"/>
            <color indexed="81"/>
            <rFont val="Tahoma"/>
            <family val="2"/>
          </rPr>
          <t>On which working place was the complained part produced?</t>
        </r>
      </text>
    </comment>
    <comment ref="M56" authorId="0">
      <text>
        <r>
          <rPr>
            <sz val="14"/>
            <color indexed="81"/>
            <rFont val="Tahoma"/>
            <family val="2"/>
          </rPr>
          <t>Was the operator qualified to do the job? Ask from HR department for operator training</t>
        </r>
      </text>
    </comment>
    <comment ref="M57" authorId="0">
      <text>
        <r>
          <rPr>
            <sz val="14"/>
            <color indexed="81"/>
            <rFont val="Tahoma"/>
            <family val="2"/>
          </rPr>
          <t xml:space="preserve">Which production line produced the complained part? </t>
        </r>
      </text>
    </comment>
    <comment ref="M58" authorId="0">
      <text>
        <r>
          <rPr>
            <sz val="14"/>
            <color indexed="81"/>
            <rFont val="Tahoma"/>
            <family val="2"/>
          </rPr>
          <t xml:space="preserve">Which team/s produced the complained part? </t>
        </r>
      </text>
    </comment>
    <comment ref="M59" authorId="0">
      <text>
        <r>
          <rPr>
            <sz val="14"/>
            <color indexed="81"/>
            <rFont val="Tahoma"/>
            <family val="2"/>
          </rPr>
          <t>Which machines are potentially affected? If possible enter the BM-ID. 
For example: welding faults – welding machines with BM-ID, 
in case of crimping faults – crimping machines with BM-ID, 
Which machine/s produced the fault?</t>
        </r>
      </text>
    </comment>
    <comment ref="R61" authorId="0">
      <text>
        <r>
          <rPr>
            <sz val="14"/>
            <color indexed="81"/>
            <rFont val="Tahoma"/>
            <family val="2"/>
          </rPr>
          <t>Enter the PSS-Number from PSS-Overview in case of selected "YES"for repetitive fault. Previous PSS from PSS-Overview</t>
        </r>
      </text>
    </comment>
    <comment ref="BB72" authorId="1">
      <text>
        <r>
          <rPr>
            <sz val="14"/>
            <color indexed="81"/>
            <rFont val="Tahoma"/>
            <family val="2"/>
          </rPr>
          <t>Automatically calculated from the inserted amount of potentially affected parts</t>
        </r>
      </text>
    </comment>
    <comment ref="BM75" authorId="0">
      <text>
        <r>
          <rPr>
            <sz val="14"/>
            <color indexed="81"/>
            <rFont val="Tahoma"/>
            <family val="2"/>
          </rPr>
          <t>Side effects of the measures</t>
        </r>
      </text>
    </comment>
    <comment ref="CB75" authorId="0">
      <text>
        <r>
          <rPr>
            <sz val="14"/>
            <color indexed="81"/>
            <rFont val="Tahoma"/>
            <family val="2"/>
          </rPr>
          <t>Level according to the table "Risk assesment"</t>
        </r>
      </text>
    </comment>
    <comment ref="CF75" authorId="0">
      <text>
        <r>
          <rPr>
            <sz val="14"/>
            <color indexed="81"/>
            <rFont val="Tahoma"/>
            <family val="2"/>
          </rPr>
          <t>Enter counter-measures for the risks if necessary</t>
        </r>
      </text>
    </comment>
    <comment ref="CR75" authorId="0">
      <text>
        <r>
          <rPr>
            <sz val="14"/>
            <color indexed="81"/>
            <rFont val="Tahoma"/>
            <family val="2"/>
          </rPr>
          <t>proof of efficiency throug</t>
        </r>
      </text>
    </comment>
    <comment ref="DC75" authorId="0">
      <text>
        <r>
          <rPr>
            <sz val="14"/>
            <color indexed="81"/>
            <rFont val="Tahoma"/>
            <family val="2"/>
          </rPr>
          <t>Date when the efficiency check was done</t>
        </r>
      </text>
    </comment>
    <comment ref="D77" authorId="1">
      <text>
        <r>
          <rPr>
            <sz val="14"/>
            <color indexed="81"/>
            <rFont val="Tahoma"/>
            <family val="2"/>
          </rPr>
          <t>Measures for continuing secure production at customer, with responsible person and date of implementation.</t>
        </r>
      </text>
    </comment>
    <comment ref="D80" authorId="1">
      <text>
        <r>
          <rPr>
            <sz val="14"/>
            <color indexed="81"/>
            <rFont val="Tahoma"/>
            <family val="2"/>
          </rPr>
          <t>Measures for continuing delivery to customer, with responsible person, date of implementation and current status of implementation.</t>
        </r>
      </text>
    </comment>
    <comment ref="D83" authorId="1">
      <text>
        <r>
          <rPr>
            <sz val="14"/>
            <color indexed="81"/>
            <rFont val="Tahoma"/>
            <family val="2"/>
          </rPr>
          <t>Measures for continuing Kroschu-production, with responsible person and date of implementation.</t>
        </r>
      </text>
    </comment>
    <comment ref="AD89" authorId="1">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BQ89" authorId="1">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DD89" authorId="1">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AD91" authorId="1">
      <text>
        <r>
          <rPr>
            <sz val="14"/>
            <color indexed="81"/>
            <rFont val="Tahoma"/>
            <family val="2"/>
          </rPr>
          <t>Total of sorted harnesses.</t>
        </r>
      </text>
    </comment>
    <comment ref="BQ91" authorId="1">
      <text>
        <r>
          <rPr>
            <sz val="14"/>
            <color indexed="81"/>
            <rFont val="Tahoma"/>
            <family val="2"/>
          </rPr>
          <t>Total of sorted harnesses.</t>
        </r>
      </text>
    </comment>
    <comment ref="DD91" authorId="0">
      <text>
        <r>
          <rPr>
            <sz val="12"/>
            <color indexed="81"/>
            <rFont val="Tahoma"/>
            <family val="2"/>
          </rPr>
          <t>Total of sorted harnesses</t>
        </r>
      </text>
    </comment>
    <comment ref="AD94" authorId="1">
      <text>
        <r>
          <rPr>
            <sz val="14"/>
            <color indexed="81"/>
            <rFont val="Tahoma"/>
            <family val="2"/>
          </rPr>
          <t>How many harnesses were NIO(not OK)</t>
        </r>
      </text>
    </comment>
    <comment ref="BQ94" authorId="1">
      <text>
        <r>
          <rPr>
            <sz val="14"/>
            <color indexed="81"/>
            <rFont val="Tahoma"/>
            <family val="2"/>
          </rPr>
          <t>How many harnesses were NIO(not OK)</t>
        </r>
      </text>
    </comment>
    <comment ref="DD94" authorId="1">
      <text>
        <r>
          <rPr>
            <sz val="14"/>
            <color indexed="81"/>
            <rFont val="Tahoma"/>
            <family val="2"/>
          </rPr>
          <t>How many harnesses were NIO(not OK)</t>
        </r>
      </text>
    </comment>
    <comment ref="AD97" authorId="1">
      <text>
        <r>
          <rPr>
            <sz val="14"/>
            <color indexed="81"/>
            <rFont val="Tahoma"/>
            <family val="2"/>
          </rPr>
          <t>e.g. green marking of controlled harnesses, first OK KSK-number</t>
        </r>
      </text>
    </comment>
    <comment ref="BQ97" authorId="1">
      <text>
        <r>
          <rPr>
            <sz val="14"/>
            <color indexed="81"/>
            <rFont val="Tahoma"/>
            <family val="2"/>
          </rPr>
          <t>e.g. green marking of controlled harnesses, first OK KSK-number</t>
        </r>
      </text>
    </comment>
    <comment ref="DD97" authorId="1">
      <text>
        <r>
          <rPr>
            <sz val="14"/>
            <color indexed="81"/>
            <rFont val="Tahoma"/>
            <family val="2"/>
          </rPr>
          <t>e.g. green marking of controlled harnesses, first OK KSK-number</t>
        </r>
      </text>
    </comment>
    <comment ref="DD99" authorId="1">
      <text>
        <r>
          <rPr>
            <sz val="14"/>
            <color indexed="81"/>
            <rFont val="Tahoma"/>
            <family val="2"/>
          </rPr>
          <t>When will be the first verified products deliverd? (VS-Checkpoint from PowerSearchTool)</t>
        </r>
      </text>
    </comment>
    <comment ref="H137" authorId="1">
      <text>
        <r>
          <rPr>
            <sz val="14"/>
            <color indexed="81"/>
            <rFont val="Tahoma"/>
            <family val="2"/>
          </rPr>
          <t>Enter comments regarding Data analysis</t>
        </r>
      </text>
    </comment>
    <comment ref="CO151" authorId="0">
      <text>
        <r>
          <rPr>
            <sz val="14"/>
            <color indexed="81"/>
            <rFont val="Tahoma"/>
            <family val="2"/>
          </rPr>
          <t>Side effects of the measures</t>
        </r>
      </text>
    </comment>
    <comment ref="DD151" authorId="0">
      <text>
        <r>
          <rPr>
            <sz val="14"/>
            <color indexed="81"/>
            <rFont val="Tahoma"/>
            <family val="2"/>
          </rPr>
          <t>Level according to the table "Risk assesment"</t>
        </r>
      </text>
    </comment>
    <comment ref="DI151" authorId="0">
      <text>
        <r>
          <rPr>
            <sz val="14"/>
            <color indexed="81"/>
            <rFont val="Tahoma"/>
            <family val="2"/>
          </rPr>
          <t>Enter counter-measures for the risks if necessary</t>
        </r>
      </text>
    </comment>
    <comment ref="C212" authorId="1">
      <text>
        <r>
          <rPr>
            <sz val="20"/>
            <color indexed="81"/>
            <rFont val="Tahoma"/>
            <family val="2"/>
          </rPr>
          <t xml:space="preserve"> Can other products/processes be affected by this fault? 
– e.g. material of clips is brittle and breaks easily;
- In which projects is this clip also used?
- Which products have to be controlled/sorted? 
-Inform the responsible person and limit the defective parts to a timescale/box/ident or processes.
If the corrective actions are transferable to other product/ project/ process, respective FMEAs and PCPs also have to be updated.</t>
        </r>
      </text>
    </comment>
    <comment ref="C214" authorId="1">
      <text>
        <r>
          <rPr>
            <sz val="20"/>
            <color indexed="81"/>
            <rFont val="Tahoma"/>
            <family val="2"/>
          </rPr>
          <t xml:space="preserve"> Are the corrective actions transferable to other processes/products?
 Choose “yes” or “no”.</t>
        </r>
      </text>
    </comment>
    <comment ref="CV214" authorId="0">
      <text>
        <r>
          <rPr>
            <sz val="11"/>
            <color indexed="81"/>
            <rFont val="Tahoma"/>
            <family val="2"/>
          </rPr>
          <t>If the technical corrective measures can be transferable and/ or can influence the change of the the standard process, inform the Prevention-team</t>
        </r>
      </text>
    </comment>
    <comment ref="D216" authorId="1">
      <text>
        <r>
          <rPr>
            <sz val="20"/>
            <color indexed="81"/>
            <rFont val="Tahoma"/>
            <family val="2"/>
          </rPr>
          <t xml:space="preserve"> If yes, enter the concerned processes/products that must be improved.</t>
        </r>
      </text>
    </comment>
    <comment ref="Y216" authorId="1">
      <text>
        <r>
          <rPr>
            <sz val="20"/>
            <color indexed="81"/>
            <rFont val="Tahoma"/>
            <family val="2"/>
          </rPr>
          <t xml:space="preserve"> Enter the corrective action that needs to be transferred to other processes/products.</t>
        </r>
      </text>
    </comment>
    <comment ref="CO216" authorId="1">
      <text>
        <r>
          <rPr>
            <sz val="20"/>
            <color indexed="81"/>
            <rFont val="Tahoma"/>
            <family val="2"/>
          </rPr>
          <t xml:space="preserve"> If technical corrective actions are transferable to other processes/products, inform the responsible of the affected processes/products.</t>
        </r>
      </text>
    </comment>
    <comment ref="DB216" authorId="1">
      <text>
        <r>
          <rPr>
            <sz val="16"/>
            <color indexed="81"/>
            <rFont val="Tahoma"/>
            <family val="2"/>
          </rPr>
          <t xml:space="preserve"> Note down the date when the e-mail was sent to the responsible.</t>
        </r>
      </text>
    </comment>
    <comment ref="C221" authorId="1">
      <text>
        <r>
          <rPr>
            <sz val="20"/>
            <color indexed="81"/>
            <rFont val="Tahoma"/>
            <family val="2"/>
          </rPr>
          <t xml:space="preserve"> Are the corrective actions transferable to other processes/products?
 Choose “yes” or “no”.</t>
        </r>
      </text>
    </comment>
    <comment ref="D234" authorId="1">
      <text>
        <r>
          <rPr>
            <sz val="14"/>
            <color indexed="81"/>
            <rFont val="Tahoma"/>
            <family val="2"/>
          </rPr>
          <t>PSC has to be informed about the content of the PSS (in case of safety-relevant characteristic)
If a FuSi relevant part is affected, the responsible customer center FSM have to be informed immediately too</t>
        </r>
      </text>
    </comment>
    <comment ref="D235" authorId="1">
      <text>
        <r>
          <rPr>
            <sz val="14"/>
            <color indexed="81"/>
            <rFont val="Tahoma"/>
            <family val="2"/>
          </rPr>
          <t>Responsible Q plant confirms that she/he was informed</t>
        </r>
      </text>
    </comment>
    <comment ref="D236" authorId="1">
      <text>
        <r>
          <rPr>
            <sz val="14"/>
            <color indexed="81"/>
            <rFont val="Tahoma"/>
            <family val="2"/>
          </rPr>
          <t>AP-team leader confirms that the PSS was checked</t>
        </r>
      </text>
    </comment>
    <comment ref="D237" authorId="1">
      <text>
        <r>
          <rPr>
            <sz val="14"/>
            <color indexed="81"/>
            <rFont val="Tahoma"/>
            <family val="2"/>
          </rPr>
          <t>Problem coordinator confirms that the affected areas are informed about the solution of the problem</t>
        </r>
      </text>
    </comment>
  </commentList>
</comments>
</file>

<file path=xl/comments9.xml><?xml version="1.0" encoding="utf-8"?>
<comments xmlns="http://schemas.openxmlformats.org/spreadsheetml/2006/main">
  <authors>
    <author>Bakirova, Yulia</author>
    <author>ADRIAN DAMIAN</author>
  </authors>
  <commentList>
    <comment ref="R2" authorId="0">
      <text>
        <r>
          <rPr>
            <sz val="14"/>
            <color indexed="81"/>
            <rFont val="Tahoma"/>
            <family val="2"/>
          </rPr>
          <t>All data is automatically taken over from the PSS-format.
Is there additional information still necessary, add it to the available fields for comments</t>
        </r>
      </text>
    </comment>
    <comment ref="BJ4" authorId="1">
      <text>
        <r>
          <rPr>
            <sz val="14"/>
            <color indexed="81"/>
            <rFont val="Tahoma"/>
            <family val="2"/>
          </rPr>
          <t>Select from the drop-down menu fault type(e.g. PPM-0KM,Hotline,TOP PA faults)</t>
        </r>
      </text>
    </comment>
    <comment ref="N7" authorId="1">
      <text>
        <r>
          <rPr>
            <sz val="14"/>
            <color indexed="81"/>
            <rFont val="Tahoma"/>
            <family val="2"/>
          </rPr>
          <t>Kroschu plant(number and plant name) chose from drop down menu
E.g: 12_KSRO-Me</t>
        </r>
      </text>
    </comment>
    <comment ref="BM7" authorId="0">
      <text>
        <r>
          <rPr>
            <sz val="14"/>
            <color indexed="81"/>
            <rFont val="Tahoma"/>
            <family val="2"/>
          </rPr>
          <t>Fill in according to the customer requirement (feature for KSA)</t>
        </r>
      </text>
    </comment>
    <comment ref="D14" authorId="0">
      <text>
        <r>
          <rPr>
            <sz val="14"/>
            <color indexed="81"/>
            <rFont val="Tahoma"/>
            <family val="2"/>
          </rPr>
          <t>Choose from drop down menu:
KSK
P-Module
Ident (Part Nr.)</t>
        </r>
      </text>
    </comment>
    <comment ref="CC17" authorId="0">
      <text>
        <r>
          <rPr>
            <sz val="14"/>
            <color indexed="81"/>
            <rFont val="Tahoma"/>
            <family val="2"/>
          </rPr>
          <t>Choose from drop down menu:
- Safety-relevant characteristic
- FuSi (Functional safety)</t>
        </r>
      </text>
    </comment>
    <comment ref="DD17" authorId="1">
      <text>
        <r>
          <rPr>
            <sz val="14"/>
            <color indexed="81"/>
            <rFont val="Tahoma"/>
            <family val="2"/>
          </rPr>
          <t>Is the defect marked as safety-relevant characteristic?</t>
        </r>
      </text>
    </comment>
    <comment ref="D24" authorId="0">
      <text>
        <r>
          <rPr>
            <sz val="14"/>
            <color indexed="81"/>
            <rFont val="Tahoma"/>
            <family val="2"/>
          </rPr>
          <t>Designation of  PSS-coordinator (most times from AP-Team)
in case of Champions Program: Champion itself</t>
        </r>
      </text>
    </comment>
    <comment ref="BL24" authorId="0">
      <text>
        <r>
          <rPr>
            <sz val="14"/>
            <color indexed="81"/>
            <rFont val="Tahoma"/>
            <family val="2"/>
          </rPr>
          <t>Designation of  Sponsor
(supporting executive; should be interested in the problem solving)</t>
        </r>
      </text>
    </comment>
    <comment ref="V45" authorId="0">
      <text>
        <r>
          <rPr>
            <sz val="14"/>
            <color indexed="81"/>
            <rFont val="Tahoma"/>
            <family val="2"/>
          </rPr>
          <t>Result (or outcome) of the problem, e.g: no electrical connection</t>
        </r>
        <r>
          <rPr>
            <b/>
            <sz val="9"/>
            <color indexed="81"/>
            <rFont val="Segoe UI"/>
            <family val="2"/>
          </rPr>
          <t xml:space="preserve">
</t>
        </r>
      </text>
    </comment>
    <comment ref="V47" authorId="0">
      <text>
        <r>
          <rPr>
            <sz val="14"/>
            <color indexed="81"/>
            <rFont val="Tahoma"/>
            <family val="2"/>
          </rPr>
          <t>The defect itself, e.g. wire 111 not plugged
(will be used for Ishikawa)</t>
        </r>
      </text>
    </comment>
    <comment ref="AH50" authorId="1">
      <text>
        <r>
          <rPr>
            <sz val="14"/>
            <color indexed="81"/>
            <rFont val="Tahoma"/>
            <family val="2"/>
          </rPr>
          <t>Fault code according to document 4.15.04.00 – Fault catalogue for cable harness manufacture
(the FC has to be introduced with minimum 3 digits - for example 050)</t>
        </r>
      </text>
    </comment>
    <comment ref="M53" authorId="0">
      <text>
        <r>
          <rPr>
            <sz val="14"/>
            <color indexed="81"/>
            <rFont val="Tahoma"/>
            <family val="2"/>
          </rPr>
          <t>Where is the defect on the harness? - localize it on the harness</t>
        </r>
      </text>
    </comment>
    <comment ref="M55" authorId="0">
      <text>
        <r>
          <rPr>
            <sz val="14"/>
            <color indexed="81"/>
            <rFont val="Tahoma"/>
            <family val="2"/>
          </rPr>
          <t>On which working place was the complained part produced?</t>
        </r>
      </text>
    </comment>
    <comment ref="M56" authorId="0">
      <text>
        <r>
          <rPr>
            <sz val="14"/>
            <color indexed="81"/>
            <rFont val="Tahoma"/>
            <family val="2"/>
          </rPr>
          <t>Was the operator qualified to do the job? Ask from HR department for operator training</t>
        </r>
      </text>
    </comment>
    <comment ref="M57" authorId="0">
      <text>
        <r>
          <rPr>
            <sz val="14"/>
            <color indexed="81"/>
            <rFont val="Tahoma"/>
            <family val="2"/>
          </rPr>
          <t xml:space="preserve">Which production line produced the complained part? </t>
        </r>
      </text>
    </comment>
    <comment ref="M58" authorId="0">
      <text>
        <r>
          <rPr>
            <sz val="14"/>
            <color indexed="81"/>
            <rFont val="Tahoma"/>
            <family val="2"/>
          </rPr>
          <t xml:space="preserve">Which team/s produced the complained part? </t>
        </r>
      </text>
    </comment>
    <comment ref="M59" authorId="0">
      <text>
        <r>
          <rPr>
            <sz val="14"/>
            <color indexed="81"/>
            <rFont val="Tahoma"/>
            <family val="2"/>
          </rPr>
          <t>Which machines are potentially affected? If possible enter the BM-ID. 
For example: welding faults – welding machines with BM-ID, 
in case of crimping faults – crimping machines with BM-ID, 
Which machine/s produced the fault?</t>
        </r>
      </text>
    </comment>
    <comment ref="M61" authorId="1">
      <text>
        <r>
          <rPr>
            <sz val="14"/>
            <color indexed="81"/>
            <rFont val="Tahoma"/>
            <family val="2"/>
          </rPr>
          <t>Select from dropdown menu "YES"or "NO" according description of repetitive fault in WI 3.12.30.00 chapter 5.1.4</t>
        </r>
      </text>
    </comment>
    <comment ref="R61" authorId="0">
      <text>
        <r>
          <rPr>
            <sz val="14"/>
            <color indexed="81"/>
            <rFont val="Tahoma"/>
            <family val="2"/>
          </rPr>
          <t>Enter the PSS-Number from PSS-Overview in case of selected "YES"for repetitive fault. Previous PSS from PSS-Overview</t>
        </r>
      </text>
    </comment>
    <comment ref="BY65" authorId="1">
      <text>
        <r>
          <rPr>
            <sz val="14"/>
            <color indexed="81"/>
            <rFont val="Tahoma"/>
            <family val="2"/>
          </rPr>
          <t>Select from dropdown menu "In Work" or "Completed" what is the current status of D3 discipline.
  &gt; after all imediate action(s) are taken -&gt; Completed.
D3 discipline is complete and ready to be sent to costomer in case of needed and requested.</t>
        </r>
      </text>
    </comment>
    <comment ref="AJ68" authorId="1">
      <text>
        <r>
          <rPr>
            <sz val="14"/>
            <color indexed="81"/>
            <rFont val="Tahoma"/>
            <family val="2"/>
          </rPr>
          <t>Answer the question if the relevant employees were informed about the fault by selecting from dropdown menu "YES" or  "NO"</t>
        </r>
      </text>
    </comment>
    <comment ref="AJ72" authorId="1">
      <text>
        <r>
          <rPr>
            <sz val="14"/>
            <color indexed="81"/>
            <rFont val="Tahoma"/>
            <family val="2"/>
          </rPr>
          <t>Answer the question if a limitation of the affected products is possilble by selecting from dropdown menu "YES" or "NO
If "NO"is selected the limitation cells will disappear</t>
        </r>
      </text>
    </comment>
    <comment ref="BL72" authorId="1">
      <text>
        <r>
          <rPr>
            <sz val="14"/>
            <color indexed="81"/>
            <rFont val="Tahoma"/>
            <family val="2"/>
          </rPr>
          <t>How many products which are potentially affected are at the customer?
Ask from Logistic</t>
        </r>
      </text>
    </comment>
    <comment ref="BZ72" authorId="1">
      <text>
        <r>
          <rPr>
            <sz val="14"/>
            <color indexed="81"/>
            <rFont val="Tahoma"/>
            <family val="2"/>
          </rPr>
          <t xml:space="preserve">How many potentially affected parts are on transit? Also include the amounts of the JIS-center into transit-amounts.
Take the products in transit into consideration: 
- From module plant to production plant
- From production plant to distribution center
- From distribution center to customer
- From production plant to customer
</t>
        </r>
        <r>
          <rPr>
            <sz val="8"/>
            <color indexed="81"/>
            <rFont val="Tahoma"/>
            <family val="2"/>
          </rPr>
          <t xml:space="preserve">
</t>
        </r>
        <r>
          <rPr>
            <sz val="14"/>
            <color indexed="81"/>
            <rFont val="Tahoma"/>
            <family val="2"/>
          </rPr>
          <t>Ask from Logistic</t>
        </r>
      </text>
    </comment>
    <comment ref="CK72" authorId="1">
      <text>
        <r>
          <rPr>
            <sz val="14"/>
            <color indexed="81"/>
            <rFont val="Tahoma"/>
            <family val="2"/>
          </rPr>
          <t>How many potentially affected parts are at Kroschu?
Consider the stock of
│ Production plant of main harness
│ Production plant of modules
│ Distribution center</t>
        </r>
      </text>
    </comment>
    <comment ref="CT72" authorId="0">
      <text>
        <r>
          <rPr>
            <sz val="12"/>
            <color indexed="81"/>
            <rFont val="Tahoma"/>
            <family val="2"/>
          </rPr>
          <t>Automatically calculated from the inserted amount of potentially affected parts</t>
        </r>
      </text>
    </comment>
    <comment ref="BM75" authorId="0">
      <text>
        <r>
          <rPr>
            <sz val="14"/>
            <color indexed="81"/>
            <rFont val="Tahoma"/>
            <family val="2"/>
          </rPr>
          <t>Side effects of the measures</t>
        </r>
      </text>
    </comment>
    <comment ref="CB75" authorId="0">
      <text>
        <r>
          <rPr>
            <sz val="14"/>
            <color indexed="81"/>
            <rFont val="Tahoma"/>
            <family val="2"/>
          </rPr>
          <t>Level according to the table "Risk assesment"
High - measures to be discussed with customer
Mid - measures upon request of customer
ALARP - as low as reasonable practicable
Low - no further action needed</t>
        </r>
      </text>
    </comment>
    <comment ref="CF75" authorId="0">
      <text>
        <r>
          <rPr>
            <sz val="14"/>
            <color indexed="81"/>
            <rFont val="Tahoma"/>
            <family val="2"/>
          </rPr>
          <t>Enter counter-measures for the risks if necessary</t>
        </r>
      </text>
    </comment>
    <comment ref="CR75" authorId="0">
      <text>
        <r>
          <rPr>
            <sz val="14"/>
            <color indexed="81"/>
            <rFont val="Tahoma"/>
            <family val="2"/>
          </rPr>
          <t>proof of efficiency throug</t>
        </r>
      </text>
    </comment>
    <comment ref="DC75" authorId="0">
      <text>
        <r>
          <rPr>
            <sz val="14"/>
            <color indexed="81"/>
            <rFont val="Tahoma"/>
            <family val="2"/>
          </rPr>
          <t>Date when the efficiency check was done</t>
        </r>
      </text>
    </comment>
    <comment ref="D77" authorId="1">
      <text>
        <r>
          <rPr>
            <sz val="14"/>
            <color indexed="81"/>
            <rFont val="Tahoma"/>
            <family val="2"/>
          </rPr>
          <t>Measures for continuing secure production at customer, with responsible person and date of implementation.</t>
        </r>
      </text>
    </comment>
    <comment ref="L77" authorId="0">
      <text>
        <r>
          <rPr>
            <sz val="14"/>
            <color indexed="81"/>
            <rFont val="Tahoma"/>
            <family val="2"/>
          </rPr>
          <t>Select the "area" where the responding measures are done:
- customer
- on transit
- at Kroschu</t>
        </r>
      </text>
    </comment>
    <comment ref="D80" authorId="1">
      <text>
        <r>
          <rPr>
            <sz val="14"/>
            <color indexed="81"/>
            <rFont val="Tahoma"/>
            <family val="2"/>
          </rPr>
          <t>Measures for continuing delivery to customer, with responsible person, date of implementation and current status of implementation.</t>
        </r>
      </text>
    </comment>
    <comment ref="D83" authorId="1">
      <text>
        <r>
          <rPr>
            <sz val="14"/>
            <color indexed="81"/>
            <rFont val="Tahoma"/>
            <family val="2"/>
          </rPr>
          <t>Measures for continuing Kroschu-production, with responsible person and date of implementation.</t>
        </r>
      </text>
    </comment>
    <comment ref="AD89" authorId="1">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BQ89" authorId="1">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DD89" authorId="1">
      <text>
        <r>
          <rPr>
            <sz val="14"/>
            <color indexed="81"/>
            <rFont val="Tahoma"/>
            <family val="2"/>
          </rPr>
          <t>If "YES" is chosen then: 
Enter the quantity of sorted goods, NOK parts and the identifikation of OK parts (e.g. green marking of controlled harnesses, first OK KSK-number) 
If "NO" it is chosen then no other actions are needed. 
Write the reason why NO sorting action action is needed in the bellow Comments cell.</t>
        </r>
      </text>
    </comment>
    <comment ref="AD91" authorId="1">
      <text>
        <r>
          <rPr>
            <sz val="14"/>
            <color indexed="81"/>
            <rFont val="Tahoma"/>
            <family val="2"/>
          </rPr>
          <t>Total of sorted harnesses.</t>
        </r>
      </text>
    </comment>
    <comment ref="BQ91" authorId="1">
      <text>
        <r>
          <rPr>
            <sz val="14"/>
            <color indexed="81"/>
            <rFont val="Tahoma"/>
            <family val="2"/>
          </rPr>
          <t>Total of sorted harnesses.</t>
        </r>
      </text>
    </comment>
    <comment ref="DD91" authorId="0">
      <text>
        <r>
          <rPr>
            <sz val="12"/>
            <color indexed="81"/>
            <rFont val="Tahoma"/>
            <family val="2"/>
          </rPr>
          <t>Total of sorted harnesses</t>
        </r>
      </text>
    </comment>
    <comment ref="AD94" authorId="1">
      <text>
        <r>
          <rPr>
            <sz val="14"/>
            <color indexed="81"/>
            <rFont val="Tahoma"/>
            <family val="2"/>
          </rPr>
          <t>How many harnesses were NIO(not OK)</t>
        </r>
      </text>
    </comment>
    <comment ref="BQ94" authorId="1">
      <text>
        <r>
          <rPr>
            <sz val="14"/>
            <color indexed="81"/>
            <rFont val="Tahoma"/>
            <family val="2"/>
          </rPr>
          <t>How many harnesses were NIO(not OK)</t>
        </r>
      </text>
    </comment>
    <comment ref="DD94" authorId="1">
      <text>
        <r>
          <rPr>
            <sz val="14"/>
            <color indexed="81"/>
            <rFont val="Tahoma"/>
            <family val="2"/>
          </rPr>
          <t>How many harnesses were NIO(not OK)</t>
        </r>
      </text>
    </comment>
    <comment ref="AD97" authorId="1">
      <text>
        <r>
          <rPr>
            <sz val="14"/>
            <color indexed="81"/>
            <rFont val="Tahoma"/>
            <family val="2"/>
          </rPr>
          <t>e.g. green marking of controlled harnesses, first OK KSK-number</t>
        </r>
      </text>
    </comment>
    <comment ref="BQ97" authorId="1">
      <text>
        <r>
          <rPr>
            <sz val="14"/>
            <color indexed="81"/>
            <rFont val="Tahoma"/>
            <family val="2"/>
          </rPr>
          <t>e.g. green marking of controlled harnesses, first OK KSK-number</t>
        </r>
      </text>
    </comment>
    <comment ref="DD97" authorId="1">
      <text>
        <r>
          <rPr>
            <sz val="14"/>
            <color indexed="81"/>
            <rFont val="Tahoma"/>
            <family val="2"/>
          </rPr>
          <t>e.g. green marking of controlled harnesses, first OK KSK-number</t>
        </r>
      </text>
    </comment>
    <comment ref="DD99" authorId="1">
      <text>
        <r>
          <rPr>
            <sz val="14"/>
            <color indexed="81"/>
            <rFont val="Tahoma"/>
            <family val="2"/>
          </rPr>
          <t>When will be the first verified products deliverd? (VS-Checkpoint from PowerSearchTool)</t>
        </r>
      </text>
    </comment>
    <comment ref="CS113" authorId="0">
      <text>
        <r>
          <rPr>
            <sz val="14"/>
            <color indexed="81"/>
            <rFont val="Tahoma"/>
            <family val="2"/>
          </rPr>
          <t>To which category the fault can be assigned?
e.g.  Development or Production etc.</t>
        </r>
      </text>
    </comment>
    <comment ref="DC113" authorId="0">
      <text>
        <r>
          <rPr>
            <sz val="14"/>
            <color indexed="81"/>
            <rFont val="Tahoma"/>
            <family val="2"/>
          </rPr>
          <t>The confirmation of the identified causes/ method of the verification</t>
        </r>
      </text>
    </comment>
    <comment ref="E115" authorId="0">
      <text>
        <r>
          <rPr>
            <sz val="14"/>
            <color indexed="81"/>
            <rFont val="Tahoma"/>
            <family val="2"/>
          </rPr>
          <t xml:space="preserve">Select from drop down menu: </t>
        </r>
        <r>
          <rPr>
            <i/>
            <sz val="14"/>
            <color indexed="81"/>
            <rFont val="Tahoma"/>
            <family val="2"/>
          </rPr>
          <t>Occurence</t>
        </r>
        <r>
          <rPr>
            <sz val="14"/>
            <color indexed="81"/>
            <rFont val="Tahoma"/>
            <family val="2"/>
          </rPr>
          <t xml:space="preserve"> or </t>
        </r>
        <r>
          <rPr>
            <i/>
            <sz val="14"/>
            <color indexed="81"/>
            <rFont val="Tahoma"/>
            <family val="2"/>
          </rPr>
          <t>Non-Detection</t>
        </r>
      </text>
    </comment>
    <comment ref="M115" authorId="0">
      <text>
        <r>
          <rPr>
            <sz val="14"/>
            <color indexed="81"/>
            <rFont val="Tahoma"/>
            <family val="2"/>
          </rPr>
          <t xml:space="preserve">Describe the root cause of the problem </t>
        </r>
      </text>
    </comment>
    <comment ref="H137" authorId="1">
      <text>
        <r>
          <rPr>
            <sz val="14"/>
            <color indexed="81"/>
            <rFont val="Tahoma"/>
            <family val="2"/>
          </rPr>
          <t>Enter comments regarding Data analysis</t>
        </r>
      </text>
    </comment>
    <comment ref="D151" authorId="0">
      <text>
        <r>
          <rPr>
            <sz val="14"/>
            <color indexed="81"/>
            <rFont val="Tahoma"/>
            <family val="2"/>
          </rPr>
          <t>Copy from the table D4 - Root cause analysis</t>
        </r>
      </text>
    </comment>
    <comment ref="CO151" authorId="0">
      <text>
        <r>
          <rPr>
            <sz val="14"/>
            <color indexed="81"/>
            <rFont val="Tahoma"/>
            <family val="2"/>
          </rPr>
          <t>Side effects of the measures</t>
        </r>
      </text>
    </comment>
    <comment ref="DD151" authorId="0">
      <text>
        <r>
          <rPr>
            <sz val="14"/>
            <color indexed="81"/>
            <rFont val="Tahoma"/>
            <family val="2"/>
          </rPr>
          <t>Level according to the table "Risk assesment"
High - measures to be discussed with customer
Mid - measures upon request of customer
ALARP - as low as reasonable practicable
Low - no further action needed</t>
        </r>
      </text>
    </comment>
    <comment ref="DI151" authorId="0">
      <text>
        <r>
          <rPr>
            <sz val="14"/>
            <color indexed="81"/>
            <rFont val="Tahoma"/>
            <family val="2"/>
          </rPr>
          <t>Enter counter-measures for the risks if necessary</t>
        </r>
      </text>
    </comment>
    <comment ref="C212" authorId="1">
      <text>
        <r>
          <rPr>
            <sz val="20"/>
            <color indexed="81"/>
            <rFont val="Tahoma"/>
            <family val="2"/>
          </rPr>
          <t xml:space="preserve"> Can other products/processes be affected by this fault? 
– e.g. material of clips is brittle and breaks easily;
- In which projects is this clip also used?
- Which products have to be controlled/sorted? 
-Inform the responsible person and limit the defective parts to a timescale/box/ident or processes.
If the corrective actions are transferable to other product/ project/ process, respective FMEAs and PCPs also have to be updated.</t>
        </r>
      </text>
    </comment>
    <comment ref="C214" authorId="1">
      <text>
        <r>
          <rPr>
            <sz val="20"/>
            <color indexed="81"/>
            <rFont val="Tahoma"/>
            <family val="2"/>
          </rPr>
          <t xml:space="preserve"> Are the corrective actions transferable to other processes/products?
 Choose “yes” or “no”.</t>
        </r>
      </text>
    </comment>
    <comment ref="CV214" authorId="0">
      <text>
        <r>
          <rPr>
            <sz val="11"/>
            <color indexed="81"/>
            <rFont val="Tahoma"/>
            <family val="2"/>
          </rPr>
          <t>If the technical corrective measures can be transferable and/ or can influence the change of the the standard process, inform the Prevention-team</t>
        </r>
      </text>
    </comment>
    <comment ref="D216" authorId="1">
      <text>
        <r>
          <rPr>
            <sz val="20"/>
            <color indexed="81"/>
            <rFont val="Tahoma"/>
            <family val="2"/>
          </rPr>
          <t xml:space="preserve"> If yes, enter the concerned processes/products that must be improved.</t>
        </r>
      </text>
    </comment>
    <comment ref="Y216" authorId="1">
      <text>
        <r>
          <rPr>
            <sz val="20"/>
            <color indexed="81"/>
            <rFont val="Tahoma"/>
            <family val="2"/>
          </rPr>
          <t xml:space="preserve"> Enter the corrective action that needs to be transferred to other processes/products.</t>
        </r>
      </text>
    </comment>
    <comment ref="CO216" authorId="1">
      <text>
        <r>
          <rPr>
            <sz val="20"/>
            <color indexed="81"/>
            <rFont val="Tahoma"/>
            <family val="2"/>
          </rPr>
          <t xml:space="preserve"> If technical corrective actions are transferable to other processes/products, inform the responsible of the affected processes/products.</t>
        </r>
      </text>
    </comment>
    <comment ref="DB216" authorId="1">
      <text>
        <r>
          <rPr>
            <sz val="16"/>
            <color indexed="81"/>
            <rFont val="Tahoma"/>
            <family val="2"/>
          </rPr>
          <t xml:space="preserve"> Note down the date when the e-mail was sent to the responsible.</t>
        </r>
      </text>
    </comment>
    <comment ref="C221" authorId="1">
      <text>
        <r>
          <rPr>
            <sz val="20"/>
            <color indexed="81"/>
            <rFont val="Tahoma"/>
            <family val="2"/>
          </rPr>
          <t xml:space="preserve"> Are the corrective actions transferable to other processes/products?
 Choose “yes” or “no”.</t>
        </r>
      </text>
    </comment>
    <comment ref="BG230" authorId="1">
      <text>
        <r>
          <rPr>
            <sz val="14"/>
            <color indexed="81"/>
            <rFont val="Tahoma"/>
            <family val="2"/>
          </rPr>
          <t>What is the current status of the complaint?
- During problem solving process → not filled means in work
- PSS closed → accepted or rejected (accepted from customer/ supplier/other Korschu-plant</t>
        </r>
      </text>
    </comment>
    <comment ref="D234" authorId="1">
      <text>
        <r>
          <rPr>
            <sz val="14"/>
            <color indexed="81"/>
            <rFont val="Tahoma"/>
            <family val="2"/>
          </rPr>
          <t>PSC has to be informed about the content of the PSS (in case of safety-relevant characteristic)
If a FuSi relevant part is affected, the responsible customer center FSM have to be informed immediately too</t>
        </r>
      </text>
    </comment>
    <comment ref="D235" authorId="1">
      <text>
        <r>
          <rPr>
            <sz val="14"/>
            <color indexed="81"/>
            <rFont val="Tahoma"/>
            <family val="2"/>
          </rPr>
          <t>Responsible Q plant confirms that she/he was informed</t>
        </r>
      </text>
    </comment>
    <comment ref="D236" authorId="1">
      <text>
        <r>
          <rPr>
            <sz val="14"/>
            <color indexed="81"/>
            <rFont val="Tahoma"/>
            <family val="2"/>
          </rPr>
          <t>AP-team leader confirms that the PSS was checked</t>
        </r>
      </text>
    </comment>
    <comment ref="D237" authorId="1">
      <text>
        <r>
          <rPr>
            <sz val="14"/>
            <color indexed="81"/>
            <rFont val="Tahoma"/>
            <family val="2"/>
          </rPr>
          <t>Problem coordinator confirms that the affected areas are informed about the solution of the problem</t>
        </r>
      </text>
    </comment>
  </commentList>
</comments>
</file>

<file path=xl/sharedStrings.xml><?xml version="1.0" encoding="utf-8"?>
<sst xmlns="http://schemas.openxmlformats.org/spreadsheetml/2006/main" count="10463" uniqueCount="3370">
  <si>
    <t>FMEA</t>
  </si>
  <si>
    <t>Responsible</t>
  </si>
  <si>
    <t>Designation</t>
  </si>
  <si>
    <t>WI</t>
  </si>
  <si>
    <t>PCP</t>
  </si>
  <si>
    <t>Others</t>
  </si>
  <si>
    <t>Hotline</t>
  </si>
  <si>
    <t>Deutsch</t>
  </si>
  <si>
    <t>Landessprache/local language</t>
  </si>
  <si>
    <t>English</t>
  </si>
  <si>
    <t>Language</t>
  </si>
  <si>
    <t>Sprache</t>
  </si>
  <si>
    <t>Customer complaint No.</t>
  </si>
  <si>
    <t>Kunden Reklamations Nr.</t>
  </si>
  <si>
    <t>Fehlercode</t>
  </si>
  <si>
    <t>Fehlerbeschreibung</t>
  </si>
  <si>
    <t>Fault description</t>
  </si>
  <si>
    <t>Problemkoordinator</t>
  </si>
  <si>
    <t>Anzahl defekter Teile</t>
  </si>
  <si>
    <t>Amount of defective goods</t>
  </si>
  <si>
    <t>Fault type</t>
  </si>
  <si>
    <t>Fehlerart</t>
  </si>
  <si>
    <t>Production date/time</t>
  </si>
  <si>
    <t>Machine</t>
  </si>
  <si>
    <t>Maschine</t>
  </si>
  <si>
    <t>Line</t>
  </si>
  <si>
    <t>Linie</t>
  </si>
  <si>
    <t>Team</t>
  </si>
  <si>
    <t>Workplace</t>
  </si>
  <si>
    <t>Arbeitsplatz</t>
  </si>
  <si>
    <t xml:space="preserve">NOK PART </t>
  </si>
  <si>
    <t>OK PART</t>
  </si>
  <si>
    <t>Name, prename</t>
  </si>
  <si>
    <t>Name, Vorname</t>
  </si>
  <si>
    <t>Measures for continuing secure production at customer</t>
  </si>
  <si>
    <t>Maßnahmen zur Weiterführung einer stabilen Produktion beim Kunden</t>
  </si>
  <si>
    <t>Verantwortliche/r</t>
  </si>
  <si>
    <t>Maßnahmen zur Weiterführung der Belieferung</t>
  </si>
  <si>
    <t>Measures for continuing Kroschu-production</t>
  </si>
  <si>
    <t>Maßnahmen zur Weiterführung der Kroschu-Produktion</t>
  </si>
  <si>
    <t>Measures for continuing delivery</t>
  </si>
  <si>
    <t xml:space="preserve">Ishiwkawa-Diagramm  </t>
  </si>
  <si>
    <t>Entstehung</t>
  </si>
  <si>
    <t>Non-detection</t>
  </si>
  <si>
    <t>Nicht-Entdeckung</t>
  </si>
  <si>
    <t>Corrective Action</t>
  </si>
  <si>
    <t>Ishikawa-Chart</t>
  </si>
  <si>
    <t>Occurrence</t>
  </si>
  <si>
    <t>Target Date</t>
  </si>
  <si>
    <t>Date</t>
  </si>
  <si>
    <t>Datum</t>
  </si>
  <si>
    <t>AA</t>
  </si>
  <si>
    <t>PLP</t>
  </si>
  <si>
    <t>Q Verantwortliche/r</t>
  </si>
  <si>
    <t>Responsible Q</t>
  </si>
  <si>
    <t>Kroschu Werk</t>
  </si>
  <si>
    <t>PPM-0km</t>
  </si>
  <si>
    <t>A-Fault PA</t>
  </si>
  <si>
    <t>DEUTSCH</t>
  </si>
  <si>
    <t>ENGLISH</t>
  </si>
  <si>
    <t>CZECH</t>
  </si>
  <si>
    <t>MAGYAR</t>
  </si>
  <si>
    <t>POLSKI</t>
  </si>
  <si>
    <t>PORTUGESE</t>
  </si>
  <si>
    <t>ROMANA</t>
  </si>
  <si>
    <t>SLOVAK</t>
  </si>
  <si>
    <t>УКРАЇНСьКА</t>
  </si>
  <si>
    <t>Македонски</t>
  </si>
  <si>
    <t>FRANÇAIS</t>
  </si>
  <si>
    <t>Problem:</t>
  </si>
  <si>
    <t>Mensch</t>
  </si>
  <si>
    <t>Man</t>
  </si>
  <si>
    <t>Methode</t>
  </si>
  <si>
    <t>Method</t>
  </si>
  <si>
    <t>Material</t>
  </si>
  <si>
    <t>Environment</t>
  </si>
  <si>
    <t xml:space="preserve">Nr.: </t>
  </si>
  <si>
    <t>Date:</t>
  </si>
  <si>
    <t>Photo / Sketch:</t>
  </si>
  <si>
    <t xml:space="preserve">Author: </t>
  </si>
  <si>
    <t xml:space="preserve">Project: </t>
  </si>
  <si>
    <t xml:space="preserve">Product: </t>
  </si>
  <si>
    <t>Equipment:</t>
  </si>
  <si>
    <t>Failure Code:</t>
  </si>
  <si>
    <t>PCP:</t>
  </si>
  <si>
    <t>Description of the failure:</t>
  </si>
  <si>
    <t>Corrective Action regards:</t>
  </si>
  <si>
    <t>Product</t>
  </si>
  <si>
    <t>Process</t>
  </si>
  <si>
    <t>Equipment</t>
  </si>
  <si>
    <t xml:space="preserve">Description of Corrective Action: </t>
  </si>
  <si>
    <t>Before Corrective Action</t>
  </si>
  <si>
    <t>After Corrective Action</t>
  </si>
  <si>
    <t>Photo/Sketch:</t>
  </si>
  <si>
    <t xml:space="preserve">Following standards and documents have to be updated: </t>
  </si>
  <si>
    <t>Document</t>
  </si>
  <si>
    <t>Description of change</t>
  </si>
  <si>
    <t>Responsible *</t>
  </si>
  <si>
    <t>Date *</t>
  </si>
  <si>
    <t>No</t>
  </si>
  <si>
    <t>Yes</t>
  </si>
  <si>
    <t>PSS Number:</t>
  </si>
  <si>
    <t>Plant:</t>
  </si>
  <si>
    <t>* if not known in the plant, it will be decided by central AP</t>
  </si>
  <si>
    <t>WIs &amp; PIs:</t>
  </si>
  <si>
    <t>Ja</t>
  </si>
  <si>
    <t>Nein</t>
  </si>
  <si>
    <t>E-Mail an Verantw.</t>
  </si>
  <si>
    <r>
      <t xml:space="preserve">                 </t>
    </r>
    <r>
      <rPr>
        <b/>
        <sz val="36"/>
        <color indexed="8"/>
        <rFont val="Arial"/>
        <family val="2"/>
      </rPr>
      <t xml:space="preserve"> </t>
    </r>
  </si>
  <si>
    <t>LESSONS LEARNED CARD</t>
  </si>
  <si>
    <r>
      <t xml:space="preserve">4.15.07.00
</t>
    </r>
    <r>
      <rPr>
        <sz val="8"/>
        <color indexed="8"/>
        <rFont val="Arial"/>
        <family val="2"/>
      </rPr>
      <t>Update: 01.12.2016/ AP/ tewit</t>
    </r>
  </si>
  <si>
    <t>Status der Reklamation</t>
  </si>
  <si>
    <t>Status of complaint</t>
  </si>
  <si>
    <t>Accepted</t>
  </si>
  <si>
    <t>Box Number</t>
  </si>
  <si>
    <t>TOP PA</t>
  </si>
  <si>
    <t>ESPANOL</t>
  </si>
  <si>
    <t>Akzeptiert</t>
  </si>
  <si>
    <t>中文</t>
  </si>
  <si>
    <t>Zeitraum</t>
  </si>
  <si>
    <t>System Audit</t>
  </si>
  <si>
    <t>Field Issue</t>
  </si>
  <si>
    <t>Serial Fault</t>
  </si>
  <si>
    <t>Sicherheitsrelevantes Merkmal</t>
  </si>
  <si>
    <t>Safety-relevant characterisitc</t>
  </si>
  <si>
    <t>Housing not fully adapted</t>
  </si>
  <si>
    <t xml:space="preserve">Contacting problems in the module </t>
  </si>
  <si>
    <t>Test module not secure</t>
  </si>
  <si>
    <t>Adapted in incorrect module</t>
  </si>
  <si>
    <t>Test pin jammed</t>
  </si>
  <si>
    <t>Switching pin jammed</t>
  </si>
  <si>
    <t>Spring tension not OK</t>
  </si>
  <si>
    <t>Colour scan not OK</t>
  </si>
  <si>
    <t>LWL dirty</t>
  </si>
  <si>
    <t>LWL-Patch fibre defective</t>
  </si>
  <si>
    <t>Clamping valve defective</t>
  </si>
  <si>
    <t>LED defective</t>
  </si>
  <si>
    <t>Interface board defective</t>
  </si>
  <si>
    <t>Opto-coupler defective</t>
  </si>
  <si>
    <t>PEX-card defective</t>
  </si>
  <si>
    <t>Hot stamp missing / incomplete</t>
  </si>
  <si>
    <t>Short circuit</t>
  </si>
  <si>
    <t>Wire missing</t>
  </si>
  <si>
    <t>Too many wires</t>
  </si>
  <si>
    <t>Wire torn off</t>
  </si>
  <si>
    <t>Branch missing</t>
  </si>
  <si>
    <t>Module missing</t>
  </si>
  <si>
    <t>Wrong module</t>
  </si>
  <si>
    <t>Branch damaged</t>
  </si>
  <si>
    <t>Module damaged</t>
  </si>
  <si>
    <t>Incorrect building group fitted</t>
  </si>
  <si>
    <t>Insulation fault</t>
  </si>
  <si>
    <t>Wire colour wrong</t>
  </si>
  <si>
    <t>Cross section too small</t>
  </si>
  <si>
    <t>Cross section too great</t>
  </si>
  <si>
    <t>Wire type wrong</t>
  </si>
  <si>
    <t>Single strands cut off</t>
  </si>
  <si>
    <t>Insulation not cut cleanly</t>
  </si>
  <si>
    <t>Insulation damaged (without visible strands)</t>
  </si>
  <si>
    <t>Insulation missing</t>
  </si>
  <si>
    <t>Partial pull off not OK</t>
  </si>
  <si>
    <t>Wire damaged (strands visible)</t>
  </si>
  <si>
    <t>Isocrimp open</t>
  </si>
  <si>
    <t>Isocrimp too tight</t>
  </si>
  <si>
    <t>Terminal broken</t>
  </si>
  <si>
    <t>Terminal widened</t>
  </si>
  <si>
    <t>Terminal twisted when fitted</t>
  </si>
  <si>
    <t>Insulation not in isocrimp</t>
  </si>
  <si>
    <t>Conductor crimp height not OK</t>
  </si>
  <si>
    <t>Conductor crimp width not OK</t>
  </si>
  <si>
    <t>Isocrimp height not OK</t>
  </si>
  <si>
    <t>Isocrimp width not OK</t>
  </si>
  <si>
    <t>Peel strength not OK</t>
  </si>
  <si>
    <t xml:space="preserve">Push-pull force not OK </t>
  </si>
  <si>
    <t>Pull-off force not OK</t>
  </si>
  <si>
    <t>Solder in terminal area</t>
  </si>
  <si>
    <t>Cold solder joint</t>
  </si>
  <si>
    <t>Solder under Insulation</t>
  </si>
  <si>
    <t>Terminal not soldered</t>
  </si>
  <si>
    <t>Terminal poorly soldered</t>
  </si>
  <si>
    <t>Too much solder</t>
  </si>
  <si>
    <t>Angle of terminal not OK</t>
  </si>
  <si>
    <t>No ultrasonic welding</t>
  </si>
  <si>
    <t>Solder foil missing</t>
  </si>
  <si>
    <t>Too many solder foils</t>
  </si>
  <si>
    <t>Solder foil in wrong position</t>
  </si>
  <si>
    <t>Solder foil soldered incorrectly</t>
  </si>
  <si>
    <t>Immersion depth insufficient</t>
  </si>
  <si>
    <t>Immersion depth too far</t>
  </si>
  <si>
    <t>Electrode in incorrect position</t>
  </si>
  <si>
    <t>Laser welding defective</t>
  </si>
  <si>
    <t>Bridge between soldering points</t>
  </si>
  <si>
    <t>PCB not OK after cleaning</t>
  </si>
  <si>
    <t>Potting material leaking</t>
  </si>
  <si>
    <t>Press-fit not OK</t>
  </si>
  <si>
    <t>Cross section image not according to specification</t>
  </si>
  <si>
    <t xml:space="preserve">Crimp not closed along the entire length </t>
  </si>
  <si>
    <t>Front cover crimp not closed</t>
  </si>
  <si>
    <t>Clamp on front cover crimp</t>
  </si>
  <si>
    <t>Offset in crimp too great</t>
  </si>
  <si>
    <t>Front cover crimp not rolled in</t>
  </si>
  <si>
    <t>Secondary locking open</t>
  </si>
  <si>
    <t>Secondary locking missing</t>
  </si>
  <si>
    <t>Secondary locking incorrectly fitting</t>
  </si>
  <si>
    <t>Secondary locking incorrect</t>
  </si>
  <si>
    <t xml:space="preserve">Short circuit bridge not latched </t>
  </si>
  <si>
    <t>Housing incorrect</t>
  </si>
  <si>
    <t>Housing missing</t>
  </si>
  <si>
    <t>Housing incomplete</t>
  </si>
  <si>
    <t>Housing damaged</t>
  </si>
  <si>
    <t>Too many housings</t>
  </si>
  <si>
    <t>Transport protector missing</t>
  </si>
  <si>
    <t>Transport protector fitted wrongly</t>
  </si>
  <si>
    <t>Wire too long</t>
  </si>
  <si>
    <t>Wire too short</t>
  </si>
  <si>
    <t>Tip too long</t>
  </si>
  <si>
    <t>Tip too short</t>
  </si>
  <si>
    <t>Stripping too long</t>
  </si>
  <si>
    <t>Stripping too short</t>
  </si>
  <si>
    <t>Insulation pulled off</t>
  </si>
  <si>
    <t>Lay length too great</t>
  </si>
  <si>
    <t>Lay length too short</t>
  </si>
  <si>
    <t>Master dimension too long</t>
  </si>
  <si>
    <t>Master dimension too small</t>
  </si>
  <si>
    <t>Branch too long</t>
  </si>
  <si>
    <t>Branch too short</t>
  </si>
  <si>
    <t xml:space="preserve">Cable tie in wrong position </t>
  </si>
  <si>
    <t>Corrugated tube in wrong position</t>
  </si>
  <si>
    <t>Clip in wrong position</t>
  </si>
  <si>
    <t>Sleeve/corrugated tube too long</t>
  </si>
  <si>
    <t>Sleeve/corrugated tube too short</t>
  </si>
  <si>
    <t>Cable duct in wrong position</t>
  </si>
  <si>
    <t>Wire formed into a loop</t>
  </si>
  <si>
    <t>Sleeve in wrong position</t>
  </si>
  <si>
    <t>Short circuit bridge missing</t>
  </si>
  <si>
    <t>Too many fuses</t>
  </si>
  <si>
    <t>Diode wrongly poled</t>
  </si>
  <si>
    <t>Elko wrongly poled</t>
  </si>
  <si>
    <t>Diode missing</t>
  </si>
  <si>
    <t>Short circuit bridge wrong</t>
  </si>
  <si>
    <t>Elko wrong value</t>
  </si>
  <si>
    <t>Comb connector wrong</t>
  </si>
  <si>
    <t>Short circuit bridge damaged</t>
  </si>
  <si>
    <t>Component defective</t>
  </si>
  <si>
    <t>Component missing</t>
  </si>
  <si>
    <t>Component wrongly plugged</t>
  </si>
  <si>
    <t>Control unit wrong</t>
  </si>
  <si>
    <t>Sleeve missing</t>
  </si>
  <si>
    <t>Taping missing</t>
  </si>
  <si>
    <t>Gaps in taping</t>
  </si>
  <si>
    <t>Taping too slack</t>
  </si>
  <si>
    <t>Taping too tight</t>
  </si>
  <si>
    <t>Taping too short</t>
  </si>
  <si>
    <t>End of taping incorrect</t>
  </si>
  <si>
    <t>Taping too long</t>
  </si>
  <si>
    <t>Insulation cap missing</t>
  </si>
  <si>
    <t>Taping damaged</t>
  </si>
  <si>
    <t>Foamed grommet defective</t>
  </si>
  <si>
    <t>Shrink sleeve in wrong position</t>
  </si>
  <si>
    <t>Shrink sleeve damaged</t>
  </si>
  <si>
    <t>Shrinking insufficient</t>
  </si>
  <si>
    <t>Shrink sleeve wrong</t>
  </si>
  <si>
    <t>Too many shrink sleeves</t>
  </si>
  <si>
    <t>Label wrong</t>
  </si>
  <si>
    <t>Label missing</t>
  </si>
  <si>
    <t>Label in wrong position</t>
  </si>
  <si>
    <t>Label damaged</t>
  </si>
  <si>
    <t>Print illegible</t>
  </si>
  <si>
    <t>Sleeve imprint wrong</t>
  </si>
  <si>
    <t>Sleeve imprint illegible</t>
  </si>
  <si>
    <t>Wire imprint wrong</t>
  </si>
  <si>
    <t>Double imprint</t>
  </si>
  <si>
    <t>Imprint in wrong position</t>
  </si>
  <si>
    <t>Imprint missing</t>
  </si>
  <si>
    <t>Label attached untidily</t>
  </si>
  <si>
    <t>EDI incorrect</t>
  </si>
  <si>
    <t>Screw/nut loose</t>
  </si>
  <si>
    <t>Wrong screw / nut</t>
  </si>
  <si>
    <t>Torque angle incorrect</t>
  </si>
  <si>
    <t>Below minimum bend radius</t>
  </si>
  <si>
    <t>Cable tie pulled too tight</t>
  </si>
  <si>
    <t>O-Ring twisted</t>
  </si>
  <si>
    <t>End piece damaged</t>
  </si>
  <si>
    <t>Corrugated tube manifold missing</t>
  </si>
  <si>
    <t>Wire wrongly routed</t>
  </si>
  <si>
    <t>Individual part wrongly assembled</t>
  </si>
  <si>
    <t>Individual parts not latched</t>
  </si>
  <si>
    <t>Corrugated tube cut wrongly</t>
  </si>
  <si>
    <t>Corrugated tube not slit</t>
  </si>
  <si>
    <t>Wrong type of corrugated tube</t>
  </si>
  <si>
    <t>End pieces missing</t>
  </si>
  <si>
    <t>End pieces in wrong position</t>
  </si>
  <si>
    <t>End pieces wrongly assembled</t>
  </si>
  <si>
    <t>Cable duct damaged</t>
  </si>
  <si>
    <t>O-Ring missing</t>
  </si>
  <si>
    <t>Washer missing</t>
  </si>
  <si>
    <t>Cable tie missing</t>
  </si>
  <si>
    <t>Screw/ nut missing</t>
  </si>
  <si>
    <t>Corrugated tube missing</t>
  </si>
  <si>
    <t>Engine mounting missing</t>
  </si>
  <si>
    <t>Water/vacuum lead missing</t>
  </si>
  <si>
    <t>Water/vacuum lead in wrong position</t>
  </si>
  <si>
    <t>Water/vacuum lead not sealed</t>
  </si>
  <si>
    <t>Cable duct missing</t>
  </si>
  <si>
    <t>Cable duct wrongly assembled</t>
  </si>
  <si>
    <t>Cable tie damaged</t>
  </si>
  <si>
    <t>Cable tie loose</t>
  </si>
  <si>
    <t>Wrong labelling</t>
  </si>
  <si>
    <t>Incomplete packing data</t>
  </si>
  <si>
    <t>Wrong shipment</t>
  </si>
  <si>
    <t>Change level wrong</t>
  </si>
  <si>
    <t>Package quantity wrong</t>
  </si>
  <si>
    <t>Parts mixed</t>
  </si>
  <si>
    <t>Damaged packaging</t>
  </si>
  <si>
    <t>Missing packaging</t>
  </si>
  <si>
    <t>Moulded part damaged</t>
  </si>
  <si>
    <t>Moulded part misshapen</t>
  </si>
  <si>
    <t>Cracks on part</t>
  </si>
  <si>
    <t>Flash on moulded part</t>
  </si>
  <si>
    <t>Surface not OK; bubbles</t>
  </si>
  <si>
    <t>Colour not OK</t>
  </si>
  <si>
    <t>Laser imprint not OK</t>
  </si>
  <si>
    <t>Material injected</t>
  </si>
  <si>
    <t>Shadows; drag marks on surface</t>
  </si>
  <si>
    <t>Part not fully moulded</t>
  </si>
  <si>
    <t>Surface not OK; dirt</t>
  </si>
  <si>
    <t>Wrong date stamp</t>
  </si>
  <si>
    <t>Index/Q-Status/Drawing level incorrect</t>
  </si>
  <si>
    <t>Plastic frame damaged</t>
  </si>
  <si>
    <t>Plastic part expanded</t>
  </si>
  <si>
    <t>Broken mould</t>
  </si>
  <si>
    <t>Supplier faults</t>
  </si>
  <si>
    <t>Supplier backlog</t>
  </si>
  <si>
    <t>Supplier fault: contaminants in raw rubber</t>
  </si>
  <si>
    <t>Supplier fault: dirt in raw material</t>
  </si>
  <si>
    <t>Setting error</t>
  </si>
  <si>
    <t>Incorrect temperature</t>
  </si>
  <si>
    <t>FAW-Fault</t>
  </si>
  <si>
    <t>Line plan fault</t>
  </si>
  <si>
    <t>Drawing error</t>
  </si>
  <si>
    <t>Cable form board error</t>
  </si>
  <si>
    <t>PCP error</t>
  </si>
  <si>
    <t>Integration error</t>
  </si>
  <si>
    <t>Checkpoint missing/wrong</t>
  </si>
  <si>
    <t>No 100% check</t>
  </si>
  <si>
    <t>Damping too great</t>
  </si>
  <si>
    <t>Wire recess too great</t>
  </si>
  <si>
    <t>Wire recess too small</t>
  </si>
  <si>
    <t>Bend radius too small</t>
  </si>
  <si>
    <t>Radius delimiter missing</t>
  </si>
  <si>
    <t>Functional fault</t>
  </si>
  <si>
    <t>Calibration fault</t>
  </si>
  <si>
    <t>Adjustment fault</t>
  </si>
  <si>
    <t>Coding fault</t>
  </si>
  <si>
    <t>Piercing depth not OK</t>
  </si>
  <si>
    <t>AP-Team Leiter</t>
  </si>
  <si>
    <t>AP-team leader</t>
  </si>
  <si>
    <t>PSS No.</t>
  </si>
  <si>
    <t>bei Kroschu</t>
  </si>
  <si>
    <t>im Transit</t>
  </si>
  <si>
    <t>at Kroschu</t>
  </si>
  <si>
    <t>on transit</t>
  </si>
  <si>
    <t>Fehlerort</t>
  </si>
  <si>
    <t>Fault location</t>
  </si>
  <si>
    <t>Index</t>
  </si>
  <si>
    <t>PSC</t>
  </si>
  <si>
    <t>Српски</t>
  </si>
  <si>
    <t>Timescale</t>
  </si>
  <si>
    <t>Shear strength too low</t>
  </si>
  <si>
    <t>Incorrect material used</t>
  </si>
  <si>
    <t>Base thickness insufficient</t>
  </si>
  <si>
    <t>Base thickness too high</t>
  </si>
  <si>
    <t>Clinch connection diameter too small</t>
  </si>
  <si>
    <t>Clinch connection diameter too great</t>
  </si>
  <si>
    <t xml:space="preserve">Cracks on bottom of clinch connection </t>
  </si>
  <si>
    <t>Clinch base uneven</t>
  </si>
  <si>
    <t>Uneven clinch surface</t>
  </si>
  <si>
    <t>Dome-shaped bulge is poorly formed</t>
  </si>
  <si>
    <t>No bulge on one side</t>
  </si>
  <si>
    <t>No dome shape</t>
  </si>
  <si>
    <t>Die blades missing</t>
  </si>
  <si>
    <t>Defective anvil</t>
  </si>
  <si>
    <t>Broken steel spring on die</t>
  </si>
  <si>
    <t>Blades damaged / out-of-centre</t>
  </si>
  <si>
    <t>Notches on punch</t>
  </si>
  <si>
    <t>Punch bent</t>
  </si>
  <si>
    <t>Fractures and dents on punch</t>
  </si>
  <si>
    <t>Metal finish on punch is rubbed off</t>
  </si>
  <si>
    <t>Radius on punch tip too great</t>
  </si>
  <si>
    <t>Deformed parts</t>
  </si>
  <si>
    <t>Bumps on punch tip</t>
  </si>
  <si>
    <t>Flange not fully formed</t>
  </si>
  <si>
    <t>Shield too long</t>
  </si>
  <si>
    <t>Shield too short</t>
  </si>
  <si>
    <t>Shield crimp height incorrect</t>
  </si>
  <si>
    <t>Shield crimp width incorrect</t>
  </si>
  <si>
    <t>Shield mesh combed out</t>
  </si>
  <si>
    <t>Shield mesh not combed out</t>
  </si>
  <si>
    <t>Incorrect support sleeve</t>
  </si>
  <si>
    <t>Support sleeve incorrectly fitted</t>
  </si>
  <si>
    <t>Shield mesh protruding</t>
  </si>
  <si>
    <t>No insulating part</t>
  </si>
  <si>
    <t>Incorrect insulating part</t>
  </si>
  <si>
    <t>Insulating part incomplete</t>
  </si>
  <si>
    <t>Insulating part dirty</t>
  </si>
  <si>
    <t>Incorrect outer conductor</t>
  </si>
  <si>
    <t>Outer conductor damaged</t>
  </si>
  <si>
    <t>Outer conductor dirty</t>
  </si>
  <si>
    <t>Error of breakthrough</t>
  </si>
  <si>
    <t xml:space="preserve">Leak rate test vacuum not OK </t>
  </si>
  <si>
    <t>Amendments</t>
  </si>
  <si>
    <t>Wire cut</t>
  </si>
  <si>
    <t>Ground base wrongly assembled</t>
  </si>
  <si>
    <t>Resistance value too high</t>
  </si>
  <si>
    <t>Resistance value too low</t>
  </si>
  <si>
    <t>Phase value too high</t>
  </si>
  <si>
    <t>Phase value too low</t>
  </si>
  <si>
    <t>Amplitude too high</t>
  </si>
  <si>
    <t>Amplitude too low</t>
  </si>
  <si>
    <t>Factors identification</t>
  </si>
  <si>
    <t>Action Plan</t>
  </si>
  <si>
    <t>Why 1</t>
  </si>
  <si>
    <t>Why 2</t>
  </si>
  <si>
    <t>Why 3</t>
  </si>
  <si>
    <t>Why 4</t>
  </si>
  <si>
    <t>Why 5</t>
  </si>
  <si>
    <t>Closure date</t>
  </si>
  <si>
    <t>Are tools/machines functioning properly?</t>
  </si>
  <si>
    <t>Are work instructions posted at workstations?</t>
  </si>
  <si>
    <t>Are used components/materials within specifications?</t>
  </si>
  <si>
    <t>Are workers abilited to the job? (check concerned prod.period)</t>
  </si>
  <si>
    <t>Has preventive maintenance been performed?</t>
  </si>
  <si>
    <t>Are work instructions updated?</t>
  </si>
  <si>
    <t>Were there any changes/modifications on components/materials?</t>
  </si>
  <si>
    <t xml:space="preserve">Did workers received necessary training? </t>
  </si>
  <si>
    <t>Did any specific event occure? (Power shutdown,…)</t>
  </si>
  <si>
    <t xml:space="preserve">Have correct tools/fixtures been used? </t>
  </si>
  <si>
    <t>Are all components/materials approved?</t>
  </si>
  <si>
    <t>Is training adapted to the needs?</t>
  </si>
  <si>
    <t>Do error proofing systems work properly? (Poka yoke, Control station,…)</t>
  </si>
  <si>
    <t>Is the job done the same way in all shifts?</t>
  </si>
  <si>
    <t>Are correct components/materials used?</t>
  </si>
  <si>
    <t xml:space="preserve">Have machine/process parameters been properly set up? </t>
  </si>
  <si>
    <t xml:space="preserve">Is preventive maintenance defined? Is it sufficient? </t>
  </si>
  <si>
    <t>Is there any risk during manipulations?</t>
  </si>
  <si>
    <t>Were all work instructions properly followed and applied?</t>
  </si>
  <si>
    <t xml:space="preserve">Are machine/process parameters properly defined? </t>
  </si>
  <si>
    <t>Are parts within defined standards? Are standards suitable?</t>
  </si>
  <si>
    <t>Basic Data</t>
  </si>
  <si>
    <t>Members</t>
  </si>
  <si>
    <t>Sorting actions</t>
  </si>
  <si>
    <t>Identification OK Parts</t>
  </si>
  <si>
    <t>Quantity sorted</t>
  </si>
  <si>
    <t>Status</t>
  </si>
  <si>
    <t>4.15.03.00</t>
  </si>
  <si>
    <t>Before</t>
  </si>
  <si>
    <t>After</t>
  </si>
  <si>
    <t>Documentation - Standard updates</t>
  </si>
  <si>
    <t>Documentation</t>
  </si>
  <si>
    <t>Comments</t>
  </si>
  <si>
    <t>Maintenance Plan</t>
  </si>
  <si>
    <t>Training standard</t>
  </si>
  <si>
    <t>Specification</t>
  </si>
  <si>
    <t>Lessons Learned Card</t>
  </si>
  <si>
    <t>Procedure</t>
  </si>
  <si>
    <t>Products:</t>
  </si>
  <si>
    <t>Completed</t>
  </si>
  <si>
    <t>Position</t>
  </si>
  <si>
    <t>Lfd./Serial</t>
  </si>
  <si>
    <t>Customer</t>
  </si>
  <si>
    <t>Project</t>
  </si>
  <si>
    <t>Limitation of affected products</t>
  </si>
  <si>
    <t>total amount of sorted parts</t>
  </si>
  <si>
    <t>total amount of NOK parts found</t>
  </si>
  <si>
    <t>total amount of affected products</t>
  </si>
  <si>
    <t>total amount of OK parts identified</t>
  </si>
  <si>
    <t>Picture 1</t>
  </si>
  <si>
    <t>Picture 2</t>
  </si>
  <si>
    <t>Picture 3</t>
  </si>
  <si>
    <t>Picture 4</t>
  </si>
  <si>
    <t>Opening date</t>
  </si>
  <si>
    <t>For a comprehensible root cause analysis, draw the process flow and mark the cirtical process steps:</t>
  </si>
  <si>
    <t>Seite 1: D0-D1-D2-D3</t>
  </si>
  <si>
    <t>Page 1: D0-D1-D2-D3</t>
  </si>
  <si>
    <t>Start Datum</t>
  </si>
  <si>
    <t>Kunde</t>
  </si>
  <si>
    <t>Projekt</t>
  </si>
  <si>
    <t xml:space="preserve">Int. KSK-Nr. </t>
  </si>
  <si>
    <t>Int. KSK-No.</t>
  </si>
  <si>
    <t>Produktionsdatum/-zeit</t>
  </si>
  <si>
    <t>Basis Daten</t>
  </si>
  <si>
    <t>Mitglieder</t>
  </si>
  <si>
    <t>Abgeschlossen</t>
  </si>
  <si>
    <t>Maßnahme</t>
  </si>
  <si>
    <t>No. NOK parts found</t>
  </si>
  <si>
    <t>Anzahl sortiert</t>
  </si>
  <si>
    <t>Anzahl NOK Teile gefunden</t>
  </si>
  <si>
    <t>Identifikation OK Teile</t>
  </si>
  <si>
    <t>Summe sortierter Teile</t>
  </si>
  <si>
    <t>Summe gefunder NOK Teile</t>
  </si>
  <si>
    <t>Summe identifizierter OK Teile</t>
  </si>
  <si>
    <t>Eingrenzung betroffener Produkte</t>
  </si>
  <si>
    <t>Summe betroffener Produkte</t>
  </si>
  <si>
    <t>Kommentare</t>
  </si>
  <si>
    <t>Qualifikation</t>
  </si>
  <si>
    <t>Information über Fehler in QIS</t>
  </si>
  <si>
    <t>Wiederholfehler</t>
  </si>
  <si>
    <t>Qualification</t>
  </si>
  <si>
    <t>Information about fault in QIS</t>
  </si>
  <si>
    <t>Repetitive fault</t>
  </si>
  <si>
    <t>Sonstige Informationen</t>
  </si>
  <si>
    <t>Other information</t>
  </si>
  <si>
    <t>Drawing</t>
  </si>
  <si>
    <t xml:space="preserve">Zeichnung des Prozessflusses und Markierung der kritischen Prozessschritte für eine nachvollziehbare Grundursachenanalyse </t>
  </si>
  <si>
    <t>Andere</t>
  </si>
  <si>
    <t xml:space="preserve">Guiding questions for an efficient root cause analysis </t>
  </si>
  <si>
    <t>Leitfragen für eine effiziente Grundursachenanalyse</t>
  </si>
  <si>
    <t>Funktionieren die Werkzeuge/Maschinen ordnungsgemäß?</t>
  </si>
  <si>
    <t>Wurde präventive Instandhaltung durchgeführt?</t>
  </si>
  <si>
    <t xml:space="preserve">Kam es zu einem bestimmten Ereignis? (Stromausfall,…) </t>
  </si>
  <si>
    <t>Funktionieren Fehlerprüfsysteme ordnungsgemäß? (Poka Yoke, Leitstelle,…)</t>
  </si>
  <si>
    <t>Wurden die Maschinen-/Prozessparameter ordnungsgemäß konfiguriert?</t>
  </si>
  <si>
    <t>Sind die Maschinen-/Prozessparameter ordnungsgemäß definiert?</t>
  </si>
  <si>
    <t>Sind die Arbeitsanweisungen an den Arbeitsplätzen bereitgestellt?</t>
  </si>
  <si>
    <t>Sind die Arbeitsanweisungen aktualisiert?</t>
  </si>
  <si>
    <t>Wurden Korrekturwerkzeuge/-vorrichtungen verwendet?</t>
  </si>
  <si>
    <t>Wurde die Aufgabe in allen Schichten gleich durchgeführt?</t>
  </si>
  <si>
    <t>Ist eine präventive Instandhaltung definiert? Ist diese ausreichend?</t>
  </si>
  <si>
    <t>Sind die Teile innerhalb der definierten Standards? Sind die Standards geeignet?</t>
  </si>
  <si>
    <t>Sind die benutzten Komponenten/Materialen innerhalb der Spezifikationen?</t>
  </si>
  <si>
    <t>Gab es Änderungen/Modifikationen an den Komponenten/Materialien?</t>
  </si>
  <si>
    <t>Sind alle Komponenten/Materialen genehmigt?</t>
  </si>
  <si>
    <t>Wurden die korrekten Komponenten/Materialien verwendet?</t>
  </si>
  <si>
    <t>Gibt es Risiken während der Handhabung?</t>
  </si>
  <si>
    <t>Sind die Mitarbeiter fähig für die Aufgabe? (Überprüfen der betroffenen Produktionsperiode)</t>
  </si>
  <si>
    <t>Haben die Mitarbeiter das nötige Training bekommen?</t>
  </si>
  <si>
    <t>Ist das Training an die Bedürfnisse angepasst?</t>
  </si>
  <si>
    <t>Do workers perfectly understand applicable work instructions?</t>
  </si>
  <si>
    <t>Verstehen die Mitarbeiter die zutreffenden Arbeitsanweisungen?</t>
  </si>
  <si>
    <t>Wurden alle Arbeitsanweisungen ordnungsgemäß befolgt und angewendet?</t>
  </si>
  <si>
    <t>D5 - Verbesserungsmaßnahmen</t>
  </si>
  <si>
    <t>Identifikationsfaktoren</t>
  </si>
  <si>
    <t>Maßnahmenplan</t>
  </si>
  <si>
    <t>Warum 3</t>
  </si>
  <si>
    <t>Warum 4</t>
  </si>
  <si>
    <t>Warum 5</t>
  </si>
  <si>
    <t>Verbesserungsmaßnahme</t>
  </si>
  <si>
    <t>Bild Nr.</t>
  </si>
  <si>
    <t>5-Why-Analysis</t>
  </si>
  <si>
    <t>5-Warum-Analyse</t>
  </si>
  <si>
    <t>Influent factors</t>
  </si>
  <si>
    <t>Warum 1</t>
  </si>
  <si>
    <t>Warum 2</t>
  </si>
  <si>
    <t>Vorher</t>
  </si>
  <si>
    <t>Nacher</t>
  </si>
  <si>
    <t>Bild 1</t>
  </si>
  <si>
    <t>Bild 2</t>
  </si>
  <si>
    <t>Bild 3</t>
  </si>
  <si>
    <t>Bild 4</t>
  </si>
  <si>
    <t>Betroffene Produkte</t>
  </si>
  <si>
    <t>Concerned processes</t>
  </si>
  <si>
    <t>Concerned products</t>
  </si>
  <si>
    <t>Dokumentation - Standardaktualisierungem</t>
  </si>
  <si>
    <t>Dokumentation</t>
  </si>
  <si>
    <t>Instandhaltungsplan</t>
  </si>
  <si>
    <t>Zeichnung</t>
  </si>
  <si>
    <t>Lessons Learned Karte</t>
  </si>
  <si>
    <t>Schulungsstandard</t>
  </si>
  <si>
    <t>Spezifikation</t>
  </si>
  <si>
    <t>Betroffene Prozesse</t>
  </si>
  <si>
    <t>Bestätigung der Wirksamkeit der Korrekturmaßnahmen</t>
  </si>
  <si>
    <t>Bezeichnung</t>
  </si>
  <si>
    <t>Verfahren</t>
  </si>
  <si>
    <t>0FG</t>
  </si>
  <si>
    <t>TOP RR</t>
  </si>
  <si>
    <t>TOP FPQ</t>
  </si>
  <si>
    <t>Destructive PA</t>
  </si>
  <si>
    <t>n.i.O. BAUTEIL</t>
  </si>
  <si>
    <t>i.O. BAUTEIL</t>
  </si>
  <si>
    <t>Optimization</t>
  </si>
  <si>
    <t>Einfluss-faktoren</t>
  </si>
  <si>
    <t>Ziel-datum</t>
  </si>
  <si>
    <t>Impl. Date</t>
  </si>
  <si>
    <t>Impl.-datum</t>
  </si>
  <si>
    <t>Pic. No.</t>
  </si>
  <si>
    <t>Abschl.-datum</t>
  </si>
  <si>
    <t>Wie wurde der Fehler nachgestellt?</t>
  </si>
  <si>
    <t>Korrekturmaßnahmen - Bilder</t>
  </si>
  <si>
    <t>Corrective Actions - Pictures</t>
  </si>
  <si>
    <t>Nacharbeit</t>
  </si>
  <si>
    <t>Rework</t>
  </si>
  <si>
    <t>Does the reproduced defect match the given fault?</t>
  </si>
  <si>
    <t>Entspricht der nachgestellte Fehler dem gegebenen Fehler?</t>
  </si>
  <si>
    <t>PROBLEMLÖSUNGSBLATT</t>
  </si>
  <si>
    <t>PROBLEM SOLVING SHEET</t>
  </si>
  <si>
    <t>Picture 5</t>
  </si>
  <si>
    <t>Verification of effectiveness of corrective actions</t>
  </si>
  <si>
    <t>Wire in wrong crimp/US connector</t>
  </si>
  <si>
    <t>Wire not plugged (lost under taping)</t>
  </si>
  <si>
    <t>Wire not in connector/ not gripped</t>
  </si>
  <si>
    <t>Wire surface/ strands dirty</t>
  </si>
  <si>
    <t>Twisted wire end not according to specification</t>
  </si>
  <si>
    <t>Extra branch</t>
  </si>
  <si>
    <t>Extra module</t>
  </si>
  <si>
    <t>Branch out wrong (orientation)</t>
  </si>
  <si>
    <t>Water/vacuum lead damaged, bent</t>
  </si>
  <si>
    <t>Water/vacuum lead wrong</t>
  </si>
  <si>
    <t>Water/vacuum lead cap missing</t>
  </si>
  <si>
    <t>Wrong LWL/ antenna</t>
  </si>
  <si>
    <t>LWL/ Antenna missing</t>
  </si>
  <si>
    <t>Antenna assembled reversed</t>
  </si>
  <si>
    <t>LWL/ Antenna damaged</t>
  </si>
  <si>
    <t>LWL/ Antenna dimensionally not OK</t>
  </si>
  <si>
    <t>Positioning not OK (X/ Y-Axis)</t>
  </si>
  <si>
    <t>Insulation in crimp area</t>
  </si>
  <si>
    <t>Conductor crimp empty</t>
  </si>
  <si>
    <t>Terminal/ pressed connector wrong</t>
  </si>
  <si>
    <t>Terminal/ pressed connector missing</t>
  </si>
  <si>
    <t>Terminal/ pressed connector damaged, bent</t>
  </si>
  <si>
    <t>Contamination(dirt) in/on terminal</t>
  </si>
  <si>
    <t>Incorrect carrier strip</t>
  </si>
  <si>
    <t>Terminal/pressed connector oxidised/tarnished</t>
  </si>
  <si>
    <t>Burr formation not OK</t>
  </si>
  <si>
    <t>Crimp barrel position wrong</t>
  </si>
  <si>
    <t>Insulation in welded splice</t>
  </si>
  <si>
    <t>Wrong position of conductor in welded splice</t>
  </si>
  <si>
    <t>Wire pulled out of welded splice</t>
  </si>
  <si>
    <t>Welded splice broken/ damaged</t>
  </si>
  <si>
    <t>Welded splice in wrong position</t>
  </si>
  <si>
    <t>Welded splice high/ width not according to specification</t>
  </si>
  <si>
    <t>Welded splice measure of length not according to specification</t>
  </si>
  <si>
    <t>Welded splice overheated (blue discolouration)</t>
  </si>
  <si>
    <t>Burr formation on welded splice not according to specification</t>
  </si>
  <si>
    <t>Comb terminal not completely latched</t>
  </si>
  <si>
    <t>Comb terminals pluged not in one direction</t>
  </si>
  <si>
    <t>Comb connector deformed</t>
  </si>
  <si>
    <t>Comb connector insulation (cover) not latched</t>
  </si>
  <si>
    <t>Comb connector  insulation (cover) damaged</t>
  </si>
  <si>
    <t>Comb connector not sealed</t>
  </si>
  <si>
    <t>Butyl stripes in wrong position in comb connector</t>
  </si>
  <si>
    <t>Butyl on/ in torqueing area</t>
  </si>
  <si>
    <t>Comb connector missing</t>
  </si>
  <si>
    <t>Insulation displacement connector missing</t>
  </si>
  <si>
    <t>Insulation displacement connector wrong</t>
  </si>
  <si>
    <t>Insulation displacement connector damaged</t>
  </si>
  <si>
    <t xml:space="preserve">Incorrect pull-off force in Insulation displacement connector </t>
  </si>
  <si>
    <t>Wire insertion to the end not Ok</t>
  </si>
  <si>
    <t>Insulation displacement connector not closed</t>
  </si>
  <si>
    <t>Insulation displacement connector wrongly assembled</t>
  </si>
  <si>
    <t>PCB soldered wrongly</t>
  </si>
  <si>
    <t>Mounting element (lever, CPA) not according to specification</t>
  </si>
  <si>
    <t>Terminal not latched in chamber</t>
  </si>
  <si>
    <t>Housing assembled wrong way around (into another assembly part)</t>
  </si>
  <si>
    <t>Housing contaminated (dirty)</t>
  </si>
  <si>
    <t>Single wire seal (ELA) missing</t>
  </si>
  <si>
    <t>Single wire seal (ELA) in wrong position</t>
  </si>
  <si>
    <t>Single wire seal (ELA) damaged</t>
  </si>
  <si>
    <t>Blind seal missing</t>
  </si>
  <si>
    <t>Blind seal wrong</t>
  </si>
  <si>
    <t>Blind seal in wrong position</t>
  </si>
  <si>
    <t>Blind seal damaged</t>
  </si>
  <si>
    <t>Single wire seal (ELA) wrong</t>
  </si>
  <si>
    <t>Single wire seal (ELA)/blind seal damaged - not watertight</t>
  </si>
  <si>
    <t>Sealing pad/radial seal missing</t>
  </si>
  <si>
    <t>Sealing pad/radial seal fitted wrongly</t>
  </si>
  <si>
    <t>Sealing pad/radial seal wrong</t>
  </si>
  <si>
    <t>Punched seal wrong</t>
  </si>
  <si>
    <t>Punched seal missing</t>
  </si>
  <si>
    <t>Punched seal wrongly assembled</t>
  </si>
  <si>
    <t>Punch seal damaged</t>
  </si>
  <si>
    <t>Too much sealing compound/ foaming amount</t>
  </si>
  <si>
    <t>Too little sealing compound/ foaming amount</t>
  </si>
  <si>
    <t>Sealing compound/ foaming amount in terminal</t>
  </si>
  <si>
    <t>Sealing compound/ foaming amount on terminal</t>
  </si>
  <si>
    <t>Plastic part in foamed grommet damaged</t>
  </si>
  <si>
    <t>Foamed grommet/ grommet wrong</t>
  </si>
  <si>
    <t>Foamed grommet/ grommet reversed</t>
  </si>
  <si>
    <t>Foamed grommet/ grommet position wrong</t>
  </si>
  <si>
    <t>Foamed grommet/ grommet damaged</t>
  </si>
  <si>
    <t>Foamed grommet/ grommet missing</t>
  </si>
  <si>
    <t>Grommet not securely fixed</t>
  </si>
  <si>
    <t>Longitudinal water tightness (LWD) faulty</t>
  </si>
  <si>
    <t>Longitudinal water tightness (LWD) not sealed</t>
  </si>
  <si>
    <t>Insulation cap/ sleeve is pierced by single strand</t>
  </si>
  <si>
    <t xml:space="preserve">Insulation cap wrong </t>
  </si>
  <si>
    <t>Insulation cap not securely fixed</t>
  </si>
  <si>
    <t>Sleeve diameter wrong</t>
  </si>
  <si>
    <t>Sleeve wrong</t>
  </si>
  <si>
    <t>Sleeve/ tube not securely fixed</t>
  </si>
  <si>
    <t>Sleeve/ tube damaged</t>
  </si>
  <si>
    <t>Sleeve edges not cleanly cut</t>
  </si>
  <si>
    <t>Sleeve/ tube contaminated (dirty)</t>
  </si>
  <si>
    <t>Wrong type of taping</t>
  </si>
  <si>
    <t>Wrong tape (material)</t>
  </si>
  <si>
    <t>Spot tape missing</t>
  </si>
  <si>
    <t>Taping wrong direction</t>
  </si>
  <si>
    <t>Back-tape missing</t>
  </si>
  <si>
    <t>Back-tape incorrect</t>
  </si>
  <si>
    <t>Flagging (tape end loose)</t>
  </si>
  <si>
    <t>Clip/ cable duct incorectly taped</t>
  </si>
  <si>
    <t>Housing cover/ cover cap wrong</t>
  </si>
  <si>
    <t>Housing cover/ cover cap missing</t>
  </si>
  <si>
    <t>Housing cover/ cover cap open</t>
  </si>
  <si>
    <t>Housing cover/ cover cap damaged</t>
  </si>
  <si>
    <t>Housing cover/ cover cap mounted wrongly</t>
  </si>
  <si>
    <t>Housing cover/cover cap contaminated</t>
  </si>
  <si>
    <t>Cable tie cut off not according to specification</t>
  </si>
  <si>
    <t>Cable tie wrong</t>
  </si>
  <si>
    <t>Cable tie assembled wrongly</t>
  </si>
  <si>
    <t>Cable tie not cut off</t>
  </si>
  <si>
    <t>Too many  clips/ body clips</t>
  </si>
  <si>
    <t>Clip/ body clip  reversed</t>
  </si>
  <si>
    <t>Clip/ body clip missing</t>
  </si>
  <si>
    <t>Clip/ body clip damaged</t>
  </si>
  <si>
    <t>Clip/ body clip wrong</t>
  </si>
  <si>
    <t>Cable duct wrong</t>
  </si>
  <si>
    <t>Engine mounting damaged</t>
  </si>
  <si>
    <t>Fuse/ relay missing</t>
  </si>
  <si>
    <t>Wrong value fuse/ Wrong relay</t>
  </si>
  <si>
    <t>Fuse/ relay damaged</t>
  </si>
  <si>
    <t>Torque force incorrect</t>
  </si>
  <si>
    <t>Barcode/QR-code illegible</t>
  </si>
  <si>
    <t xml:space="preserve">Surface not OK; scorch marks </t>
  </si>
  <si>
    <t>Surface not OK; scratches</t>
  </si>
  <si>
    <t>Insulation not in moulded section; moulded section not centered</t>
  </si>
  <si>
    <t>Other (with no influence)</t>
  </si>
  <si>
    <t>Other critical fault</t>
  </si>
  <si>
    <t>Other major fault</t>
  </si>
  <si>
    <t>Other minor fault</t>
  </si>
  <si>
    <t>Other insignificant fault</t>
  </si>
  <si>
    <t>Failure due to process breakdown</t>
  </si>
  <si>
    <t>Clinching out of force-displacement range</t>
  </si>
  <si>
    <t>Clinch point high not OK</t>
  </si>
  <si>
    <t>Clinch point neck thickness not Ok</t>
  </si>
  <si>
    <t>Clinch point undercut not OK</t>
  </si>
  <si>
    <t>Clinch point flash formation</t>
  </si>
  <si>
    <t>Busbar pressed in not completely</t>
  </si>
  <si>
    <t>Torque coupler pressed in not completely</t>
  </si>
  <si>
    <t>Busbar position not OK</t>
  </si>
  <si>
    <t>Torque coupler position not OK</t>
  </si>
  <si>
    <t>Electrical continuity missing</t>
  </si>
  <si>
    <t>Locking hook missing / not latched</t>
  </si>
  <si>
    <t>Locking hook does not overlap the busbar</t>
  </si>
  <si>
    <t>Clip of the holder is not locked in end position</t>
  </si>
  <si>
    <t>Shield crimp position wrong</t>
  </si>
  <si>
    <t>Protective gloves missing</t>
  </si>
  <si>
    <t>Protective gloves damaged</t>
  </si>
  <si>
    <t>Outer conductor not latched (C-ring)</t>
  </si>
  <si>
    <t>Shield crimp not crimped/ missing</t>
  </si>
  <si>
    <t>Part of the Testmodule damaged / worn out</t>
  </si>
  <si>
    <t>Wiresleeve damaged</t>
  </si>
  <si>
    <t>Flat flexible cable damaged</t>
  </si>
  <si>
    <t>Test module bottom wires torn off/ damaged</t>
  </si>
  <si>
    <t>Contamination(dirt) in test module</t>
  </si>
  <si>
    <t>Test module control board defective (Kontrolplatine)</t>
  </si>
  <si>
    <t>Test module relay defective</t>
  </si>
  <si>
    <t>MEP Sensor / MEP Box defective</t>
  </si>
  <si>
    <t>Power supply defective</t>
  </si>
  <si>
    <t>Test-Box defective</t>
  </si>
  <si>
    <t>Mainboard (Hauptplatine) defective</t>
  </si>
  <si>
    <t>Test pin broken/ defective</t>
  </si>
  <si>
    <t>Switching pin broken/ defective</t>
  </si>
  <si>
    <t>Pressure test not Ok</t>
  </si>
  <si>
    <t>Button defective (Rafi-, Start- etc.)</t>
  </si>
  <si>
    <t>Simulation</t>
  </si>
  <si>
    <t>Um die Grundursache zu bestätigen, muss der Fehler unter den gleichen Umständen reproduziert werden, wenn dies möglich ist</t>
  </si>
  <si>
    <t>In order to confirm root causes defect must be reproduced by creating same condition if possible</t>
  </si>
  <si>
    <t>Simulation possible?</t>
  </si>
  <si>
    <t>Simulation möglich?</t>
  </si>
  <si>
    <t>Reason why simulation is not possible:</t>
  </si>
  <si>
    <t>Grund, warum die Simulation nicht möglich ist:</t>
  </si>
  <si>
    <t>informiert am</t>
  </si>
  <si>
    <t>geschlossen am</t>
  </si>
  <si>
    <t>closed on</t>
  </si>
  <si>
    <t>verifiziert am</t>
  </si>
  <si>
    <t>verified on</t>
  </si>
  <si>
    <t>informed on</t>
  </si>
  <si>
    <t>TOP 100% check</t>
  </si>
  <si>
    <t>Fault code</t>
  </si>
  <si>
    <t>What was done to reproduce the fault?</t>
  </si>
  <si>
    <t>Detailed information about rework</t>
  </si>
  <si>
    <t>Detaillierte Informationen über die Nacharbeit</t>
  </si>
  <si>
    <t>Yes, relevant rework</t>
  </si>
  <si>
    <t>Yes, but no relevant rework</t>
  </si>
  <si>
    <t>No, no rework</t>
  </si>
  <si>
    <t>Produktionsdatum des ersten i.O.-KSK</t>
  </si>
  <si>
    <t>Were the relevant emloyees informed?</t>
  </si>
  <si>
    <t>Wurden die relevanten Mitarbeiter informiert?</t>
  </si>
  <si>
    <t>Wurden die relevanten Mitarbeiter geschult?</t>
  </si>
  <si>
    <t>Were the relevant emloyees trained?</t>
  </si>
  <si>
    <t>Datum der Schulung</t>
  </si>
  <si>
    <t>Datum der Wirksamkeitsprüfung</t>
  </si>
  <si>
    <t>Ja, relevante Nacharbeit</t>
  </si>
  <si>
    <t>Ja, aber keine relevante Nacharbeit</t>
  </si>
  <si>
    <t>Nein, keine Nacharbeit</t>
  </si>
  <si>
    <t>Date of training</t>
  </si>
  <si>
    <t>Date of effectiveness check of training</t>
  </si>
  <si>
    <t>Action</t>
  </si>
  <si>
    <t>E-mail sent to responsible</t>
  </si>
  <si>
    <t>Information über Ergebnis 3 Monats-Evaluierung:</t>
  </si>
  <si>
    <t>Problem coordinator</t>
  </si>
  <si>
    <t>Wirksamkeitsnachweis/
Ablehnungsgrund</t>
  </si>
  <si>
    <t>Effectiveness check/
Rejection reason</t>
  </si>
  <si>
    <t>Abgelehnt, akzeptiert vom Kunden/Lieferanten/anderem Kroschu-Werk</t>
  </si>
  <si>
    <t>Rejected, accepted from customer/supplier/other Kroschu-plant</t>
  </si>
  <si>
    <t>Daten/Fakten/Zahlen</t>
  </si>
  <si>
    <t>Data/Facts/Numbers</t>
  </si>
  <si>
    <t>Einführung der Maßnahmen für ähnliche Prozesse/Produkte</t>
  </si>
  <si>
    <t>Implementation of measures to similar processes/products</t>
  </si>
  <si>
    <t>Production date of first OK KSK</t>
  </si>
  <si>
    <t>049</t>
  </si>
  <si>
    <t>Branch out in wrong position</t>
  </si>
  <si>
    <t>Bell mouth not according to specification</t>
  </si>
  <si>
    <t>Ring terminal not assembled together</t>
  </si>
  <si>
    <t>Ring terminal assembled together wrongly</t>
  </si>
  <si>
    <t>Secondary locking/ CPA damaged</t>
  </si>
  <si>
    <t>Sealing pad/radial seal damaged</t>
  </si>
  <si>
    <t>Splice taped not according to specification</t>
  </si>
  <si>
    <t>Clip/ body clip too loose</t>
  </si>
  <si>
    <t>Torque paint missing</t>
  </si>
  <si>
    <t>Marking wrong</t>
  </si>
  <si>
    <t>Marking missing</t>
  </si>
  <si>
    <t>Packaging not acc. to specification</t>
  </si>
  <si>
    <t>Moulding compound in contact area</t>
  </si>
  <si>
    <t>Number of wires/ wires combination in splice not acc. to specification</t>
  </si>
  <si>
    <t>Wire/ branch/ module/ building group assembled reversed</t>
  </si>
  <si>
    <t>Transport protector not removed</t>
  </si>
  <si>
    <t>Contact failure between test module and test object</t>
  </si>
  <si>
    <t>Optional additional notes (pictures etc.)</t>
  </si>
  <si>
    <t>Optionale zusätzliche Notizen (Bilder usw.)</t>
  </si>
  <si>
    <t>Letztes Update</t>
  </si>
  <si>
    <t>Last Update</t>
  </si>
  <si>
    <t>Abgelehnt</t>
  </si>
  <si>
    <t>Rejected</t>
  </si>
  <si>
    <t>Ist es möglich, die betroffenen Produkte einzugrenzen?</t>
  </si>
  <si>
    <t>Is it possible to do a limitation of the affected products?</t>
  </si>
  <si>
    <t>zum Kunden ausgeliefert</t>
  </si>
  <si>
    <t>delivered to the customer</t>
  </si>
  <si>
    <t>→</t>
  </si>
  <si>
    <t xml:space="preserve"> </t>
  </si>
  <si>
    <t>D6 - Implementation of permanent corrective action(s)</t>
  </si>
  <si>
    <t>First release of this document.</t>
  </si>
  <si>
    <t>Sleeve or wire visible in moulded grommet</t>
  </si>
  <si>
    <t>Routing problem in moulded grommet</t>
  </si>
  <si>
    <t>Sink mark on moulded grommet (insertion area)</t>
  </si>
  <si>
    <t>Orientation of moulded grommet NOK</t>
  </si>
  <si>
    <t>Moulded grommet not watertight</t>
  </si>
  <si>
    <t>Mail to:</t>
  </si>
  <si>
    <t>IS</t>
  </si>
  <si>
    <t>IS NOT</t>
  </si>
  <si>
    <t>What</t>
  </si>
  <si>
    <t>When</t>
  </si>
  <si>
    <t>Where</t>
  </si>
  <si>
    <t>How many</t>
  </si>
  <si>
    <t>Sponsor</t>
  </si>
  <si>
    <t xml:space="preserve">Which product/process does the problem concern? </t>
  </si>
  <si>
    <t>Are there comparable products/processes where the problem did not occur?</t>
  </si>
  <si>
    <t>What is the deviation?</t>
  </si>
  <si>
    <t>Where else could the deviation occur?</t>
  </si>
  <si>
    <t>Where in the product/process did the deviation occur?</t>
  </si>
  <si>
    <t>What are the names of the neighbouring products/processes and which of them are not affected by the deviation?</t>
  </si>
  <si>
    <t>Is there a recognisable systematic of failures? (single failure, continuous increase/fall, random or cyclical)?</t>
  </si>
  <si>
    <t>Which persons are affected? What costs have been incurred so far? Will these rise, fall or remain stable?</t>
  </si>
  <si>
    <t>Can the problem have occurred in an earlier phase/time?</t>
  </si>
  <si>
    <t>Can additional failures be expected since the discovery?</t>
  </si>
  <si>
    <t>How many more can be expected in the future?</t>
  </si>
  <si>
    <t>What can lead to worse/better circumstances?</t>
  </si>
  <si>
    <t>Where was the product/process when the deviation first occurred?</t>
  </si>
  <si>
    <t>How many failures? (number &amp; PPM's)</t>
  </si>
  <si>
    <t>Are additional deviations of the affected product/process expected?</t>
  </si>
  <si>
    <t>Technical consideration</t>
  </si>
  <si>
    <t>Technische Betrachtung</t>
  </si>
  <si>
    <t>Systemische Betrachtung</t>
  </si>
  <si>
    <t>IST</t>
  </si>
  <si>
    <t>IST NICHT</t>
  </si>
  <si>
    <t>Was</t>
  </si>
  <si>
    <t>Wo</t>
  </si>
  <si>
    <t>Wann</t>
  </si>
  <si>
    <t>Wieviel</t>
  </si>
  <si>
    <t xml:space="preserve">Welches Produkt/Prozess betrifft das Problem ? </t>
  </si>
  <si>
    <t>Um welche Abweichung handelt es sich?</t>
  </si>
  <si>
    <t>Wo befand sich das Produkt/Prozess, als die Abweichung das erste Mal auftrat?</t>
  </si>
  <si>
    <t>Wo am Produkt/Prozess trat die Abweichung auf?</t>
  </si>
  <si>
    <t>Ist eine Systematik der Ausfälle erkennbar? (einmaliger Ausfall, stetiges Anwachsen/ Fallen, Zufällig oder Zyklisch)?</t>
  </si>
  <si>
    <t>Wie hoch ist die Anzahl der Ausfälle (Anzahl &amp; PPM's)</t>
  </si>
  <si>
    <t>Welche Personen sind betroffen? Welche Kosten sind bis jetzt angefallen? Werden diese Steigen, Fallen oder bleiben diese Stabil?</t>
  </si>
  <si>
    <t xml:space="preserve">Gibt es vergleichbare Produkte/Prozesse bei dem das Problem nicht auftrat? </t>
  </si>
  <si>
    <t>Wo könnte die Abweichnug noch auftreten?</t>
  </si>
  <si>
    <t>Wie heißen die angrenzenden Produkte/Prozesse und welche davon sind nicht von der Abweichung betroffen?</t>
  </si>
  <si>
    <t>Kann das Problem bereits in einer früheren Phase/Zeitpunkt aufgetreten sein?</t>
  </si>
  <si>
    <t>Kann seit dem Entdecken mit zusätzlichen Ausfällen gerechnet werden?</t>
  </si>
  <si>
    <t>Mit wie vielen darf in Zukunft noch gerechnet werden?</t>
  </si>
  <si>
    <t>Was kann zu schlechteren/besseren Sachverhalte führen?</t>
  </si>
  <si>
    <t>Werden zusätzliche Abweichungen des betroffenen Produktes/Prozesses erwartet?</t>
  </si>
  <si>
    <t>Why it is not a root cause?</t>
  </si>
  <si>
    <t>NO</t>
  </si>
  <si>
    <t>Warum ist es keine Grundursache?</t>
  </si>
  <si>
    <t>Why the cause can be excluded (is not a real root cause)?</t>
  </si>
  <si>
    <t>Warum die Ursache ausgeschlossen werden kann (ist keine Grundursache)?</t>
  </si>
  <si>
    <t>Systemic consideration</t>
  </si>
  <si>
    <t>KSK</t>
  </si>
  <si>
    <t>P-Module</t>
  </si>
  <si>
    <t>Basic Data-Team-Problem Description-Immediate Action(s)</t>
  </si>
  <si>
    <t>Grunddaten-Team-Problembeschreibung -Sofortige Maßnahme(n)</t>
  </si>
  <si>
    <t>Kroschu plant</t>
  </si>
  <si>
    <t>Box-Nr.</t>
  </si>
  <si>
    <t>Schicht</t>
  </si>
  <si>
    <t>In work</t>
  </si>
  <si>
    <t>In Bearbeitung</t>
  </si>
  <si>
    <t>Umwelt</t>
  </si>
  <si>
    <t>Root causes analysis and Action Plan</t>
  </si>
  <si>
    <t>Grundursachenanalyse und Maßnahmenplan</t>
  </si>
  <si>
    <t>D4 - Analyse Grundursache</t>
  </si>
  <si>
    <t>D4 - Root cause analysis</t>
  </si>
  <si>
    <t>D6 - Einführung der Korrekturmaßnahme(n)</t>
  </si>
  <si>
    <t>Bild 5</t>
  </si>
  <si>
    <t>Bestätigung, Präventivmaßn., Abschluss</t>
  </si>
  <si>
    <t>Verification, Preventive Actions, Closure</t>
  </si>
  <si>
    <t>Prozesse</t>
  </si>
  <si>
    <t>Processes</t>
  </si>
  <si>
    <t>Produkte</t>
  </si>
  <si>
    <t>Products</t>
  </si>
  <si>
    <t>Information about result of 3 month-evaluation</t>
  </si>
  <si>
    <t>Seite 4: D4-D5-D6</t>
  </si>
  <si>
    <t>Page 4:  D4-D5-D6</t>
  </si>
  <si>
    <t>8D-Beircht</t>
  </si>
  <si>
    <t>8D-report</t>
  </si>
  <si>
    <t>Page 2: D4</t>
  </si>
  <si>
    <t>Seite 3: D4</t>
  </si>
  <si>
    <t>Page 3: D4</t>
  </si>
  <si>
    <t>4.15.02.00</t>
  </si>
  <si>
    <t>pss@ksab.kroschu.com</t>
  </si>
  <si>
    <t>Symptom description</t>
  </si>
  <si>
    <t>Problem description</t>
  </si>
  <si>
    <t>Wenn ja, PSS Nr./ 8D Nr.</t>
  </si>
  <si>
    <t>If yes, PSS No./ 8D No.</t>
  </si>
  <si>
    <t>External part Nr.</t>
  </si>
  <si>
    <t>Ident (Part Nr.)</t>
  </si>
  <si>
    <t>Report version</t>
  </si>
  <si>
    <t>Level</t>
  </si>
  <si>
    <t>Matrix</t>
  </si>
  <si>
    <t>high</t>
  </si>
  <si>
    <t>Effectiveness verification</t>
  </si>
  <si>
    <t>Measures</t>
  </si>
  <si>
    <t>12 or higher</t>
  </si>
  <si>
    <t>measures to be discussed with customer</t>
  </si>
  <si>
    <t>mid</t>
  </si>
  <si>
    <t>ALARP</t>
  </si>
  <si>
    <t>low</t>
  </si>
  <si>
    <t>7 till 11</t>
  </si>
  <si>
    <t>5 till 6</t>
  </si>
  <si>
    <t>1 till 4</t>
  </si>
  <si>
    <t>measures upon request of customer</t>
  </si>
  <si>
    <t>as low as reasonable practicable</t>
  </si>
  <si>
    <t>no further action needed</t>
  </si>
  <si>
    <t>Effect</t>
  </si>
  <si>
    <t>Probability</t>
  </si>
  <si>
    <t>P*C</t>
  </si>
  <si>
    <t>Result ohne 0</t>
  </si>
  <si>
    <t>LEVEL</t>
  </si>
  <si>
    <t>new evaluat</t>
  </si>
  <si>
    <t>L</t>
  </si>
  <si>
    <t>04_KSSB</t>
  </si>
  <si>
    <t>07_KSSE</t>
  </si>
  <si>
    <t>08_KSRB</t>
  </si>
  <si>
    <t>11_KSRO-Ti</t>
  </si>
  <si>
    <t>12_ KSRO-Me</t>
  </si>
  <si>
    <t>15_KSRO-Na</t>
  </si>
  <si>
    <t>44_KSPY-As</t>
  </si>
  <si>
    <t>49_KSMA-Ke</t>
  </si>
  <si>
    <t>50_KSCN-Ta</t>
  </si>
  <si>
    <t>51_KSK-Pi</t>
  </si>
  <si>
    <t>52_KSD-Ji</t>
  </si>
  <si>
    <t>54_KSME</t>
  </si>
  <si>
    <t>58_KSTN-Be</t>
  </si>
  <si>
    <t>59_KSD-Ch</t>
  </si>
  <si>
    <t>60_KSD-Ti</t>
  </si>
  <si>
    <t>61_KSK-La</t>
  </si>
  <si>
    <t>65_KSBR-Ma</t>
  </si>
  <si>
    <t>66_KSMX-Le</t>
  </si>
  <si>
    <t>70_KSK-An</t>
  </si>
  <si>
    <t>71_KSBR-It</t>
  </si>
  <si>
    <t>73_KSBR-Ol</t>
  </si>
  <si>
    <t>75_KSMX-Ir</t>
  </si>
  <si>
    <t>77_KSRA</t>
  </si>
  <si>
    <t>80_KSA</t>
  </si>
  <si>
    <t>81_KSUA-Lu</t>
  </si>
  <si>
    <t>83_KSSK</t>
  </si>
  <si>
    <t>84_KSH</t>
  </si>
  <si>
    <t>85_KSSR-Kr</t>
  </si>
  <si>
    <t>87_KSUA-Zy</t>
  </si>
  <si>
    <t>TECNICAL - ROOT CAUSE AND 5WHYs</t>
  </si>
  <si>
    <t>SYSTEMIC - ROOT CAUSE AND 5WHYs</t>
  </si>
  <si>
    <t>SVERWEIS - FOR 8D</t>
  </si>
  <si>
    <t>Fehler-kategorie</t>
  </si>
  <si>
    <t>Verifikation der Ursachen</t>
  </si>
  <si>
    <t>Ursachenverifizierungs- methode</t>
  </si>
  <si>
    <t>occ</t>
  </si>
  <si>
    <t>fault</t>
  </si>
  <si>
    <t>action</t>
  </si>
  <si>
    <t>respo</t>
  </si>
  <si>
    <t>target</t>
  </si>
  <si>
    <t>implem</t>
  </si>
  <si>
    <t>respons</t>
  </si>
  <si>
    <t>impl</t>
  </si>
  <si>
    <t>Target</t>
  </si>
  <si>
    <t>FINAL</t>
  </si>
  <si>
    <t>Coordinator (/Champion)</t>
  </si>
  <si>
    <t>Koordinator (/Champion)</t>
  </si>
  <si>
    <t>ACTION PLAN - SYST</t>
  </si>
  <si>
    <t>077</t>
  </si>
  <si>
    <t>Wire routed wrongly/not in WEG</t>
  </si>
  <si>
    <t>Water/ vacuum lead poluted/ clogged</t>
  </si>
  <si>
    <t>Single strands cut/ loose/ protruding</t>
  </si>
  <si>
    <t>Too much torque paint</t>
  </si>
  <si>
    <t>Taping unclean</t>
  </si>
  <si>
    <t>Over-tape, unnecessary taping</t>
  </si>
  <si>
    <t>Degree of overlap/ pitch not acc. to specification</t>
  </si>
  <si>
    <t>Wrong comb connector insulation (cover)</t>
  </si>
  <si>
    <t>Wire not stripped</t>
  </si>
  <si>
    <t>Actuator lock/ unlock error</t>
  </si>
  <si>
    <t>Actuator diodes/ lights are not turning on</t>
  </si>
  <si>
    <t>Single strands pulled out</t>
  </si>
  <si>
    <t>General latching (leading)</t>
  </si>
  <si>
    <t>Chamber not found (leading)</t>
  </si>
  <si>
    <t>Terminal end position not reached (leading)</t>
  </si>
  <si>
    <t>Insertion force not reached (leading)/ error, force exceeded (leading)</t>
  </si>
  <si>
    <t>Not available terminal (leading)</t>
  </si>
  <si>
    <t>General latching (lagging)</t>
  </si>
  <si>
    <t>Chamber not found (lagging)</t>
  </si>
  <si>
    <t>Terminal end position not reached (lagging)</t>
  </si>
  <si>
    <t>Insertion force not reached (lagging) / error, force exceeded (lagging)</t>
  </si>
  <si>
    <t>Test fork force exceeded</t>
  </si>
  <si>
    <t>Force not reached (no TPA inserted / not latched)</t>
  </si>
  <si>
    <t>Crimp nOk (Auto-Nano-MQS)</t>
  </si>
  <si>
    <t>Spring opener Li/ Re wrong</t>
  </si>
  <si>
    <t>Spring opener Li/ Re missing</t>
  </si>
  <si>
    <t>Opener AC/DC damaged</t>
  </si>
  <si>
    <t>Opener mounted wrongly on axis</t>
  </si>
  <si>
    <t>Wrong axis</t>
  </si>
  <si>
    <t>Scratches on the flap cover AC/DC surface</t>
  </si>
  <si>
    <t>Flap cover AC/DC damaged</t>
  </si>
  <si>
    <t>Button not latched in the holder</t>
  </si>
  <si>
    <t>Latching button holder damaged</t>
  </si>
  <si>
    <t>Latching button cover damaged</t>
  </si>
  <si>
    <t>Spring cover Li/ Re wrong</t>
  </si>
  <si>
    <t>Spring cover Li/ Re missing</t>
  </si>
  <si>
    <t>Cover not latched in holder</t>
  </si>
  <si>
    <t>Flap cover cap not assembled</t>
  </si>
  <si>
    <t>Flap cover AC/DC does not open completely</t>
  </si>
  <si>
    <t>Flap cover AC/DC opens delayed</t>
  </si>
  <si>
    <t>Flap cover AC/DC opens undamped</t>
  </si>
  <si>
    <t>Flap cover damper missing</t>
  </si>
  <si>
    <t>Too many mastic adhesive strips (too thick for assembly)</t>
  </si>
  <si>
    <t>Antennas pin defective</t>
  </si>
  <si>
    <t>Sortieraktion</t>
  </si>
  <si>
    <t>Wirksamkeitsüberprüfung</t>
  </si>
  <si>
    <t>Hazard/ Risk</t>
  </si>
  <si>
    <t>→ Root cause verified</t>
  </si>
  <si>
    <t>→ Root cause not verified → Go back to D4 to find the right root cause</t>
  </si>
  <si>
    <t>Remote - Chance for this event is almost 0</t>
  </si>
  <si>
    <t>Unlikely - Eventaulity exists but is not going to happen</t>
  </si>
  <si>
    <t>Possible - Event can occurre sometime</t>
  </si>
  <si>
    <t>Probable - Event will happen sometimes and can be expected</t>
  </si>
  <si>
    <t>Almost certain - Event happens often and is expected</t>
  </si>
  <si>
    <t>ignorable - ignorable damages without impact</t>
  </si>
  <si>
    <t>low - slightly damages outside visible are</t>
  </si>
  <si>
    <t>mid - noticable damages in visible area</t>
  </si>
  <si>
    <t>high - damage with functional impact</t>
  </si>
  <si>
    <t>catastrophic - catastrophic damage with consequences</t>
  </si>
  <si>
    <t>Auswirkung</t>
  </si>
  <si>
    <t xml:space="preserve">Wahrscheinlichkeit </t>
  </si>
  <si>
    <t>Risk height</t>
  </si>
  <si>
    <t>Initial evaluation</t>
  </si>
  <si>
    <t>New evaluation</t>
  </si>
  <si>
    <t>Fault category</t>
  </si>
  <si>
    <t>Verification of the causes</t>
  </si>
  <si>
    <t xml:space="preserve">Method of cause verification </t>
  </si>
  <si>
    <t>YES - Occurence</t>
  </si>
  <si>
    <t>YES - Non det</t>
  </si>
  <si>
    <t>no-occ</t>
  </si>
  <si>
    <t>no - nondet</t>
  </si>
  <si>
    <t>When was the deviation first detected? (Date of occurrence &amp; life cycle)</t>
  </si>
  <si>
    <t>Wann wurde die Abweichnung zum ersten Mal entdeckt? (Datum des Auftretens &amp; des Lebenzyklus)</t>
  </si>
  <si>
    <t>Comments, conclusion (result of final discussion)</t>
  </si>
  <si>
    <r>
      <rPr>
        <b/>
        <sz val="11"/>
        <color theme="1"/>
        <rFont val="Tahoma"/>
        <family val="2"/>
      </rPr>
      <t>Remote</t>
    </r>
    <r>
      <rPr>
        <sz val="11"/>
        <color theme="1"/>
        <rFont val="Tahoma"/>
        <family val="2"/>
      </rPr>
      <t xml:space="preserve"> - Chance for this event is almost 0</t>
    </r>
  </si>
  <si>
    <r>
      <rPr>
        <b/>
        <sz val="11"/>
        <color theme="1"/>
        <rFont val="Tahoma"/>
        <family val="2"/>
      </rPr>
      <t>Unlikely</t>
    </r>
    <r>
      <rPr>
        <sz val="11"/>
        <color theme="1"/>
        <rFont val="Tahoma"/>
        <family val="2"/>
      </rPr>
      <t xml:space="preserve"> - Eventaulity exists but is not going to happen</t>
    </r>
  </si>
  <si>
    <r>
      <rPr>
        <b/>
        <sz val="11"/>
        <color theme="1"/>
        <rFont val="Tahoma"/>
        <family val="2"/>
      </rPr>
      <t>Possible</t>
    </r>
    <r>
      <rPr>
        <sz val="11"/>
        <color theme="1"/>
        <rFont val="Tahoma"/>
        <family val="2"/>
      </rPr>
      <t xml:space="preserve"> - Event can occurre sometime</t>
    </r>
  </si>
  <si>
    <r>
      <rPr>
        <b/>
        <sz val="11"/>
        <color theme="1"/>
        <rFont val="Tahoma"/>
        <family val="2"/>
      </rPr>
      <t>Probable</t>
    </r>
    <r>
      <rPr>
        <sz val="11"/>
        <color theme="1"/>
        <rFont val="Tahoma"/>
        <family val="2"/>
      </rPr>
      <t xml:space="preserve"> - Event will happen sometimes and can be expected</t>
    </r>
  </si>
  <si>
    <r>
      <rPr>
        <b/>
        <sz val="11"/>
        <color theme="1"/>
        <rFont val="Tahoma"/>
        <family val="2"/>
      </rPr>
      <t>Almost certain</t>
    </r>
    <r>
      <rPr>
        <sz val="11"/>
        <color theme="1"/>
        <rFont val="Tahoma"/>
        <family val="2"/>
      </rPr>
      <t xml:space="preserve"> - Event happens often and is expected</t>
    </r>
  </si>
  <si>
    <r>
      <rPr>
        <b/>
        <sz val="11"/>
        <color theme="1"/>
        <rFont val="Tahoma"/>
        <family val="2"/>
      </rPr>
      <t>low</t>
    </r>
    <r>
      <rPr>
        <sz val="11"/>
        <color theme="1"/>
        <rFont val="Tahoma"/>
        <family val="2"/>
      </rPr>
      <t xml:space="preserve"> - slightly damages outside visible are</t>
    </r>
  </si>
  <si>
    <r>
      <rPr>
        <b/>
        <sz val="11"/>
        <color theme="1"/>
        <rFont val="Tahoma"/>
        <family val="2"/>
      </rPr>
      <t>ignorable</t>
    </r>
    <r>
      <rPr>
        <sz val="11"/>
        <color theme="1"/>
        <rFont val="Tahoma"/>
        <family val="2"/>
      </rPr>
      <t xml:space="preserve"> - ignorable damages without impact</t>
    </r>
  </si>
  <si>
    <r>
      <rPr>
        <b/>
        <sz val="11"/>
        <color theme="1"/>
        <rFont val="Tahoma"/>
        <family val="2"/>
      </rPr>
      <t>mid</t>
    </r>
    <r>
      <rPr>
        <sz val="11"/>
        <color theme="1"/>
        <rFont val="Tahoma"/>
        <family val="2"/>
      </rPr>
      <t xml:space="preserve"> - noticable damages in visible area</t>
    </r>
  </si>
  <si>
    <r>
      <rPr>
        <b/>
        <sz val="11"/>
        <color theme="1"/>
        <rFont val="Tahoma"/>
        <family val="2"/>
      </rPr>
      <t>high</t>
    </r>
    <r>
      <rPr>
        <sz val="11"/>
        <color theme="1"/>
        <rFont val="Tahoma"/>
        <family val="2"/>
      </rPr>
      <t xml:space="preserve"> - damage with functional impact</t>
    </r>
  </si>
  <si>
    <r>
      <rPr>
        <b/>
        <sz val="11"/>
        <color theme="1"/>
        <rFont val="Tahoma"/>
        <family val="2"/>
      </rPr>
      <t>catastrophic</t>
    </r>
    <r>
      <rPr>
        <sz val="11"/>
        <color theme="1"/>
        <rFont val="Tahoma"/>
        <family val="2"/>
      </rPr>
      <t xml:space="preserve"> - catastrophic damage with consequences</t>
    </r>
  </si>
  <si>
    <t>D1 - Team</t>
  </si>
  <si>
    <t>D2 - Problem description</t>
  </si>
  <si>
    <t>D3 - Immediate action(s)</t>
  </si>
  <si>
    <t>5WHY for SYSTEM</t>
  </si>
  <si>
    <t>CAUSE FOR D4. 5WHYs - together</t>
  </si>
  <si>
    <t>Risikobewertung</t>
  </si>
  <si>
    <t>Risk assessment</t>
  </si>
  <si>
    <t>Act</t>
  </si>
  <si>
    <t>Risk</t>
  </si>
  <si>
    <t>D2 - Problembeschreibung</t>
  </si>
  <si>
    <t>Symptombeschreibung</t>
  </si>
  <si>
    <t xml:space="preserve">Problembeschreibung </t>
  </si>
  <si>
    <t>D3 - Sofortmaßnahme(n)</t>
  </si>
  <si>
    <t>D7 - Präventivmaßnahmen</t>
  </si>
  <si>
    <t>D7 - Preventive Actions</t>
  </si>
  <si>
    <t>D8 - PSS Abschluss</t>
  </si>
  <si>
    <t>D8 - PSS closure</t>
  </si>
  <si>
    <t>und Würdigung des Teamerfolgs</t>
  </si>
  <si>
    <t>and appreciation of team's success</t>
  </si>
  <si>
    <t>Kommentare, Abschluss (Ergebnis der Abschlussdiskussion)</t>
  </si>
  <si>
    <t>Stufe</t>
  </si>
  <si>
    <t xml:space="preserve">12 oder höher </t>
  </si>
  <si>
    <t xml:space="preserve">7 bis 11 </t>
  </si>
  <si>
    <t>5 bis 6</t>
  </si>
  <si>
    <t>1 bis 4</t>
  </si>
  <si>
    <t>Risiko</t>
  </si>
  <si>
    <t>Risikohöhe</t>
  </si>
  <si>
    <t xml:space="preserve">Neue Bewertung </t>
  </si>
  <si>
    <t>Category</t>
  </si>
  <si>
    <t>Kategorie</t>
  </si>
  <si>
    <t>D5 - Corrective Action(s)</t>
  </si>
  <si>
    <t>Seite 5: D6-D7-D8</t>
  </si>
  <si>
    <t>Page 5: D6-D7-D8</t>
  </si>
  <si>
    <t>Page 4: D4-D5-D6</t>
  </si>
  <si>
    <t>Maßnahmen</t>
  </si>
  <si>
    <t>Start date</t>
  </si>
  <si>
    <t>Closing date</t>
  </si>
  <si>
    <t>Result</t>
  </si>
  <si>
    <t>in process</t>
  </si>
  <si>
    <t>successful</t>
  </si>
  <si>
    <t>not successful</t>
  </si>
  <si>
    <t>Remote - Chance für diesen Fall ist fast 0</t>
  </si>
  <si>
    <t>Unwahrscheinlich – Eventaulität existiert, wird aber nicht eintreten</t>
  </si>
  <si>
    <t>Möglich - Fall kann irgendwann auftreten</t>
  </si>
  <si>
    <t>Wahrscheinlich - Der Fall tritt manchmal auf und kann erwartet werden</t>
  </si>
  <si>
    <t>Fast sicher - Der Fall tritt häufig auf und wird erwartet</t>
  </si>
  <si>
    <t>ignorable - ignorierbare Schäden ohne Auswirkungen</t>
  </si>
  <si>
    <t>gering - leichte Beschädigungen außen sichtbar sind</t>
  </si>
  <si>
    <t>mittel - erkennbare Beschädigungen im sichtbaren Bereich</t>
  </si>
  <si>
    <t>hoch - Schaden mit funktioneller Auswirkung</t>
  </si>
  <si>
    <t>katastrophal - katastrophaler Schaden mit Folgen</t>
  </si>
  <si>
    <t>mit dem Kunden abzustimmende Maßnahmen</t>
  </si>
  <si>
    <t>so niedrig wie vernünftigerweise praktikabel</t>
  </si>
  <si>
    <t>keine weiteren Maßnahmen erforderlich</t>
  </si>
  <si>
    <t>Maßnahmen auf Kundenanforderung</t>
  </si>
  <si>
    <t>Erstbewertung</t>
  </si>
  <si>
    <t>Startdatum</t>
  </si>
  <si>
    <t>Ergebnis</t>
  </si>
  <si>
    <t>Enddatum</t>
  </si>
  <si>
    <r>
      <t>→</t>
    </r>
    <r>
      <rPr>
        <sz val="9.9"/>
        <color theme="1"/>
        <rFont val="Tahoma"/>
        <family val="2"/>
      </rPr>
      <t xml:space="preserve"> </t>
    </r>
    <r>
      <rPr>
        <sz val="11"/>
        <color theme="1"/>
        <rFont val="Tahoma"/>
        <family val="2"/>
      </rPr>
      <t>Fehlerursache bestätigt</t>
    </r>
  </si>
  <si>
    <r>
      <t>→</t>
    </r>
    <r>
      <rPr>
        <sz val="9.9"/>
        <color theme="1"/>
        <rFont val="Tahoma"/>
        <family val="2"/>
      </rPr>
      <t xml:space="preserve"> </t>
    </r>
    <r>
      <rPr>
        <sz val="11"/>
        <color theme="1"/>
        <rFont val="Tahoma"/>
        <family val="2"/>
      </rPr>
      <t>Fehlerursache nicht bestätigt → Gehe zurück zu D4, um die richtige Fehlerursache zu finden</t>
    </r>
  </si>
  <si>
    <t>050</t>
  </si>
  <si>
    <t>052</t>
  </si>
  <si>
    <t>060</t>
  </si>
  <si>
    <t>070</t>
  </si>
  <si>
    <t>071</t>
  </si>
  <si>
    <t>072</t>
  </si>
  <si>
    <t>074</t>
  </si>
  <si>
    <t>075</t>
  </si>
  <si>
    <t>076</t>
  </si>
  <si>
    <t>073</t>
  </si>
  <si>
    <t>080</t>
  </si>
  <si>
    <t>081</t>
  </si>
  <si>
    <t>082</t>
  </si>
  <si>
    <t>083</t>
  </si>
  <si>
    <t>084</t>
  </si>
  <si>
    <t>085</t>
  </si>
  <si>
    <t>086</t>
  </si>
  <si>
    <t>087</t>
  </si>
  <si>
    <t>390</t>
  </si>
  <si>
    <t>391</t>
  </si>
  <si>
    <t>521</t>
  </si>
  <si>
    <t>522</t>
  </si>
  <si>
    <t>380</t>
  </si>
  <si>
    <t>381</t>
  </si>
  <si>
    <t>711</t>
  </si>
  <si>
    <t>730</t>
  </si>
  <si>
    <t>Mastic adhesive strips missing</t>
  </si>
  <si>
    <t>571</t>
  </si>
  <si>
    <t>572</t>
  </si>
  <si>
    <t>402</t>
  </si>
  <si>
    <t>405</t>
  </si>
  <si>
    <t>263</t>
  </si>
  <si>
    <t>738</t>
  </si>
  <si>
    <t>739</t>
  </si>
  <si>
    <t>Resistor value not OK</t>
  </si>
  <si>
    <t>731</t>
  </si>
  <si>
    <t>734</t>
  </si>
  <si>
    <t>030</t>
  </si>
  <si>
    <t>048</t>
  </si>
  <si>
    <t>047</t>
  </si>
  <si>
    <t>010</t>
  </si>
  <si>
    <t>011</t>
  </si>
  <si>
    <t>012</t>
  </si>
  <si>
    <t>013</t>
  </si>
  <si>
    <t>014</t>
  </si>
  <si>
    <t>020</t>
  </si>
  <si>
    <t>021</t>
  </si>
  <si>
    <t>022</t>
  </si>
  <si>
    <t>023</t>
  </si>
  <si>
    <t>024</t>
  </si>
  <si>
    <t>025</t>
  </si>
  <si>
    <t>026</t>
  </si>
  <si>
    <t>027</t>
  </si>
  <si>
    <t>028</t>
  </si>
  <si>
    <t>031</t>
  </si>
  <si>
    <t>032</t>
  </si>
  <si>
    <t>033</t>
  </si>
  <si>
    <t>034</t>
  </si>
  <si>
    <t>035</t>
  </si>
  <si>
    <t>037</t>
  </si>
  <si>
    <t>038</t>
  </si>
  <si>
    <t>039</t>
  </si>
  <si>
    <t>040</t>
  </si>
  <si>
    <t>041</t>
  </si>
  <si>
    <t>043</t>
  </si>
  <si>
    <t>044</t>
  </si>
  <si>
    <t>045</t>
  </si>
  <si>
    <t>046</t>
  </si>
  <si>
    <t>Wires swapped (wrong cavity)</t>
  </si>
  <si>
    <t>100</t>
  </si>
  <si>
    <t>101</t>
  </si>
  <si>
    <t>102</t>
  </si>
  <si>
    <t>103</t>
  </si>
  <si>
    <t>110</t>
  </si>
  <si>
    <t>111</t>
  </si>
  <si>
    <t>120</t>
  </si>
  <si>
    <t>121</t>
  </si>
  <si>
    <t>122</t>
  </si>
  <si>
    <t>130</t>
  </si>
  <si>
    <t>131</t>
  </si>
  <si>
    <t>350</t>
  </si>
  <si>
    <t>351</t>
  </si>
  <si>
    <t>360</t>
  </si>
  <si>
    <t>361</t>
  </si>
  <si>
    <t>362</t>
  </si>
  <si>
    <t>364</t>
  </si>
  <si>
    <t>370</t>
  </si>
  <si>
    <t>371</t>
  </si>
  <si>
    <t>372</t>
  </si>
  <si>
    <t>414</t>
  </si>
  <si>
    <t>663</t>
  </si>
  <si>
    <t>704</t>
  </si>
  <si>
    <t>715</t>
  </si>
  <si>
    <t>Assembly wire harness/ branches</t>
  </si>
  <si>
    <t>Wires swapped in wrong branch/ housing</t>
  </si>
  <si>
    <t>Water/ vacuum lead</t>
  </si>
  <si>
    <t>740</t>
  </si>
  <si>
    <t>741</t>
  </si>
  <si>
    <t>742</t>
  </si>
  <si>
    <t>743</t>
  </si>
  <si>
    <t>754</t>
  </si>
  <si>
    <t>755</t>
  </si>
  <si>
    <t>Fibre optic wire (LWL); Antennas; Ethernet wires</t>
  </si>
  <si>
    <t>950</t>
  </si>
  <si>
    <t>951</t>
  </si>
  <si>
    <t>952</t>
  </si>
  <si>
    <t>960</t>
  </si>
  <si>
    <t>970</t>
  </si>
  <si>
    <t>971</t>
  </si>
  <si>
    <t>972</t>
  </si>
  <si>
    <t>973</t>
  </si>
  <si>
    <t>974</t>
  </si>
  <si>
    <t>975</t>
  </si>
  <si>
    <t>976</t>
  </si>
  <si>
    <t>CONNECTORS</t>
  </si>
  <si>
    <t>Crimp/pressed connection (plug-in -, ring terminal, barrel)</t>
  </si>
  <si>
    <t>150</t>
  </si>
  <si>
    <t>152</t>
  </si>
  <si>
    <t>153</t>
  </si>
  <si>
    <r>
      <t xml:space="preserve">Single strands not gripped/ </t>
    </r>
    <r>
      <rPr>
        <b/>
        <sz val="11"/>
        <rFont val="Tahoma"/>
        <family val="2"/>
      </rPr>
      <t>crimped on conductor crimp</t>
    </r>
  </si>
  <si>
    <t>154</t>
  </si>
  <si>
    <t>155</t>
  </si>
  <si>
    <t>157</t>
  </si>
  <si>
    <t>158</t>
  </si>
  <si>
    <t>159</t>
  </si>
  <si>
    <t>160</t>
  </si>
  <si>
    <t>161</t>
  </si>
  <si>
    <t>162</t>
  </si>
  <si>
    <t>163</t>
  </si>
  <si>
    <t>164</t>
  </si>
  <si>
    <t>165</t>
  </si>
  <si>
    <t>166</t>
  </si>
  <si>
    <t>169</t>
  </si>
  <si>
    <t>170</t>
  </si>
  <si>
    <t>171</t>
  </si>
  <si>
    <t>172</t>
  </si>
  <si>
    <t>173</t>
  </si>
  <si>
    <t>175</t>
  </si>
  <si>
    <t>176</t>
  </si>
  <si>
    <t>190</t>
  </si>
  <si>
    <t>191</t>
  </si>
  <si>
    <t>Cut-off tab not according to spec.</t>
  </si>
  <si>
    <t>218</t>
  </si>
  <si>
    <t>219</t>
  </si>
  <si>
    <t>220</t>
  </si>
  <si>
    <t>221</t>
  </si>
  <si>
    <t>222</t>
  </si>
  <si>
    <t>223</t>
  </si>
  <si>
    <t>224</t>
  </si>
  <si>
    <t>225</t>
  </si>
  <si>
    <t>192</t>
  </si>
  <si>
    <t>US-welded splice</t>
  </si>
  <si>
    <t>151</t>
  </si>
  <si>
    <t>156</t>
  </si>
  <si>
    <t>201</t>
  </si>
  <si>
    <t>202</t>
  </si>
  <si>
    <t>203</t>
  </si>
  <si>
    <t>420</t>
  </si>
  <si>
    <t>421</t>
  </si>
  <si>
    <t>422</t>
  </si>
  <si>
    <t>423</t>
  </si>
  <si>
    <t>424</t>
  </si>
  <si>
    <t>570</t>
  </si>
  <si>
    <r>
      <rPr>
        <b/>
        <sz val="11"/>
        <rFont val="Tahoma"/>
        <family val="2"/>
      </rPr>
      <t>Insulation sleeve on</t>
    </r>
    <r>
      <rPr>
        <sz val="11"/>
        <rFont val="Tahoma"/>
        <family val="2"/>
      </rPr>
      <t xml:space="preserve"> welded splice not watertight</t>
    </r>
  </si>
  <si>
    <t>Comb connector</t>
  </si>
  <si>
    <t>474</t>
  </si>
  <si>
    <t>486</t>
  </si>
  <si>
    <t>487</t>
  </si>
  <si>
    <t>488</t>
  </si>
  <si>
    <t>489</t>
  </si>
  <si>
    <t>490</t>
  </si>
  <si>
    <t>491</t>
  </si>
  <si>
    <t>492</t>
  </si>
  <si>
    <t>493</t>
  </si>
  <si>
    <t>494</t>
  </si>
  <si>
    <t>Insulation displacement connector</t>
  </si>
  <si>
    <t>1100</t>
  </si>
  <si>
    <t>1101</t>
  </si>
  <si>
    <t>1102</t>
  </si>
  <si>
    <t>1103</t>
  </si>
  <si>
    <t>1104</t>
  </si>
  <si>
    <t>1105</t>
  </si>
  <si>
    <t>1106</t>
  </si>
  <si>
    <t>262</t>
  </si>
  <si>
    <t>Solder joints</t>
  </si>
  <si>
    <t>180</t>
  </si>
  <si>
    <t>181</t>
  </si>
  <si>
    <t>182</t>
  </si>
  <si>
    <t>183</t>
  </si>
  <si>
    <t>184</t>
  </si>
  <si>
    <t>185</t>
  </si>
  <si>
    <t>204</t>
  </si>
  <si>
    <t>205</t>
  </si>
  <si>
    <t>206</t>
  </si>
  <si>
    <t>207</t>
  </si>
  <si>
    <t>208</t>
  </si>
  <si>
    <t>209</t>
  </si>
  <si>
    <t>210</t>
  </si>
  <si>
    <t>211</t>
  </si>
  <si>
    <t>213</t>
  </si>
  <si>
    <t>214</t>
  </si>
  <si>
    <t>215</t>
  </si>
  <si>
    <t>216</t>
  </si>
  <si>
    <t>217</t>
  </si>
  <si>
    <t>HOUSINGS</t>
  </si>
  <si>
    <t>All types</t>
  </si>
  <si>
    <t>250</t>
  </si>
  <si>
    <t>251</t>
  </si>
  <si>
    <t>252</t>
  </si>
  <si>
    <t>253</t>
  </si>
  <si>
    <t>254</t>
  </si>
  <si>
    <t>255</t>
  </si>
  <si>
    <t>167</t>
  </si>
  <si>
    <t>260</t>
  </si>
  <si>
    <t>300</t>
  </si>
  <si>
    <t>301</t>
  </si>
  <si>
    <t>302</t>
  </si>
  <si>
    <t>303</t>
  </si>
  <si>
    <t>304</t>
  </si>
  <si>
    <t>305</t>
  </si>
  <si>
    <t>306</t>
  </si>
  <si>
    <t>SEALS; GROMMETS</t>
  </si>
  <si>
    <t>Wire seals, blind seals; sealing pads, block seal holder</t>
  </si>
  <si>
    <t>580</t>
  </si>
  <si>
    <t>581</t>
  </si>
  <si>
    <t>582</t>
  </si>
  <si>
    <t>583</t>
  </si>
  <si>
    <t>584</t>
  </si>
  <si>
    <t>585</t>
  </si>
  <si>
    <t>586</t>
  </si>
  <si>
    <t>587</t>
  </si>
  <si>
    <t>588</t>
  </si>
  <si>
    <t>610</t>
  </si>
  <si>
    <t>611</t>
  </si>
  <si>
    <t>612</t>
  </si>
  <si>
    <t>613</t>
  </si>
  <si>
    <t>614</t>
  </si>
  <si>
    <t>615</t>
  </si>
  <si>
    <t>616</t>
  </si>
  <si>
    <t>617</t>
  </si>
  <si>
    <t>Grommets, foamed/ moulded grommets</t>
  </si>
  <si>
    <t>550</t>
  </si>
  <si>
    <t>551</t>
  </si>
  <si>
    <t>552</t>
  </si>
  <si>
    <t>553</t>
  </si>
  <si>
    <t>554</t>
  </si>
  <si>
    <t>555</t>
  </si>
  <si>
    <t>590</t>
  </si>
  <si>
    <t>591</t>
  </si>
  <si>
    <t>592</t>
  </si>
  <si>
    <t>593</t>
  </si>
  <si>
    <t>594</t>
  </si>
  <si>
    <t>595</t>
  </si>
  <si>
    <r>
      <t xml:space="preserve">Longitudinal water </t>
    </r>
    <r>
      <rPr>
        <b/>
        <sz val="11"/>
        <rFont val="Tahoma"/>
        <family val="2"/>
      </rPr>
      <t>blocking</t>
    </r>
    <r>
      <rPr>
        <sz val="11"/>
        <rFont val="Tahoma"/>
        <family val="2"/>
      </rPr>
      <t xml:space="preserve"> (LWD)</t>
    </r>
  </si>
  <si>
    <t>560</t>
  </si>
  <si>
    <t>561</t>
  </si>
  <si>
    <t>562</t>
  </si>
  <si>
    <r>
      <rPr>
        <b/>
        <sz val="11"/>
        <rFont val="Tahoma"/>
        <family val="2"/>
      </rPr>
      <t>Mastic adhesive strips</t>
    </r>
    <r>
      <rPr>
        <sz val="11"/>
        <rFont val="Tahoma"/>
        <family val="2"/>
      </rPr>
      <t xml:space="preserve"> in wrong position</t>
    </r>
  </si>
  <si>
    <t>563</t>
  </si>
  <si>
    <t>WIRE PROTECTIVE COMPONENTS</t>
  </si>
  <si>
    <t>Shrinking sleeve; insulation cap</t>
  </si>
  <si>
    <t>226</t>
  </si>
  <si>
    <t>600</t>
  </si>
  <si>
    <t>601</t>
  </si>
  <si>
    <t>602</t>
  </si>
  <si>
    <t>603</t>
  </si>
  <si>
    <t>604</t>
  </si>
  <si>
    <t>573</t>
  </si>
  <si>
    <t>Tube, sleeve (insulation, corrugated, braided)</t>
  </si>
  <si>
    <t>404</t>
  </si>
  <si>
    <t>410</t>
  </si>
  <si>
    <t>411</t>
  </si>
  <si>
    <t>412</t>
  </si>
  <si>
    <t>415</t>
  </si>
  <si>
    <t>500</t>
  </si>
  <si>
    <t>501</t>
  </si>
  <si>
    <t>503</t>
  </si>
  <si>
    <t>504</t>
  </si>
  <si>
    <t>505</t>
  </si>
  <si>
    <t>506</t>
  </si>
  <si>
    <t>661</t>
  </si>
  <si>
    <t>662</t>
  </si>
  <si>
    <t>722</t>
  </si>
  <si>
    <t>723</t>
  </si>
  <si>
    <t>724</t>
  </si>
  <si>
    <t>735</t>
  </si>
  <si>
    <t>Tape (taping, auxiliary tape, spot tape)</t>
  </si>
  <si>
    <t>510</t>
  </si>
  <si>
    <t>511</t>
  </si>
  <si>
    <t>512</t>
  </si>
  <si>
    <t>513</t>
  </si>
  <si>
    <t>514</t>
  </si>
  <si>
    <t>515</t>
  </si>
  <si>
    <t>516</t>
  </si>
  <si>
    <t>517</t>
  </si>
  <si>
    <t>518</t>
  </si>
  <si>
    <t>519</t>
  </si>
  <si>
    <t>520</t>
  </si>
  <si>
    <t>523</t>
  </si>
  <si>
    <t>530</t>
  </si>
  <si>
    <t>531</t>
  </si>
  <si>
    <t>533</t>
  </si>
  <si>
    <t>534</t>
  </si>
  <si>
    <t>535</t>
  </si>
  <si>
    <t>382</t>
  </si>
  <si>
    <t>Reference/ marker tape in wrong position</t>
  </si>
  <si>
    <t>Additional protection</t>
  </si>
  <si>
    <t>330</t>
  </si>
  <si>
    <t>331</t>
  </si>
  <si>
    <t>ASSEMBLY COMPONENTS</t>
  </si>
  <si>
    <t>Housing cover/ cover cap, end piece, tube manifolds</t>
  </si>
  <si>
    <t>310</t>
  </si>
  <si>
    <t>311</t>
  </si>
  <si>
    <t>312</t>
  </si>
  <si>
    <t>313</t>
  </si>
  <si>
    <t>320</t>
  </si>
  <si>
    <t>322</t>
  </si>
  <si>
    <t>712</t>
  </si>
  <si>
    <t>713</t>
  </si>
  <si>
    <t>725</t>
  </si>
  <si>
    <t>726</t>
  </si>
  <si>
    <t>727</t>
  </si>
  <si>
    <t>Cable tie, clip</t>
  </si>
  <si>
    <t>705</t>
  </si>
  <si>
    <t>706</t>
  </si>
  <si>
    <t>708</t>
  </si>
  <si>
    <t>709</t>
  </si>
  <si>
    <t>728</t>
  </si>
  <si>
    <t>732</t>
  </si>
  <si>
    <t>748</t>
  </si>
  <si>
    <t>749</t>
  </si>
  <si>
    <t>716</t>
  </si>
  <si>
    <t>717</t>
  </si>
  <si>
    <t>718</t>
  </si>
  <si>
    <t>736</t>
  </si>
  <si>
    <t>737</t>
  </si>
  <si>
    <t>746</t>
  </si>
  <si>
    <t>Cable duct (cable channel)</t>
  </si>
  <si>
    <t>413</t>
  </si>
  <si>
    <t>714</t>
  </si>
  <si>
    <t>729</t>
  </si>
  <si>
    <t>745</t>
  </si>
  <si>
    <t>747</t>
  </si>
  <si>
    <t>Other electrical components</t>
  </si>
  <si>
    <t>720</t>
  </si>
  <si>
    <t>721</t>
  </si>
  <si>
    <t>482</t>
  </si>
  <si>
    <t>483</t>
  </si>
  <si>
    <t>484</t>
  </si>
  <si>
    <t>451</t>
  </si>
  <si>
    <t>472</t>
  </si>
  <si>
    <t>480</t>
  </si>
  <si>
    <t>485</t>
  </si>
  <si>
    <t>Fuse, relay</t>
  </si>
  <si>
    <t>450</t>
  </si>
  <si>
    <t>452</t>
  </si>
  <si>
    <t>470</t>
  </si>
  <si>
    <t>471</t>
  </si>
  <si>
    <t>481</t>
  </si>
  <si>
    <t>460</t>
  </si>
  <si>
    <t>461</t>
  </si>
  <si>
    <t>462</t>
  </si>
  <si>
    <t>473</t>
  </si>
  <si>
    <t>Torque joints</t>
  </si>
  <si>
    <t>700</t>
  </si>
  <si>
    <t>701</t>
  </si>
  <si>
    <t>702</t>
  </si>
  <si>
    <t>703</t>
  </si>
  <si>
    <t>710</t>
  </si>
  <si>
    <t>719</t>
  </si>
  <si>
    <t>Plastic level sensor (only for BMW Motorcycles)</t>
  </si>
  <si>
    <t>980</t>
  </si>
  <si>
    <t>981</t>
  </si>
  <si>
    <t>982</t>
  </si>
  <si>
    <t>983</t>
  </si>
  <si>
    <t>PRODUCT IDENTIFICATION; PACKING</t>
  </si>
  <si>
    <t>Label, imprinting</t>
  </si>
  <si>
    <t>650</t>
  </si>
  <si>
    <t>651</t>
  </si>
  <si>
    <t>652</t>
  </si>
  <si>
    <t>653</t>
  </si>
  <si>
    <t>660</t>
  </si>
  <si>
    <t>664</t>
  </si>
  <si>
    <t>665</t>
  </si>
  <si>
    <t>666</t>
  </si>
  <si>
    <t>670</t>
  </si>
  <si>
    <t>671</t>
  </si>
  <si>
    <t>750</t>
  </si>
  <si>
    <t>753</t>
  </si>
  <si>
    <t>756</t>
  </si>
  <si>
    <t>757</t>
  </si>
  <si>
    <t>Packing</t>
  </si>
  <si>
    <t>751</t>
  </si>
  <si>
    <t>752</t>
  </si>
  <si>
    <t>760</t>
  </si>
  <si>
    <t>761</t>
  </si>
  <si>
    <t>770</t>
  </si>
  <si>
    <t>771</t>
  </si>
  <si>
    <t>772</t>
  </si>
  <si>
    <t>MOULDING (for plastic parts production)</t>
  </si>
  <si>
    <t>Moulded parts</t>
  </si>
  <si>
    <t>800</t>
  </si>
  <si>
    <t>810</t>
  </si>
  <si>
    <t>811</t>
  </si>
  <si>
    <t>812</t>
  </si>
  <si>
    <t>813</t>
  </si>
  <si>
    <t>814</t>
  </si>
  <si>
    <t>815</t>
  </si>
  <si>
    <t>816</t>
  </si>
  <si>
    <t>817</t>
  </si>
  <si>
    <t>818</t>
  </si>
  <si>
    <t>819</t>
  </si>
  <si>
    <t>820</t>
  </si>
  <si>
    <t>821</t>
  </si>
  <si>
    <t>822</t>
  </si>
  <si>
    <t>823</t>
  </si>
  <si>
    <t>824</t>
  </si>
  <si>
    <t>825</t>
  </si>
  <si>
    <t>826</t>
  </si>
  <si>
    <t>830</t>
  </si>
  <si>
    <t>831</t>
  </si>
  <si>
    <t>OTHERS</t>
  </si>
  <si>
    <t>850</t>
  </si>
  <si>
    <t>851</t>
  </si>
  <si>
    <t>852</t>
  </si>
  <si>
    <t>853</t>
  </si>
  <si>
    <t>854</t>
  </si>
  <si>
    <t>859</t>
  </si>
  <si>
    <t>860</t>
  </si>
  <si>
    <t>861</t>
  </si>
  <si>
    <t>863</t>
  </si>
  <si>
    <t>864</t>
  </si>
  <si>
    <t>865</t>
  </si>
  <si>
    <t>866</t>
  </si>
  <si>
    <t>System (planning, etc.)</t>
  </si>
  <si>
    <t>672</t>
  </si>
  <si>
    <t>990</t>
  </si>
  <si>
    <t>991</t>
  </si>
  <si>
    <t>992</t>
  </si>
  <si>
    <t>993</t>
  </si>
  <si>
    <t>994</t>
  </si>
  <si>
    <t>995</t>
  </si>
  <si>
    <t>996</t>
  </si>
  <si>
    <t>997</t>
  </si>
  <si>
    <t>998</t>
  </si>
  <si>
    <t>CLINCHING</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</si>
  <si>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</si>
  <si>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</si>
  <si>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</si>
  <si>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</si>
  <si>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</si>
  <si>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</si>
  <si>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</si>
  <si>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</si>
  <si>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</si>
  <si>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</si>
  <si>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</si>
  <si>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</si>
  <si>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</si>
  <si>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</si>
  <si>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</si>
  <si>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</si>
  <si>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</si>
  <si>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</si>
  <si>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</si>
  <si>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</si>
  <si>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</si>
  <si>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</si>
  <si>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</si>
  <si>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</si>
  <si>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</si>
  <si>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</si>
  <si>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</si>
  <si>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</si>
  <si>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</si>
  <si>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</si>
  <si>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</si>
  <si>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</si>
  <si>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</si>
  <si>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</si>
  <si>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</si>
  <si>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</si>
  <si>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</si>
  <si>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HIGH VOLTAGE</t>
  </si>
  <si>
    <t>1250</t>
  </si>
  <si>
    <t>1251</t>
  </si>
  <si>
    <t>1252</t>
  </si>
  <si>
    <t>1253</t>
  </si>
  <si>
    <t>1254</t>
  </si>
  <si>
    <t>1255</t>
  </si>
  <si>
    <t>1256</t>
  </si>
  <si>
    <t>1257</t>
  </si>
  <si>
    <t>1258</t>
  </si>
  <si>
    <t>1259</t>
  </si>
  <si>
    <t>1260</t>
  </si>
  <si>
    <t>1261</t>
  </si>
  <si>
    <t>1270</t>
  </si>
  <si>
    <t>1271</t>
  </si>
  <si>
    <t>1272</t>
  </si>
  <si>
    <t>1273</t>
  </si>
  <si>
    <t>1280</t>
  </si>
  <si>
    <t>1281</t>
  </si>
  <si>
    <t>1282</t>
  </si>
  <si>
    <t>1283</t>
  </si>
  <si>
    <t>1284</t>
  </si>
  <si>
    <t>1285</t>
  </si>
  <si>
    <t>1290</t>
  </si>
  <si>
    <t>1291</t>
  </si>
  <si>
    <t>HIGH CURRENT – EDDY CURRENT</t>
  </si>
  <si>
    <t>1292</t>
  </si>
  <si>
    <t>1293</t>
  </si>
  <si>
    <t>1294</t>
  </si>
  <si>
    <t>1295</t>
  </si>
  <si>
    <t>1296</t>
  </si>
  <si>
    <t>1297</t>
  </si>
  <si>
    <t>ELECTRICAL TEST TABLE (only for maintenance and repair)</t>
  </si>
  <si>
    <t>New grouping is implemented.</t>
  </si>
  <si>
    <t>088</t>
  </si>
  <si>
    <t>332</t>
  </si>
  <si>
    <t>564</t>
  </si>
  <si>
    <t>565</t>
  </si>
  <si>
    <t>566</t>
  </si>
  <si>
    <t>567</t>
  </si>
  <si>
    <t>568</t>
  </si>
  <si>
    <t>758</t>
  </si>
  <si>
    <t>419</t>
  </si>
  <si>
    <t>699</t>
  </si>
  <si>
    <t>527</t>
  </si>
  <si>
    <t>528</t>
  </si>
  <si>
    <t>529</t>
  </si>
  <si>
    <t>495</t>
  </si>
  <si>
    <t>365</t>
  </si>
  <si>
    <t>1298</t>
  </si>
  <si>
    <t>1299</t>
  </si>
  <si>
    <t>149</t>
  </si>
  <si>
    <t>AUTOMATED ASSEMBLY</t>
  </si>
  <si>
    <t>Automated assembly of Nano-MQS terminals</t>
  </si>
  <si>
    <t>1320</t>
  </si>
  <si>
    <t>1321</t>
  </si>
  <si>
    <t>1322</t>
  </si>
  <si>
    <t>1323</t>
  </si>
  <si>
    <t>1361</t>
  </si>
  <si>
    <t>1330</t>
  </si>
  <si>
    <t>1331</t>
  </si>
  <si>
    <t>1332</t>
  </si>
  <si>
    <t>1333</t>
  </si>
  <si>
    <t>1300</t>
  </si>
  <si>
    <t>1302</t>
  </si>
  <si>
    <t>1303</t>
  </si>
  <si>
    <t>Terminal/ contact position assurance</t>
  </si>
  <si>
    <t>Holder flap cover assembly</t>
  </si>
  <si>
    <t>1001</t>
  </si>
  <si>
    <t>1002</t>
  </si>
  <si>
    <t>1003</t>
  </si>
  <si>
    <t>1004</t>
  </si>
  <si>
    <t>1005</t>
  </si>
  <si>
    <t>1006</t>
  </si>
  <si>
    <t>1007</t>
  </si>
  <si>
    <t>1008</t>
  </si>
  <si>
    <t>1009</t>
  </si>
  <si>
    <t>1010</t>
  </si>
  <si>
    <t>1011</t>
  </si>
  <si>
    <t>1012</t>
  </si>
  <si>
    <t>1013</t>
  </si>
  <si>
    <t>1014</t>
  </si>
  <si>
    <t>1015</t>
  </si>
  <si>
    <t>1016</t>
  </si>
  <si>
    <t>1017</t>
  </si>
  <si>
    <t>1018</t>
  </si>
  <si>
    <t>Alternating current/ direct current</t>
  </si>
  <si>
    <t>559</t>
  </si>
  <si>
    <t>977</t>
  </si>
  <si>
    <t>054</t>
  </si>
  <si>
    <t>Single wire plugged in wrong cavity</t>
  </si>
  <si>
    <t>078</t>
  </si>
  <si>
    <t>Single wire in wrong branch/ housing</t>
  </si>
  <si>
    <t>978</t>
  </si>
  <si>
    <t>Ethernet wires untwisted ends not acc. to specification</t>
  </si>
  <si>
    <t>979</t>
  </si>
  <si>
    <t>Ethernet wires stripping too long</t>
  </si>
  <si>
    <t>383</t>
  </si>
  <si>
    <t>Spot -, fixation/ hand-tearable tape in wrong position</t>
  </si>
  <si>
    <t>FCs</t>
  </si>
  <si>
    <t>Descript.</t>
  </si>
  <si>
    <t>Catalogue issued on 05.2022</t>
  </si>
  <si>
    <t>Department/function | Contact data</t>
  </si>
  <si>
    <t>Abteilung/Funktion | Kontaktdaten</t>
  </si>
  <si>
    <t>II</t>
  </si>
  <si>
    <t>Result and evidence of effectiveness check and comment</t>
  </si>
  <si>
    <t>Ergebnis und Nachweis der Wirksamkeitsprüfung und Kommentar</t>
  </si>
  <si>
    <t>Bild</t>
  </si>
  <si>
    <t>Picture</t>
  </si>
  <si>
    <t>ACTION PLAN - TECHN: OCC+cause</t>
  </si>
  <si>
    <t>ACTION PLAN - TECH: CAUSE + ACTION if Action is available</t>
  </si>
  <si>
    <t>SVERWEIS</t>
  </si>
  <si>
    <t>SVERWEIS: CAUSE + ACTIONS</t>
  </si>
  <si>
    <t>Level 2</t>
  </si>
  <si>
    <t>Level 1</t>
  </si>
  <si>
    <t>FINAL 5WHYs for 8D</t>
  </si>
  <si>
    <t>SVERWEIS - 5 Whys</t>
  </si>
  <si>
    <t>FINAL Cause + Corr.actions for 8D</t>
  </si>
  <si>
    <t>FINAL CAUSE + 5WHys SYSTEM for 8D</t>
  </si>
  <si>
    <t>Inform Prevention-Team</t>
  </si>
  <si>
    <t>Präventionsteam informieren</t>
  </si>
  <si>
    <t>New</t>
  </si>
  <si>
    <t>Updated</t>
  </si>
  <si>
    <t>Geprüft, NA</t>
  </si>
  <si>
    <t>Checked, NA</t>
  </si>
  <si>
    <t>Neu</t>
  </si>
  <si>
    <t>Update</t>
  </si>
  <si>
    <t>HÁROK NA RIEŠENIE PROBLÉMOV</t>
  </si>
  <si>
    <t>PSS č.</t>
  </si>
  <si>
    <t>Strana 1: D0-D1-D2-D3</t>
  </si>
  <si>
    <t>Jazyk</t>
  </si>
  <si>
    <t>Typ chyby</t>
  </si>
  <si>
    <t>Základné údaje-Tím-Popis problému– okamžitá(é) opatrenie(a)</t>
  </si>
  <si>
    <t>Závod Kroschu</t>
  </si>
  <si>
    <t>Dátum začiatku</t>
  </si>
  <si>
    <t>Zákazník</t>
  </si>
  <si>
    <t xml:space="preserve">Číslo reklamácie zákazníka </t>
  </si>
  <si>
    <t>Základné údaje</t>
  </si>
  <si>
    <t xml:space="preserve">Interné číslo KSK </t>
  </si>
  <si>
    <t>Poradové/sériové</t>
  </si>
  <si>
    <t>Číslo boxu</t>
  </si>
  <si>
    <t>Počet chybných dielov</t>
  </si>
  <si>
    <t>Dôležitá funkcia pre bezpečnosť</t>
  </si>
  <si>
    <t>Dátum/čas výroby</t>
  </si>
  <si>
    <t>D1 - Tím</t>
  </si>
  <si>
    <t>Koordinátor (/šampión)</t>
  </si>
  <si>
    <t>Meno, krstné meno</t>
  </si>
  <si>
    <t>Ssponzor</t>
  </si>
  <si>
    <t>Členovia</t>
  </si>
  <si>
    <t>D2 - Popis problému</t>
  </si>
  <si>
    <t>n.i.O. KOMPONENT</t>
  </si>
  <si>
    <t>i.O. KOMPONENT</t>
  </si>
  <si>
    <t>Kód chyby</t>
  </si>
  <si>
    <t>Popis chýb</t>
  </si>
  <si>
    <t>Miesto chyby</t>
  </si>
  <si>
    <t>Pracovisco</t>
  </si>
  <si>
    <t>Kvalifikácia</t>
  </si>
  <si>
    <t>Linka</t>
  </si>
  <si>
    <t>Pracovná zmena</t>
  </si>
  <si>
    <t>Zariadenie</t>
  </si>
  <si>
    <t>Opakujúca sa chyba</t>
  </si>
  <si>
    <t>Ak áno, PSS č./ 8D č.</t>
  </si>
  <si>
    <t>áno</t>
  </si>
  <si>
    <t>nie</t>
  </si>
  <si>
    <t>JE</t>
  </si>
  <si>
    <t>NIE JE</t>
  </si>
  <si>
    <t>čo</t>
  </si>
  <si>
    <t>kde</t>
  </si>
  <si>
    <t>kedy</t>
  </si>
  <si>
    <t>koľko</t>
  </si>
  <si>
    <t>Ktorý produkt/proces predstavuje problém?</t>
  </si>
  <si>
    <t>O akú odchýlku ide?</t>
  </si>
  <si>
    <t>Kde sa nachádzal produkt/proces, keď sa prvýkrát objavila odchýlka?</t>
  </si>
  <si>
    <t>Kde v produkte/procese nastala odchýlka?</t>
  </si>
  <si>
    <t>Kedy bola odchýlka prvýkrát objavená? (Dátum výskytu a životného cyklu)</t>
  </si>
  <si>
    <t>Je možné identifikovať systém? (jednorazová porucha, stály nárast/pokles, náhodné alebo cyklické)?</t>
  </si>
  <si>
    <t>Aký vysoký je počet zlyhaní (počet a PPM)</t>
  </si>
  <si>
    <t>Ktorých ľudí sa to týka? Aké náklady vám doteraz vznikli? Budú tieto stúpať, klesať alebo zostanú stabilné?</t>
  </si>
  <si>
    <t>Existujú podobné produkty/procesy, kde sa problém nevyskytol?</t>
  </si>
  <si>
    <t>Očakávate ďalšie odchýlky dotknutého produktu/procesu?</t>
  </si>
  <si>
    <t>Kde inde by mohla nastať odchýlka?</t>
  </si>
  <si>
    <t>Aké sú názvy susedných produktov/procesov a ktorých z nich sa odchýlka netýka?</t>
  </si>
  <si>
    <t>Môže sa vyskytnúť problém v skoršom štádiu/čase?</t>
  </si>
  <si>
    <t>Dá sa počítať s ďalším výskytom porúch od ich odhalenia?</t>
  </si>
  <si>
    <t>Koľko môžeme ešte očakávať v budúcnosti?</t>
  </si>
  <si>
    <t>Čo môže viesť k horším/lepším okolnostiam?</t>
  </si>
  <si>
    <t>Popis symptómu</t>
  </si>
  <si>
    <t>Popis problému</t>
  </si>
  <si>
    <t>D3 – Okamžité opatrenia</t>
  </si>
  <si>
    <t>Dátum</t>
  </si>
  <si>
    <t>Boli informovaní príslušní zamestnanci?</t>
  </si>
  <si>
    <t>Vymedzenie dotknutých produktov</t>
  </si>
  <si>
    <t>Je možné zúžiť dotknuté produkty?</t>
  </si>
  <si>
    <t>Doručené zákazníkovi</t>
  </si>
  <si>
    <t>Na ceste</t>
  </si>
  <si>
    <t>V Kroschu</t>
  </si>
  <si>
    <t>Sučet ovplyvnených produktov</t>
  </si>
  <si>
    <t>Opatrenia na pokračovanie stabilnej výroby u zákazníka</t>
  </si>
  <si>
    <t>Opatrenia na pokračovanie dodávky</t>
  </si>
  <si>
    <t>Opatrenia na pokračovanie výroby Kroschu</t>
  </si>
  <si>
    <t>Opatrenia</t>
  </si>
  <si>
    <t>Kontrola účinnosti</t>
  </si>
  <si>
    <t>Metóda</t>
  </si>
  <si>
    <t>Zodpovedná osoba</t>
  </si>
  <si>
    <t>Dátum implementácie</t>
  </si>
  <si>
    <t>Akcia triedenia</t>
  </si>
  <si>
    <t>Počet vytriedených</t>
  </si>
  <si>
    <t>Počet nájdených dielov NOK</t>
  </si>
  <si>
    <t>Identifikácia dielov OK</t>
  </si>
  <si>
    <t>Súčet vytriedených dielov</t>
  </si>
  <si>
    <t>Súčet nájdených dielov NOK</t>
  </si>
  <si>
    <t>Súčet identifikovaných dielov OK</t>
  </si>
  <si>
    <t>Komentáre</t>
  </si>
  <si>
    <t>V procese</t>
  </si>
  <si>
    <t>Uzavreté</t>
  </si>
  <si>
    <t>Strana 2: D4</t>
  </si>
  <si>
    <t>Údaje/Fakty/Čísla</t>
  </si>
  <si>
    <t>Dorábka</t>
  </si>
  <si>
    <t>Áno, relevantné prepracovanie</t>
  </si>
  <si>
    <t>Áno, ale žiadne relevantné prepracovanie</t>
  </si>
  <si>
    <t>Nie, žiadne prepracovanie</t>
  </si>
  <si>
    <t>Podrobné informácie o prepracovaní</t>
  </si>
  <si>
    <t>Informácie o chybách v QIS</t>
  </si>
  <si>
    <t>Ďalšie informácie</t>
  </si>
  <si>
    <t>Nákres tohto procesu a označenie kritických krokov pre vysledovateľnú analýzu základných príčin</t>
  </si>
  <si>
    <t>Strana 3: D4</t>
  </si>
  <si>
    <t>Kľúčové otázky pre efektívnu analýzu základných príčin</t>
  </si>
  <si>
    <t>Človek</t>
  </si>
  <si>
    <t>Hrozia riziká pri manipulácii?</t>
  </si>
  <si>
    <t>Sú zamestnanci schopní pre túto úlohu? (Skontrolujte prípadné výrobné obdobie)</t>
  </si>
  <si>
    <t>Absolvovali zamestnanci potrebné školenie?</t>
  </si>
  <si>
    <t>Je školenie prispôsobené potrebám?</t>
  </si>
  <si>
    <t>Rozumejú zamestnanci platným pracovným pokynom?</t>
  </si>
  <si>
    <t>Boli všetky pracovné pokyny správne dodržané a aplikované?</t>
  </si>
  <si>
    <t>Stroj</t>
  </si>
  <si>
    <t>Fungujú nástroje/stroje správne?</t>
  </si>
  <si>
    <t>Bola vykonaná preventívna údržba?</t>
  </si>
  <si>
    <t>Vyskytla sa konkrétna udalosť? (Výpadodk prúdu,…)</t>
  </si>
  <si>
    <t>Fungujú systémy na kontrolu chýb správne? (Poka Yoke, riadiace centrum,...)</t>
  </si>
  <si>
    <t>Boli parametre stroja/procesu správne nakonfigurované?</t>
  </si>
  <si>
    <t>Sú parametre stroja/procesu správne definované?</t>
  </si>
  <si>
    <t>Materiál</t>
  </si>
  <si>
    <t>Sú diely v rámci definovaných noriem? Sú normy primerané?</t>
  </si>
  <si>
    <t>Sú použité komponenty/material v rámci špecifikácií?</t>
  </si>
  <si>
    <t>Boli nejaké zmeny/úpravy komponentov/materiálov?</t>
  </si>
  <si>
    <t>Sú všetky komponenty/materiály schválené?</t>
  </si>
  <si>
    <t>Boli použité správne komponenty/materiál?</t>
  </si>
  <si>
    <t>Sú na pracoviskách poskytnuté pracovné postupy?</t>
  </si>
  <si>
    <t>Sú pracovné postupy aktualizované?</t>
  </si>
  <si>
    <t>Boli použité korekčné nástroje/zariadenia?</t>
  </si>
  <si>
    <t>Bola úloha vykonaná rovnako vo všetkých zmenách?</t>
  </si>
  <si>
    <t>Je definovaná preventívna údržba? Je to dostatočné?</t>
  </si>
  <si>
    <t>Okolie</t>
  </si>
  <si>
    <t>Iné</t>
  </si>
  <si>
    <t>Ishivkavov diagram</t>
  </si>
  <si>
    <t>Technický posudok</t>
  </si>
  <si>
    <t>Systémový posudok</t>
  </si>
  <si>
    <t>Vznika</t>
  </si>
  <si>
    <t>neobjavenie</t>
  </si>
  <si>
    <t>Prečo nie je hlavná príčina?</t>
  </si>
  <si>
    <t>Prečo je možné vylúčiť príčinu (nikdy nie je hlavná príčina)?</t>
  </si>
  <si>
    <t>Strana 4: D4-D5-D6</t>
  </si>
  <si>
    <t>Analýza hlavných príčin a akčného plánu</t>
  </si>
  <si>
    <t>D4 - Analýza koreňovej príčiny</t>
  </si>
  <si>
    <t>Boli príslušní zamestnanci zamestnanci?</t>
  </si>
  <si>
    <t>rande školenia</t>
  </si>
  <si>
    <t>Dátum kontroly účinnosti</t>
  </si>
  <si>
    <t>identifikačné faktory</t>
  </si>
  <si>
    <t>5 prečo analýza</t>
  </si>
  <si>
    <t>ovplyvňujúce faktory</t>
  </si>
  <si>
    <t>Preco 1</t>
  </si>
  <si>
    <t>prečo 2</t>
  </si>
  <si>
    <t>Preco 3</t>
  </si>
  <si>
    <t>prečo 4</t>
  </si>
  <si>
    <t>prečo 5</t>
  </si>
  <si>
    <t>chybová kategória</t>
  </si>
  <si>
    <t>overenie príčin</t>
  </si>
  <si>
    <t>kategórie</t>
  </si>
  <si>
    <t>Metóda overenia koreňa</t>
  </si>
  <si>
    <t>D5 – Opatrenia na zlepšenie</t>
  </si>
  <si>
    <t>D6 – Implementácia nápravných opatrení</t>
  </si>
  <si>
    <t>Plán opatrení</t>
  </si>
  <si>
    <t>Zlepšovacie opatrenia</t>
  </si>
  <si>
    <t>Obrázok č.</t>
  </si>
  <si>
    <t>Cieľový dátum</t>
  </si>
  <si>
    <t>Dôkaz účinnosti/
dôvod odmietnutia</t>
  </si>
  <si>
    <t>Dátum uzavretia</t>
  </si>
  <si>
    <t>Simulácia</t>
  </si>
  <si>
    <t>Aby sa potvrdila hlavná príčina, musí sa chyba reprodukovať za rovnakých okolností, ak je to možné</t>
  </si>
  <si>
    <t>Je možná simulácia?</t>
  </si>
  <si>
    <t>Ako sa chyba reprodukovala?</t>
  </si>
  <si>
    <t>Dôvod, prečo simulácia nie je možná:</t>
  </si>
  <si>
    <t>Zhoduje sa reprodukovaná chyba s danou chybou?</t>
  </si>
  <si>
    <t>→ Príčina chyby potvrdená</t>
  </si>
  <si>
    <t>→ Príčina chyby nebola potvrdená → Vráťte sa na D4 a nájdite správnu príčinu chyby</t>
  </si>
  <si>
    <t>Nápravné opatrenia - obrázky</t>
  </si>
  <si>
    <t>Predtým</t>
  </si>
  <si>
    <t>Potom</t>
  </si>
  <si>
    <t>Obrázok 1</t>
  </si>
  <si>
    <t>Obrázok 2</t>
  </si>
  <si>
    <t>Obrázok 3</t>
  </si>
  <si>
    <t>Obrázok 4</t>
  </si>
  <si>
    <t>Obrázok 5</t>
  </si>
  <si>
    <t>Obrázok</t>
  </si>
  <si>
    <t>Strana 5: D6-D7-D8</t>
  </si>
  <si>
    <t>Potvrdenie, preventívne opatrenia, záver</t>
  </si>
  <si>
    <t>Potvrdenie účinnosti nápravných opatrení</t>
  </si>
  <si>
    <t>Obdobie</t>
  </si>
  <si>
    <t>Výsledok a dôkaz testu účinnosti a komentár</t>
  </si>
  <si>
    <t>D7 - Preventívne opatrenia</t>
  </si>
  <si>
    <t>Dokumentácia - Aktualizácia štandardov</t>
  </si>
  <si>
    <t>Dokumentáciu</t>
  </si>
  <si>
    <t>Označenie</t>
  </si>
  <si>
    <t>Plán údržby</t>
  </si>
  <si>
    <t>Výkres</t>
  </si>
  <si>
    <t>Lessons Learned Karta</t>
  </si>
  <si>
    <t>Tréningový štandard</t>
  </si>
  <si>
    <t>Postup</t>
  </si>
  <si>
    <t>Špecifikácia</t>
  </si>
  <si>
    <t>Zavedenie opatrení pre podobné procesy/produkty</t>
  </si>
  <si>
    <t>Procesy</t>
  </si>
  <si>
    <t>Ovplyvnené procesy</t>
  </si>
  <si>
    <t>Produkty</t>
  </si>
  <si>
    <t>Ovplyvnené produkty</t>
  </si>
  <si>
    <t>E-mail zodpovednému</t>
  </si>
  <si>
    <t>D8 - Záver PSS</t>
  </si>
  <si>
    <t>a odobrenie tímového úspechu</t>
  </si>
  <si>
    <t>Posledná aktualizácia</t>
  </si>
  <si>
    <t>Stav reklamácie</t>
  </si>
  <si>
    <t>Prijaté</t>
  </si>
  <si>
    <t>Odmietnuté, prijaté zákazníkom/dodávateľom/iným závodom Kroschu</t>
  </si>
  <si>
    <t>Odmietnuté</t>
  </si>
  <si>
    <t>Pozícia</t>
  </si>
  <si>
    <t>Q Zodpovedná osoba</t>
  </si>
  <si>
    <t>Vedúci tímu AP</t>
  </si>
  <si>
    <t>Koordinátor problémov</t>
  </si>
  <si>
    <t>Informácie o výsledku 3-mesačného hodnotenia:</t>
  </si>
  <si>
    <t>Informoval dňa</t>
  </si>
  <si>
    <t>Overené dňa</t>
  </si>
  <si>
    <t>Uzavreté dňa</t>
  </si>
  <si>
    <t>8D správa</t>
  </si>
  <si>
    <t>Voliteľné dodatočné poznámky (obrázky atď.)</t>
  </si>
  <si>
    <t>Pripomienky, záver (výsledok záverečnej diskusie)</t>
  </si>
  <si>
    <t>Posúdenie rizík</t>
  </si>
  <si>
    <t>Pravdepodobnosť</t>
  </si>
  <si>
    <t>Vplyv</t>
  </si>
  <si>
    <t>Vzdialený – šanca v tomto prípade je takmer 0</t>
  </si>
  <si>
    <t>Nepravdepodobné – nepredvídaná situácia existuje, ale nenastane</t>
  </si>
  <si>
    <t>Možné - V určitom okamihu môže dôjsť k výpadku</t>
  </si>
  <si>
    <t>Pravdepodobné - Prípad sa niekedy vyskytne a dá sa očakávať</t>
  </si>
  <si>
    <t>Takmer isté - Prípad sa vyskytuje často a je očakávaný</t>
  </si>
  <si>
    <t>Ignorovateľné - ignorovateľné poškodenie bez účinku bez vplyvu</t>
  </si>
  <si>
    <t>Nízka - na vonkajšej strane je viditeľné mierne poškodenie</t>
  </si>
  <si>
    <t>Stredná - viditeľné poškodenie vo viditeľnej oblasti</t>
  </si>
  <si>
    <t>Vysoká - poškodenie s funkčným účinkom</t>
  </si>
  <si>
    <t>Katastrofálne - katastrofálne škody s následkami</t>
  </si>
  <si>
    <t>Stupeň</t>
  </si>
  <si>
    <t>12 alebo vyššie</t>
  </si>
  <si>
    <t>7 až 11</t>
  </si>
  <si>
    <t>5 až 6</t>
  </si>
  <si>
    <t>1 až 4</t>
  </si>
  <si>
    <t>Opatrenia vyžadujúce dohodu so zákazníkom</t>
  </si>
  <si>
    <t>Opatrenia na želanie zákazníka</t>
  </si>
  <si>
    <t>Také nízke, ako je to rozumne možné</t>
  </si>
  <si>
    <t>nevyžadujú sa žiadne ďalšie opatrenia</t>
  </si>
  <si>
    <t>Matica</t>
  </si>
  <si>
    <t>Riziko</t>
  </si>
  <si>
    <t>Úroveň rizika</t>
  </si>
  <si>
    <t>Počiatočné ohodnotenie</t>
  </si>
  <si>
    <t>Nové hodnotenie</t>
  </si>
  <si>
    <t>Dátum ukončenia</t>
  </si>
  <si>
    <t>Výsledok</t>
  </si>
  <si>
    <t>ОБРАЗЕЦ ЗА РЕШАВАЊЕ ПРОБЛЕМИ</t>
  </si>
  <si>
    <t>PSS бр.</t>
  </si>
  <si>
    <t>Страница 1: D0-D1-D2-D3</t>
  </si>
  <si>
    <t>Јазик</t>
  </si>
  <si>
    <t>Тип на дефект</t>
  </si>
  <si>
    <t>Основни податоци-Тим-Опис на проблемот-Итни мерки</t>
  </si>
  <si>
    <t>Kroschu фабрика</t>
  </si>
  <si>
    <t>Датум на отворање</t>
  </si>
  <si>
    <t>Клиент</t>
  </si>
  <si>
    <t>Проект</t>
  </si>
  <si>
    <t>Бр.на рекламација од клиент</t>
  </si>
  <si>
    <t>Основни податоци</t>
  </si>
  <si>
    <t>Интерен КSK бр.</t>
  </si>
  <si>
    <t>Lfd./сериски</t>
  </si>
  <si>
    <t>Индекс</t>
  </si>
  <si>
    <t>Кутија-бр.</t>
  </si>
  <si>
    <t>Број на неисправни делови</t>
  </si>
  <si>
    <t>Карактеристика релевантна за безбедноста</t>
  </si>
  <si>
    <t>Датум/време на производство</t>
  </si>
  <si>
    <t>D1 - Тим</t>
  </si>
  <si>
    <t>Координатор (/Шампион)</t>
  </si>
  <si>
    <t>Име, презиме</t>
  </si>
  <si>
    <t>Спонзор</t>
  </si>
  <si>
    <t>Членови</t>
  </si>
  <si>
    <t>D2 - Опис на проблемот</t>
  </si>
  <si>
    <t>не-OK ДЕЛ</t>
  </si>
  <si>
    <t>ОК ДЕЛ</t>
  </si>
  <si>
    <t>Код на грешка</t>
  </si>
  <si>
    <t>Опис на грешка</t>
  </si>
  <si>
    <t>Локација на дефектот</t>
  </si>
  <si>
    <t>Работно место</t>
  </si>
  <si>
    <t>Квалификација</t>
  </si>
  <si>
    <t>Линија</t>
  </si>
  <si>
    <t>Тим</t>
  </si>
  <si>
    <t>Опрема</t>
  </si>
  <si>
    <t>Дефект кој се повторува</t>
  </si>
  <si>
    <t>Ако одговорот е да, PSS бр./ 8D бр.</t>
  </si>
  <si>
    <t>Да</t>
  </si>
  <si>
    <t>Не</t>
  </si>
  <si>
    <t>Е</t>
  </si>
  <si>
    <t>НЕ Е</t>
  </si>
  <si>
    <t>Што</t>
  </si>
  <si>
    <t>Каде</t>
  </si>
  <si>
    <t>Кога</t>
  </si>
  <si>
    <t>Колку</t>
  </si>
  <si>
    <t>За кој производ/процес се однесува проблемот?</t>
  </si>
  <si>
    <t>Што е девијацијата?</t>
  </si>
  <si>
    <t>Каде беше производот/процесот кога првпат се случи девијацијата?</t>
  </si>
  <si>
    <t>Каде во производот/процесот настанала девијацијата?</t>
  </si>
  <si>
    <t>Кога првпат беше откриена девијацијата? (Датум на појава и животен циклус)</t>
  </si>
  <si>
    <t>Дали постои препознатлив систем на дефекти? (еден дефект, континуирано зголемување/опаѓање, случајно или циклично)?</t>
  </si>
  <si>
    <t>Колку дефекти? (број и PPM)</t>
  </si>
  <si>
    <t>Кои лица се засегнати? Кои трошоци се направени досега? Дали тие ќе се зголемат, ќе се намалат или ќе останат стабилни?</t>
  </si>
  <si>
    <t>Дали има споредливи производи/процеси каде што проблемот не се појавил?</t>
  </si>
  <si>
    <t>Дали се очекуваат дополнителни девијации на засегнатиот производ/процес?</t>
  </si>
  <si>
    <t>Каде на друго место може да дојде до девијацијата?</t>
  </si>
  <si>
    <t>Кои се имињата на соседните производи/процеси и кои од нив не се засегнати од девијацијата?</t>
  </si>
  <si>
    <t>Дали можеби проблемот се појавил во некоја претходна фаза/порано?</t>
  </si>
  <si>
    <t>Дали може да се очекуваат дополнителни грешки од почетокот на откривањето?</t>
  </si>
  <si>
    <t>Уште колку може да се очекуваат во иднина?</t>
  </si>
  <si>
    <t>Што може да доведе до полоши/подобри околности?</t>
  </si>
  <si>
    <t>Опис на симптомите</t>
  </si>
  <si>
    <t>Опис на проблемот</t>
  </si>
  <si>
    <t>D3 - Итни мерки</t>
  </si>
  <si>
    <t>Статус</t>
  </si>
  <si>
    <t>Датум</t>
  </si>
  <si>
    <t>Дали релевантните вработени беа информирани?</t>
  </si>
  <si>
    <t>Лимитација на засегнатите производи</t>
  </si>
  <si>
    <t>Дали е можно да се направи лимитација на засегнатите производи?</t>
  </si>
  <si>
    <t>доставено до клиентот</t>
  </si>
  <si>
    <t>во транзит</t>
  </si>
  <si>
    <t>во Kroschu</t>
  </si>
  <si>
    <t>вкупен број на засегнати производи</t>
  </si>
  <si>
    <t>Мерки за континуирано безбедно производство кај клиентот</t>
  </si>
  <si>
    <t>Мерки за континуирана испорака</t>
  </si>
  <si>
    <t>Мерки за континуирано Kroschu-производство</t>
  </si>
  <si>
    <t>Акција</t>
  </si>
  <si>
    <t>Проверка на ефективноста</t>
  </si>
  <si>
    <t>Метод</t>
  </si>
  <si>
    <t>Одговорен</t>
  </si>
  <si>
    <t>Датум на имплементација</t>
  </si>
  <si>
    <t>Акции за сортирање</t>
  </si>
  <si>
    <t>Сортирана количина</t>
  </si>
  <si>
    <t xml:space="preserve">Пронајдени не-ОК делови </t>
  </si>
  <si>
    <t>Идентификација на ОК делови</t>
  </si>
  <si>
    <t>вкупен број на сортирани делови</t>
  </si>
  <si>
    <t xml:space="preserve">вкупен број на пронајдени не-ОК делови </t>
  </si>
  <si>
    <t xml:space="preserve">вкупен број на идентификувани ОК делови </t>
  </si>
  <si>
    <t>Коментари</t>
  </si>
  <si>
    <t>Во обработка</t>
  </si>
  <si>
    <t>Завршено</t>
  </si>
  <si>
    <t>Страница 2: D4</t>
  </si>
  <si>
    <t>Податоци/Факти/Броеви</t>
  </si>
  <si>
    <t>Преработка</t>
  </si>
  <si>
    <t>Да, релевантна преработка</t>
  </si>
  <si>
    <t>Да, но без релевантна преработка</t>
  </si>
  <si>
    <t>Не, без преработка</t>
  </si>
  <si>
    <t>Детални информации за преработката</t>
  </si>
  <si>
    <t>Информации за дефект во QIS</t>
  </si>
  <si>
    <t>Други информации</t>
  </si>
  <si>
    <t>За разбирлива анализа на кореновата причина, нацртајте го текот на процесот и означете ги критичните чекори на процесот:</t>
  </si>
  <si>
    <t>Страница 3: D4</t>
  </si>
  <si>
    <t>Водечки прашања за ефикасна анализа на кореновата причина</t>
  </si>
  <si>
    <t>Човек</t>
  </si>
  <si>
    <t>Дали постои ризик при манипулации?</t>
  </si>
  <si>
    <t>Дали работниците се оспособени за работата? (проверете го односниот период на производство)</t>
  </si>
  <si>
    <t>Дали работниците ја добија потребната обука?</t>
  </si>
  <si>
    <t>Дали обуката е прилагодена на потребите?</t>
  </si>
  <si>
    <t>Дали работниците совршено ги разбираат применливите работни инструкции?</t>
  </si>
  <si>
    <t>Дали сите работни инструкции беа правилно следени и применети?</t>
  </si>
  <si>
    <t>Машина</t>
  </si>
  <si>
    <t>Дали алатките/машините функционираат правилно?</t>
  </si>
  <si>
    <t>Дали е извршено превентивно одржување?</t>
  </si>
  <si>
    <t>Дали се случил некој конкретен настан? (Исклучување на струја,…)</t>
  </si>
  <si>
    <t>Дали системите за заштита од грешки функционираат правилно? (Poka yoke, Контролна станица,…)</t>
  </si>
  <si>
    <t>Дали параметрите на машината/процесот се правилно поставени?</t>
  </si>
  <si>
    <t>Дали параметрите на машината/процесот се правилно дефинирани?</t>
  </si>
  <si>
    <t>Материјал</t>
  </si>
  <si>
    <t>Дали деловите се во рамките на дефинираните стандарди? Дали стандардите се соодветни?</t>
  </si>
  <si>
    <t>Дали користените компоненти/материјали се во рамки на спецификациите?</t>
  </si>
  <si>
    <t>Дали имаше промени/измени на компонентите/материјалите?</t>
  </si>
  <si>
    <t>Дали се одобрени сите компоненти/материјали?</t>
  </si>
  <si>
    <t>Дали се користат точните компоненти/материјали?</t>
  </si>
  <si>
    <t>Дали работните инструкции се објавени на работните станици?</t>
  </si>
  <si>
    <t>Дали се ажурирани работните инструкции?</t>
  </si>
  <si>
    <t>Дали се користени точните алатки/направи?</t>
  </si>
  <si>
    <t>Дали работата се врши на ист начин во сите смени?</t>
  </si>
  <si>
    <t>Дали има дефинирано превентивно одржување? Дали е тоа доволно?</t>
  </si>
  <si>
    <t>Животна средина</t>
  </si>
  <si>
    <t>Други</t>
  </si>
  <si>
    <t>Ishikawa-График</t>
  </si>
  <si>
    <t>Техничко разгледување</t>
  </si>
  <si>
    <t>Системско разгледување</t>
  </si>
  <si>
    <t>Појава</t>
  </si>
  <si>
    <t>Неоткривање</t>
  </si>
  <si>
    <t>Зошто тоа не е коренова причина?</t>
  </si>
  <si>
    <t>Зошто причината може да се исклучи (дали не е вистинска коренова причина)?</t>
  </si>
  <si>
    <t>Страница 4:  D4-D5-D6</t>
  </si>
  <si>
    <t>Анализа на основните причини и Акциски план</t>
  </si>
  <si>
    <t>D4 - Анализа на кореновата причина</t>
  </si>
  <si>
    <t>Дали релевантните вработени беа обучени?</t>
  </si>
  <si>
    <t>Датум на обука</t>
  </si>
  <si>
    <t>Датум на проверка на ефективноста на обуката</t>
  </si>
  <si>
    <t>Идентификација на фактори</t>
  </si>
  <si>
    <t>5-Зошто-Анализа</t>
  </si>
  <si>
    <t>Влијателни фактори</t>
  </si>
  <si>
    <t>Зошто 1</t>
  </si>
  <si>
    <t>Зошто 2</t>
  </si>
  <si>
    <t>Зошто 3</t>
  </si>
  <si>
    <t>Зошто 4</t>
  </si>
  <si>
    <t>Зошто 5</t>
  </si>
  <si>
    <t>Категорија на дефекти</t>
  </si>
  <si>
    <t>Проверка на причините</t>
  </si>
  <si>
    <t>Категорија</t>
  </si>
  <si>
    <t>Метод на верификација на причината</t>
  </si>
  <si>
    <t>D5 - Корективни акции</t>
  </si>
  <si>
    <t>D6 - Имплементација на перманентни корективни акции</t>
  </si>
  <si>
    <t>Акциски план</t>
  </si>
  <si>
    <t>Корективна акција</t>
  </si>
  <si>
    <t>Слика Бр.</t>
  </si>
  <si>
    <t>Целен датум</t>
  </si>
  <si>
    <t>Тест за ефективност/                                                         Причина за одбивање</t>
  </si>
  <si>
    <t>Датум на затворање</t>
  </si>
  <si>
    <t>Симулација</t>
  </si>
  <si>
    <t>За да се потврдат кореновите причини, дефектот мора да се репродуцира со создавање на иста состојба, ако е тоа можно</t>
  </si>
  <si>
    <t>Дали е можна симулација?</t>
  </si>
  <si>
    <t>Што беше направено за да се репродуцира дефектот?</t>
  </si>
  <si>
    <t>Причина зошто симулацијата не е можна:</t>
  </si>
  <si>
    <t>Дали репродуцираниот дефект се совпаѓа со дадениот дефект?</t>
  </si>
  <si>
    <t>→ Потврдена е кореновата причина</t>
  </si>
  <si>
    <t>→ Не е потврдена кореновата причина → Вратете се на D4 за да ја пронајдете вистинската коренова причина</t>
  </si>
  <si>
    <t>Страница 4: D4-D5-D6</t>
  </si>
  <si>
    <t>Корективни акции - Слики</t>
  </si>
  <si>
    <t>Пред</t>
  </si>
  <si>
    <t>Потоа</t>
  </si>
  <si>
    <t>Слика 1</t>
  </si>
  <si>
    <t>Слика 2</t>
  </si>
  <si>
    <t>Слика 3</t>
  </si>
  <si>
    <t>Слика 4</t>
  </si>
  <si>
    <t>Слика 5</t>
  </si>
  <si>
    <t>Слика</t>
  </si>
  <si>
    <t>Страница 5: D6-D7-D8</t>
  </si>
  <si>
    <t>Проверка, превентивни акции, затворање</t>
  </si>
  <si>
    <t>Проверка на ефективноста на корективните акции</t>
  </si>
  <si>
    <t>Временска рамка</t>
  </si>
  <si>
    <t>Резултат и докази за проверката на ефективност и коментар</t>
  </si>
  <si>
    <t>D7 - Превентивни акции</t>
  </si>
  <si>
    <t>Документација - Стандардни ажурирања</t>
  </si>
  <si>
    <t>Документација</t>
  </si>
  <si>
    <t>Назначување</t>
  </si>
  <si>
    <t>План за одржување</t>
  </si>
  <si>
    <t>Цртеж</t>
  </si>
  <si>
    <t>Картичка за научени лекции</t>
  </si>
  <si>
    <t>Стандард за обука</t>
  </si>
  <si>
    <t>Процедура</t>
  </si>
  <si>
    <t>Спецификација</t>
  </si>
  <si>
    <t>Имплементација на мерки врз слични процеси/производи</t>
  </si>
  <si>
    <t>Процеси</t>
  </si>
  <si>
    <t>Засегнати процеси</t>
  </si>
  <si>
    <t>Производи:</t>
  </si>
  <si>
    <t>Засегнати производи</t>
  </si>
  <si>
    <t>Испратена е-пошта до одговорниот</t>
  </si>
  <si>
    <t>Производи</t>
  </si>
  <si>
    <t>D8 - PSS затворање</t>
  </si>
  <si>
    <t>и благодарност за успехот на тимот</t>
  </si>
  <si>
    <t>Последно ажурирање</t>
  </si>
  <si>
    <t>Статус на рекламација</t>
  </si>
  <si>
    <t>Прифатено</t>
  </si>
  <si>
    <t>Одбиено, прифатено од клиент/добавувач/друга фабрика на Kroschu</t>
  </si>
  <si>
    <t>Одбиено</t>
  </si>
  <si>
    <t>Позиција</t>
  </si>
  <si>
    <t>Одговорен за квалитет</t>
  </si>
  <si>
    <t xml:space="preserve">Водач на АР-тимот </t>
  </si>
  <si>
    <t>Координатор за проблеми</t>
  </si>
  <si>
    <t>Информации за резултат од 3-месечна евалуација</t>
  </si>
  <si>
    <t>информирано на</t>
  </si>
  <si>
    <t>потврдено на</t>
  </si>
  <si>
    <t>затворено на</t>
  </si>
  <si>
    <t>8D-извештај</t>
  </si>
  <si>
    <t>Опционални дополнителни белешки (слики итн.)</t>
  </si>
  <si>
    <t>Коментари, заклучок (резултат од конечна дискусија)</t>
  </si>
  <si>
    <t>Проценка на ризик</t>
  </si>
  <si>
    <t>Веројатност</t>
  </si>
  <si>
    <t>Ефект</t>
  </si>
  <si>
    <t>Од далечина - Шансата за овој настан е речиси 0</t>
  </si>
  <si>
    <t>Малку веројатно - Евентуалност постои, но нема да се случи</t>
  </si>
  <si>
    <t xml:space="preserve">Можно - Настанот може некогаш да се случи </t>
  </si>
  <si>
    <t>Веројатно - Настанот ќе се случи некогаш и може да се очекува</t>
  </si>
  <si>
    <t>Речиси сигурно - Настанот се случува често и се очекува</t>
  </si>
  <si>
    <t>занемарливо-занемарливи штети без влијание</t>
  </si>
  <si>
    <t>низок ризик - мали оштетувања надвор од видливата област</t>
  </si>
  <si>
    <t>среден ризик - забележливи оштетувања во видливата област</t>
  </si>
  <si>
    <t>висок ризик - оштетување со функционално влијание</t>
  </si>
  <si>
    <t>катастрофално - катастрофална штета со последици</t>
  </si>
  <si>
    <t>Ниво</t>
  </si>
  <si>
    <t>12 или повеќе</t>
  </si>
  <si>
    <t>7 до 11</t>
  </si>
  <si>
    <t>5 до 6</t>
  </si>
  <si>
    <t>1 до 4</t>
  </si>
  <si>
    <t>мерки кои треба да се дискутираат со клиентот</t>
  </si>
  <si>
    <t>мерки на барање на клиентот</t>
  </si>
  <si>
    <t>ниско, колку што е разумно изводливо</t>
  </si>
  <si>
    <t>не се потребни дополнителни активности</t>
  </si>
  <si>
    <t>Матрица</t>
  </si>
  <si>
    <t>Опасност/ризик</t>
  </si>
  <si>
    <t>Висина на ризик</t>
  </si>
  <si>
    <t>Почетна евалуација</t>
  </si>
  <si>
    <t>Мерки</t>
  </si>
  <si>
    <t>Нова евалуација</t>
  </si>
  <si>
    <t>Датум на почеток</t>
  </si>
  <si>
    <t>Резултат</t>
  </si>
  <si>
    <t>FORMULAR DE REZOLVARE A PROBLEMEI</t>
  </si>
  <si>
    <t>PSS Nr.</t>
  </si>
  <si>
    <t>Pagina 1: D0-D1-D2-D3</t>
  </si>
  <si>
    <t>Limba</t>
  </si>
  <si>
    <t>Tip defect</t>
  </si>
  <si>
    <t>Date de bază-Echipa-Descrierea problemei-Acțiuni imediate</t>
  </si>
  <si>
    <t>Fabrica Kroschu</t>
  </si>
  <si>
    <t>Data de Start</t>
  </si>
  <si>
    <t>Client</t>
  </si>
  <si>
    <t>Proiect</t>
  </si>
  <si>
    <t>Reclamație client Nr.</t>
  </si>
  <si>
    <t>Date de bază</t>
  </si>
  <si>
    <t>KSK-Nr. intern</t>
  </si>
  <si>
    <t>Nr. Curent/Seria</t>
  </si>
  <si>
    <t>Box Nr.</t>
  </si>
  <si>
    <t>Număr piese defecte</t>
  </si>
  <si>
    <t>Caracteristică relevantă pt. siguranță</t>
  </si>
  <si>
    <t>Data/ora producției</t>
  </si>
  <si>
    <t>D1 - Echipa</t>
  </si>
  <si>
    <t>Coordonator (/Champion)</t>
  </si>
  <si>
    <t>Nume, Prenume</t>
  </si>
  <si>
    <t>Membrii</t>
  </si>
  <si>
    <t>D2 - Descrierea problemei</t>
  </si>
  <si>
    <t>PIESĂ NOK</t>
  </si>
  <si>
    <t>PIESĂ OK</t>
  </si>
  <si>
    <t>Cod de defect</t>
  </si>
  <si>
    <t>Descriere defect</t>
  </si>
  <si>
    <t>Localizare defect</t>
  </si>
  <si>
    <t>Locul de muncă</t>
  </si>
  <si>
    <t>Calificarea</t>
  </si>
  <si>
    <t>Linia</t>
  </si>
  <si>
    <t>Echipa</t>
  </si>
  <si>
    <t>Echipament</t>
  </si>
  <si>
    <t>Defect repetitiv</t>
  </si>
  <si>
    <t>Dacă da, PSS Nr./ 8D Nr.</t>
  </si>
  <si>
    <t>Da</t>
  </si>
  <si>
    <t>Nu</t>
  </si>
  <si>
    <t>ESTE</t>
  </si>
  <si>
    <t>NU ESTE</t>
  </si>
  <si>
    <t>Ce</t>
  </si>
  <si>
    <t>Unde</t>
  </si>
  <si>
    <t>Când</t>
  </si>
  <si>
    <t>Câte</t>
  </si>
  <si>
    <t xml:space="preserve">Care produs/proces este afectat de problemă? </t>
  </si>
  <si>
    <t>Care este deviația?</t>
  </si>
  <si>
    <t>Unde se afla produsul/procesul atunci când s-a produs prima dată deviația?</t>
  </si>
  <si>
    <t>În ce parte a produsului/procesului a avut loc deviația?</t>
  </si>
  <si>
    <t>Când a fost descoperită prima dată această deviație? (Data apariției și ciclul de viață)</t>
  </si>
  <si>
    <t>Există un pattern recunoscut al defectelor? (defect unic, creștere/diminuare constantă, aleatoriu sau ciclic)?</t>
  </si>
  <si>
    <t>Care este numărul de defecte (număr &amp; PPM-uri)</t>
  </si>
  <si>
    <t>Câte persoane sunt afectate? Ce costuri sunt până în prezent? Vor crește, vor scădea sau vor rămâne stabile?</t>
  </si>
  <si>
    <t>Există produse/procese comparabile în care problema nu a apărut?</t>
  </si>
  <si>
    <t>Sunt de așteptat alte deviații ale produsului/procesului afectat?</t>
  </si>
  <si>
    <t>Unde altundeva ar putea apărea deviația?</t>
  </si>
  <si>
    <t>Care sunt denumirile produselor/proceselor adiacente și care dintre acestea nu sunt afectate de deviație?</t>
  </si>
  <si>
    <t>Ar fi putut apărea problema într-o etapă/stadiu anterior?</t>
  </si>
  <si>
    <t>Se pot aștepta alte defecte de la descoperire încoace?</t>
  </si>
  <si>
    <t>Câte mai sunt de așteptat pe viitor?</t>
  </si>
  <si>
    <t>Ce poate duce la circumstanțe mai rele/mai bune?</t>
  </si>
  <si>
    <t>Descriere simptom</t>
  </si>
  <si>
    <t>Descriere problemă</t>
  </si>
  <si>
    <t>D3 - Acțiune(i) imediată(e)</t>
  </si>
  <si>
    <t>Data</t>
  </si>
  <si>
    <t>Au fost informați angajații relevanți?</t>
  </si>
  <si>
    <t>Delimitarea produselor afectate</t>
  </si>
  <si>
    <t>Este posibil sa fie delimitate produsele afectate?</t>
  </si>
  <si>
    <t>livrate la client</t>
  </si>
  <si>
    <t>în tranzit</t>
  </si>
  <si>
    <t>la Kroschu</t>
  </si>
  <si>
    <t>Suma totală de produse afectate</t>
  </si>
  <si>
    <t>Măsuri pentru continuarea producției în mod stabil la client</t>
  </si>
  <si>
    <t>Măsuri pentru continuarea livrărilor</t>
  </si>
  <si>
    <t>Măsuri pentru continuarea producției Kroschu</t>
  </si>
  <si>
    <t>Acțiune</t>
  </si>
  <si>
    <t>Verificare eficacitate</t>
  </si>
  <si>
    <t>Metoda</t>
  </si>
  <si>
    <t>Responsabil</t>
  </si>
  <si>
    <t>Data impl.</t>
  </si>
  <si>
    <t>Acțiuni de sortare</t>
  </si>
  <si>
    <t>Număr piese sortate</t>
  </si>
  <si>
    <t>Nr. piese identificate NOK</t>
  </si>
  <si>
    <t>Identificare piese OK</t>
  </si>
  <si>
    <t>Suma totală piese sortate</t>
  </si>
  <si>
    <t>Suma totală piese identificate NOK</t>
  </si>
  <si>
    <t>Suma totală piese identificate OK</t>
  </si>
  <si>
    <t>Comentarii</t>
  </si>
  <si>
    <t>în lucru</t>
  </si>
  <si>
    <t>finalizat</t>
  </si>
  <si>
    <t>Pagina 2: D4</t>
  </si>
  <si>
    <t>Date/Fapte/Cifre</t>
  </si>
  <si>
    <t>Reprelucrare</t>
  </si>
  <si>
    <t>Da, reprelucrare relevantă</t>
  </si>
  <si>
    <t>Da, dar nicio reprelucrare relevantă</t>
  </si>
  <si>
    <t>Nu, nicio reprelucrare</t>
  </si>
  <si>
    <t>Informații detaliate despre reprelucrare</t>
  </si>
  <si>
    <t>Informații despre defect în QIS</t>
  </si>
  <si>
    <t>Alte informații</t>
  </si>
  <si>
    <t>Schema fluxului de proces și marcarea etapelor critice ale procesului pentru o analiză coerentă a cauzei primare</t>
  </si>
  <si>
    <t>Pagina 3: D4</t>
  </si>
  <si>
    <t>Întrebări de ghidare pentru o analiză eficientă a cauzei primare</t>
  </si>
  <si>
    <t>Omul</t>
  </si>
  <si>
    <t>Există riscuri în timpul manipulării?</t>
  </si>
  <si>
    <t>Angajații sunt capabili să îndeplinească sarcina? (de verificat perioada de producție în cauză)</t>
  </si>
  <si>
    <t>Angajații au beneficiat de trainingul necesar?</t>
  </si>
  <si>
    <t>Este trainingul adaptat nevoilor?</t>
  </si>
  <si>
    <t>Înțeleg angajații instrucțiunile de lucru aplicabile?</t>
  </si>
  <si>
    <t>Au fost respectate și aplicate în mod corespunzător toate instrucțiunile de lucru?</t>
  </si>
  <si>
    <t>Mașina</t>
  </si>
  <si>
    <t>Sculele/mașinile funcționează corespunzător?</t>
  </si>
  <si>
    <t>A fost efectuată mentenanța preventivă?</t>
  </si>
  <si>
    <t xml:space="preserve">A avut loc un eveniment specific? (pană de curent,...) </t>
  </si>
  <si>
    <t>Sistemele de verificare a erorilor funcționează corect? (poka yoke, unitatea de control,...)</t>
  </si>
  <si>
    <t>Parametrii mașinii/procesului au fost configurați corect?</t>
  </si>
  <si>
    <t>Parametrii mașinii/procesului sunt definiți corespunzător?</t>
  </si>
  <si>
    <t>Materialul</t>
  </si>
  <si>
    <t>Piesele sunt definite cf. standardelor? Sunt adecvate standardele?</t>
  </si>
  <si>
    <t>Sunt componentele/materialele utilizate conform specificațiilor?</t>
  </si>
  <si>
    <t>Au existat schimbări/modificări ale componentelor/materialelor?</t>
  </si>
  <si>
    <t>Sunt aprobate toate componentele/materialele?</t>
  </si>
  <si>
    <t>Au fost utilizate componentele/materialele corecte?</t>
  </si>
  <si>
    <t>Sunt prezente instrucțiunile de lucru la locurile de muncă?</t>
  </si>
  <si>
    <t>Sunt actualizate instrucțiunile de lucru?</t>
  </si>
  <si>
    <t>Au fost utilizate sculele/dispozitivele corecte?</t>
  </si>
  <si>
    <t>Sarcinile a fost îndeplinite la fel în toate schimburile?</t>
  </si>
  <si>
    <t>Este definită mentenanța preventivă? Este aceasta suficientă?</t>
  </si>
  <si>
    <t>Mediul</t>
  </si>
  <si>
    <t>Altele</t>
  </si>
  <si>
    <t>Diagrama Ishikawa</t>
  </si>
  <si>
    <t>Considerații tehnice</t>
  </si>
  <si>
    <t>Considerații sistemice</t>
  </si>
  <si>
    <t>Apariția</t>
  </si>
  <si>
    <t>Ne-detectare</t>
  </si>
  <si>
    <t>De ce nu este o cauză primară?</t>
  </si>
  <si>
    <t>De ce cauza poate fi exclusă (nu este o cauză primară)?</t>
  </si>
  <si>
    <t>Pagina 4: D4-D5-D6</t>
  </si>
  <si>
    <t>Analiza cauzei primare și planul de acțiuni</t>
  </si>
  <si>
    <t>D4 - Analiza cauzei primare</t>
  </si>
  <si>
    <t>Au fost școlarizați angajații relevanți?</t>
  </si>
  <si>
    <t>Data școlarizare</t>
  </si>
  <si>
    <t>Data verificare eficacitate</t>
  </si>
  <si>
    <t>Factori de identificare</t>
  </si>
  <si>
    <t>Analiză 5-Why</t>
  </si>
  <si>
    <t>Factori influență</t>
  </si>
  <si>
    <t>De ce 1</t>
  </si>
  <si>
    <t>De ce 2</t>
  </si>
  <si>
    <t>De ce 3</t>
  </si>
  <si>
    <t>De ce 4</t>
  </si>
  <si>
    <t>De ce 5</t>
  </si>
  <si>
    <t>Categorie defect</t>
  </si>
  <si>
    <t>Verificarea cauzelor</t>
  </si>
  <si>
    <t>Categoria</t>
  </si>
  <si>
    <t>Metoda verificare cauză</t>
  </si>
  <si>
    <t>D5 - Măsuri de îmbunătățire</t>
  </si>
  <si>
    <t>D6 - Introducerea măsurii (măsurilor) corective</t>
  </si>
  <si>
    <t>Plan de acțiune</t>
  </si>
  <si>
    <t>Măsura de îmbunătățire</t>
  </si>
  <si>
    <t>Fig. Nr.</t>
  </si>
  <si>
    <t>Data target</t>
  </si>
  <si>
    <t>Dovada eficacității/
Motivul respingerii</t>
  </si>
  <si>
    <t>Data Închidere</t>
  </si>
  <si>
    <t>Simulare</t>
  </si>
  <si>
    <t>Pentru a confirma cauza primară, defectul trebuie să fie reprodus în aceleași condiții, dacă acest lucru este posibil</t>
  </si>
  <si>
    <t>Simulare posibilă?</t>
  </si>
  <si>
    <t>Cum a fost reprodus defectul?</t>
  </si>
  <si>
    <t>Motivul pentru care simularea nu este posibilă:</t>
  </si>
  <si>
    <t>Defectul reprodus corespunde defectului dat?</t>
  </si>
  <si>
    <t>→ Cauza defectului confirmată</t>
  </si>
  <si>
    <t>→ Cauza defectului nu este confirmată → Reveniți la D4 pentru a găsi cauza corectă a defectului</t>
  </si>
  <si>
    <t>Acțiuni corective - Fotografii</t>
  </si>
  <si>
    <t>Înainte</t>
  </si>
  <si>
    <t>După</t>
  </si>
  <si>
    <t>Fotografia 1</t>
  </si>
  <si>
    <t>Fotografia 2</t>
  </si>
  <si>
    <t>Fotografia 3</t>
  </si>
  <si>
    <t>Fotografia 4</t>
  </si>
  <si>
    <t>Fotografia 5</t>
  </si>
  <si>
    <t>Fotografie</t>
  </si>
  <si>
    <t>Pagina 5: D6-D7-D8</t>
  </si>
  <si>
    <t>Confirmare, acțiuni preventive, închidere</t>
  </si>
  <si>
    <t>Confirmarea eficacității acțiunilor corective</t>
  </si>
  <si>
    <t>Interval de timp</t>
  </si>
  <si>
    <t>Rezultatul și dovezile verificării eficacității și comentarii</t>
  </si>
  <si>
    <t>D7 - Acțiuni preventive</t>
  </si>
  <si>
    <t>Documentație - Actualizări standard</t>
  </si>
  <si>
    <t>Documentație</t>
  </si>
  <si>
    <t>Denumire</t>
  </si>
  <si>
    <t>IL</t>
  </si>
  <si>
    <t>Plan de mentenanță</t>
  </si>
  <si>
    <t>Desen</t>
  </si>
  <si>
    <t>Procedura</t>
  </si>
  <si>
    <t>Specificație</t>
  </si>
  <si>
    <t>Introducerea măsurilor pentru procese/produse similare</t>
  </si>
  <si>
    <t>Procese</t>
  </si>
  <si>
    <t>Procesele afectate</t>
  </si>
  <si>
    <t>Produse</t>
  </si>
  <si>
    <t>Produse afectate</t>
  </si>
  <si>
    <t>E-mail către responsabil</t>
  </si>
  <si>
    <t>D8 - Închidere PSS</t>
  </si>
  <si>
    <t>și aprecierea succesului echipei</t>
  </si>
  <si>
    <t>Ultima modificare</t>
  </si>
  <si>
    <t>Statusul reclamației</t>
  </si>
  <si>
    <t>Acceptat</t>
  </si>
  <si>
    <t>Respins, acceptat de client/furnizor/altă fabrică Kroschu</t>
  </si>
  <si>
    <t>Respins</t>
  </si>
  <si>
    <t>Poziția</t>
  </si>
  <si>
    <t>Responsabil Q</t>
  </si>
  <si>
    <t>Șef AP-team</t>
  </si>
  <si>
    <t>Coordonator problemă</t>
  </si>
  <si>
    <t>Informații despre rezultatul evaluării după 3 luni</t>
  </si>
  <si>
    <t>informat la</t>
  </si>
  <si>
    <t>verificat la</t>
  </si>
  <si>
    <t>închis la</t>
  </si>
  <si>
    <t>Raport 8D</t>
  </si>
  <si>
    <t>Note suplimentare opționale (fotografii etc.)</t>
  </si>
  <si>
    <t>Comentarii, concluzie (rezultatul discuției finale)</t>
  </si>
  <si>
    <t>Evaluarea riscurilor</t>
  </si>
  <si>
    <t>Probabilitate</t>
  </si>
  <si>
    <t>Efect</t>
  </si>
  <si>
    <t>Scăzută - Șansa pentru acest caz este aproape 0</t>
  </si>
  <si>
    <t>Improbabil - eventualitatea există, dar nu se va produce</t>
  </si>
  <si>
    <t>Posibil - cazul poate apărea la un moment dat</t>
  </si>
  <si>
    <t>Probabil - Cazul apare uneori și poate fi de așteptat</t>
  </si>
  <si>
    <t>Aproape sigur - Cazul apare frecvent și este de așteptat</t>
  </si>
  <si>
    <t>Ignorabil - daune ignorabile fără efecte</t>
  </si>
  <si>
    <t>Scăzut - deteriorări ușoare sunt vizibile la exterior</t>
  </si>
  <si>
    <t>Mediu - deteriorări vizibile în zona vizibilă</t>
  </si>
  <si>
    <t>Ridicat - deteriorări cu impact funcțional</t>
  </si>
  <si>
    <t>Catastrofal - deteriorări catastrofale cu consecințe</t>
  </si>
  <si>
    <t>Nivel</t>
  </si>
  <si>
    <t xml:space="preserve">12 /mai ridicat </t>
  </si>
  <si>
    <t>de la 7 la 11</t>
  </si>
  <si>
    <t>de la 5 la 6</t>
  </si>
  <si>
    <t>de la 1 la 4</t>
  </si>
  <si>
    <t>Măsuri care trebuie convenite cu clientul</t>
  </si>
  <si>
    <t>Măsuri la cererea clientului</t>
  </si>
  <si>
    <t>Cât mai scăzut posibil în mod rezonabil</t>
  </si>
  <si>
    <t>Nu sunt necesare alte măsuri</t>
  </si>
  <si>
    <t>Matrice</t>
  </si>
  <si>
    <t>Risc</t>
  </si>
  <si>
    <t>Nivel de risc</t>
  </si>
  <si>
    <t>Evaluare inițială</t>
  </si>
  <si>
    <t>Măsuri</t>
  </si>
  <si>
    <t>Evaluare nouă</t>
  </si>
  <si>
    <t>Data Start</t>
  </si>
  <si>
    <t>Rezultat</t>
  </si>
  <si>
    <t>Technische Betrachtungsfaktoren</t>
  </si>
  <si>
    <t>Technical consideration factors</t>
  </si>
  <si>
    <t>Um welche Abweichung handelt es sich ?</t>
  </si>
  <si>
    <t xml:space="preserve">Which product/process does the problem concern ? </t>
  </si>
  <si>
    <t>What is the deviation ?</t>
  </si>
  <si>
    <t>Wo befand sich das Produkt/Prozess, als die Abweichung das erste Mal auftrat ?</t>
  </si>
  <si>
    <t>Where was the product/process when the deviation first occurred ?</t>
  </si>
  <si>
    <t>Wo am Produkt/Prozess trat die Abweichung auf ?</t>
  </si>
  <si>
    <t>Where in the product/process did the deviation occur ?</t>
  </si>
  <si>
    <t>Wann wurde die Abweichnung zum ersten Mal entdeckt ? (Datum des Auftretens &amp; des Lebenzyklus)</t>
  </si>
  <si>
    <t>When was the deviation first detected ? (Date of occurrence &amp; life cycle)</t>
  </si>
  <si>
    <t>Ist eine Systematik der Ausfälle erkennbar ? (einmaliger Ausfall, stetiges Anwachsen/ Fallen, Zufällig oder Zyklisch) ?</t>
  </si>
  <si>
    <t>Is there a recognisable systematic of failures ? (single failure, continuous increase/fall, random or cyclical) ?</t>
  </si>
  <si>
    <t>Welche Personen sind betroffen ? Welche Kosten sind bis jetzt angefallen ? Werden diese Steigen, Fallen oder bleiben diese Stabil ?</t>
  </si>
  <si>
    <t>Which persons are affected ? What costs have been incurred so far ? Will these rise, fall or remain stable ?</t>
  </si>
  <si>
    <t xml:space="preserve">Gibt es vergleichbare Produkte/Prozesse bei dem das Problem nicht auftrat ? </t>
  </si>
  <si>
    <t>Are there comparable products/processes where the problem did not occur ?</t>
  </si>
  <si>
    <t>Are additional deviations of the affected product/process expected ?</t>
  </si>
  <si>
    <t>Where else could the deviation occur ?</t>
  </si>
  <si>
    <t>What are the names of the neighbouring products/processes and which of them are not affected by the deviation ?</t>
  </si>
  <si>
    <t>Can the problem have occurred in an earlier phase/time ?</t>
  </si>
  <si>
    <t>Can additional failures be expected since the discovery ?</t>
  </si>
  <si>
    <t>How many more can be expected in the future ?</t>
  </si>
  <si>
    <t>What can lead to worse/better circumstances ?</t>
  </si>
  <si>
    <t>Were the relevant emloyees informed ?</t>
  </si>
  <si>
    <t>Is it possible to do a limitation of the affected products ?</t>
  </si>
  <si>
    <t>Is there any risk during manipulations ?</t>
  </si>
  <si>
    <t>Are workers abilited to the job ? (check concerned prod.period)</t>
  </si>
  <si>
    <t xml:space="preserve">Did workers received necessary training ? </t>
  </si>
  <si>
    <t>Is training adapted to the needs ?</t>
  </si>
  <si>
    <t>Do workers perfectly understand applicable work instructions ?</t>
  </si>
  <si>
    <t>Were all work instructions properly followed and applied ?</t>
  </si>
  <si>
    <t>Are tools/machines functioning properly ?</t>
  </si>
  <si>
    <t>Has preventive maintenance been performed ?</t>
  </si>
  <si>
    <t>Did any specific event occure ? (Power shutdown,…)</t>
  </si>
  <si>
    <t>Do error proofing systems work properly ? (Poka yoke, Control station,…)</t>
  </si>
  <si>
    <t xml:space="preserve">Have machine/process parameters been properly set up ? </t>
  </si>
  <si>
    <t xml:space="preserve">Are machine/process parameters properly defined ? </t>
  </si>
  <si>
    <t>Are parts within defined standards ? Are standards suitable ?</t>
  </si>
  <si>
    <t>Are used components/materials within specifications ?</t>
  </si>
  <si>
    <t>Were there any changes/modifications on components/materials ?</t>
  </si>
  <si>
    <t>Are all components/materials approved ?</t>
  </si>
  <si>
    <t>Are correct components/materials used ?</t>
  </si>
  <si>
    <t>Are work instructions posted at workstations ?</t>
  </si>
  <si>
    <t>Are work instructions updated ?</t>
  </si>
  <si>
    <t xml:space="preserve">Have correct tools/fixtures been used ? </t>
  </si>
  <si>
    <t>Is the job done the same way in all shifts ?</t>
  </si>
  <si>
    <t>Why it is not a root cause ?</t>
  </si>
  <si>
    <t>Why the cause can be excluded (is not a real root cause) ?</t>
  </si>
  <si>
    <t>Were the relevant emloyees trained ?</t>
  </si>
  <si>
    <t>Simulation possible ?</t>
  </si>
  <si>
    <t>What was done to reproduce the fault ?</t>
  </si>
  <si>
    <t>Does the reproduced defect match the given fault ?</t>
  </si>
  <si>
    <t>Ново</t>
  </si>
  <si>
    <t>Ажурирано</t>
  </si>
  <si>
    <t>Проверено, нема</t>
  </si>
  <si>
    <t>Информирајте го тимот за превенција</t>
  </si>
  <si>
    <t>Фактори за техничко разгледување</t>
  </si>
  <si>
    <t>Nou</t>
  </si>
  <si>
    <t>Actualizat</t>
  </si>
  <si>
    <t>Verificat, NA</t>
  </si>
  <si>
    <t>Informarea echipei de Prevenție</t>
  </si>
  <si>
    <t>Factorii considerentelor tehnice</t>
  </si>
  <si>
    <t>Nové</t>
  </si>
  <si>
    <t>Aktualizácia</t>
  </si>
  <si>
    <t>Skontrolované, NA</t>
  </si>
  <si>
    <t>Informujte tím prevencie</t>
  </si>
  <si>
    <t>Faktory technických úvah</t>
  </si>
  <si>
    <t>23.12.2022</t>
  </si>
  <si>
    <t>Werden zusätzliche Abweichungen des betroffenen Produktes/Prozesses erwartet ?</t>
  </si>
  <si>
    <t>Wo könnte die Abweichnug noch auftreten ?</t>
  </si>
  <si>
    <t>Wie heißen die angrenzenden Produkte/Prozesse und welche davon sind nicht von der Abweichung betroffen ?</t>
  </si>
  <si>
    <t>Kann das Problem bereits in einer früheren Phase/Zeitpunkt aufgetreten sein ?</t>
  </si>
  <si>
    <t>Kann seit dem Entdecken mit zusätzlichen Ausfällen gerechnet werden ?</t>
  </si>
  <si>
    <t>Mit wie vielen darf in Zukunft noch gerechnet werden ?</t>
  </si>
  <si>
    <t>Was kann zu schlechteren/besseren Sachverhalte führen ?</t>
  </si>
  <si>
    <t>Wurden die relevanten Mitarbeiter informiert ?</t>
  </si>
  <si>
    <t>Ist es möglich, die betroffenen Produkte einzugrenzen ?</t>
  </si>
  <si>
    <t>Gibt es Risiken während der Handhabung ?</t>
  </si>
  <si>
    <t>Sind die Mitarbeiter fähig für die Aufgabe ? (Überprüfen der betroffenen Produktionsperiode)</t>
  </si>
  <si>
    <t>Haben die Mitarbeiter das nötige Training bekommen ?</t>
  </si>
  <si>
    <t>Ist das Training an die Bedürfnisse angepasst ?</t>
  </si>
  <si>
    <t>Verstehen die Mitarbeiter die zutreffenden Arbeitsanweisungen ?</t>
  </si>
  <si>
    <t>Wurden alle Arbeitsanweisungen ordnungsgemäß befolgt und angewendet ?</t>
  </si>
  <si>
    <t>Funktionieren die Werkzeuge/Maschinen ordnungsgemäß ?</t>
  </si>
  <si>
    <t>Wurde präventive Instandhaltung durchgeführt ?</t>
  </si>
  <si>
    <t xml:space="preserve">Kam es zu einem bestimmten Ereignis ? (Stromausfall,…) </t>
  </si>
  <si>
    <t>Funktionieren Fehlerprüfsysteme ordnungsgemäß ? (Poka Yoke, Leitstelle,…)</t>
  </si>
  <si>
    <t>Wurden die Maschinen-/Prozessparameter ordnungsgemäß konfiguriert ?</t>
  </si>
  <si>
    <t>Sind die Maschinen-/Prozessparameter ordnungsgemäß definiert ?</t>
  </si>
  <si>
    <t>Sind die Teile innerhalb der definierten Standards ? Sind die Standards geeignet ?</t>
  </si>
  <si>
    <t>Sind die benutzten Komponenten/Materialen innerhalb der Spezifikationen ?</t>
  </si>
  <si>
    <t>Gab es Änderungen/Modifikationen an den Komponenten/Materialien ?</t>
  </si>
  <si>
    <t>Sind alle Komponenten/Materialen genehmigt ?</t>
  </si>
  <si>
    <t>Wurden die korrekten Komponenten/Materialien verwendet ?</t>
  </si>
  <si>
    <t>Sind die Arbeitsanweisungen an den Arbeitsplätzen bereitgestellt ?</t>
  </si>
  <si>
    <t>Sind die Arbeitsanweisungen aktualisiert ?</t>
  </si>
  <si>
    <t>Wurden Korrekturwerkzeuge/-vorrichtungen verwendet ?</t>
  </si>
  <si>
    <t>Wurde die Aufgabe in allen Schichten gleich durchgeführt ?</t>
  </si>
  <si>
    <t>Ist eine präventive Instandhaltung definiert ? Ist diese ausreichend ?</t>
  </si>
  <si>
    <t>Warum ist es keine Grundursache ?</t>
  </si>
  <si>
    <t>Warum die Ursache ausgeschlossen werden kann (ist keine Grundursache) ?</t>
  </si>
  <si>
    <t>Wurden die relevanten Mitarbeiter geschult ?</t>
  </si>
  <si>
    <t>Simulation möglich ?</t>
  </si>
  <si>
    <t>Wie wurde der Fehler nachgestellt ?</t>
  </si>
  <si>
    <t>Entspricht der nachgestellte Fehler dem gegebenen Fehler ?</t>
  </si>
  <si>
    <t>Wie hoch ist die Anzahl der Ausfälle ? (Anzahl &amp; PPM's)</t>
  </si>
  <si>
    <t xml:space="preserve">Is preventive maintenance defined ? Is it sufficient ? </t>
  </si>
  <si>
    <t>How many failures ? (number &amp; PPM's)</t>
  </si>
  <si>
    <t>For a comprehensible root cause analysis, draw the process flow and mark the critical process steps:</t>
  </si>
  <si>
    <t>89_KSMK-Bt</t>
  </si>
  <si>
    <t>94_KSME-Fu</t>
  </si>
  <si>
    <t>27.02.2023</t>
  </si>
  <si>
    <t>Hungarian language added.</t>
  </si>
  <si>
    <t>Hibamegoldólap</t>
  </si>
  <si>
    <t>PSS sz.</t>
  </si>
  <si>
    <t>Oldal 1: D0-D1-D2-D3</t>
  </si>
  <si>
    <t>Nyelv</t>
  </si>
  <si>
    <t>Hibatípus</t>
  </si>
  <si>
    <t>Alapadatok-csapat-probléma leírása-azonnali intézkedések</t>
  </si>
  <si>
    <t>Kroschu gyár</t>
  </si>
  <si>
    <t>Kezdeti dátum</t>
  </si>
  <si>
    <t>Vevõ</t>
  </si>
  <si>
    <t>Vevõi reklamáció sz.</t>
  </si>
  <si>
    <t>Alapadatok</t>
  </si>
  <si>
    <t>Belsõ KSK-sz.</t>
  </si>
  <si>
    <t>Box-sz.</t>
  </si>
  <si>
    <t>Hibás alkatrészek száma</t>
  </si>
  <si>
    <t>Biztonsági szempontból fontos ismérv</t>
  </si>
  <si>
    <t>Gyártás dátuma/ideje</t>
  </si>
  <si>
    <t>D1 - csapat</t>
  </si>
  <si>
    <t>Név, keresztnév</t>
  </si>
  <si>
    <t>Tagok</t>
  </si>
  <si>
    <t>D2 - probléma leírása</t>
  </si>
  <si>
    <t>NOK termék</t>
  </si>
  <si>
    <t>OK termékek azonosítása</t>
  </si>
  <si>
    <t>Hibakód</t>
  </si>
  <si>
    <t>Hibaleírás</t>
  </si>
  <si>
    <t>Hibahely</t>
  </si>
  <si>
    <t>Munkaterület</t>
  </si>
  <si>
    <t>Képesítés</t>
  </si>
  <si>
    <t>Szalag</t>
  </si>
  <si>
    <t>Mûszak</t>
  </si>
  <si>
    <t>Felszerelés</t>
  </si>
  <si>
    <t>Ismétlõdõ hiba</t>
  </si>
  <si>
    <t>Ha igen, PSS sz./8D sz.</t>
  </si>
  <si>
    <t>Igen</t>
  </si>
  <si>
    <t>Nem</t>
  </si>
  <si>
    <t>VAN</t>
  </si>
  <si>
    <t>NINCS</t>
  </si>
  <si>
    <t>Mi</t>
  </si>
  <si>
    <t>Hol</t>
  </si>
  <si>
    <t>Mikor</t>
  </si>
  <si>
    <t>Mennyi</t>
  </si>
  <si>
    <t>Melyik terméket/folyamatot érinti a probléma?</t>
  </si>
  <si>
    <t>Milyen eltérésrõl van szó?</t>
  </si>
  <si>
    <t>Hol volt a termék/folyamat, amikor az eltérés először jelentkezett?</t>
  </si>
  <si>
    <t>Hol történt az eltérés a termékben/folyamatban?</t>
  </si>
  <si>
    <t>Mikor fedezték fel elõször az eltérést? (megjelenés és életciklus dátuma)</t>
  </si>
  <si>
    <t>Van-e a hibáknak felismerhető rendszere? (egyszeri meghibásodás, folyamatos növekedés/csökkenés, véletlenszerű vagy ciklikus)?</t>
  </si>
  <si>
    <t>Mennyi a hibák száma? (szám és PPM)</t>
  </si>
  <si>
    <t>Kik az érintettek? Milyen költségek merültek fel eddig? Ezek emelkednek, csökkennek vagy stabilak maradnak?</t>
  </si>
  <si>
    <t>Vannak hasonló termékek/folyamatok, ahol a probléma nem fordult elő?</t>
  </si>
  <si>
    <t>Várhatóak-e további eltérések az érintett termék/folyamat tekintetében?</t>
  </si>
  <si>
    <t>Hol fordulhatna még elõ az eltérés?</t>
  </si>
  <si>
    <t>Mi a neve a szomszédos termékeknek/folyamatoknak, és melyeket nem érinti az eltérés?</t>
  </si>
  <si>
    <t>Előfordulhatott a probléma egy korábbi fázisban/időpontban?</t>
  </si>
  <si>
    <t>Várhatók-e további meghibásodások a felfedezés óta?</t>
  </si>
  <si>
    <t>Mennyire lehet még számítani a jövõben?</t>
  </si>
  <si>
    <t>Mi vezethet rosszabb/jobb körülményekhez?</t>
  </si>
  <si>
    <t>Tünet leírása</t>
  </si>
  <si>
    <t>Probléma leírása</t>
  </si>
  <si>
    <t>D3 - Azonnali intézkedés(ek)</t>
  </si>
  <si>
    <t>Státusz</t>
  </si>
  <si>
    <t>Tájékoztatták az érintett dolgozókat?</t>
  </si>
  <si>
    <t>Érintett termékek korlátozása</t>
  </si>
  <si>
    <t>Lehetséges az érintett termékek korlátozása?</t>
  </si>
  <si>
    <t>kiszállítva a vevõhöz</t>
  </si>
  <si>
    <t>szállítás alatt</t>
  </si>
  <si>
    <t>Kroschunál</t>
  </si>
  <si>
    <t>érintett termékek mennyisége</t>
  </si>
  <si>
    <t>Intézkedések a biztonságos termelés folytatására a vevõnél</t>
  </si>
  <si>
    <t>Intézkedések a kiszállítás folytatásához</t>
  </si>
  <si>
    <t>Intézkedések a Kroschu-gyártás folytatásához</t>
  </si>
  <si>
    <t>Intézkedés</t>
  </si>
  <si>
    <t>Hatékonyság ellenõrzése</t>
  </si>
  <si>
    <t>Módszer</t>
  </si>
  <si>
    <t>Felelõs</t>
  </si>
  <si>
    <t>Bevezetés dátuma</t>
  </si>
  <si>
    <t>Válogatási akció</t>
  </si>
  <si>
    <t>Válogatott mennyiség</t>
  </si>
  <si>
    <t>Talált NOK darabszám</t>
  </si>
  <si>
    <t>válogatott termékek összmennyisége</t>
  </si>
  <si>
    <t>talált NOK termékek összmennyisége</t>
  </si>
  <si>
    <t>azonosított OK termékek összmennyisége</t>
  </si>
  <si>
    <t>Megjegyzések</t>
  </si>
  <si>
    <t>Folyamatban</t>
  </si>
  <si>
    <t>Befejezve</t>
  </si>
  <si>
    <t>Oldal 2: D4</t>
  </si>
  <si>
    <t>Adatok/tények/számok</t>
  </si>
  <si>
    <t>Utómunka</t>
  </si>
  <si>
    <t>Igen, releváns utómunka</t>
  </si>
  <si>
    <t>Igen, de nem releváns utómunka</t>
  </si>
  <si>
    <t>Nem, nincs utómunka</t>
  </si>
  <si>
    <t>Részletes információ az utómunkáról</t>
  </si>
  <si>
    <t>Információ a hibáról a QIS-ben</t>
  </si>
  <si>
    <t>Egyéb információ</t>
  </si>
  <si>
    <t>A folyamatáramlás rajza és a kritikus folyamatlépések megjelölése az érthetõ ok-okozati elemzéshez</t>
  </si>
  <si>
    <t>Oldal 3: D4</t>
  </si>
  <si>
    <t xml:space="preserve">Irányadó kérdések a hatékony ok-okozati elemzéshez </t>
  </si>
  <si>
    <t>Ember</t>
  </si>
  <si>
    <t>Van kockázata a kezelésnek?</t>
  </si>
  <si>
    <t>Alkalmasak a dolgozók a munkára? (ellenõrizze az érintett gyártási idõszakot)</t>
  </si>
  <si>
    <t>Megkapták a dolgozók a szükséges oktatást?</t>
  </si>
  <si>
    <t>A képzés igazodik az igényekhez?</t>
  </si>
  <si>
    <t>Értik a dolgozók az alkalmazandó munkautasításokat?</t>
  </si>
  <si>
    <t>Minden munkautasítást megfelelően követtek és alkalmaztak?</t>
  </si>
  <si>
    <t>Gép</t>
  </si>
  <si>
    <t>A szerszámok/gépek megfelelõen mûködnek?</t>
  </si>
  <si>
    <t>Elvégezték a megelõzõ karbantartást?</t>
  </si>
  <si>
    <t>Történt valamilyen konkrét esemény? (áramkimaradás…)</t>
  </si>
  <si>
    <t>A hibaellenőrző rendszerek megfelelően működnek? (Poka Yoke, vezérlõ állás,…)</t>
  </si>
  <si>
    <t>A gép/folyamat paraméterek megfelelõen lettek konfigurálva?</t>
  </si>
  <si>
    <t>A gép/folyamat paraméterek megfelelõen lettek meghatározva?</t>
  </si>
  <si>
    <t>Anyag</t>
  </si>
  <si>
    <t>A termékek a meghatározott szabványokon belül vannak? Megfelelőek-e a szabványok?</t>
  </si>
  <si>
    <t>A felhasznált alkatrészek/anyagok megfelelnek az előírásoknak?</t>
  </si>
  <si>
    <t>Voltak változások/módosítások az alkatrészeken/anyagokon?</t>
  </si>
  <si>
    <t>Minden alkatrész/anyag jóváhagyott?</t>
  </si>
  <si>
    <t>Megfelelő alkatrészeket/anyagokat használtak?</t>
  </si>
  <si>
    <t>Eljárás</t>
  </si>
  <si>
    <t>A munkaterületeken rendelkezésre állnak a munkautasítások?</t>
  </si>
  <si>
    <t>Aktualizálva vannak a munkautasítások?</t>
  </si>
  <si>
    <t>Megfelelõ javítószerszámokat/-berendezéseket használtak?</t>
  </si>
  <si>
    <t>Minden műszakban ugyanúgy végezték a munkát?</t>
  </si>
  <si>
    <t>Meg van határozva a megelőző karbantartás? Elegendő?</t>
  </si>
  <si>
    <t>Környezet</t>
  </si>
  <si>
    <t>Egyéb</t>
  </si>
  <si>
    <t xml:space="preserve">Ishiwkawa-diagram  </t>
  </si>
  <si>
    <t>Mûszaki vizsgálat</t>
  </si>
  <si>
    <t>Rendszerszintû vizsgálat</t>
  </si>
  <si>
    <t>Keletkezés</t>
  </si>
  <si>
    <t>Nem észlelhetõ</t>
  </si>
  <si>
    <t>Miért nem ez a kiváltó ok?</t>
  </si>
  <si>
    <t>Miért zárható ki az ok (nem kiváltó ok)?</t>
  </si>
  <si>
    <t>Oldal 4: D4-D5-D6</t>
  </si>
  <si>
    <t>Kiváltó okok elemzése és intézkedési terv</t>
  </si>
  <si>
    <t>D4 - Kiváltó ok elemzés</t>
  </si>
  <si>
    <t>Az érintett dolgozók oktatása megtörtént?</t>
  </si>
  <si>
    <t>Oktatás dátuma</t>
  </si>
  <si>
    <t>Hatékonyság ellenõrzésének dátuma</t>
  </si>
  <si>
    <t>Azonosítási faktorok</t>
  </si>
  <si>
    <t>5-Miért-analízis</t>
  </si>
  <si>
    <t>Befolyásoló faktorok</t>
  </si>
  <si>
    <t>Miért 1</t>
  </si>
  <si>
    <t>Miért 2</t>
  </si>
  <si>
    <t>Miért 3</t>
  </si>
  <si>
    <t>Miért 4</t>
  </si>
  <si>
    <t>Miért 5</t>
  </si>
  <si>
    <t>Hibakategória</t>
  </si>
  <si>
    <t>Okok ellenõrzése</t>
  </si>
  <si>
    <t>Kategória</t>
  </si>
  <si>
    <t xml:space="preserve">Az okok ellenőrzésének módszere </t>
  </si>
  <si>
    <t>D5 - Javító intézkedések</t>
  </si>
  <si>
    <t>D6 - Javító intézkedések bevezetése</t>
  </si>
  <si>
    <t>Intézkedési terv</t>
  </si>
  <si>
    <t>Javító intézkedések</t>
  </si>
  <si>
    <t>Kép sz.</t>
  </si>
  <si>
    <t>Cél dátum</t>
  </si>
  <si>
    <t>Hatékonyság igazolása/
Elutasítás oka</t>
  </si>
  <si>
    <t>Záródátum</t>
  </si>
  <si>
    <t>Szimuláció</t>
  </si>
  <si>
    <t>A kiváltó ok megerősítéséhez a hibát ugyanolyan körülmények között kell reprodukálni, ha ez lehetséges.</t>
  </si>
  <si>
    <t>Szimuláció lehetséges?</t>
  </si>
  <si>
    <t>Hogy lett a hiba reprodukálva?</t>
  </si>
  <si>
    <t>Az ok, amiért a szimuláció nem lehetséges:</t>
  </si>
  <si>
    <t>A reprodukált hiba megfelel az adott hibának?</t>
  </si>
  <si>
    <t>→ A hiba oka megerõsítve</t>
  </si>
  <si>
    <t>→ A hibaok nincs megerõsítve → Térjen vissza a D4-hez a helyes hibaok megállapításához</t>
  </si>
  <si>
    <t>Javító intézkedések - képek</t>
  </si>
  <si>
    <t>Elõtte</t>
  </si>
  <si>
    <t>Utána</t>
  </si>
  <si>
    <t xml:space="preserve">Kép 1 </t>
  </si>
  <si>
    <t>Kép 2</t>
  </si>
  <si>
    <t>Kép 3</t>
  </si>
  <si>
    <t>Kép 4</t>
  </si>
  <si>
    <t>Kép 5</t>
  </si>
  <si>
    <t>Kép</t>
  </si>
  <si>
    <t>Oldal 5: D6-D7-D8</t>
  </si>
  <si>
    <t>megerõsítés, megelõzõ intézkedés, lezárás</t>
  </si>
  <si>
    <t>A korrekciós intézkedések hatékonyságának megerősítése</t>
  </si>
  <si>
    <t>idõtartam</t>
  </si>
  <si>
    <t>Hatékonység ellenõrzésének eredménye és bizonyítéka és megjegyzések</t>
  </si>
  <si>
    <t>D7 - Megelõzõ intézkedések</t>
  </si>
  <si>
    <t>Dokumentáció - standard aktualizálások</t>
  </si>
  <si>
    <t>Dokumentáció</t>
  </si>
  <si>
    <t>Megnevezés</t>
  </si>
  <si>
    <t>MU</t>
  </si>
  <si>
    <t>Karbantartási terv</t>
  </si>
  <si>
    <t>Rajz</t>
  </si>
  <si>
    <t>Lessons Learned kártya</t>
  </si>
  <si>
    <t>Képzési szabvány</t>
  </si>
  <si>
    <t>Részletezés</t>
  </si>
  <si>
    <t>Intézkedések bevezetése hasonló folyamatokhoz/termékekhez</t>
  </si>
  <si>
    <t>Folyamat</t>
  </si>
  <si>
    <t>Érintett folyamat</t>
  </si>
  <si>
    <t>Termék</t>
  </si>
  <si>
    <t>Érintett termék</t>
  </si>
  <si>
    <t>E-Mail a felelõsöknek</t>
  </si>
  <si>
    <t>D8 - PSS lezárás</t>
  </si>
  <si>
    <t>és a csapat sikerének elismerése</t>
  </si>
  <si>
    <t>Utolsó frissítés</t>
  </si>
  <si>
    <t>Reklamáció státusza</t>
  </si>
  <si>
    <t>Elfogadva</t>
  </si>
  <si>
    <t>Visszautasítva, a vevő/szállító/egy másik Kroschu gyár által elfogadva</t>
  </si>
  <si>
    <t>Elutasítva</t>
  </si>
  <si>
    <t>Pozíció</t>
  </si>
  <si>
    <t>Q felelõs</t>
  </si>
  <si>
    <t>AP-Team vezetõ</t>
  </si>
  <si>
    <t>Probléma koordinátor</t>
  </si>
  <si>
    <t>Információ a 3 hónapos értékelés eredményéről</t>
  </si>
  <si>
    <t>Informálva ekkor</t>
  </si>
  <si>
    <t>Ellenõrizve ekkor</t>
  </si>
  <si>
    <t>Lezárva ekkor</t>
  </si>
  <si>
    <t>8D-jelentés</t>
  </si>
  <si>
    <t>Választható kiegészítő jegyzetek (képek stb.)</t>
  </si>
  <si>
    <t>Megjegyzések, következtetés (a záró megbeszélés eredménye)</t>
  </si>
  <si>
    <t>Rizikóértékelés</t>
  </si>
  <si>
    <t>Valószínüség</t>
  </si>
  <si>
    <t>Kihatás</t>
  </si>
  <si>
    <t>Távoli - Ennek az esetnek az esélye szinte 0</t>
  </si>
  <si>
    <t>Valószínűtlen - az eshetőség fennáll, de nem fog bekövetkezni.</t>
  </si>
  <si>
    <t>Lehetséges - az eset valamikor bekövetkezhet</t>
  </si>
  <si>
    <t>Valószínű - Az eset néha előfordul, és várhatóan bekövetkezik.</t>
  </si>
  <si>
    <t>Majdnem biztos – Az eset gyakran előfordul és várható</t>
  </si>
  <si>
    <t>figyelmen kívül hagyható - figyelmen kívül hagyható, hatás nélküli sérülés</t>
  </si>
  <si>
    <t>alacsony - kívül enyhe sérülés látható</t>
  </si>
  <si>
    <t>közepes - felismerhetõ sérülés látható területen</t>
  </si>
  <si>
    <t>magas - funkcionális hatással járó károsodás</t>
  </si>
  <si>
    <t>katasztrofális - katasztrofális károk következményekkel</t>
  </si>
  <si>
    <t>Szint</t>
  </si>
  <si>
    <t>12 vagy magasabb</t>
  </si>
  <si>
    <t>7-11-ig</t>
  </si>
  <si>
    <t>5-6-ig</t>
  </si>
  <si>
    <t>1-4-ig</t>
  </si>
  <si>
    <t>vevővel egyeztetendő intézkedések</t>
  </si>
  <si>
    <t>intézkedések vevő kérésére</t>
  </si>
  <si>
    <t>olyan alacsony, amennyire ésszerűen kivitelezhető</t>
  </si>
  <si>
    <t>nincs szükség további intézkedésre</t>
  </si>
  <si>
    <t>Mátrix</t>
  </si>
  <si>
    <t>Kockázat</t>
  </si>
  <si>
    <t>Kockázati szint</t>
  </si>
  <si>
    <t>Kezdeti értékelés</t>
  </si>
  <si>
    <t>Intézkedések</t>
  </si>
  <si>
    <t>Új értékelés</t>
  </si>
  <si>
    <t>Kezdés dátuma</t>
  </si>
  <si>
    <t>Befejezés dátuma</t>
  </si>
  <si>
    <t>Eredmény</t>
  </si>
  <si>
    <t>Megelõzési csoport tájékoztatása</t>
  </si>
  <si>
    <t>Új</t>
  </si>
  <si>
    <t>Frissítés</t>
  </si>
  <si>
    <t>Ellenőrizve, NA</t>
  </si>
  <si>
    <t>Műszaki vizsgálatok tényezői</t>
  </si>
  <si>
    <t>FOLHA DE SOLUÇÃO DE PROBLEMAS</t>
  </si>
  <si>
    <t xml:space="preserve">nº PSS </t>
  </si>
  <si>
    <t>Página 1: D0-D1-D2-D3</t>
  </si>
  <si>
    <t>Idioma</t>
  </si>
  <si>
    <t>Tipo de falha</t>
  </si>
  <si>
    <t>Dados básicos-Equipe-Descrição do Problema -Ação (ões) imediatas</t>
  </si>
  <si>
    <t>Planta da Kroschu</t>
  </si>
  <si>
    <t>Data de início</t>
  </si>
  <si>
    <t>Cliente</t>
  </si>
  <si>
    <t>Projeto</t>
  </si>
  <si>
    <t>Nº reclamação do cliente</t>
  </si>
  <si>
    <t>Dados básicos</t>
  </si>
  <si>
    <t xml:space="preserve">Nº  KSK interno </t>
  </si>
  <si>
    <t>Número sequencial/série</t>
  </si>
  <si>
    <t>Índice</t>
  </si>
  <si>
    <t>Nº da caixa</t>
  </si>
  <si>
    <t>Quantidade de peças com defeito</t>
  </si>
  <si>
    <t>Característica relevante à segurança</t>
  </si>
  <si>
    <t>Data/hora da produção</t>
  </si>
  <si>
    <t>D1 - Equipe</t>
  </si>
  <si>
    <t>Coordenador (/Champion)</t>
  </si>
  <si>
    <t>Sobrenome, primeiro nome</t>
  </si>
  <si>
    <t>Patrocinador</t>
  </si>
  <si>
    <t>Membros</t>
  </si>
  <si>
    <t>D2 - Descrição do problema</t>
  </si>
  <si>
    <t>COMPONENTE NOK</t>
  </si>
  <si>
    <t>COMPONENTE OK</t>
  </si>
  <si>
    <t>Código de falha</t>
  </si>
  <si>
    <t>Descrição da falha</t>
  </si>
  <si>
    <t>Local da falha</t>
  </si>
  <si>
    <t>Posto de trabalho</t>
  </si>
  <si>
    <t>Qualificação</t>
  </si>
  <si>
    <t>Linha</t>
  </si>
  <si>
    <t>Turno</t>
  </si>
  <si>
    <t>Equipamento</t>
  </si>
  <si>
    <t>Falha repetitiva</t>
  </si>
  <si>
    <t>Quando sim, Nº PSS/ Nº  8D</t>
  </si>
  <si>
    <t>Sim</t>
  </si>
  <si>
    <t>Não</t>
  </si>
  <si>
    <t>É</t>
  </si>
  <si>
    <t>NÃO É</t>
  </si>
  <si>
    <t>O que</t>
  </si>
  <si>
    <t>Onde</t>
  </si>
  <si>
    <t xml:space="preserve">Quando  </t>
  </si>
  <si>
    <t>Quantos</t>
  </si>
  <si>
    <t xml:space="preserve">A qual produto/produto se refere o problema? </t>
  </si>
  <si>
    <t>De qual desvio se trata?</t>
  </si>
  <si>
    <t>Onde estava o produto/processo, quando o desvio apareceu pela primeira vez?</t>
  </si>
  <si>
    <t>Onde no produto/processo o desvio ocorreu?</t>
  </si>
  <si>
    <t>Quando o desvio foi detectado pela primeira vez? (Data da ocorrência e do ciclo de vida)</t>
  </si>
  <si>
    <t>Existe uma sistemática detectável das ocorrências? (única ocorrência, aumento/diminuição constante, aleatório ou cíclico)?</t>
  </si>
  <si>
    <t>Qual é o número de falhas? (número e PPM's)</t>
  </si>
  <si>
    <t>Quais pessoas estão envolvidas? Quais custos foram incorridos até agora? Esses custos aumentarão, cairão ou ficarão estáveis?</t>
  </si>
  <si>
    <t xml:space="preserve">Existem produtos/processos comparáveis nos quais o problema não ocorreu? </t>
  </si>
  <si>
    <t>Quais desvios adicionais são esperados do produto / processo afetado?</t>
  </si>
  <si>
    <t>Onde o desvio ainda poderia ocorrer?</t>
  </si>
  <si>
    <t>Quais são os nomes dos produtos/processos adjacentes e quais deles não são afetados pelo desvio?</t>
  </si>
  <si>
    <t>O problema já pode ter ocorrido em uma fase/período anterior?</t>
  </si>
  <si>
    <t>Pode-se contar com ocorrências adicionais desde a detecção?</t>
  </si>
  <si>
    <t>Com quanto se pode contar ainda no futuro?</t>
  </si>
  <si>
    <t>O que pode levar à situação pior/melhor?</t>
  </si>
  <si>
    <t>Descrição do sintoma</t>
  </si>
  <si>
    <t>Descrição do problema</t>
  </si>
  <si>
    <t>D3 - Ação(ões) corretiva (s)</t>
  </si>
  <si>
    <t>Os colaboradores relevantes foram informados?</t>
  </si>
  <si>
    <t>Delimitação dos produtos afetados</t>
  </si>
  <si>
    <t>É possível delimitar os produtos afetados?</t>
  </si>
  <si>
    <t>fornecido ao cliente</t>
  </si>
  <si>
    <t>em trânsito</t>
  </si>
  <si>
    <t>na Kroschu</t>
  </si>
  <si>
    <t>Soma dos produtos afetados</t>
  </si>
  <si>
    <t>Medidas para continuar a produção estável no cliente</t>
  </si>
  <si>
    <t>Medidas para continuar o fornecimento</t>
  </si>
  <si>
    <t>Medidas para continuar a produção da Kroschu</t>
  </si>
  <si>
    <t>Medida/Ação</t>
  </si>
  <si>
    <t>Verificação da eficácia</t>
  </si>
  <si>
    <t>Método</t>
  </si>
  <si>
    <t>Responsável</t>
  </si>
  <si>
    <t>Data da implementação</t>
  </si>
  <si>
    <t>Ação de classificação/separação</t>
  </si>
  <si>
    <t>Quantidade classificada/separada</t>
  </si>
  <si>
    <t>Quantidade de peças encontradas NOK</t>
  </si>
  <si>
    <t>Identificação das peças OK</t>
  </si>
  <si>
    <t>Soma das peças classificadas/separadas</t>
  </si>
  <si>
    <t>Soma das peças encontradas NOK</t>
  </si>
  <si>
    <t>Soma das peças identificadas OK</t>
  </si>
  <si>
    <t>Comentários</t>
  </si>
  <si>
    <t>Em processamento</t>
  </si>
  <si>
    <t xml:space="preserve">Concluído  </t>
  </si>
  <si>
    <t>Página 2: D4</t>
  </si>
  <si>
    <t>Dados/Fatos/Números</t>
  </si>
  <si>
    <t>Retrabalho</t>
  </si>
  <si>
    <t xml:space="preserve">Sim, retrabalho relevante </t>
  </si>
  <si>
    <t xml:space="preserve">Sim, mas sem retrabalho relevante </t>
  </si>
  <si>
    <t>Não, sem retrabalho</t>
  </si>
  <si>
    <t>Informações detalhadas sobre o retrabalho</t>
  </si>
  <si>
    <t>Informações sobre falha no QIS</t>
  </si>
  <si>
    <t>Demais informações</t>
  </si>
  <si>
    <t>Desenho do fluxo do processo e marcação de etapas críticas do processo para uma análise rastreável da causa raiz</t>
  </si>
  <si>
    <t>Página 3: D4</t>
  </si>
  <si>
    <t>Perguntas-chave para uma análise eficiente da causa raiz</t>
  </si>
  <si>
    <t>Homem</t>
  </si>
  <si>
    <t>Há riscos durante o manuseio?</t>
  </si>
  <si>
    <t>Os colaboradores estão capacitados para a tarefa? (Verificar o período de produção afetado)</t>
  </si>
  <si>
    <t>Os colaboradores receberam o treinamento necessário?</t>
  </si>
  <si>
    <t>O treinamento foi ajustado às necessidades?</t>
  </si>
  <si>
    <t>Os colaboradores entendem as respectivas instruções de trabalho?</t>
  </si>
  <si>
    <t>Todas as instruções de trabalho foram seguidas e utilizadas adequadamente?</t>
  </si>
  <si>
    <t>Máquina</t>
  </si>
  <si>
    <t>As ferramentas/máquinas funcionam adequadamente?</t>
  </si>
  <si>
    <t>Foi feita a manutenção preventiva?</t>
  </si>
  <si>
    <t>Ocorreu um evento específico? (Queda de energia,…)</t>
  </si>
  <si>
    <t>Os sistemas de verificação da falha funcionam adequadamente? (Poka Yoke, Centro de controle,…)</t>
  </si>
  <si>
    <t>Os parâmetros da máquina/processo foram configurados adequadamente?</t>
  </si>
  <si>
    <t>Os parâmetros da máquina/processo foram definidos adequadamente?</t>
  </si>
  <si>
    <t>As peças estão de acordo com os padrões definidos? Os padrões são adequados?</t>
  </si>
  <si>
    <t>Os componentes/materiais utilizados estão de acordo com as especificações?</t>
  </si>
  <si>
    <t>Houve alterações/modificações nos componentes/materiais?</t>
  </si>
  <si>
    <t>Todos os componentes/materiais estão autorizados?</t>
  </si>
  <si>
    <t>Foram utilizados componentes/materiais corretos?</t>
  </si>
  <si>
    <t>As instruções de trabalho estão disponibilizadas nos postos de trabalho?</t>
  </si>
  <si>
    <t>As instruções de trabalho estão atualizadas?</t>
  </si>
  <si>
    <t>Foram utilizadas ferramentas/dispositivos de correção?</t>
  </si>
  <si>
    <t>A tarefa foi executada igualmente em todos os turnos?</t>
  </si>
  <si>
    <t>Está definida uma manutenção preventiva? Esta é suficiente?</t>
  </si>
  <si>
    <t>Meio ambiente</t>
  </si>
  <si>
    <t>Outros</t>
  </si>
  <si>
    <t xml:space="preserve">Diagrama de Ishikawa </t>
  </si>
  <si>
    <t>Consideração técnica</t>
  </si>
  <si>
    <t>Consideração sistêmica</t>
  </si>
  <si>
    <t>Não detecção</t>
  </si>
  <si>
    <t>Por que esta não é a causa raiz?</t>
  </si>
  <si>
    <t>Por que a causa pode ser excluída (não é a causa raiz)?</t>
  </si>
  <si>
    <t>Página 4: D4-D5-D6</t>
  </si>
  <si>
    <t>Análise da causa raiz e plano de ação</t>
  </si>
  <si>
    <t>D4 - Análise da causa raiz</t>
  </si>
  <si>
    <t>Os colaboradores relevantes foram treinados?</t>
  </si>
  <si>
    <t>Data do treinamento</t>
  </si>
  <si>
    <t>Data da verificação da eficácia</t>
  </si>
  <si>
    <t>Fatores de identificação</t>
  </si>
  <si>
    <t>Análise dos 5 Porquês</t>
  </si>
  <si>
    <t>Fatores de influência</t>
  </si>
  <si>
    <t>Por quê? 1</t>
  </si>
  <si>
    <t>Por quê? 2</t>
  </si>
  <si>
    <t>Por quê? 3</t>
  </si>
  <si>
    <t>Por quê? 4</t>
  </si>
  <si>
    <t>Por quê? 5</t>
  </si>
  <si>
    <t>Categoria da falha</t>
  </si>
  <si>
    <t>Verificação das causas</t>
  </si>
  <si>
    <t xml:space="preserve">Categoria  </t>
  </si>
  <si>
    <t>Método de verificação das causas</t>
  </si>
  <si>
    <t>D5 -  Ações de melhoria</t>
  </si>
  <si>
    <t>D6 - Implementação de ação (ões) corretiva (s)</t>
  </si>
  <si>
    <t>Plano de ação</t>
  </si>
  <si>
    <t>Ação de melhoria</t>
  </si>
  <si>
    <t>Nº Foto</t>
  </si>
  <si>
    <t>Data de meta</t>
  </si>
  <si>
    <t>Comprovação da eficácia/
motivo para rejeição</t>
  </si>
  <si>
    <t>Data de conclusão</t>
  </si>
  <si>
    <t>Simulação</t>
  </si>
  <si>
    <t>Para confirmar a causa raiz, a falha deve ser reproduzida sob as mesmas condições, quando isto for possível</t>
  </si>
  <si>
    <t>Possível simulação?</t>
  </si>
  <si>
    <t>Como a falha foi reproduzida?</t>
  </si>
  <si>
    <t>Motivo pelo qual a simulação não é possível:</t>
  </si>
  <si>
    <t>A falha reproduzida corresponde à falha indicada?</t>
  </si>
  <si>
    <t>→ Causa da falha confirmada</t>
  </si>
  <si>
    <t>→ Causa da falha não confirmada → Voltar para D4, para encontrar a causa correta da falha</t>
  </si>
  <si>
    <t>Medidas corretivas -Fotos</t>
  </si>
  <si>
    <t>Antes</t>
  </si>
  <si>
    <t>Depois</t>
  </si>
  <si>
    <t>Foto 1</t>
  </si>
  <si>
    <t>Foto 2</t>
  </si>
  <si>
    <t>Foto 3</t>
  </si>
  <si>
    <t>Foto 4</t>
  </si>
  <si>
    <t>Foto 5</t>
  </si>
  <si>
    <t>Foto</t>
  </si>
  <si>
    <t>Página 5: D6-D7-D8</t>
  </si>
  <si>
    <t>Confirmação, medidas preventivas, conclusão</t>
  </si>
  <si>
    <t>Confirmação da eficácia das medidas corretivas</t>
  </si>
  <si>
    <t>Período</t>
  </si>
  <si>
    <t>Resultado e comprovação da verificação da eficácia e comentário</t>
  </si>
  <si>
    <t>D7 - Medidas preventivas</t>
  </si>
  <si>
    <t>Documentação - Atualizações da norma</t>
  </si>
  <si>
    <t xml:space="preserve">Documentação  </t>
  </si>
  <si>
    <t>Designação</t>
  </si>
  <si>
    <t>Plano de Manutenção</t>
  </si>
  <si>
    <t>Desenho</t>
  </si>
  <si>
    <t>Cartão de Lições Aprendidas</t>
  </si>
  <si>
    <t>Norma de treinamento</t>
  </si>
  <si>
    <t>Procedimento</t>
  </si>
  <si>
    <t>Especificação</t>
  </si>
  <si>
    <t>Implementação de medidas para processos/produtos similares</t>
  </si>
  <si>
    <t>Processos</t>
  </si>
  <si>
    <t>Processos afetados</t>
  </si>
  <si>
    <t>Produtos</t>
  </si>
  <si>
    <t>Produtos afetados</t>
  </si>
  <si>
    <t>E-mail ao responsável</t>
  </si>
  <si>
    <t>D8 - Conclusão PSS</t>
  </si>
  <si>
    <t>e reconhecimento do sucesso da equipe</t>
  </si>
  <si>
    <t>Última atualização</t>
  </si>
  <si>
    <t>Status da reclamação</t>
  </si>
  <si>
    <t>Aceita</t>
  </si>
  <si>
    <t>Rejeitada, aceita pelo cliente/fornecedor/outra planta da Kroschu</t>
  </si>
  <si>
    <t xml:space="preserve">Rejeitada </t>
  </si>
  <si>
    <t>Posição</t>
  </si>
  <si>
    <t xml:space="preserve">Responsável Q </t>
  </si>
  <si>
    <t>Gerente Equipe AP</t>
  </si>
  <si>
    <t>Coordenador do problema</t>
  </si>
  <si>
    <t>Informação sobre Resultado da Avaliação de 3 meses:</t>
  </si>
  <si>
    <t>informado em</t>
  </si>
  <si>
    <t>verificado em</t>
  </si>
  <si>
    <t>concluído em</t>
  </si>
  <si>
    <t>Relatório 8D</t>
  </si>
  <si>
    <t>notas adicionais opcionais (fotos, etc.)</t>
  </si>
  <si>
    <t>Comentários, conclusão (Resultado da discussão final)</t>
  </si>
  <si>
    <t>Avaliação de risco</t>
  </si>
  <si>
    <t>Probabilidade</t>
  </si>
  <si>
    <t>Efeito</t>
  </si>
  <si>
    <t>Remoto - Probabilidade para este caso é quase 0</t>
  </si>
  <si>
    <t>Improvável – Eventualidade existe, mas não ocorrerá</t>
  </si>
  <si>
    <t>Possível - Caso pode ocorrer em algum momento</t>
  </si>
  <si>
    <t>Provável - O caso às vezes ocorre e pode ser esperado</t>
  </si>
  <si>
    <t>Quase certo - O caso ocorre frequentemente e é esperado</t>
  </si>
  <si>
    <t>Ignorável - Danos ignoráveis, sem efeitos</t>
  </si>
  <si>
    <t>Pequeno - Danos leves são visíveis externamente</t>
  </si>
  <si>
    <t>Médio - Danos identificáveis na área visível</t>
  </si>
  <si>
    <t>Alto - Danos com efeitos funcionais</t>
  </si>
  <si>
    <t>Catastróficos - Danos catastróficos com consequências</t>
  </si>
  <si>
    <t>Nível</t>
  </si>
  <si>
    <t>12 ou maior</t>
  </si>
  <si>
    <t xml:space="preserve">7 a 11 </t>
  </si>
  <si>
    <t>5 a 6</t>
  </si>
  <si>
    <t>1 a 4</t>
  </si>
  <si>
    <t>Medidas a serem acordadas com o cliente</t>
  </si>
  <si>
    <t>Medidas mediante solicitação do cliente</t>
  </si>
  <si>
    <t>Tão baixo quanto razoavelmente praticável</t>
  </si>
  <si>
    <t>Não é necessária nenhuma outra medida</t>
  </si>
  <si>
    <t>Matriz</t>
  </si>
  <si>
    <t>Risco</t>
  </si>
  <si>
    <t>Grau de risco</t>
  </si>
  <si>
    <t>Avaliação inicial</t>
  </si>
  <si>
    <t>Medidas</t>
  </si>
  <si>
    <t>Nova avaliação</t>
  </si>
  <si>
    <t>Data final</t>
  </si>
  <si>
    <t>Resultado</t>
  </si>
  <si>
    <t>22.06.2023</t>
  </si>
  <si>
    <t>Portuguese language added.</t>
  </si>
  <si>
    <t>Informar a Equipe de Prevenção</t>
  </si>
  <si>
    <t>Novo</t>
  </si>
  <si>
    <t>Atualizado</t>
  </si>
  <si>
    <t>Checado, N/A</t>
  </si>
  <si>
    <t>Fatores de consideração técnica</t>
  </si>
  <si>
    <t>8D-Bericht</t>
  </si>
  <si>
    <t>Ocorrência</t>
  </si>
  <si>
    <t>HOJA DE SOLUCION DE PROBLEMAS</t>
  </si>
  <si>
    <t>N° PSS</t>
  </si>
  <si>
    <t>Tipo de falla</t>
  </si>
  <si>
    <t>Datos básicos-Equipo-Descripción del Problema -Acción(es) inmediatas</t>
  </si>
  <si>
    <t>Planta Kroschu</t>
  </si>
  <si>
    <t>Fecha de inicio</t>
  </si>
  <si>
    <t>Proyecto</t>
  </si>
  <si>
    <t>Nº reclamación de cliente</t>
  </si>
  <si>
    <t>Datos básicos</t>
  </si>
  <si>
    <t>Número secuencial/serie</t>
  </si>
  <si>
    <t>Nº de caja</t>
  </si>
  <si>
    <t>Cantidad de piezas con defecto</t>
  </si>
  <si>
    <t>Característica relevante de seguridad</t>
  </si>
  <si>
    <t>Fecha/hora de producción</t>
  </si>
  <si>
    <t>D1 - Equipo</t>
  </si>
  <si>
    <t>Coordinador (/Champion)</t>
  </si>
  <si>
    <t>Nombre, primer nombre</t>
  </si>
  <si>
    <t>Miembros</t>
  </si>
  <si>
    <t>D2 - Descripción del problema</t>
  </si>
  <si>
    <t>Código de falla</t>
  </si>
  <si>
    <t>Descripción de falla</t>
  </si>
  <si>
    <t>Local de falla</t>
  </si>
  <si>
    <t>Puesto de trabajo</t>
  </si>
  <si>
    <t>Calificación</t>
  </si>
  <si>
    <t>Línea</t>
  </si>
  <si>
    <t>Equipamiento</t>
  </si>
  <si>
    <t>Falla repetitiva</t>
  </si>
  <si>
    <t>Cuando sí, Nº PSS/ Nº  8D</t>
  </si>
  <si>
    <t>Sí</t>
  </si>
  <si>
    <t>ES</t>
  </si>
  <si>
    <t>NO ES</t>
  </si>
  <si>
    <t>Qué</t>
  </si>
  <si>
    <t>Dónde</t>
  </si>
  <si>
    <t xml:space="preserve">Cuándo  </t>
  </si>
  <si>
    <t>Cuántos</t>
  </si>
  <si>
    <t xml:space="preserve">A cual producto/proceso se refiere el problema? </t>
  </si>
  <si>
    <t>Cuál es el desvio?</t>
  </si>
  <si>
    <t>Dónde estaba el producto/proceso, cuando el desvio apareció por primera vez?</t>
  </si>
  <si>
    <t>En qué punto del producto/proceso el desvio ocurrió?</t>
  </si>
  <si>
    <t>Cuándo el desvio fue detectado por primera vez? (Fecha de ocurrencia y ciclo de vida)</t>
  </si>
  <si>
    <t>Existe una sistemática detectable de ocurrencias? (única ocurrencia, aumento/disminución constante, aleatorio o cíclico)?</t>
  </si>
  <si>
    <t>Cuál es el número de fallas? (número y PPM's)</t>
  </si>
  <si>
    <t>Qué personas se ven afectadas? En qué costos se han incurrido hasta ahora? Esos costos aumentaron, cayeron o quedaron estables?</t>
  </si>
  <si>
    <t xml:space="preserve">Existen productos/procesos comparables en los cuales el problema no ocurrió? </t>
  </si>
  <si>
    <t>Qué desvios adicionales son esperados del producto / proceso afectado?</t>
  </si>
  <si>
    <t>Dónde el desvio podria ocurrir?</t>
  </si>
  <si>
    <t>Cuáles son los nombres de los productos/procesos adyacentes y cuales de ellos no son afectados por el desvio?</t>
  </si>
  <si>
    <t>El problema pudo haber ocurrido en una fase/período anterior?</t>
  </si>
  <si>
    <t>Se pueden esperar fallas adicionales desde la detección?</t>
  </si>
  <si>
    <t>Cuantas fallas más se pueden esperar en el futuro?</t>
  </si>
  <si>
    <t>Que puede llevar a una situación peor/mejor?</t>
  </si>
  <si>
    <t>Descripción del síntoma</t>
  </si>
  <si>
    <t>Descripción del problema</t>
  </si>
  <si>
    <t>D3 - Acción(es) correctiva (s)</t>
  </si>
  <si>
    <t>Estado</t>
  </si>
  <si>
    <t>Fecha</t>
  </si>
  <si>
    <t>Los colaboradores relevantes fueron informados?</t>
  </si>
  <si>
    <t>Limitación de productos afetados</t>
  </si>
  <si>
    <t>Es posible realizar la limitación de productos afectados?</t>
  </si>
  <si>
    <t>Enviados al cliente</t>
  </si>
  <si>
    <t>En tránsito</t>
  </si>
  <si>
    <t>En Kroschu</t>
  </si>
  <si>
    <t>Suma de productos afectados</t>
  </si>
  <si>
    <t>Medidas para continuar la producción estable del cliente</t>
  </si>
  <si>
    <t>Medidas para continuar el envio</t>
  </si>
  <si>
    <t>Medidas para continuar la producción en Kroschu</t>
  </si>
  <si>
    <t>Medida/Acción</t>
  </si>
  <si>
    <t>Verificación de la efectividad</t>
  </si>
  <si>
    <t>Responsable</t>
  </si>
  <si>
    <t>Fecha de implementación</t>
  </si>
  <si>
    <t>Acción de clasificación/separación</t>
  </si>
  <si>
    <t>Cantidad clasificada/separada</t>
  </si>
  <si>
    <t>Cantidad de piezas encontradas NOK</t>
  </si>
  <si>
    <t>Identificación de piezas OK</t>
  </si>
  <si>
    <t>Suma de piezas clasificadas/separadas</t>
  </si>
  <si>
    <t>Suma de piezas encontradas NOK</t>
  </si>
  <si>
    <t>Suma de piezas identificadas OK</t>
  </si>
  <si>
    <t>Comentarios</t>
  </si>
  <si>
    <t>En proceso</t>
  </si>
  <si>
    <t xml:space="preserve">Concluido  </t>
  </si>
  <si>
    <t>Datos/Hechos/Números</t>
  </si>
  <si>
    <t>Retrabajo</t>
  </si>
  <si>
    <t xml:space="preserve">Sí, retrabajo relevante </t>
  </si>
  <si>
    <t xml:space="preserve">Si, pero sin retrabajo relevante </t>
  </si>
  <si>
    <t>No, sin retrabajo</t>
  </si>
  <si>
    <t>Informacion detallada sobre el retrabajo</t>
  </si>
  <si>
    <t>Informacion sobre falla en QIS</t>
  </si>
  <si>
    <t>Otras informaciones</t>
  </si>
  <si>
    <t>Diseño del flujo de proceso y marcación de etapas críticas del proceso para un análisis rastreable de la causa raíz</t>
  </si>
  <si>
    <t>Preguntas-claves para un análisis eficiente de la causa raíz</t>
  </si>
  <si>
    <t>Hombre</t>
  </si>
  <si>
    <t>Hay riesgos durante la manipulación?</t>
  </si>
  <si>
    <t>Los colaboradores están capacitados para la tarea? (Verificar el periodo de producción afectado)</t>
  </si>
  <si>
    <t>Los colaboradores recibieron el entrenamiento necesario?</t>
  </si>
  <si>
    <t>El entrenamiento fue ajustado a las necesidades?</t>
  </si>
  <si>
    <t>Los colaboradores entienden las respectivas instrucciones de trabajo?</t>
  </si>
  <si>
    <t>Todas las instrucciones de trabajo fueron seguidas y aplicadas adecuadamente?</t>
  </si>
  <si>
    <t>Las herramientas/máquinas funcionan adecuadamente?</t>
  </si>
  <si>
    <t>Fue realizada el mantenimiento preventivo?</t>
  </si>
  <si>
    <t>Ocurrió un evento específico? (Apagón,…)</t>
  </si>
  <si>
    <t>Los sistemas de verificación de la falla funcionan adecuadamente? (Poka Yoke, Centro de control,…)</t>
  </si>
  <si>
    <t>Los parámetros de la máquina/proceso fueron configurados adecuadamente?</t>
  </si>
  <si>
    <t>Los parámetros de la máquina/proceso fueron definidos adecuadamente?</t>
  </si>
  <si>
    <t>Las piezas están de acuerdo con los padrones definidos? Los padrones son adecuados?</t>
  </si>
  <si>
    <t>Los componentes/materiales utilizados están de acuerdo a las especificaciones?</t>
  </si>
  <si>
    <t>Hubo alteraciones/modificaciones en los componentes/materiales?</t>
  </si>
  <si>
    <t>Todos los componentes/materiales están aprobados?</t>
  </si>
  <si>
    <t>Fueron utilizados componentes/materiales correctos?</t>
  </si>
  <si>
    <t>Las instrucciones de trabajo están disponibles en los puestos de trabajo?</t>
  </si>
  <si>
    <t>Las instruciones de trabajo están actualizadas?</t>
  </si>
  <si>
    <t>Se utilizaron herramientas/dispositivos de corrección?</t>
  </si>
  <si>
    <t>La tarea fue ejecutada de igual manera en todos los turnos?</t>
  </si>
  <si>
    <t>Está definido un mantenimiento preventivo? Esta es suficiente?</t>
  </si>
  <si>
    <t>Medio ambiente</t>
  </si>
  <si>
    <t>Otros</t>
  </si>
  <si>
    <t>Consideración técnica</t>
  </si>
  <si>
    <t>Consideración sistemática</t>
  </si>
  <si>
    <t>Ocurrencia</t>
  </si>
  <si>
    <t>No detección</t>
  </si>
  <si>
    <t>Por que esta no es la causa raiz?</t>
  </si>
  <si>
    <t>Por que la causa puede ser excluida (no es la causa raiz)?</t>
  </si>
  <si>
    <t>Análisis de la causa raíz y plan de acción</t>
  </si>
  <si>
    <t>D4 - Análisis de la causa raíz</t>
  </si>
  <si>
    <t>Los colaboradores relevantes fueron entrenados?</t>
  </si>
  <si>
    <t>Fecha del entrenamiento</t>
  </si>
  <si>
    <t>Fecha de la verificación de la eficacia</t>
  </si>
  <si>
    <t>Fatores de identificación</t>
  </si>
  <si>
    <t>Análisis de los 5 Porqués</t>
  </si>
  <si>
    <t>Factores de influencia</t>
  </si>
  <si>
    <t>Por qué? 1</t>
  </si>
  <si>
    <t>Por qué? 2</t>
  </si>
  <si>
    <t>Por qué? 3</t>
  </si>
  <si>
    <t>Por qué? 4</t>
  </si>
  <si>
    <t>Por qué? 5</t>
  </si>
  <si>
    <t>Categoria de la falla</t>
  </si>
  <si>
    <t>Verificación de las causas</t>
  </si>
  <si>
    <t>Método de verificación de las causas</t>
  </si>
  <si>
    <t>D5 -  Acciones de mejoria</t>
  </si>
  <si>
    <t>D6 - Implementación de acción(es) correctiva(s)</t>
  </si>
  <si>
    <t>Plan de acción</t>
  </si>
  <si>
    <t>Acción Correctiva</t>
  </si>
  <si>
    <t>Fecha Objetivo</t>
  </si>
  <si>
    <t>Comprobación de la eficácia/
motivo para rechazo</t>
  </si>
  <si>
    <t>Fecha de conclusión</t>
  </si>
  <si>
    <t>Simulación</t>
  </si>
  <si>
    <t>Para confirmar la causa raiz, la falla debe ser reproducida sobre las mismas condiciones, Cuando esto sea posible</t>
  </si>
  <si>
    <t>Simulación posible?</t>
  </si>
  <si>
    <t>Como la falla fue reproducida?</t>
  </si>
  <si>
    <t>Motivo por el cual la simulación no es posible:</t>
  </si>
  <si>
    <t>La falla reproducida corresponde a la falla indicada?</t>
  </si>
  <si>
    <t>→ Causa de la falla confirmada</t>
  </si>
  <si>
    <t>→ Causa de la falla no confirmada → Regresar para D4, para encontrar la causa correcta de la falla</t>
  </si>
  <si>
    <t>Medidas correctivas -Fotos</t>
  </si>
  <si>
    <t>Después</t>
  </si>
  <si>
    <t>Verificación, acciones preventivas, conclusión</t>
  </si>
  <si>
    <t>Verificación de la efectividad de acciones correctivas</t>
  </si>
  <si>
    <t>Periodo</t>
  </si>
  <si>
    <t>Resultado y evidencia de la verificación de la efectividad y comentarios</t>
  </si>
  <si>
    <t>Documentación - Actualización de Estándares</t>
  </si>
  <si>
    <t>Documentación</t>
  </si>
  <si>
    <t>Designación</t>
  </si>
  <si>
    <t>CP</t>
  </si>
  <si>
    <t>IT</t>
  </si>
  <si>
    <t>Plan de Mantenimiento</t>
  </si>
  <si>
    <t>Diseño</t>
  </si>
  <si>
    <t>Tarjeta de Lecciones Aprendidas</t>
  </si>
  <si>
    <t>Entrenamiento Estándar</t>
  </si>
  <si>
    <t>Procedimiento</t>
  </si>
  <si>
    <t>Especificación</t>
  </si>
  <si>
    <t>Implementación de medidas para procesos/productos similares</t>
  </si>
  <si>
    <t>Procesos</t>
  </si>
  <si>
    <t>Procesos afectados</t>
  </si>
  <si>
    <t>Productos</t>
  </si>
  <si>
    <t>Productos afectados</t>
  </si>
  <si>
    <t>E-mail enviado al responsable</t>
  </si>
  <si>
    <t>D8 - Conclusión PSS</t>
  </si>
  <si>
    <t>y reconocimiento del logro al equipo</t>
  </si>
  <si>
    <t>Última Actualización</t>
  </si>
  <si>
    <t>Estado de la reclamación</t>
  </si>
  <si>
    <t>Aceptado</t>
  </si>
  <si>
    <t>Rechazada, aceptada por el cliente/fabricante/otra planta de Kroschu</t>
  </si>
  <si>
    <t>Rechazada</t>
  </si>
  <si>
    <t>Posición</t>
  </si>
  <si>
    <t xml:space="preserve">Responsable Q </t>
  </si>
  <si>
    <t>Líder AP-Team</t>
  </si>
  <si>
    <t>Coordinador del problema</t>
  </si>
  <si>
    <t>Información sobre Resultado de Evaluación de 3 meses:</t>
  </si>
  <si>
    <t>informado en</t>
  </si>
  <si>
    <t>verificado en</t>
  </si>
  <si>
    <t>concluído en</t>
  </si>
  <si>
    <t>Reporte 8D</t>
  </si>
  <si>
    <t>Notas adicionales opcionales (fotos, etc.)</t>
  </si>
  <si>
    <t>Comentarios, conclusión (Resultado de la discusión final)</t>
  </si>
  <si>
    <t>Evaluación de riesgo</t>
  </si>
  <si>
    <t>Probabilidad</t>
  </si>
  <si>
    <t>Efecto</t>
  </si>
  <si>
    <t>Remoto - Probabilidad para este caso es casi 0</t>
  </si>
  <si>
    <t>Improbable – Eventualidad existe, pero no ocurrirá</t>
  </si>
  <si>
    <t>Posible - El evento puede ocurrir en algún momento</t>
  </si>
  <si>
    <t>Probable - Evento sucede ocasionalmente y puede ser esperado</t>
  </si>
  <si>
    <t>Casi cierto - Evento sucede frecuentemente y es esperado</t>
  </si>
  <si>
    <t>Ignorable - Daños ignorables, sin efectos</t>
  </si>
  <si>
    <t>Bajo - Daños leves son visibles externamente</t>
  </si>
  <si>
    <t>Medio - Daños identificables en el área visible</t>
  </si>
  <si>
    <t>Alto - Daños con efectos funcionales</t>
  </si>
  <si>
    <t>Catastróficos - Daños catastróficos con consecuencias</t>
  </si>
  <si>
    <t>12 o mayor</t>
  </si>
  <si>
    <t>Medidas a ser acordadas con el cliente</t>
  </si>
  <si>
    <t>Medidas mediante solicitación del cliente</t>
  </si>
  <si>
    <t>Tan bajo como sea razonablemente praticable</t>
  </si>
  <si>
    <t>No es necesaria ninguna otra medida</t>
  </si>
  <si>
    <t>Riesgo</t>
  </si>
  <si>
    <t>Grado del riesgo</t>
  </si>
  <si>
    <t>Evaluación inicial</t>
  </si>
  <si>
    <t>Nueva evaluación</t>
  </si>
  <si>
    <t>Data de inicio</t>
  </si>
  <si>
    <t>Fecha final</t>
  </si>
  <si>
    <t>clean point</t>
  </si>
  <si>
    <t>cean point</t>
  </si>
  <si>
    <t>Nuevo</t>
  </si>
  <si>
    <t>Actualizado</t>
  </si>
  <si>
    <t>Verificado, N/A</t>
  </si>
  <si>
    <t>PSC/ FSM</t>
  </si>
  <si>
    <t>PSB</t>
  </si>
  <si>
    <t>FuSi (Funktionale Sicherheit)</t>
  </si>
  <si>
    <t>FuSi (Functional safety)</t>
  </si>
  <si>
    <t>Department/function   Contact data</t>
  </si>
  <si>
    <t>Abteilung/Funktion   Kontaktdaten</t>
  </si>
  <si>
    <t>Departamento/Función   Datos de contacto</t>
  </si>
  <si>
    <t>Részleg/funkció   elérhetõség</t>
  </si>
  <si>
    <t>Оддел/функција   Податоци за контакт</t>
  </si>
  <si>
    <t>Departamento/Função   Dados de contato</t>
  </si>
  <si>
    <t>Departament/Funcție   Date de contact</t>
  </si>
  <si>
    <t>Oddelenie/Funkcia   Kontaktné údaje</t>
  </si>
  <si>
    <t>Basic Data: FuSi (Functional safety); D8: FSM added</t>
  </si>
  <si>
    <t>FuSi (Saúde e Segurança)</t>
  </si>
  <si>
    <t>FuSi (Salud y seguridad)</t>
  </si>
  <si>
    <t>09_KSTN-Be2</t>
  </si>
  <si>
    <t>42_KSMA-Ke2</t>
  </si>
  <si>
    <t>Added "09_KSTN-Be2" and "42_KSMA-Ke2" to Drop-down menu</t>
  </si>
  <si>
    <t>95_KSMK-Sk</t>
  </si>
  <si>
    <t>363</t>
  </si>
  <si>
    <t>4.15.02.00.</t>
  </si>
  <si>
    <t>New: Tab "8D-Report (no link)
Corrected: Fault code (363)</t>
  </si>
  <si>
    <t>174</t>
  </si>
  <si>
    <t>Corrected: Fault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</si>
</sst>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_-* #,##0_-;\-* #,##0_-;_-* &quot;-&quot;_-;_-@_-"/>
    <numFmt numFmtId="177" formatCode="_-* #,##0.00\ &quot;€&quot;_-;\-* #,##0.00\ &quot;€&quot;_-;_-* &quot;-&quot;??\ &quot;€&quot;_-;_-@_-"/>
    <numFmt numFmtId="178" formatCode="[$-816]General"/>
    <numFmt numFmtId="179" formatCode="dd/mm/yy;@"/>
    <numFmt numFmtId="180" formatCode="dd\-mm\-yy"/>
    <numFmt numFmtId="181" formatCode="m/d;@"/>
    <numFmt numFmtId="182" formatCode="dd\-mm\-yyyy"/>
  </numFmts>
  <fonts count="199">
    <font>
      <sz val="11"/>
      <color theme="1"/>
      <name val="宋体"/>
      <family val="2"/>
      <scheme val="minor"/>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Arial"/>
      <family val="2"/>
    </font>
    <font>
      <u/>
      <sz val="11"/>
      <color theme="10"/>
      <name val="Arial"/>
      <family val="2"/>
    </font>
    <font>
      <sz val="11"/>
      <name val="Arial"/>
      <family val="2"/>
    </font>
    <font>
      <sz val="11"/>
      <color theme="1"/>
      <name val="黑体"/>
      <family val="2"/>
      <scheme val="major"/>
    </font>
    <font>
      <sz val="10"/>
      <name val="Arial"/>
      <family val="2"/>
    </font>
    <font>
      <sz val="11"/>
      <color indexed="8"/>
      <name val="Calibri"/>
      <family val="2"/>
    </font>
    <font>
      <b/>
      <i/>
      <sz val="11"/>
      <color theme="1"/>
      <name val="Arial"/>
      <family val="2"/>
    </font>
    <font>
      <sz val="11"/>
      <name val="黑体"/>
      <family val="2"/>
      <scheme val="major"/>
    </font>
    <font>
      <b/>
      <sz val="11"/>
      <color indexed="8"/>
      <name val="Calibri"/>
      <family val="2"/>
    </font>
    <font>
      <sz val="12"/>
      <color theme="1"/>
      <name val="Arial"/>
      <family val="2"/>
    </font>
    <font>
      <sz val="36"/>
      <color indexed="8"/>
      <name val="Arial"/>
      <family val="2"/>
    </font>
    <font>
      <b/>
      <sz val="36"/>
      <color indexed="8"/>
      <name val="Arial"/>
      <family val="2"/>
    </font>
    <font>
      <b/>
      <sz val="26"/>
      <color indexed="8"/>
      <name val="Arial"/>
      <family val="2"/>
    </font>
    <font>
      <sz val="11"/>
      <color indexed="9"/>
      <name val="Calibri"/>
      <family val="2"/>
    </font>
    <font>
      <b/>
      <sz val="11"/>
      <color indexed="63"/>
      <name val="Calibri"/>
      <family val="2"/>
    </font>
    <font>
      <sz val="11"/>
      <color indexed="10"/>
      <name val="Calibri"/>
      <family val="2"/>
    </font>
    <font>
      <sz val="11"/>
      <color indexed="20"/>
      <name val="Calibri"/>
      <family val="2"/>
    </font>
    <font>
      <b/>
      <sz val="11"/>
      <color indexed="10"/>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i/>
      <sz val="11"/>
      <color indexed="23"/>
      <name val="Calibri"/>
      <family val="2"/>
    </font>
    <font>
      <sz val="11"/>
      <color indexed="8"/>
      <name val="Arial1"/>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14"/>
      <name val="Calibri"/>
      <family val="2"/>
    </font>
    <font>
      <sz val="11"/>
      <color indexed="19"/>
      <name val="Calibri"/>
      <family val="2"/>
    </font>
    <font>
      <sz val="11"/>
      <color indexed="60"/>
      <name val="Calibri"/>
      <family val="2"/>
    </font>
    <font>
      <sz val="10"/>
      <name val="Arial CE"/>
    </font>
    <font>
      <b/>
      <sz val="18"/>
      <color indexed="56"/>
      <name val="Cambria"/>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b/>
      <sz val="12"/>
      <color indexed="8"/>
      <name val="Arial"/>
      <family val="2"/>
    </font>
    <font>
      <sz val="8"/>
      <color indexed="8"/>
      <name val="Arial"/>
      <family val="2"/>
    </font>
    <font>
      <b/>
      <sz val="24"/>
      <color indexed="8"/>
      <name val="Arial"/>
      <family val="2"/>
    </font>
    <font>
      <sz val="11"/>
      <color theme="1"/>
      <name val="宋体"/>
      <family val="2"/>
      <scheme val="minor"/>
    </font>
    <font>
      <b/>
      <i/>
      <sz val="12"/>
      <color indexed="8"/>
      <name val="Arial"/>
      <family val="2"/>
    </font>
    <font>
      <sz val="12"/>
      <color indexed="8"/>
      <name val="Arial"/>
      <family val="2"/>
    </font>
    <font>
      <i/>
      <sz val="12"/>
      <color theme="1"/>
      <name val="Arial"/>
      <family val="2"/>
    </font>
    <font>
      <i/>
      <sz val="12"/>
      <color indexed="8"/>
      <name val="Arial"/>
      <family val="2"/>
    </font>
    <font>
      <i/>
      <sz val="11"/>
      <color theme="1"/>
      <name val="黑体"/>
      <family val="2"/>
      <scheme val="major"/>
    </font>
    <font>
      <sz val="12"/>
      <color indexed="81"/>
      <name val="Tahoma"/>
      <family val="2"/>
    </font>
    <font>
      <sz val="14"/>
      <color indexed="81"/>
      <name val="Tahoma"/>
      <family val="2"/>
    </font>
    <font>
      <sz val="8"/>
      <color indexed="81"/>
      <name val="Tahoma"/>
      <family val="2"/>
    </font>
    <font>
      <sz val="11"/>
      <color indexed="81"/>
      <name val="Tahoma"/>
      <family val="2"/>
    </font>
    <font>
      <sz val="16"/>
      <color indexed="81"/>
      <name val="Tahoma"/>
      <family val="2"/>
    </font>
    <font>
      <sz val="18"/>
      <color indexed="81"/>
      <name val="Tahoma"/>
      <family val="2"/>
    </font>
    <font>
      <sz val="20"/>
      <color indexed="81"/>
      <name val="Tahoma"/>
      <family val="2"/>
    </font>
    <font>
      <sz val="12"/>
      <name val="Tahoma"/>
      <family val="2"/>
    </font>
    <font>
      <b/>
      <i/>
      <sz val="20"/>
      <name val="Tahoma"/>
      <family val="2"/>
    </font>
    <font>
      <b/>
      <i/>
      <sz val="22"/>
      <name val="Tahoma"/>
      <family val="2"/>
    </font>
    <font>
      <b/>
      <i/>
      <sz val="18"/>
      <name val="Tahoma"/>
      <family val="2"/>
    </font>
    <font>
      <sz val="18"/>
      <color theme="1"/>
      <name val="Tahoma"/>
      <family val="2"/>
    </font>
    <font>
      <i/>
      <sz val="22"/>
      <name val="Tahoma"/>
      <family val="2"/>
    </font>
    <font>
      <i/>
      <sz val="20"/>
      <name val="Tahoma"/>
      <family val="2"/>
    </font>
    <font>
      <sz val="16"/>
      <color theme="1"/>
      <name val="Tahoma"/>
      <family val="2"/>
    </font>
    <font>
      <sz val="20"/>
      <name val="Tahoma"/>
      <family val="2"/>
    </font>
    <font>
      <i/>
      <sz val="16"/>
      <name val="Tahoma"/>
      <family val="2"/>
    </font>
    <font>
      <i/>
      <sz val="20"/>
      <color theme="1"/>
      <name val="Tahoma"/>
      <family val="2"/>
    </font>
    <font>
      <sz val="16"/>
      <name val="Tahoma"/>
      <family val="2"/>
    </font>
    <font>
      <i/>
      <sz val="18"/>
      <color theme="1"/>
      <name val="Tahoma"/>
      <family val="2"/>
    </font>
    <font>
      <i/>
      <sz val="11"/>
      <color theme="1"/>
      <name val="Tahoma"/>
      <family val="2"/>
    </font>
    <font>
      <i/>
      <sz val="16"/>
      <color theme="1"/>
      <name val="Tahoma"/>
      <family val="2"/>
    </font>
    <font>
      <sz val="20"/>
      <color theme="1"/>
      <name val="Tahoma"/>
      <family val="2"/>
    </font>
    <font>
      <b/>
      <i/>
      <sz val="16"/>
      <name val="Tahoma"/>
      <family val="2"/>
    </font>
    <font>
      <sz val="18"/>
      <name val="Tahoma"/>
      <family val="2"/>
    </font>
    <font>
      <b/>
      <i/>
      <sz val="18"/>
      <color theme="1"/>
      <name val="Tahoma"/>
      <family val="2"/>
    </font>
    <font>
      <i/>
      <sz val="18"/>
      <name val="Tahoma"/>
      <family val="2"/>
    </font>
    <font>
      <b/>
      <sz val="18"/>
      <color theme="1"/>
      <name val="Tahoma"/>
      <family val="2"/>
    </font>
    <font>
      <b/>
      <sz val="28"/>
      <name val="Tahoma"/>
      <family val="2"/>
    </font>
    <font>
      <b/>
      <sz val="18"/>
      <name val="Tahoma"/>
      <family val="2"/>
    </font>
    <font>
      <i/>
      <sz val="30"/>
      <color rgb="FF7030A0"/>
      <name val="Tahoma"/>
      <family val="2"/>
    </font>
    <font>
      <i/>
      <sz val="30"/>
      <name val="Tahoma"/>
      <family val="2"/>
    </font>
    <font>
      <b/>
      <i/>
      <sz val="20"/>
      <color theme="1"/>
      <name val="Tahoma"/>
      <family val="2"/>
    </font>
    <font>
      <i/>
      <sz val="26"/>
      <color theme="1"/>
      <name val="Tahoma"/>
      <family val="2"/>
    </font>
    <font>
      <sz val="14"/>
      <color theme="1"/>
      <name val="Tahoma"/>
      <family val="2"/>
    </font>
    <font>
      <sz val="22"/>
      <color theme="1"/>
      <name val="Tahoma"/>
      <family val="2"/>
    </font>
    <font>
      <sz val="24"/>
      <name val="Tahoma"/>
      <family val="2"/>
    </font>
    <font>
      <sz val="26"/>
      <color theme="1"/>
      <name val="Tahoma"/>
      <family val="2"/>
    </font>
    <font>
      <sz val="9"/>
      <color theme="1"/>
      <name val="Tahoma"/>
      <family val="2"/>
    </font>
    <font>
      <i/>
      <sz val="14"/>
      <name val="Tahoma"/>
      <family val="2"/>
    </font>
    <font>
      <i/>
      <sz val="22"/>
      <color theme="1"/>
      <name val="Tahoma"/>
      <family val="2"/>
    </font>
    <font>
      <b/>
      <i/>
      <sz val="28"/>
      <name val="Tahoma"/>
      <family val="2"/>
    </font>
    <font>
      <b/>
      <i/>
      <sz val="14"/>
      <name val="Tahoma"/>
      <family val="2"/>
    </font>
    <font>
      <sz val="12"/>
      <color theme="1"/>
      <name val="Tahoma"/>
      <family val="2"/>
    </font>
    <font>
      <i/>
      <sz val="12"/>
      <name val="Tahoma"/>
      <family val="2"/>
    </font>
    <font>
      <b/>
      <i/>
      <sz val="12"/>
      <name val="Tahoma"/>
      <family val="2"/>
    </font>
    <font>
      <sz val="11"/>
      <name val="Tahoma"/>
      <family val="2"/>
    </font>
    <font>
      <i/>
      <sz val="11"/>
      <name val="Tahoma"/>
      <family val="2"/>
    </font>
    <font>
      <b/>
      <sz val="11"/>
      <name val="Tahoma"/>
      <family val="2"/>
    </font>
    <font>
      <b/>
      <i/>
      <sz val="11"/>
      <name val="Tahoma"/>
      <family val="2"/>
    </font>
    <font>
      <b/>
      <i/>
      <sz val="14"/>
      <color theme="0" tint="-0.499984740745262"/>
      <name val="Tahoma"/>
      <family val="2"/>
    </font>
    <font>
      <b/>
      <i/>
      <sz val="16"/>
      <color theme="1"/>
      <name val="Tahoma"/>
      <family val="2"/>
    </font>
    <font>
      <i/>
      <sz val="14"/>
      <color theme="1"/>
      <name val="Tahoma"/>
      <family val="2"/>
    </font>
    <font>
      <sz val="9"/>
      <color indexed="81"/>
      <name val="Segoe UI"/>
      <family val="2"/>
    </font>
    <font>
      <b/>
      <i/>
      <sz val="14"/>
      <color rgb="FF7030A0"/>
      <name val="Tahoma"/>
      <family val="2"/>
    </font>
    <font>
      <sz val="11"/>
      <color rgb="FFFF0000"/>
      <name val="黑体"/>
      <family val="2"/>
      <scheme val="major"/>
    </font>
    <font>
      <i/>
      <sz val="48"/>
      <color rgb="FFB99FD9"/>
      <name val="Tahoma"/>
      <family val="2"/>
    </font>
    <font>
      <i/>
      <sz val="24"/>
      <color theme="1"/>
      <name val="Tahoma"/>
      <family val="2"/>
    </font>
    <font>
      <sz val="10"/>
      <color theme="1"/>
      <name val="Tahoma"/>
      <family val="2"/>
    </font>
    <font>
      <i/>
      <sz val="16"/>
      <color rgb="FFFF0000"/>
      <name val="Tahoma"/>
      <family val="2"/>
    </font>
    <font>
      <sz val="14"/>
      <name val="Tahoma"/>
      <family val="2"/>
    </font>
    <font>
      <sz val="14"/>
      <color rgb="FFFF0000"/>
      <name val="Tahoma"/>
      <family val="2"/>
    </font>
    <font>
      <b/>
      <sz val="16"/>
      <color theme="1"/>
      <name val="Tahoma"/>
      <family val="2"/>
    </font>
    <font>
      <b/>
      <i/>
      <sz val="18"/>
      <color rgb="FF9148C8"/>
      <name val="Tahoma"/>
      <family val="2"/>
    </font>
    <font>
      <b/>
      <i/>
      <sz val="20"/>
      <color rgb="FF9148C8"/>
      <name val="Tahoma"/>
      <family val="2"/>
    </font>
    <font>
      <b/>
      <i/>
      <sz val="18"/>
      <color theme="0" tint="-0.499984740745262"/>
      <name val="Tahoma"/>
      <family val="2"/>
    </font>
    <font>
      <b/>
      <i/>
      <sz val="18"/>
      <color rgb="FFC00000"/>
      <name val="Tahoma"/>
      <family val="2"/>
    </font>
    <font>
      <b/>
      <i/>
      <sz val="28"/>
      <color theme="1"/>
      <name val="Tahoma"/>
      <family val="2"/>
    </font>
    <font>
      <sz val="10"/>
      <color theme="1"/>
      <name val="黑体"/>
      <family val="2"/>
      <scheme val="major"/>
    </font>
    <font>
      <sz val="8"/>
      <color theme="1"/>
      <name val="Tahoma"/>
      <family val="2"/>
    </font>
    <font>
      <i/>
      <u/>
      <sz val="18"/>
      <color theme="10"/>
      <name val="Tahoma"/>
      <family val="2"/>
    </font>
    <font>
      <b/>
      <sz val="9"/>
      <color indexed="81"/>
      <name val="Segoe UI"/>
      <family val="2"/>
    </font>
    <font>
      <sz val="11"/>
      <color rgb="FFFF0000"/>
      <name val="Tahoma"/>
      <family val="2"/>
    </font>
    <font>
      <i/>
      <sz val="16"/>
      <color theme="0"/>
      <name val="Tahoma"/>
      <family val="2"/>
    </font>
    <font>
      <i/>
      <sz val="16"/>
      <color rgb="FFC00000"/>
      <name val="Tahoma"/>
      <family val="2"/>
    </font>
    <font>
      <b/>
      <i/>
      <sz val="20"/>
      <color rgb="FF7030A0"/>
      <name val="Tahoma"/>
      <family val="2"/>
    </font>
    <font>
      <i/>
      <sz val="18"/>
      <color theme="0"/>
      <name val="Tahoma"/>
      <family val="2"/>
    </font>
    <font>
      <b/>
      <i/>
      <sz val="22"/>
      <color rgb="FF7030A0"/>
      <name val="Tahoma"/>
      <family val="2"/>
    </font>
    <font>
      <sz val="13"/>
      <color theme="1"/>
      <name val="Tahoma"/>
      <family val="2"/>
    </font>
    <font>
      <sz val="18"/>
      <color rgb="FFFF0000"/>
      <name val="Tahoma"/>
      <family val="2"/>
    </font>
    <font>
      <sz val="12"/>
      <name val="黑体"/>
      <family val="2"/>
      <scheme val="major"/>
    </font>
    <font>
      <i/>
      <sz val="16"/>
      <color rgb="FF00B050"/>
      <name val="Tahoma"/>
      <family val="2"/>
    </font>
    <font>
      <b/>
      <sz val="11"/>
      <color rgb="FFFF0000"/>
      <name val="Tahoma"/>
      <family val="2"/>
    </font>
    <font>
      <i/>
      <sz val="30"/>
      <color rgb="FFFF0000"/>
      <name val="Tahoma"/>
      <family val="2"/>
    </font>
    <font>
      <b/>
      <i/>
      <sz val="18"/>
      <color theme="0"/>
      <name val="Tahoma"/>
      <family val="2"/>
    </font>
    <font>
      <b/>
      <i/>
      <sz val="14"/>
      <color theme="0"/>
      <name val="Tahoma"/>
      <family val="2"/>
    </font>
    <font>
      <b/>
      <i/>
      <sz val="16"/>
      <color theme="0"/>
      <name val="Tahoma"/>
      <family val="2"/>
    </font>
    <font>
      <b/>
      <sz val="11"/>
      <color theme="1"/>
      <name val="Tahoma"/>
      <family val="2"/>
    </font>
    <font>
      <i/>
      <sz val="18"/>
      <color rgb="FFFF0000"/>
      <name val="Tahoma"/>
      <family val="2"/>
    </font>
    <font>
      <i/>
      <sz val="12"/>
      <color indexed="81"/>
      <name val="Tahoma"/>
      <family val="2"/>
    </font>
    <font>
      <sz val="10"/>
      <name val="Tahoma"/>
      <family val="2"/>
    </font>
    <font>
      <b/>
      <i/>
      <sz val="14"/>
      <color theme="1"/>
      <name val="Tahoma"/>
      <family val="2"/>
    </font>
    <font>
      <i/>
      <sz val="13"/>
      <color theme="1"/>
      <name val="Tahoma"/>
      <family val="2"/>
    </font>
    <font>
      <b/>
      <i/>
      <sz val="18"/>
      <color theme="0" tint="-0.34998626667073579"/>
      <name val="Tahoma"/>
      <family val="2"/>
    </font>
    <font>
      <b/>
      <sz val="16"/>
      <color indexed="81"/>
      <name val="Tahoma"/>
      <family val="2"/>
    </font>
    <font>
      <i/>
      <sz val="15"/>
      <color theme="1"/>
      <name val="Tahoma"/>
      <family val="2"/>
    </font>
    <font>
      <sz val="11"/>
      <color rgb="FFC00000"/>
      <name val="Tahoma"/>
      <family val="2"/>
    </font>
    <font>
      <b/>
      <i/>
      <sz val="12"/>
      <color rgb="FFC00000"/>
      <name val="Tahoma"/>
      <family val="2"/>
    </font>
    <font>
      <b/>
      <i/>
      <sz val="16"/>
      <color rgb="FFC00000"/>
      <name val="Tahoma"/>
      <family val="2"/>
    </font>
    <font>
      <b/>
      <i/>
      <sz val="16"/>
      <color rgb="FF7030A0"/>
      <name val="Tahoma"/>
      <family val="2"/>
    </font>
    <font>
      <i/>
      <sz val="15"/>
      <name val="Tahoma"/>
      <family val="2"/>
    </font>
    <font>
      <b/>
      <sz val="18"/>
      <color rgb="FF7030A0"/>
      <name val="Tahoma"/>
      <family val="2"/>
    </font>
    <font>
      <i/>
      <sz val="14"/>
      <color rgb="FF00B050"/>
      <name val="Tahoma"/>
      <family val="2"/>
    </font>
    <font>
      <b/>
      <i/>
      <sz val="24"/>
      <color rgb="FF7030A0"/>
      <name val="Tahoma"/>
      <family val="2"/>
    </font>
    <font>
      <b/>
      <sz val="24"/>
      <color theme="1"/>
      <name val="Tahoma"/>
      <family val="2"/>
    </font>
    <font>
      <b/>
      <sz val="16"/>
      <name val="Tahoma"/>
      <family val="2"/>
    </font>
    <font>
      <b/>
      <i/>
      <sz val="24"/>
      <name val="Tahoma"/>
      <family val="2"/>
    </font>
    <font>
      <sz val="9.9"/>
      <color theme="1"/>
      <name val="Tahoma"/>
      <family val="2"/>
    </font>
    <font>
      <sz val="12"/>
      <color rgb="FF333333"/>
      <name val="Tahoma"/>
      <family val="2"/>
    </font>
    <font>
      <b/>
      <i/>
      <sz val="17"/>
      <name val="Tahoma"/>
      <family val="2"/>
    </font>
    <font>
      <b/>
      <sz val="14"/>
      <color indexed="81"/>
      <name val="Tahoma"/>
      <family val="2"/>
    </font>
    <font>
      <i/>
      <sz val="14"/>
      <color indexed="81"/>
      <name val="Tahoma"/>
      <family val="2"/>
    </font>
    <font>
      <b/>
      <sz val="14"/>
      <color theme="1"/>
      <name val="Tahoma"/>
      <family val="2"/>
    </font>
    <font>
      <i/>
      <sz val="12"/>
      <color theme="1"/>
      <name val="Tahoma"/>
      <family val="2"/>
    </font>
    <font>
      <b/>
      <i/>
      <u/>
      <sz val="20"/>
      <name val="Tahoma"/>
      <family val="2"/>
    </font>
    <font>
      <sz val="13.5"/>
      <name val="Tahoma"/>
      <family val="2"/>
    </font>
    <font>
      <sz val="12"/>
      <color rgb="FF00B050"/>
      <name val="Tahoma"/>
      <family val="2"/>
    </font>
    <font>
      <sz val="14"/>
      <color rgb="FF00B050"/>
      <name val="Tahoma"/>
      <family val="2"/>
    </font>
    <font>
      <i/>
      <sz val="15.5"/>
      <color theme="1"/>
      <name val="Tahoma"/>
      <family val="2"/>
    </font>
    <font>
      <sz val="9"/>
      <name val="宋体"/>
      <family val="3"/>
      <charset val="134"/>
      <scheme val="minor"/>
    </font>
  </fonts>
  <fills count="4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
      <patternFill patternType="solid">
        <fgColor indexed="9"/>
        <bgColor indexed="64"/>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9"/>
      </patternFill>
    </fill>
    <fill>
      <patternFill patternType="solid">
        <fgColor indexed="43"/>
      </patternFill>
    </fill>
    <fill>
      <patternFill patternType="solid">
        <fgColor indexed="11"/>
      </patternFill>
    </fill>
    <fill>
      <patternFill patternType="solid">
        <fgColor indexed="51"/>
      </patternFill>
    </fill>
    <fill>
      <patternFill patternType="solid">
        <fgColor indexed="22"/>
      </patternFill>
    </fill>
    <fill>
      <patternFill patternType="solid">
        <fgColor indexed="53"/>
      </patternFill>
    </fill>
    <fill>
      <patternFill patternType="solid">
        <fgColor indexed="36"/>
      </patternFill>
    </fill>
    <fill>
      <patternFill patternType="solid">
        <fgColor indexed="10"/>
      </patternFill>
    </fill>
    <fill>
      <patternFill patternType="solid">
        <fgColor indexed="52"/>
      </patternFill>
    </fill>
    <fill>
      <patternFill patternType="solid">
        <fgColor indexed="49"/>
      </patternFill>
    </fill>
    <fill>
      <patternFill patternType="solid">
        <fgColor indexed="62"/>
      </patternFill>
    </fill>
    <fill>
      <patternFill patternType="solid">
        <fgColor indexed="57"/>
      </patternFill>
    </fill>
    <fill>
      <patternFill patternType="solid">
        <fgColor indexed="56"/>
      </patternFill>
    </fill>
    <fill>
      <patternFill patternType="solid">
        <fgColor indexed="17"/>
      </patternFill>
    </fill>
    <fill>
      <patternFill patternType="solid">
        <fgColor indexed="13"/>
      </patternFill>
    </fill>
    <fill>
      <patternFill patternType="solid">
        <fgColor indexed="54"/>
      </patternFill>
    </fill>
    <fill>
      <patternFill patternType="solid">
        <fgColor indexed="60"/>
      </patternFill>
    </fill>
    <fill>
      <patternFill patternType="solid">
        <fgColor indexed="55"/>
      </patternFill>
    </fill>
    <fill>
      <patternFill patternType="solid">
        <fgColor rgb="FFC9B5E1"/>
        <bgColor indexed="64"/>
      </patternFill>
    </fill>
    <fill>
      <patternFill patternType="solid">
        <fgColor theme="0"/>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rgb="FF7030A0"/>
        <bgColor indexed="64"/>
      </patternFill>
    </fill>
    <fill>
      <patternFill patternType="solid">
        <fgColor theme="5" tint="0.79998168889431442"/>
        <bgColor indexed="64"/>
      </patternFill>
    </fill>
  </fills>
  <borders count="137">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medium">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style="thin">
        <color indexed="56"/>
      </top>
      <bottom style="double">
        <color indexed="56"/>
      </bottom>
      <diagonal/>
    </border>
    <border>
      <left/>
      <right/>
      <top style="thin">
        <color indexed="17"/>
      </top>
      <bottom style="double">
        <color indexed="17"/>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49"/>
      </bottom>
      <diagonal/>
    </border>
    <border>
      <left/>
      <right/>
      <top/>
      <bottom style="medium">
        <color indexed="49"/>
      </bottom>
      <diagonal/>
    </border>
    <border>
      <left/>
      <right/>
      <top/>
      <bottom style="thick">
        <color indexed="56"/>
      </bottom>
      <diagonal/>
    </border>
    <border>
      <left/>
      <right/>
      <top/>
      <bottom style="thick">
        <color indexed="17"/>
      </bottom>
      <diagonal/>
    </border>
    <border>
      <left/>
      <right/>
      <top/>
      <bottom style="thick">
        <color indexed="27"/>
      </bottom>
      <diagonal/>
    </border>
    <border>
      <left/>
      <right/>
      <top/>
      <bottom style="thick">
        <color indexed="11"/>
      </bottom>
      <diagonal/>
    </border>
    <border>
      <left/>
      <right/>
      <top/>
      <bottom style="medium">
        <color indexed="27"/>
      </bottom>
      <diagonal/>
    </border>
    <border>
      <left/>
      <right/>
      <top/>
      <bottom style="medium">
        <color indexed="11"/>
      </bottom>
      <diagonal/>
    </border>
    <border>
      <left/>
      <right/>
      <top/>
      <bottom style="double">
        <color indexed="10"/>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indexed="64"/>
      </right>
      <top style="thin">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right style="mediumDashed">
        <color indexed="64"/>
      </right>
      <top style="medium">
        <color indexed="64"/>
      </top>
      <bottom/>
      <diagonal/>
    </border>
    <border>
      <left/>
      <right style="mediumDashed">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dotted">
        <color auto="1"/>
      </left>
      <right/>
      <top style="dotted">
        <color auto="1"/>
      </top>
      <bottom style="dotted">
        <color auto="1"/>
      </bottom>
      <diagonal/>
    </border>
    <border>
      <left/>
      <right/>
      <top style="dotted">
        <color auto="1"/>
      </top>
      <bottom style="dotted">
        <color auto="1"/>
      </bottom>
      <diagonal/>
    </border>
    <border>
      <left/>
      <right style="dotted">
        <color auto="1"/>
      </right>
      <top style="dotted">
        <color auto="1"/>
      </top>
      <bottom style="dotted">
        <color auto="1"/>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right/>
      <top/>
      <bottom style="medium">
        <color rgb="FF00B050"/>
      </bottom>
      <diagonal/>
    </border>
    <border>
      <left/>
      <right style="medium">
        <color rgb="FF00B050"/>
      </right>
      <top/>
      <bottom/>
      <diagonal/>
    </border>
    <border>
      <left/>
      <right style="medium">
        <color rgb="FF00B050"/>
      </right>
      <top/>
      <bottom style="medium">
        <color rgb="FF00B050"/>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dashed">
        <color indexed="64"/>
      </left>
      <right style="thin">
        <color auto="1"/>
      </right>
      <top style="dashed">
        <color indexed="64"/>
      </top>
      <bottom style="thin">
        <color auto="1"/>
      </bottom>
      <diagonal/>
    </border>
    <border>
      <left style="thin">
        <color auto="1"/>
      </left>
      <right style="thin">
        <color auto="1"/>
      </right>
      <top style="dashed">
        <color indexed="64"/>
      </top>
      <bottom style="thin">
        <color auto="1"/>
      </bottom>
      <diagonal/>
    </border>
    <border>
      <left style="thin">
        <color auto="1"/>
      </left>
      <right style="dashed">
        <color indexed="64"/>
      </right>
      <top style="dashed">
        <color indexed="64"/>
      </top>
      <bottom style="thin">
        <color auto="1"/>
      </bottom>
      <diagonal/>
    </border>
    <border>
      <left style="dashed">
        <color indexed="64"/>
      </left>
      <right style="thin">
        <color auto="1"/>
      </right>
      <top style="thin">
        <color auto="1"/>
      </top>
      <bottom style="thin">
        <color auto="1"/>
      </bottom>
      <diagonal/>
    </border>
    <border>
      <left style="thin">
        <color auto="1"/>
      </left>
      <right style="dashed">
        <color indexed="64"/>
      </right>
      <top style="thin">
        <color auto="1"/>
      </top>
      <bottom style="thin">
        <color auto="1"/>
      </bottom>
      <diagonal/>
    </border>
    <border>
      <left style="dashed">
        <color indexed="64"/>
      </left>
      <right style="thin">
        <color auto="1"/>
      </right>
      <top style="thin">
        <color auto="1"/>
      </top>
      <bottom style="dashed">
        <color indexed="64"/>
      </bottom>
      <diagonal/>
    </border>
    <border>
      <left style="thin">
        <color auto="1"/>
      </left>
      <right style="thin">
        <color auto="1"/>
      </right>
      <top style="thin">
        <color auto="1"/>
      </top>
      <bottom style="dashed">
        <color indexed="64"/>
      </bottom>
      <diagonal/>
    </border>
    <border>
      <left style="thin">
        <color auto="1"/>
      </left>
      <right style="dashed">
        <color indexed="64"/>
      </right>
      <top style="thin">
        <color auto="1"/>
      </top>
      <bottom style="dashed">
        <color indexed="64"/>
      </bottom>
      <diagonal/>
    </border>
    <border>
      <left style="dashed">
        <color indexed="64"/>
      </left>
      <right style="dashed">
        <color indexed="64"/>
      </right>
      <top style="thin">
        <color indexed="64"/>
      </top>
      <bottom style="thin">
        <color indexed="64"/>
      </bottom>
      <diagonal/>
    </border>
    <border>
      <left style="medium">
        <color indexed="64"/>
      </left>
      <right style="thin">
        <color indexed="64"/>
      </right>
      <top style="thin">
        <color auto="1"/>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auto="1"/>
      </top>
      <bottom style="medium">
        <color indexed="64"/>
      </bottom>
      <diagonal/>
    </border>
    <border>
      <left style="thin">
        <color indexed="64"/>
      </left>
      <right/>
      <top style="thin">
        <color indexed="64"/>
      </top>
      <bottom style="medium">
        <color indexed="64"/>
      </bottom>
      <diagonal/>
    </border>
    <border>
      <left style="medium">
        <color rgb="FF00B050"/>
      </left>
      <right/>
      <top/>
      <bottom/>
      <diagonal/>
    </border>
    <border>
      <left style="medium">
        <color rgb="FF00B050"/>
      </left>
      <right/>
      <top style="medium">
        <color rgb="FF00B050"/>
      </top>
      <bottom/>
      <diagonal/>
    </border>
    <border>
      <left/>
      <right/>
      <top style="medium">
        <color rgb="FF00B050"/>
      </top>
      <bottom/>
      <diagonal/>
    </border>
    <border>
      <left style="medium">
        <color rgb="FF00B050"/>
      </left>
      <right/>
      <top/>
      <bottom style="medium">
        <color rgb="FF00B050"/>
      </bottom>
      <diagonal/>
    </border>
    <border>
      <left/>
      <right style="medium">
        <color rgb="FF00B050"/>
      </right>
      <top style="medium">
        <color rgb="FF00B050"/>
      </top>
      <bottom/>
      <diagonal/>
    </border>
  </borders>
  <cellStyleXfs count="147">
    <xf numFmtId="0" fontId="0" fillId="0" borderId="0"/>
    <xf numFmtId="0" fontId="34" fillId="0" borderId="0" applyNumberFormat="0" applyFill="0" applyBorder="0" applyAlignment="0" applyProtection="0"/>
    <xf numFmtId="0" fontId="37" fillId="0" borderId="0"/>
    <xf numFmtId="0" fontId="38" fillId="0" borderId="0"/>
    <xf numFmtId="0" fontId="37" fillId="0" borderId="0"/>
    <xf numFmtId="0" fontId="38" fillId="5" borderId="0" applyNumberFormat="0" applyBorder="0" applyAlignment="0" applyProtection="0"/>
    <xf numFmtId="0" fontId="38" fillId="6" borderId="0" applyNumberFormat="0" applyBorder="0" applyAlignment="0" applyProtection="0"/>
    <xf numFmtId="0" fontId="38" fillId="7" borderId="0" applyNumberFormat="0" applyBorder="0" applyAlignment="0" applyProtection="0"/>
    <xf numFmtId="0" fontId="38" fillId="8" borderId="0" applyNumberFormat="0" applyBorder="0" applyAlignment="0" applyProtection="0"/>
    <xf numFmtId="0" fontId="38" fillId="9" borderId="0" applyNumberFormat="0" applyBorder="0" applyAlignment="0" applyProtection="0"/>
    <xf numFmtId="0" fontId="38" fillId="10" borderId="0" applyNumberFormat="0" applyBorder="0" applyAlignment="0" applyProtection="0"/>
    <xf numFmtId="0" fontId="38" fillId="11" borderId="0" applyNumberFormat="0" applyBorder="0" applyAlignment="0" applyProtection="0"/>
    <xf numFmtId="0" fontId="38" fillId="12" borderId="0" applyNumberFormat="0" applyBorder="0" applyAlignment="0" applyProtection="0"/>
    <xf numFmtId="0" fontId="38" fillId="13" borderId="0" applyNumberFormat="0" applyBorder="0" applyAlignment="0" applyProtection="0"/>
    <xf numFmtId="0" fontId="38" fillId="7" borderId="0" applyNumberFormat="0" applyBorder="0" applyAlignment="0" applyProtection="0"/>
    <xf numFmtId="0" fontId="38" fillId="9" borderId="0" applyNumberFormat="0" applyBorder="0" applyAlignment="0" applyProtection="0"/>
    <xf numFmtId="0" fontId="38" fillId="11" borderId="0" applyNumberFormat="0" applyBorder="0" applyAlignment="0" applyProtection="0"/>
    <xf numFmtId="0" fontId="38" fillId="14" borderId="0" applyNumberFormat="0" applyBorder="0" applyAlignment="0" applyProtection="0"/>
    <xf numFmtId="0" fontId="38" fillId="11" borderId="0" applyNumberFormat="0" applyBorder="0" applyAlignment="0" applyProtection="0"/>
    <xf numFmtId="0" fontId="38" fillId="9" borderId="0" applyNumberFormat="0" applyBorder="0" applyAlignment="0" applyProtection="0"/>
    <xf numFmtId="0" fontId="38" fillId="14" borderId="0" applyNumberFormat="0" applyBorder="0" applyAlignment="0" applyProtection="0"/>
    <xf numFmtId="0" fontId="38" fillId="13" borderId="0" applyNumberFormat="0" applyBorder="0" applyAlignment="0" applyProtection="0"/>
    <xf numFmtId="0" fontId="38" fillId="11" borderId="0" applyNumberFormat="0" applyBorder="0" applyAlignment="0" applyProtection="0"/>
    <xf numFmtId="0" fontId="38" fillId="13" borderId="0" applyNumberFormat="0" applyBorder="0" applyAlignment="0" applyProtection="0"/>
    <xf numFmtId="0" fontId="38" fillId="10" borderId="0" applyNumberFormat="0" applyBorder="0" applyAlignment="0" applyProtection="0"/>
    <xf numFmtId="0" fontId="38" fillId="7" borderId="0" applyNumberFormat="0" applyBorder="0" applyAlignment="0" applyProtection="0"/>
    <xf numFmtId="0" fontId="38" fillId="15" borderId="0" applyNumberFormat="0" applyBorder="0" applyAlignment="0" applyProtection="0"/>
    <xf numFmtId="0" fontId="38" fillId="15" borderId="0" applyNumberFormat="0" applyBorder="0" applyAlignment="0" applyProtection="0"/>
    <xf numFmtId="0" fontId="38" fillId="16" borderId="0" applyNumberFormat="0" applyBorder="0" applyAlignment="0" applyProtection="0"/>
    <xf numFmtId="0" fontId="38" fillId="8" borderId="0" applyNumberFormat="0" applyBorder="0" applyAlignment="0" applyProtection="0"/>
    <xf numFmtId="0" fontId="38" fillId="7" borderId="0" applyNumberFormat="0" applyBorder="0" applyAlignment="0" applyProtection="0"/>
    <xf numFmtId="0" fontId="38" fillId="13" borderId="0" applyNumberFormat="0" applyBorder="0" applyAlignment="0" applyProtection="0"/>
    <xf numFmtId="0" fontId="38" fillId="7" borderId="0" applyNumberFormat="0" applyBorder="0" applyAlignment="0" applyProtection="0"/>
    <xf numFmtId="0" fontId="38" fillId="9"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38" fillId="7"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8" fillId="5" borderId="0" applyNumberFormat="0" applyBorder="0" applyAlignment="0" applyProtection="0"/>
    <xf numFmtId="0" fontId="38" fillId="11" borderId="0" applyNumberFormat="0" applyBorder="0" applyAlignment="0" applyProtection="0"/>
    <xf numFmtId="0" fontId="46" fillId="13" borderId="0" applyNumberFormat="0" applyBorder="0" applyAlignment="0" applyProtection="0"/>
    <xf numFmtId="0" fontId="46" fillId="16" borderId="0" applyNumberFormat="0" applyBorder="0" applyAlignment="0" applyProtection="0"/>
    <xf numFmtId="0" fontId="46" fillId="19" borderId="0" applyNumberFormat="0" applyBorder="0" applyAlignment="0" applyProtection="0"/>
    <xf numFmtId="0" fontId="46" fillId="15" borderId="0" applyNumberFormat="0" applyBorder="0" applyAlignment="0" applyProtection="0"/>
    <xf numFmtId="0" fontId="46" fillId="17" borderId="0" applyNumberFormat="0" applyBorder="0" applyAlignment="0" applyProtection="0"/>
    <xf numFmtId="0" fontId="46" fillId="16" borderId="0" applyNumberFormat="0" applyBorder="0" applyAlignment="0" applyProtection="0"/>
    <xf numFmtId="0" fontId="46" fillId="8" borderId="0" applyNumberFormat="0" applyBorder="0" applyAlignment="0" applyProtection="0"/>
    <xf numFmtId="0" fontId="46" fillId="20" borderId="0" applyNumberFormat="0" applyBorder="0" applyAlignment="0" applyProtection="0"/>
    <xf numFmtId="0" fontId="46" fillId="13" borderId="0" applyNumberFormat="0" applyBorder="0" applyAlignment="0" applyProtection="0"/>
    <xf numFmtId="0" fontId="46" fillId="21" borderId="0" applyNumberFormat="0" applyBorder="0" applyAlignment="0" applyProtection="0"/>
    <xf numFmtId="0" fontId="46" fillId="7" borderId="0" applyNumberFormat="0" applyBorder="0" applyAlignment="0" applyProtection="0"/>
    <xf numFmtId="0" fontId="46" fillId="22" borderId="0" applyNumberFormat="0" applyBorder="0" applyAlignment="0" applyProtection="0"/>
    <xf numFmtId="0" fontId="46" fillId="23" borderId="0" applyNumberFormat="0" applyBorder="0" applyAlignment="0" applyProtection="0"/>
    <xf numFmtId="0" fontId="46" fillId="7" borderId="0" applyNumberFormat="0" applyBorder="0" applyAlignment="0" applyProtection="0"/>
    <xf numFmtId="0" fontId="46" fillId="15" borderId="0" applyNumberFormat="0" applyBorder="0" applyAlignment="0" applyProtection="0"/>
    <xf numFmtId="0" fontId="46" fillId="18" borderId="0" applyNumberFormat="0" applyBorder="0" applyAlignment="0" applyProtection="0"/>
    <xf numFmtId="0" fontId="46" fillId="23" borderId="0" applyNumberFormat="0" applyBorder="0" applyAlignment="0" applyProtection="0"/>
    <xf numFmtId="0" fontId="46" fillId="11" borderId="0" applyNumberFormat="0" applyBorder="0" applyAlignment="0" applyProtection="0"/>
    <xf numFmtId="0" fontId="46" fillId="24" borderId="0" applyNumberFormat="0" applyBorder="0" applyAlignment="0" applyProtection="0"/>
    <xf numFmtId="0" fontId="46" fillId="21" borderId="0" applyNumberFormat="0" applyBorder="0" applyAlignment="0" applyProtection="0"/>
    <xf numFmtId="0" fontId="46" fillId="25" borderId="0" applyNumberFormat="0" applyBorder="0" applyAlignment="0" applyProtection="0"/>
    <xf numFmtId="0" fontId="46" fillId="20" borderId="0" applyNumberFormat="0" applyBorder="0" applyAlignment="0" applyProtection="0"/>
    <xf numFmtId="0" fontId="46" fillId="23" borderId="0" applyNumberFormat="0" applyBorder="0" applyAlignment="0" applyProtection="0"/>
    <xf numFmtId="0" fontId="46" fillId="19" borderId="0" applyNumberFormat="0" applyBorder="0" applyAlignment="0" applyProtection="0"/>
    <xf numFmtId="0" fontId="46" fillId="26" borderId="0" applyNumberFormat="0" applyBorder="0" applyAlignment="0" applyProtection="0"/>
    <xf numFmtId="0" fontId="46" fillId="27" borderId="0" applyNumberFormat="0" applyBorder="0" applyAlignment="0" applyProtection="0"/>
    <xf numFmtId="0" fontId="46" fillId="19" borderId="0" applyNumberFormat="0" applyBorder="0" applyAlignment="0" applyProtection="0"/>
    <xf numFmtId="0" fontId="46" fillId="28" borderId="0" applyNumberFormat="0" applyBorder="0" applyAlignment="0" applyProtection="0"/>
    <xf numFmtId="0" fontId="46" fillId="17" borderId="0" applyNumberFormat="0" applyBorder="0" applyAlignment="0" applyProtection="0"/>
    <xf numFmtId="0" fontId="46" fillId="19" borderId="0" applyNumberFormat="0" applyBorder="0" applyAlignment="0" applyProtection="0"/>
    <xf numFmtId="0" fontId="46" fillId="29" borderId="0" applyNumberFormat="0" applyBorder="0" applyAlignment="0" applyProtection="0"/>
    <xf numFmtId="0" fontId="46" fillId="7" borderId="0" applyNumberFormat="0" applyBorder="0" applyAlignment="0" applyProtection="0"/>
    <xf numFmtId="0" fontId="46" fillId="23" borderId="0" applyNumberFormat="0" applyBorder="0" applyAlignment="0" applyProtection="0"/>
    <xf numFmtId="0" fontId="46" fillId="30" borderId="0" applyNumberFormat="0" applyBorder="0" applyAlignment="0" applyProtection="0"/>
    <xf numFmtId="0" fontId="46" fillId="21" borderId="0" applyNumberFormat="0" applyBorder="0" applyAlignment="0" applyProtection="0"/>
    <xf numFmtId="0" fontId="46" fillId="19" borderId="0" applyNumberFormat="0" applyBorder="0" applyAlignment="0" applyProtection="0"/>
    <xf numFmtId="0" fontId="47" fillId="14" borderId="45" applyNumberFormat="0" applyAlignment="0" applyProtection="0"/>
    <xf numFmtId="0" fontId="47" fillId="18" borderId="45" applyNumberFormat="0" applyAlignment="0" applyProtection="0"/>
    <xf numFmtId="0" fontId="48" fillId="0" borderId="0" applyNumberFormat="0" applyFill="0" applyBorder="0" applyAlignment="0" applyProtection="0"/>
    <xf numFmtId="0" fontId="49" fillId="8" borderId="0" applyNumberFormat="0" applyBorder="0" applyAlignment="0" applyProtection="0"/>
    <xf numFmtId="0" fontId="50" fillId="14" borderId="46" applyNumberFormat="0" applyAlignment="0" applyProtection="0"/>
    <xf numFmtId="0" fontId="51" fillId="18" borderId="46" applyNumberFormat="0" applyAlignment="0" applyProtection="0"/>
    <xf numFmtId="0" fontId="51" fillId="14" borderId="46" applyNumberFormat="0" applyAlignment="0" applyProtection="0"/>
    <xf numFmtId="0" fontId="52" fillId="0" borderId="47" applyNumberFormat="0" applyFill="0" applyAlignment="0" applyProtection="0"/>
    <xf numFmtId="0" fontId="53" fillId="31" borderId="48" applyNumberFormat="0" applyAlignment="0" applyProtection="0"/>
    <xf numFmtId="0" fontId="37" fillId="9" borderId="49" applyNumberFormat="0" applyFont="0" applyAlignment="0" applyProtection="0"/>
    <xf numFmtId="0" fontId="54" fillId="15" borderId="46" applyNumberFormat="0" applyAlignment="0" applyProtection="0"/>
    <xf numFmtId="0" fontId="54" fillId="11" borderId="46" applyNumberFormat="0" applyAlignment="0" applyProtection="0"/>
    <xf numFmtId="0" fontId="54" fillId="11" borderId="46" applyNumberFormat="0" applyAlignment="0" applyProtection="0"/>
    <xf numFmtId="0" fontId="41" fillId="0" borderId="50" applyNumberFormat="0" applyFill="0" applyAlignment="0" applyProtection="0"/>
    <xf numFmtId="0" fontId="41" fillId="0" borderId="51"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177" fontId="37" fillId="0" borderId="0" applyFont="0" applyFill="0" applyBorder="0" applyAlignment="0" applyProtection="0"/>
    <xf numFmtId="178" fontId="56" fillId="0" borderId="0"/>
    <xf numFmtId="178" fontId="38" fillId="0" borderId="0"/>
    <xf numFmtId="0" fontId="57" fillId="10" borderId="0" applyNumberFormat="0" applyBorder="0" applyAlignment="0" applyProtection="0"/>
    <xf numFmtId="0" fontId="57" fillId="13" borderId="0" applyNumberFormat="0" applyBorder="0" applyAlignment="0" applyProtection="0"/>
    <xf numFmtId="0" fontId="57" fillId="10" borderId="0" applyNumberFormat="0" applyBorder="0" applyAlignment="0" applyProtection="0"/>
    <xf numFmtId="0" fontId="58" fillId="0" borderId="52" applyNumberFormat="0" applyFill="0" applyAlignment="0" applyProtection="0"/>
    <xf numFmtId="0" fontId="59" fillId="0" borderId="53" applyNumberFormat="0" applyFill="0" applyAlignment="0" applyProtection="0"/>
    <xf numFmtId="0" fontId="60" fillId="0" borderId="54" applyNumberFormat="0" applyFill="0" applyAlignment="0" applyProtection="0"/>
    <xf numFmtId="0" fontId="60" fillId="0" borderId="0" applyNumberFormat="0" applyFill="0" applyBorder="0" applyAlignment="0" applyProtection="0"/>
    <xf numFmtId="0" fontId="61" fillId="8" borderId="0" applyNumberFormat="0" applyBorder="0" applyAlignment="0" applyProtection="0"/>
    <xf numFmtId="0" fontId="52" fillId="0" borderId="47" applyNumberFormat="0" applyFill="0" applyAlignment="0" applyProtection="0"/>
    <xf numFmtId="0" fontId="62" fillId="15" borderId="0" applyNumberFormat="0" applyBorder="0" applyAlignment="0" applyProtection="0"/>
    <xf numFmtId="0" fontId="63" fillId="15" borderId="0" applyNumberFormat="0" applyBorder="0" applyAlignment="0" applyProtection="0"/>
    <xf numFmtId="0" fontId="63" fillId="15" borderId="0" applyNumberFormat="0" applyBorder="0" applyAlignment="0" applyProtection="0"/>
    <xf numFmtId="0" fontId="37" fillId="0" borderId="0"/>
    <xf numFmtId="0" fontId="38" fillId="9" borderId="49" applyNumberFormat="0" applyFont="0" applyAlignment="0" applyProtection="0"/>
    <xf numFmtId="0" fontId="37" fillId="9" borderId="49" applyNumberFormat="0" applyFont="0" applyAlignment="0" applyProtection="0"/>
    <xf numFmtId="0" fontId="38" fillId="9" borderId="49" applyNumberFormat="0" applyFont="0" applyAlignment="0" applyProtection="0"/>
    <xf numFmtId="0" fontId="57" fillId="10" borderId="0" applyNumberFormat="0" applyBorder="0" applyAlignment="0" applyProtection="0"/>
    <xf numFmtId="0" fontId="49" fillId="12" borderId="0" applyNumberFormat="0" applyBorder="0" applyAlignment="0" applyProtection="0"/>
    <xf numFmtId="0" fontId="49" fillId="8" borderId="0" applyNumberFormat="0" applyBorder="0" applyAlignment="0" applyProtection="0"/>
    <xf numFmtId="0" fontId="47" fillId="14" borderId="45" applyNumberFormat="0" applyAlignment="0" applyProtection="0"/>
    <xf numFmtId="0" fontId="64" fillId="0" borderId="0"/>
    <xf numFmtId="0" fontId="37" fillId="0" borderId="0"/>
    <xf numFmtId="0" fontId="55"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7" fillId="0" borderId="55" applyNumberFormat="0" applyFill="0" applyAlignment="0" applyProtection="0"/>
    <xf numFmtId="0" fontId="68" fillId="0" borderId="53" applyNumberFormat="0" applyFill="0" applyAlignment="0" applyProtection="0"/>
    <xf numFmtId="0" fontId="69" fillId="0" borderId="56" applyNumberFormat="0" applyFill="0" applyAlignment="0" applyProtection="0"/>
    <xf numFmtId="0" fontId="69" fillId="0" borderId="0" applyNumberFormat="0" applyFill="0" applyBorder="0" applyAlignment="0" applyProtection="0"/>
    <xf numFmtId="0" fontId="67" fillId="0" borderId="57" applyNumberFormat="0" applyFill="0" applyAlignment="0" applyProtection="0"/>
    <xf numFmtId="0" fontId="58" fillId="0" borderId="58" applyNumberFormat="0" applyFill="0" applyAlignment="0" applyProtection="0"/>
    <xf numFmtId="0" fontId="68" fillId="0" borderId="59" applyNumberFormat="0" applyFill="0" applyAlignment="0" applyProtection="0"/>
    <xf numFmtId="0" fontId="59" fillId="0" borderId="60" applyNumberFormat="0" applyFill="0" applyAlignment="0" applyProtection="0"/>
    <xf numFmtId="0" fontId="69" fillId="0" borderId="61" applyNumberFormat="0" applyFill="0" applyAlignment="0" applyProtection="0"/>
    <xf numFmtId="0" fontId="60" fillId="0" borderId="62" applyNumberFormat="0" applyFill="0" applyAlignment="0" applyProtection="0"/>
    <xf numFmtId="0" fontId="69" fillId="0" borderId="0" applyNumberFormat="0" applyFill="0" applyBorder="0" applyAlignment="0" applyProtection="0"/>
    <xf numFmtId="0" fontId="60" fillId="0" borderId="0" applyNumberFormat="0" applyFill="0" applyBorder="0" applyAlignment="0" applyProtection="0"/>
    <xf numFmtId="0" fontId="66" fillId="0" borderId="0" applyNumberFormat="0" applyFill="0" applyBorder="0" applyAlignment="0" applyProtection="0"/>
    <xf numFmtId="0" fontId="65" fillId="0" borderId="0" applyNumberFormat="0" applyFill="0" applyBorder="0" applyAlignment="0" applyProtection="0"/>
    <xf numFmtId="0" fontId="53" fillId="31" borderId="48" applyNumberFormat="0" applyAlignment="0" applyProtection="0"/>
    <xf numFmtId="0" fontId="48" fillId="0" borderId="63" applyNumberFormat="0" applyFill="0" applyAlignment="0" applyProtection="0"/>
    <xf numFmtId="0" fontId="52" fillId="0" borderId="47"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53" fillId="31" borderId="48" applyNumberFormat="0" applyAlignment="0" applyProtection="0"/>
    <xf numFmtId="0" fontId="53" fillId="31" borderId="48" applyNumberFormat="0" applyAlignment="0" applyProtection="0"/>
    <xf numFmtId="0" fontId="73" fillId="0" borderId="0"/>
    <xf numFmtId="0" fontId="34" fillId="0" borderId="0" applyNumberFormat="0" applyFill="0" applyBorder="0" applyAlignment="0" applyProtection="0"/>
    <xf numFmtId="0" fontId="35" fillId="0" borderId="0"/>
    <xf numFmtId="177" fontId="73" fillId="0" borderId="0" applyFont="0" applyFill="0" applyBorder="0" applyAlignment="0" applyProtection="0"/>
  </cellStyleXfs>
  <cellXfs count="2401">
    <xf numFmtId="0" fontId="0" fillId="0" borderId="0" xfId="0"/>
    <xf numFmtId="0" fontId="33" fillId="0" borderId="0" xfId="0" applyFont="1"/>
    <xf numFmtId="0" fontId="33" fillId="0" borderId="0" xfId="0" applyFont="1" applyBorder="1"/>
    <xf numFmtId="0" fontId="36" fillId="0" borderId="0" xfId="0" applyFont="1"/>
    <xf numFmtId="0" fontId="36" fillId="0" borderId="0" xfId="0" applyFont="1" applyFill="1"/>
    <xf numFmtId="0" fontId="33" fillId="0" borderId="0" xfId="0" applyFont="1" applyBorder="1" applyAlignment="1">
      <alignment horizontal="center" vertical="center"/>
    </xf>
    <xf numFmtId="0" fontId="33" fillId="0" borderId="0" xfId="0" applyFont="1" applyAlignment="1">
      <alignment horizontal="center" vertical="center"/>
    </xf>
    <xf numFmtId="0" fontId="40" fillId="0" borderId="0" xfId="0" applyFont="1" applyFill="1"/>
    <xf numFmtId="0" fontId="0" fillId="0" borderId="0" xfId="0" applyFill="1"/>
    <xf numFmtId="0" fontId="75" fillId="0" borderId="0" xfId="0" applyFont="1" applyBorder="1" applyAlignment="1"/>
    <xf numFmtId="0" fontId="74" fillId="0" borderId="0" xfId="0" applyFont="1" applyBorder="1" applyAlignment="1"/>
    <xf numFmtId="0" fontId="42" fillId="0" borderId="0" xfId="0" applyFont="1" applyBorder="1" applyAlignment="1"/>
    <xf numFmtId="0" fontId="42" fillId="0" borderId="0" xfId="0" applyFont="1"/>
    <xf numFmtId="0" fontId="36" fillId="0" borderId="0" xfId="0" applyFont="1" applyFill="1"/>
    <xf numFmtId="0" fontId="36" fillId="0" borderId="0" xfId="0" applyFont="1" applyFill="1"/>
    <xf numFmtId="0" fontId="36" fillId="0" borderId="0" xfId="0" applyFont="1"/>
    <xf numFmtId="0" fontId="36" fillId="0" borderId="0" xfId="0" applyFont="1" applyFill="1"/>
    <xf numFmtId="0" fontId="40" fillId="0" borderId="0" xfId="0" applyFont="1" applyFill="1"/>
    <xf numFmtId="181" fontId="36" fillId="0" borderId="0" xfId="0" applyNumberFormat="1" applyFont="1"/>
    <xf numFmtId="0" fontId="111" fillId="33" borderId="0" xfId="0" applyFont="1" applyFill="1" applyBorder="1" applyAlignment="1" applyProtection="1">
      <alignment horizontal="left" vertical="top"/>
    </xf>
    <xf numFmtId="0" fontId="111" fillId="33" borderId="0" xfId="0" applyFont="1" applyFill="1" applyBorder="1" applyAlignment="1" applyProtection="1">
      <alignment vertical="top"/>
    </xf>
    <xf numFmtId="0" fontId="111" fillId="33" borderId="0" xfId="0" applyFont="1" applyFill="1" applyBorder="1" applyAlignment="1" applyProtection="1">
      <alignment horizontal="center" vertical="top"/>
    </xf>
    <xf numFmtId="0" fontId="111" fillId="33" borderId="0" xfId="0" applyFont="1" applyFill="1" applyBorder="1" applyAlignment="1" applyProtection="1">
      <alignment horizontal="left" vertical="center" textRotation="90"/>
    </xf>
    <xf numFmtId="0" fontId="101" fillId="33" borderId="0" xfId="0" applyFont="1" applyFill="1" applyBorder="1" applyAlignment="1" applyProtection="1"/>
    <xf numFmtId="0" fontId="90" fillId="33" borderId="0" xfId="0" applyFont="1" applyFill="1" applyProtection="1"/>
    <xf numFmtId="0" fontId="90" fillId="4" borderId="0" xfId="0" applyFont="1" applyFill="1" applyBorder="1" applyProtection="1"/>
    <xf numFmtId="0" fontId="90" fillId="33" borderId="0" xfId="0" applyFont="1" applyFill="1" applyBorder="1" applyProtection="1"/>
    <xf numFmtId="0" fontId="103" fillId="33" borderId="0" xfId="0" applyFont="1" applyFill="1" applyBorder="1" applyProtection="1"/>
    <xf numFmtId="0" fontId="90" fillId="33" borderId="65" xfId="0" applyFont="1" applyFill="1" applyBorder="1" applyProtection="1"/>
    <xf numFmtId="0" fontId="90" fillId="33" borderId="66" xfId="0" applyFont="1" applyFill="1" applyBorder="1" applyProtection="1"/>
    <xf numFmtId="0" fontId="90" fillId="33" borderId="67" xfId="0" applyFont="1" applyFill="1" applyBorder="1" applyProtection="1"/>
    <xf numFmtId="0" fontId="89" fillId="33" borderId="0" xfId="0" applyFont="1" applyFill="1" applyBorder="1" applyAlignment="1" applyProtection="1">
      <alignment vertical="center"/>
    </xf>
    <xf numFmtId="0" fontId="89" fillId="33" borderId="0" xfId="145" applyFont="1" applyFill="1" applyBorder="1" applyAlignment="1" applyProtection="1">
      <alignment horizontal="right" vertical="center"/>
    </xf>
    <xf numFmtId="0" fontId="90" fillId="33" borderId="4" xfId="0" applyFont="1" applyFill="1" applyBorder="1" applyProtection="1"/>
    <xf numFmtId="0" fontId="90" fillId="33" borderId="5" xfId="0" applyFont="1" applyFill="1" applyBorder="1" applyProtection="1"/>
    <xf numFmtId="0" fontId="89" fillId="33" borderId="0" xfId="0" applyFont="1" applyFill="1" applyBorder="1" applyAlignment="1" applyProtection="1">
      <alignment horizontal="left" vertical="center"/>
    </xf>
    <xf numFmtId="0" fontId="90" fillId="0" borderId="0" xfId="0" applyFont="1" applyBorder="1" applyProtection="1"/>
    <xf numFmtId="0" fontId="90" fillId="33" borderId="0" xfId="0" applyFont="1" applyFill="1" applyBorder="1" applyAlignment="1" applyProtection="1"/>
    <xf numFmtId="0" fontId="105" fillId="33" borderId="0" xfId="145" applyNumberFormat="1" applyFont="1" applyFill="1" applyBorder="1" applyAlignment="1" applyProtection="1">
      <alignment vertical="center"/>
    </xf>
    <xf numFmtId="0" fontId="105" fillId="33" borderId="26" xfId="145" applyNumberFormat="1" applyFont="1" applyFill="1" applyBorder="1" applyAlignment="1" applyProtection="1">
      <alignment vertical="center"/>
    </xf>
    <xf numFmtId="0" fontId="90" fillId="33" borderId="18" xfId="0" applyFont="1" applyFill="1" applyBorder="1" applyProtection="1"/>
    <xf numFmtId="0" fontId="90" fillId="33" borderId="19" xfId="0" applyFont="1" applyFill="1" applyBorder="1" applyProtection="1"/>
    <xf numFmtId="0" fontId="90" fillId="33" borderId="20" xfId="0" applyFont="1" applyFill="1" applyBorder="1" applyProtection="1"/>
    <xf numFmtId="0" fontId="98" fillId="2" borderId="7" xfId="0" applyFont="1" applyFill="1" applyBorder="1" applyAlignment="1" applyProtection="1">
      <alignment vertical="top"/>
    </xf>
    <xf numFmtId="0" fontId="90" fillId="2" borderId="7" xfId="0" applyFont="1" applyFill="1" applyBorder="1" applyProtection="1"/>
    <xf numFmtId="0" fontId="90" fillId="2" borderId="8" xfId="0" applyFont="1" applyFill="1" applyBorder="1" applyProtection="1"/>
    <xf numFmtId="0" fontId="89" fillId="33" borderId="0" xfId="145" applyFont="1" applyFill="1" applyBorder="1" applyAlignment="1" applyProtection="1">
      <alignment horizontal="center" vertical="center"/>
    </xf>
    <xf numFmtId="0" fontId="98" fillId="2" borderId="0" xfId="0" applyFont="1" applyFill="1" applyBorder="1" applyAlignment="1" applyProtection="1">
      <alignment vertical="top"/>
    </xf>
    <xf numFmtId="0" fontId="90" fillId="2" borderId="0" xfId="0" applyFont="1" applyFill="1" applyBorder="1" applyProtection="1"/>
    <xf numFmtId="0" fontId="90" fillId="2" borderId="0" xfId="0" applyFont="1" applyFill="1" applyBorder="1" applyAlignment="1" applyProtection="1"/>
    <xf numFmtId="0" fontId="90" fillId="2" borderId="5" xfId="0" applyFont="1" applyFill="1" applyBorder="1" applyAlignment="1" applyProtection="1"/>
    <xf numFmtId="0" fontId="103" fillId="33" borderId="0" xfId="0" applyFont="1" applyFill="1" applyBorder="1" applyAlignment="1" applyProtection="1">
      <alignment vertical="top"/>
    </xf>
    <xf numFmtId="14" fontId="103" fillId="33" borderId="0" xfId="0" applyNumberFormat="1" applyFont="1" applyFill="1" applyBorder="1" applyAlignment="1" applyProtection="1">
      <alignment vertical="top"/>
    </xf>
    <xf numFmtId="0" fontId="105" fillId="33" borderId="0" xfId="0" applyFont="1" applyFill="1" applyBorder="1" applyAlignment="1" applyProtection="1">
      <alignment horizontal="center" vertical="center" wrapText="1"/>
    </xf>
    <xf numFmtId="0" fontId="90" fillId="2" borderId="4" xfId="0" applyFont="1" applyFill="1" applyBorder="1" applyAlignment="1" applyProtection="1"/>
    <xf numFmtId="0" fontId="90" fillId="4" borderId="0" xfId="0" applyFont="1" applyFill="1" applyBorder="1" applyAlignment="1" applyProtection="1"/>
    <xf numFmtId="0" fontId="98" fillId="33" borderId="0" xfId="0" applyFont="1" applyFill="1" applyBorder="1" applyAlignment="1" applyProtection="1">
      <alignment vertical="top"/>
    </xf>
    <xf numFmtId="0" fontId="98" fillId="33" borderId="0" xfId="0" applyFont="1" applyFill="1" applyBorder="1" applyAlignment="1" applyProtection="1">
      <alignment vertical="center" wrapText="1"/>
    </xf>
    <xf numFmtId="0" fontId="90" fillId="4" borderId="0" xfId="0" applyFont="1" applyFill="1" applyBorder="1" applyAlignment="1" applyProtection="1">
      <alignment vertical="center"/>
    </xf>
    <xf numFmtId="0" fontId="103" fillId="33" borderId="0" xfId="0" applyFont="1" applyFill="1" applyBorder="1" applyAlignment="1" applyProtection="1">
      <alignment horizontal="center" vertical="top"/>
    </xf>
    <xf numFmtId="0" fontId="90" fillId="2" borderId="3" xfId="0" applyFont="1" applyFill="1" applyBorder="1" applyAlignment="1" applyProtection="1"/>
    <xf numFmtId="0" fontId="90" fillId="2" borderId="2" xfId="0" applyFont="1" applyFill="1" applyBorder="1" applyAlignment="1" applyProtection="1"/>
    <xf numFmtId="0" fontId="90" fillId="2" borderId="1" xfId="0" applyFont="1" applyFill="1" applyBorder="1" applyAlignment="1" applyProtection="1"/>
    <xf numFmtId="0" fontId="98" fillId="2" borderId="5" xfId="0" applyFont="1" applyFill="1" applyBorder="1" applyAlignment="1" applyProtection="1">
      <alignment vertical="center"/>
    </xf>
    <xf numFmtId="0" fontId="98" fillId="33" borderId="0" xfId="0" applyFont="1" applyFill="1" applyBorder="1" applyAlignment="1" applyProtection="1">
      <alignment vertical="center"/>
    </xf>
    <xf numFmtId="0" fontId="90" fillId="33" borderId="0" xfId="0" applyFont="1" applyFill="1" applyBorder="1" applyAlignment="1" applyProtection="1">
      <alignment vertical="center"/>
    </xf>
    <xf numFmtId="0" fontId="90" fillId="33" borderId="0" xfId="0" applyFont="1" applyFill="1" applyBorder="1" applyAlignment="1" applyProtection="1">
      <alignment vertical="center" wrapText="1"/>
    </xf>
    <xf numFmtId="0" fontId="90" fillId="37" borderId="79" xfId="0" applyFont="1" applyFill="1" applyBorder="1" applyAlignment="1" applyProtection="1"/>
    <xf numFmtId="0" fontId="90" fillId="37" borderId="80" xfId="0" applyFont="1" applyFill="1" applyBorder="1" applyAlignment="1" applyProtection="1"/>
    <xf numFmtId="0" fontId="90" fillId="37" borderId="81" xfId="0" applyFont="1" applyFill="1" applyBorder="1" applyAlignment="1" applyProtection="1"/>
    <xf numFmtId="0" fontId="98" fillId="0" borderId="0" xfId="0" applyFont="1" applyFill="1" applyBorder="1" applyAlignment="1" applyProtection="1">
      <alignment vertical="center" wrapText="1"/>
    </xf>
    <xf numFmtId="0" fontId="90" fillId="4" borderId="0" xfId="0" applyFont="1" applyFill="1" applyBorder="1" applyAlignment="1" applyProtection="1">
      <alignment vertical="center" wrapText="1"/>
    </xf>
    <xf numFmtId="0" fontId="90" fillId="0" borderId="0" xfId="0" applyNumberFormat="1" applyFont="1" applyFill="1" applyBorder="1" applyAlignment="1" applyProtection="1">
      <alignment horizontal="center" vertical="center" wrapText="1"/>
    </xf>
    <xf numFmtId="0" fontId="98" fillId="33" borderId="0" xfId="0" applyFont="1" applyFill="1" applyBorder="1" applyAlignment="1" applyProtection="1">
      <alignment horizontal="left" vertical="center"/>
    </xf>
    <xf numFmtId="0" fontId="90" fillId="0" borderId="0" xfId="0" applyFont="1" applyFill="1" applyBorder="1" applyAlignment="1" applyProtection="1">
      <alignment horizontal="center" vertical="center" wrapText="1"/>
    </xf>
    <xf numFmtId="0" fontId="90" fillId="0" borderId="0" xfId="0" applyFont="1" applyFill="1" applyBorder="1" applyAlignment="1" applyProtection="1"/>
    <xf numFmtId="0" fontId="98" fillId="4" borderId="0" xfId="0" applyFont="1" applyFill="1" applyBorder="1" applyAlignment="1" applyProtection="1">
      <alignment horizontal="left" vertical="center" wrapText="1"/>
    </xf>
    <xf numFmtId="0" fontId="98" fillId="2" borderId="0" xfId="0" applyFont="1" applyFill="1" applyBorder="1" applyAlignment="1" applyProtection="1">
      <alignment vertical="center"/>
    </xf>
    <xf numFmtId="0" fontId="104" fillId="33" borderId="0" xfId="0" applyFont="1" applyFill="1" applyBorder="1" applyAlignment="1" applyProtection="1">
      <alignment vertical="center" textRotation="90"/>
    </xf>
    <xf numFmtId="0" fontId="103" fillId="33" borderId="0" xfId="0" applyFont="1" applyFill="1" applyBorder="1" applyAlignment="1" applyProtection="1">
      <alignment horizontal="left" vertical="center"/>
    </xf>
    <xf numFmtId="0" fontId="103" fillId="33" borderId="0" xfId="0" applyFont="1" applyFill="1" applyBorder="1" applyAlignment="1" applyProtection="1">
      <alignment horizontal="left" vertical="top" wrapText="1"/>
    </xf>
    <xf numFmtId="0" fontId="103" fillId="33" borderId="0" xfId="0" applyFont="1" applyFill="1" applyBorder="1" applyAlignment="1" applyProtection="1">
      <alignment horizontal="left" vertical="top"/>
    </xf>
    <xf numFmtId="0" fontId="90" fillId="33" borderId="0" xfId="0" applyFont="1" applyFill="1" applyBorder="1" applyAlignment="1" applyProtection="1">
      <alignment horizontal="left" vertical="center"/>
    </xf>
    <xf numFmtId="0" fontId="90" fillId="4" borderId="0" xfId="0" applyFont="1" applyFill="1" applyBorder="1" applyAlignment="1" applyProtection="1">
      <alignment horizontal="left" vertical="center"/>
    </xf>
    <xf numFmtId="0" fontId="90" fillId="33" borderId="0" xfId="0" applyFont="1" applyFill="1" applyAlignment="1" applyProtection="1">
      <alignment horizontal="left" vertical="center"/>
    </xf>
    <xf numFmtId="0" fontId="90" fillId="2" borderId="4" xfId="0" applyFont="1" applyFill="1" applyBorder="1" applyAlignment="1" applyProtection="1">
      <alignment horizontal="left" vertical="center"/>
    </xf>
    <xf numFmtId="0" fontId="90" fillId="2" borderId="5" xfId="0" applyFont="1" applyFill="1" applyBorder="1" applyAlignment="1" applyProtection="1">
      <alignment horizontal="left" vertical="center"/>
    </xf>
    <xf numFmtId="0" fontId="104" fillId="33" borderId="0" xfId="0" applyFont="1" applyFill="1" applyBorder="1" applyAlignment="1" applyProtection="1">
      <alignment horizontal="center" vertical="center" textRotation="90"/>
    </xf>
    <xf numFmtId="0" fontId="90" fillId="4" borderId="0" xfId="0" applyFont="1" applyFill="1" applyBorder="1" applyAlignment="1" applyProtection="1">
      <alignment horizontal="center" vertical="center"/>
    </xf>
    <xf numFmtId="0" fontId="104" fillId="33" borderId="0" xfId="0" applyFont="1" applyFill="1" applyBorder="1" applyAlignment="1" applyProtection="1">
      <alignment vertical="center"/>
    </xf>
    <xf numFmtId="0" fontId="32" fillId="4" borderId="0" xfId="0" applyFont="1" applyFill="1" applyBorder="1" applyProtection="1"/>
    <xf numFmtId="0" fontId="32" fillId="4" borderId="2" xfId="0" applyFont="1" applyFill="1" applyBorder="1" applyProtection="1"/>
    <xf numFmtId="0" fontId="86" fillId="4" borderId="2" xfId="0" applyFont="1" applyFill="1" applyBorder="1" applyProtection="1"/>
    <xf numFmtId="0" fontId="86" fillId="4" borderId="0" xfId="0" applyFont="1" applyFill="1" applyBorder="1" applyProtection="1"/>
    <xf numFmtId="0" fontId="86" fillId="33" borderId="0" xfId="0" applyFont="1" applyFill="1" applyBorder="1" applyProtection="1"/>
    <xf numFmtId="0" fontId="32" fillId="33" borderId="0" xfId="0" applyFont="1" applyFill="1" applyBorder="1" applyProtection="1"/>
    <xf numFmtId="0" fontId="32" fillId="0" borderId="5" xfId="0" applyFont="1" applyBorder="1" applyAlignment="1" applyProtection="1"/>
    <xf numFmtId="0" fontId="32" fillId="0" borderId="65" xfId="0" applyFont="1" applyBorder="1" applyAlignment="1" applyProtection="1"/>
    <xf numFmtId="0" fontId="32" fillId="33" borderId="66" xfId="0" applyFont="1" applyFill="1" applyBorder="1" applyAlignment="1" applyProtection="1"/>
    <xf numFmtId="0" fontId="107" fillId="4" borderId="66" xfId="0" applyFont="1" applyFill="1" applyBorder="1" applyAlignment="1" applyProtection="1">
      <alignment vertical="center"/>
    </xf>
    <xf numFmtId="0" fontId="108" fillId="4" borderId="66" xfId="0" applyFont="1" applyFill="1" applyBorder="1" applyAlignment="1" applyProtection="1">
      <alignment vertical="center"/>
    </xf>
    <xf numFmtId="0" fontId="89" fillId="33" borderId="66" xfId="0" applyFont="1" applyFill="1" applyBorder="1" applyAlignment="1" applyProtection="1">
      <alignment vertical="center"/>
    </xf>
    <xf numFmtId="0" fontId="87" fillId="33" borderId="67" xfId="0" applyFont="1" applyFill="1" applyBorder="1" applyAlignment="1" applyProtection="1">
      <alignment vertical="center"/>
    </xf>
    <xf numFmtId="0" fontId="87" fillId="33" borderId="0" xfId="0" applyFont="1" applyFill="1" applyBorder="1" applyAlignment="1" applyProtection="1">
      <alignment horizontal="center" vertical="center"/>
    </xf>
    <xf numFmtId="0" fontId="87" fillId="33" borderId="0" xfId="0" applyFont="1" applyFill="1" applyBorder="1" applyAlignment="1" applyProtection="1">
      <alignment vertical="center"/>
    </xf>
    <xf numFmtId="0" fontId="32" fillId="33" borderId="5" xfId="0" applyFont="1" applyFill="1" applyBorder="1" applyProtection="1"/>
    <xf numFmtId="0" fontId="32" fillId="33" borderId="4" xfId="0" applyFont="1" applyFill="1" applyBorder="1" applyProtection="1"/>
    <xf numFmtId="0" fontId="107" fillId="33" borderId="0" xfId="0" applyFont="1" applyFill="1" applyBorder="1" applyAlignment="1" applyProtection="1">
      <alignment vertical="center"/>
    </xf>
    <xf numFmtId="0" fontId="108" fillId="33" borderId="0" xfId="0" applyFont="1" applyFill="1" applyBorder="1" applyAlignment="1" applyProtection="1">
      <alignment vertical="center"/>
    </xf>
    <xf numFmtId="0" fontId="87" fillId="33" borderId="0" xfId="0" applyFont="1" applyFill="1" applyBorder="1" applyAlignment="1" applyProtection="1">
      <alignment horizontal="left" vertical="center"/>
    </xf>
    <xf numFmtId="0" fontId="87" fillId="33" borderId="5" xfId="0" applyFont="1" applyFill="1" applyBorder="1" applyAlignment="1" applyProtection="1">
      <alignment horizontal="left" vertical="center"/>
    </xf>
    <xf numFmtId="0" fontId="32" fillId="4" borderId="5" xfId="0" applyFont="1" applyFill="1" applyBorder="1" applyProtection="1"/>
    <xf numFmtId="0" fontId="32" fillId="2" borderId="6" xfId="0" applyFont="1" applyFill="1" applyBorder="1" applyProtection="1"/>
    <xf numFmtId="0" fontId="32" fillId="2" borderId="7" xfId="0" applyFont="1" applyFill="1" applyBorder="1" applyProtection="1"/>
    <xf numFmtId="0" fontId="32" fillId="2" borderId="7" xfId="0" applyFont="1" applyFill="1" applyBorder="1" applyAlignment="1" applyProtection="1"/>
    <xf numFmtId="0" fontId="32" fillId="2" borderId="8" xfId="0" applyFont="1" applyFill="1" applyBorder="1" applyAlignment="1" applyProtection="1"/>
    <xf numFmtId="0" fontId="109" fillId="4" borderId="0" xfId="0" applyFont="1" applyFill="1" applyBorder="1" applyAlignment="1" applyProtection="1">
      <alignment vertical="center" wrapText="1"/>
    </xf>
    <xf numFmtId="0" fontId="109" fillId="33" borderId="0" xfId="0" applyFont="1" applyFill="1" applyBorder="1" applyAlignment="1" applyProtection="1">
      <alignment vertical="center" wrapText="1"/>
    </xf>
    <xf numFmtId="0" fontId="32" fillId="4" borderId="0" xfId="0" applyFont="1" applyFill="1" applyBorder="1" applyAlignment="1" applyProtection="1"/>
    <xf numFmtId="0" fontId="32" fillId="2" borderId="4" xfId="0" applyFont="1" applyFill="1" applyBorder="1" applyAlignment="1" applyProtection="1"/>
    <xf numFmtId="0" fontId="32" fillId="33" borderId="0" xfId="0" applyFont="1" applyFill="1" applyBorder="1" applyAlignment="1" applyProtection="1"/>
    <xf numFmtId="0" fontId="99" fillId="33" borderId="0" xfId="0" applyFont="1" applyFill="1" applyBorder="1" applyAlignment="1" applyProtection="1">
      <alignment horizontal="left" vertical="center"/>
    </xf>
    <xf numFmtId="0" fontId="32" fillId="33" borderId="0" xfId="0" applyFont="1" applyFill="1" applyBorder="1" applyAlignment="1" applyProtection="1">
      <alignment horizontal="left" vertical="center"/>
    </xf>
    <xf numFmtId="0" fontId="32" fillId="33" borderId="0" xfId="0" applyFont="1" applyFill="1" applyBorder="1" applyAlignment="1" applyProtection="1">
      <alignment vertical="center"/>
    </xf>
    <xf numFmtId="0" fontId="99" fillId="33" borderId="0" xfId="0" applyFont="1" applyFill="1" applyBorder="1" applyAlignment="1" applyProtection="1">
      <alignment vertical="center"/>
    </xf>
    <xf numFmtId="0" fontId="32" fillId="2" borderId="5" xfId="0" applyFont="1" applyFill="1" applyBorder="1" applyAlignment="1" applyProtection="1"/>
    <xf numFmtId="0" fontId="94" fillId="33" borderId="0" xfId="0" applyFont="1" applyFill="1" applyBorder="1" applyAlignment="1" applyProtection="1">
      <alignment vertical="top"/>
    </xf>
    <xf numFmtId="0" fontId="97" fillId="33" borderId="0" xfId="0" applyFont="1" applyFill="1" applyBorder="1" applyAlignment="1" applyProtection="1">
      <alignment horizontal="center" vertical="top"/>
    </xf>
    <xf numFmtId="0" fontId="93" fillId="33" borderId="0" xfId="0" applyFont="1" applyFill="1" applyBorder="1" applyAlignment="1" applyProtection="1">
      <alignment vertical="center"/>
    </xf>
    <xf numFmtId="0" fontId="96" fillId="33" borderId="0" xfId="0" applyFont="1" applyFill="1" applyBorder="1" applyAlignment="1" applyProtection="1">
      <alignment vertical="center"/>
    </xf>
    <xf numFmtId="0" fontId="32" fillId="33" borderId="0" xfId="0" applyFont="1" applyFill="1" applyProtection="1"/>
    <xf numFmtId="0" fontId="92" fillId="33" borderId="0" xfId="0" applyFont="1" applyFill="1" applyBorder="1" applyAlignment="1" applyProtection="1">
      <alignment vertical="center"/>
    </xf>
    <xf numFmtId="0" fontId="101" fillId="33" borderId="0" xfId="0" applyFont="1" applyFill="1" applyBorder="1" applyAlignment="1" applyProtection="1">
      <alignment vertical="center"/>
    </xf>
    <xf numFmtId="0" fontId="110" fillId="33" borderId="0" xfId="0" applyFont="1" applyFill="1" applyBorder="1" applyAlignment="1" applyProtection="1">
      <alignment vertical="center" wrapText="1"/>
    </xf>
    <xf numFmtId="0" fontId="110" fillId="33" borderId="0" xfId="0" applyFont="1" applyFill="1" applyBorder="1" applyAlignment="1" applyProtection="1">
      <alignment horizontal="center" vertical="center" wrapText="1"/>
    </xf>
    <xf numFmtId="0" fontId="32" fillId="2" borderId="3" xfId="0" applyFont="1" applyFill="1" applyBorder="1" applyProtection="1"/>
    <xf numFmtId="0" fontId="32" fillId="2" borderId="2" xfId="0" applyFont="1" applyFill="1" applyBorder="1" applyProtection="1"/>
    <xf numFmtId="0" fontId="94" fillId="2" borderId="2" xfId="0" applyFont="1" applyFill="1" applyBorder="1" applyAlignment="1" applyProtection="1">
      <alignment vertical="top"/>
    </xf>
    <xf numFmtId="0" fontId="94" fillId="2" borderId="1" xfId="0" applyFont="1" applyFill="1" applyBorder="1" applyAlignment="1" applyProtection="1">
      <alignment vertical="top"/>
    </xf>
    <xf numFmtId="0" fontId="123" fillId="33" borderId="2" xfId="0" applyFont="1" applyFill="1" applyBorder="1" applyAlignment="1" applyProtection="1">
      <alignment vertical="center"/>
    </xf>
    <xf numFmtId="0" fontId="123" fillId="33" borderId="1" xfId="0" applyFont="1" applyFill="1" applyBorder="1" applyAlignment="1" applyProtection="1">
      <alignment vertical="center"/>
    </xf>
    <xf numFmtId="0" fontId="124" fillId="33" borderId="0" xfId="0" applyFont="1" applyFill="1" applyBorder="1" applyAlignment="1" applyProtection="1">
      <alignment vertical="center" textRotation="90"/>
    </xf>
    <xf numFmtId="0" fontId="124" fillId="33" borderId="0" xfId="0" applyFont="1" applyFill="1" applyBorder="1" applyAlignment="1" applyProtection="1">
      <alignment horizontal="center" vertical="center"/>
    </xf>
    <xf numFmtId="0" fontId="124" fillId="2" borderId="4" xfId="0" applyFont="1" applyFill="1" applyBorder="1" applyAlignment="1" applyProtection="1">
      <alignment vertical="top"/>
    </xf>
    <xf numFmtId="0" fontId="124" fillId="33" borderId="0" xfId="0" applyFont="1" applyFill="1" applyBorder="1" applyAlignment="1" applyProtection="1">
      <alignment vertical="top"/>
    </xf>
    <xf numFmtId="0" fontId="124" fillId="33" borderId="90" xfId="0" applyFont="1" applyFill="1" applyBorder="1" applyAlignment="1" applyProtection="1">
      <alignment vertical="top"/>
    </xf>
    <xf numFmtId="0" fontId="36" fillId="33" borderId="78" xfId="0" applyFont="1" applyFill="1" applyBorder="1" applyProtection="1"/>
    <xf numFmtId="0" fontId="31" fillId="0" borderId="0" xfId="0" applyFont="1" applyProtection="1"/>
    <xf numFmtId="0" fontId="31" fillId="33" borderId="0" xfId="0" applyFont="1" applyFill="1" applyProtection="1"/>
    <xf numFmtId="0" fontId="31" fillId="4" borderId="0" xfId="0" applyFont="1" applyFill="1" applyProtection="1"/>
    <xf numFmtId="0" fontId="127" fillId="33" borderId="65" xfId="0" applyFont="1" applyFill="1" applyBorder="1" applyAlignment="1" applyProtection="1">
      <alignment vertical="center"/>
    </xf>
    <xf numFmtId="0" fontId="127" fillId="33" borderId="66" xfId="0" applyFont="1" applyFill="1" applyBorder="1" applyAlignment="1" applyProtection="1">
      <alignment vertical="center"/>
    </xf>
    <xf numFmtId="0" fontId="128" fillId="33" borderId="66" xfId="0" applyFont="1" applyFill="1" applyBorder="1" applyAlignment="1" applyProtection="1">
      <alignment vertical="center"/>
    </xf>
    <xf numFmtId="0" fontId="128" fillId="33" borderId="0" xfId="145" applyFont="1" applyFill="1" applyBorder="1" applyAlignment="1" applyProtection="1">
      <alignment horizontal="right" vertical="center"/>
    </xf>
    <xf numFmtId="0" fontId="127" fillId="33" borderId="4" xfId="0" applyFont="1" applyFill="1" applyBorder="1" applyAlignment="1" applyProtection="1">
      <alignment vertical="center"/>
    </xf>
    <xf numFmtId="0" fontId="127" fillId="33" borderId="0" xfId="0" applyFont="1" applyFill="1" applyBorder="1" applyAlignment="1" applyProtection="1">
      <alignment vertical="center"/>
    </xf>
    <xf numFmtId="0" fontId="128" fillId="33" borderId="0" xfId="0" applyFont="1" applyFill="1" applyBorder="1" applyAlignment="1" applyProtection="1">
      <alignment vertical="center"/>
    </xf>
    <xf numFmtId="0" fontId="128" fillId="33" borderId="0" xfId="0" applyFont="1" applyFill="1" applyBorder="1" applyAlignment="1" applyProtection="1">
      <alignment horizontal="left" vertical="center"/>
    </xf>
    <xf numFmtId="0" fontId="128" fillId="33" borderId="7" xfId="145" applyFont="1" applyFill="1" applyBorder="1" applyAlignment="1" applyProtection="1">
      <alignment horizontal="right" vertical="center"/>
    </xf>
    <xf numFmtId="0" fontId="31" fillId="4" borderId="0" xfId="0" applyFont="1" applyFill="1" applyBorder="1" applyProtection="1"/>
    <xf numFmtId="0" fontId="128" fillId="2" borderId="0" xfId="0" applyFont="1" applyFill="1" applyBorder="1" applyAlignment="1" applyProtection="1">
      <alignment vertical="center"/>
    </xf>
    <xf numFmtId="0" fontId="126" fillId="2" borderId="0" xfId="0" applyFont="1" applyFill="1" applyBorder="1" applyAlignment="1" applyProtection="1">
      <alignment vertical="center"/>
    </xf>
    <xf numFmtId="0" fontId="125" fillId="2" borderId="0" xfId="0" applyFont="1" applyFill="1" applyBorder="1" applyAlignment="1" applyProtection="1">
      <alignment horizontal="right" vertical="center"/>
    </xf>
    <xf numFmtId="0" fontId="125" fillId="2" borderId="0" xfId="0" applyFont="1" applyFill="1" applyBorder="1" applyAlignment="1" applyProtection="1">
      <alignment vertical="center"/>
    </xf>
    <xf numFmtId="0" fontId="86" fillId="2" borderId="0" xfId="0" applyFont="1" applyFill="1" applyBorder="1" applyAlignment="1" applyProtection="1">
      <alignment vertical="center"/>
    </xf>
    <xf numFmtId="0" fontId="31" fillId="33" borderId="78" xfId="0" applyFont="1" applyFill="1" applyBorder="1" applyAlignment="1" applyProtection="1">
      <alignment horizontal="left" vertical="center"/>
    </xf>
    <xf numFmtId="0" fontId="31" fillId="0" borderId="0" xfId="0" applyNumberFormat="1" applyFont="1" applyFill="1" applyBorder="1" applyProtection="1"/>
    <xf numFmtId="0" fontId="31" fillId="0" borderId="0" xfId="0" applyFont="1" applyFill="1" applyBorder="1" applyProtection="1"/>
    <xf numFmtId="0" fontId="31" fillId="33" borderId="0" xfId="0" applyFont="1" applyFill="1" applyBorder="1" applyProtection="1"/>
    <xf numFmtId="0" fontId="125" fillId="33" borderId="0" xfId="0" applyFont="1" applyFill="1" applyBorder="1" applyAlignment="1" applyProtection="1">
      <alignment horizontal="center" vertical="top"/>
    </xf>
    <xf numFmtId="0" fontId="31" fillId="33" borderId="0" xfId="0" applyFont="1" applyFill="1" applyBorder="1" applyAlignment="1" applyProtection="1">
      <alignment horizontal="left" vertical="center"/>
    </xf>
    <xf numFmtId="0" fontId="31" fillId="33" borderId="78" xfId="0" applyFont="1" applyFill="1" applyBorder="1" applyProtection="1"/>
    <xf numFmtId="0" fontId="125" fillId="2" borderId="0" xfId="0" applyFont="1" applyFill="1" applyBorder="1" applyAlignment="1" applyProtection="1">
      <alignment wrapText="1"/>
    </xf>
    <xf numFmtId="0" fontId="31" fillId="2" borderId="0" xfId="0" applyFont="1" applyFill="1" applyBorder="1" applyProtection="1"/>
    <xf numFmtId="0" fontId="31" fillId="2" borderId="5" xfId="0" applyFont="1" applyFill="1" applyBorder="1" applyProtection="1"/>
    <xf numFmtId="0" fontId="31" fillId="33" borderId="0" xfId="0" applyFont="1" applyFill="1" applyBorder="1" applyAlignment="1" applyProtection="1">
      <alignment horizontal="center"/>
    </xf>
    <xf numFmtId="180" fontId="125" fillId="0" borderId="0" xfId="0" applyNumberFormat="1" applyFont="1" applyBorder="1" applyAlignment="1" applyProtection="1">
      <alignment horizontal="center" vertical="center" wrapText="1"/>
    </xf>
    <xf numFmtId="0" fontId="127" fillId="2" borderId="0" xfId="0" applyFont="1" applyFill="1" applyBorder="1" applyAlignment="1" applyProtection="1">
      <alignment vertical="center" wrapText="1"/>
    </xf>
    <xf numFmtId="0" fontId="125" fillId="2" borderId="0" xfId="0" applyFont="1" applyFill="1" applyBorder="1" applyAlignment="1" applyProtection="1">
      <alignment vertical="center" wrapText="1"/>
    </xf>
    <xf numFmtId="0" fontId="125" fillId="2" borderId="0" xfId="0" applyFont="1" applyFill="1" applyBorder="1" applyAlignment="1" applyProtection="1">
      <alignment horizontal="right" vertical="center" wrapText="1"/>
    </xf>
    <xf numFmtId="0" fontId="31" fillId="2" borderId="2" xfId="0" applyFont="1" applyFill="1" applyBorder="1" applyProtection="1"/>
    <xf numFmtId="14" fontId="31" fillId="33" borderId="0" xfId="0" applyNumberFormat="1" applyFont="1" applyFill="1" applyProtection="1"/>
    <xf numFmtId="0" fontId="111" fillId="4" borderId="4" xfId="0" applyFont="1" applyFill="1" applyBorder="1" applyAlignment="1" applyProtection="1">
      <alignment vertical="top"/>
    </xf>
    <xf numFmtId="0" fontId="91" fillId="33" borderId="0" xfId="0" applyFont="1" applyFill="1" applyBorder="1" applyAlignment="1" applyProtection="1">
      <alignment vertical="center"/>
    </xf>
    <xf numFmtId="0" fontId="91" fillId="33" borderId="0" xfId="0" applyFont="1" applyFill="1" applyBorder="1" applyAlignment="1" applyProtection="1">
      <alignment horizontal="center" vertical="center"/>
    </xf>
    <xf numFmtId="0" fontId="112" fillId="2" borderId="7" xfId="0" applyFont="1" applyFill="1" applyBorder="1" applyAlignment="1" applyProtection="1">
      <alignment vertical="top"/>
    </xf>
    <xf numFmtId="0" fontId="112" fillId="2" borderId="0" xfId="0" applyFont="1" applyFill="1" applyBorder="1" applyAlignment="1" applyProtection="1">
      <alignment vertical="top"/>
    </xf>
    <xf numFmtId="0" fontId="95" fillId="33" borderId="0" xfId="0" applyFont="1" applyFill="1" applyBorder="1" applyAlignment="1" applyProtection="1">
      <alignment horizontal="center" vertical="center" wrapText="1"/>
    </xf>
    <xf numFmtId="0" fontId="96" fillId="33" borderId="0" xfId="0" applyFont="1" applyFill="1" applyBorder="1" applyAlignment="1" applyProtection="1">
      <alignment vertical="center" wrapText="1"/>
    </xf>
    <xf numFmtId="0" fontId="96" fillId="33" borderId="0" xfId="0" applyFont="1" applyFill="1" applyBorder="1" applyAlignment="1" applyProtection="1">
      <alignment horizontal="left" vertical="center"/>
    </xf>
    <xf numFmtId="0" fontId="93" fillId="4" borderId="0" xfId="0" applyFont="1" applyFill="1" applyBorder="1" applyAlignment="1" applyProtection="1"/>
    <xf numFmtId="0" fontId="93" fillId="4" borderId="0" xfId="0" applyFont="1" applyFill="1" applyBorder="1" applyAlignment="1" applyProtection="1">
      <alignment vertical="center"/>
    </xf>
    <xf numFmtId="0" fontId="96" fillId="4" borderId="0" xfId="0" applyFont="1" applyFill="1" applyBorder="1" applyAlignment="1" applyProtection="1">
      <alignment vertical="center"/>
    </xf>
    <xf numFmtId="0" fontId="98" fillId="33" borderId="0" xfId="0" applyNumberFormat="1" applyFont="1" applyFill="1" applyBorder="1" applyAlignment="1" applyProtection="1">
      <alignment horizontal="center" vertical="center"/>
    </xf>
    <xf numFmtId="0" fontId="90" fillId="4" borderId="0" xfId="0" applyFont="1" applyFill="1" applyBorder="1" applyAlignment="1" applyProtection="1">
      <alignment horizontal="left" vertical="center" wrapText="1"/>
    </xf>
    <xf numFmtId="0" fontId="90" fillId="4" borderId="0" xfId="0" applyFont="1" applyFill="1" applyBorder="1" applyAlignment="1" applyProtection="1">
      <alignment horizontal="left" vertical="top" wrapText="1"/>
    </xf>
    <xf numFmtId="0" fontId="90" fillId="33" borderId="0" xfId="0" applyFont="1" applyFill="1" applyBorder="1" applyAlignment="1" applyProtection="1">
      <alignment horizontal="left"/>
    </xf>
    <xf numFmtId="0" fontId="90" fillId="0" borderId="0" xfId="0" applyFont="1" applyFill="1" applyBorder="1" applyAlignment="1" applyProtection="1">
      <alignment horizontal="center"/>
    </xf>
    <xf numFmtId="0" fontId="96" fillId="2" borderId="0" xfId="0" applyFont="1" applyFill="1" applyBorder="1" applyAlignment="1" applyProtection="1">
      <alignment vertical="center"/>
    </xf>
    <xf numFmtId="0" fontId="96" fillId="2" borderId="0" xfId="0" applyFont="1" applyFill="1" applyBorder="1" applyAlignment="1" applyProtection="1">
      <alignment vertical="top"/>
    </xf>
    <xf numFmtId="180" fontId="93" fillId="4" borderId="0" xfId="0" applyNumberFormat="1" applyFont="1" applyFill="1" applyBorder="1" applyAlignment="1" applyProtection="1"/>
    <xf numFmtId="0" fontId="111" fillId="33" borderId="0" xfId="0" applyFont="1" applyFill="1" applyBorder="1" applyAlignment="1" applyProtection="1">
      <alignment vertical="center" textRotation="90"/>
    </xf>
    <xf numFmtId="0" fontId="94" fillId="33" borderId="0" xfId="0" applyFont="1" applyFill="1" applyBorder="1" applyAlignment="1" applyProtection="1">
      <alignment horizontal="left" vertical="center"/>
    </xf>
    <xf numFmtId="0" fontId="115" fillId="33" borderId="0" xfId="0" applyFont="1" applyFill="1" applyBorder="1" applyAlignment="1" applyProtection="1">
      <alignment horizontal="left" vertical="top"/>
    </xf>
    <xf numFmtId="0" fontId="97" fillId="33" borderId="0" xfId="0" applyFont="1" applyFill="1" applyBorder="1" applyAlignment="1" applyProtection="1">
      <alignment horizontal="left" vertical="center"/>
    </xf>
    <xf numFmtId="0" fontId="112" fillId="2" borderId="6" xfId="0" applyFont="1" applyFill="1" applyBorder="1" applyAlignment="1" applyProtection="1">
      <alignment vertical="center"/>
    </xf>
    <xf numFmtId="0" fontId="112" fillId="2" borderId="7" xfId="0" applyFont="1" applyFill="1" applyBorder="1" applyAlignment="1" applyProtection="1">
      <alignment vertical="center"/>
    </xf>
    <xf numFmtId="0" fontId="112" fillId="2" borderId="4" xfId="0" applyFont="1" applyFill="1" applyBorder="1" applyAlignment="1" applyProtection="1">
      <alignment vertical="center"/>
    </xf>
    <xf numFmtId="0" fontId="112" fillId="2" borderId="0" xfId="0" applyFont="1" applyFill="1" applyBorder="1" applyAlignment="1" applyProtection="1">
      <alignment vertical="center"/>
    </xf>
    <xf numFmtId="0" fontId="96" fillId="2" borderId="0" xfId="0" applyFont="1" applyFill="1" applyBorder="1" applyAlignment="1" applyProtection="1">
      <alignment horizontal="left" vertical="top"/>
    </xf>
    <xf numFmtId="0" fontId="112" fillId="2" borderId="0" xfId="0" applyFont="1" applyFill="1" applyBorder="1" applyAlignment="1" applyProtection="1">
      <alignment horizontal="left" vertical="center"/>
    </xf>
    <xf numFmtId="0" fontId="111" fillId="2" borderId="4" xfId="0" applyFont="1" applyFill="1" applyBorder="1" applyAlignment="1" applyProtection="1">
      <alignment vertical="center"/>
    </xf>
    <xf numFmtId="0" fontId="117" fillId="2" borderId="0" xfId="0" applyFont="1" applyFill="1" applyBorder="1" applyAlignment="1" applyProtection="1"/>
    <xf numFmtId="0" fontId="116" fillId="2" borderId="0" xfId="0" applyFont="1" applyFill="1" applyBorder="1" applyAlignment="1" applyProtection="1"/>
    <xf numFmtId="0" fontId="93" fillId="4" borderId="0" xfId="0" applyFont="1" applyFill="1" applyBorder="1" applyAlignment="1" applyProtection="1">
      <alignment horizontal="center"/>
    </xf>
    <xf numFmtId="0" fontId="121" fillId="2" borderId="4" xfId="0" applyFont="1" applyFill="1" applyBorder="1" applyAlignment="1" applyProtection="1">
      <alignment vertical="center" textRotation="90"/>
    </xf>
    <xf numFmtId="0" fontId="30" fillId="4" borderId="0" xfId="0" applyFont="1" applyFill="1" applyBorder="1" applyProtection="1"/>
    <xf numFmtId="0" fontId="86" fillId="33" borderId="0" xfId="0" applyFont="1" applyFill="1" applyProtection="1"/>
    <xf numFmtId="0" fontId="30" fillId="33" borderId="0" xfId="0" applyFont="1" applyFill="1" applyProtection="1"/>
    <xf numFmtId="0" fontId="30" fillId="0" borderId="0" xfId="0" applyFont="1" applyBorder="1" applyProtection="1"/>
    <xf numFmtId="0" fontId="107" fillId="4" borderId="65" xfId="0" applyFont="1" applyFill="1" applyBorder="1" applyAlignment="1" applyProtection="1">
      <alignment vertical="center"/>
    </xf>
    <xf numFmtId="0" fontId="89" fillId="33" borderId="67" xfId="0" applyFont="1" applyFill="1" applyBorder="1" applyAlignment="1" applyProtection="1">
      <alignment vertical="center"/>
    </xf>
    <xf numFmtId="0" fontId="30" fillId="33" borderId="0" xfId="0" applyFont="1" applyFill="1" applyBorder="1" applyProtection="1"/>
    <xf numFmtId="0" fontId="107" fillId="33" borderId="4" xfId="0" applyFont="1" applyFill="1" applyBorder="1" applyAlignment="1" applyProtection="1">
      <alignment vertical="center"/>
    </xf>
    <xf numFmtId="0" fontId="87" fillId="33" borderId="7" xfId="0" applyFont="1" applyFill="1" applyBorder="1" applyAlignment="1" applyProtection="1">
      <alignment horizontal="left" vertical="center"/>
    </xf>
    <xf numFmtId="0" fontId="87" fillId="33" borderId="8" xfId="0" applyFont="1" applyFill="1" applyBorder="1" applyAlignment="1" applyProtection="1">
      <alignment horizontal="left" vertical="center"/>
    </xf>
    <xf numFmtId="0" fontId="30" fillId="4" borderId="0" xfId="0" applyFont="1" applyFill="1" applyBorder="1" applyAlignment="1" applyProtection="1"/>
    <xf numFmtId="0" fontId="30" fillId="33" borderId="0" xfId="0" applyFont="1" applyFill="1" applyBorder="1" applyAlignment="1" applyProtection="1"/>
    <xf numFmtId="0" fontId="30" fillId="33" borderId="0" xfId="0" applyFont="1" applyFill="1" applyBorder="1" applyAlignment="1" applyProtection="1">
      <alignment horizontal="center"/>
    </xf>
    <xf numFmtId="0" fontId="101" fillId="33" borderId="0" xfId="0" applyFont="1" applyFill="1" applyBorder="1" applyAlignment="1" applyProtection="1">
      <alignment horizontal="left" vertical="top"/>
    </xf>
    <xf numFmtId="0" fontId="101" fillId="33" borderId="0" xfId="0" applyFont="1" applyFill="1" applyBorder="1" applyAlignment="1" applyProtection="1">
      <alignment vertical="top"/>
    </xf>
    <xf numFmtId="0" fontId="30" fillId="33" borderId="4" xfId="0" applyFont="1" applyFill="1" applyBorder="1" applyProtection="1"/>
    <xf numFmtId="0" fontId="30" fillId="33" borderId="67" xfId="0" applyFont="1" applyFill="1" applyBorder="1" applyProtection="1"/>
    <xf numFmtId="0" fontId="103" fillId="33" borderId="0" xfId="0" applyFont="1" applyFill="1" applyBorder="1" applyAlignment="1" applyProtection="1">
      <alignment vertical="center" wrapText="1"/>
    </xf>
    <xf numFmtId="0" fontId="112" fillId="2" borderId="6" xfId="0" applyFont="1" applyFill="1" applyBorder="1" applyAlignment="1" applyProtection="1">
      <alignment vertical="top"/>
    </xf>
    <xf numFmtId="0" fontId="101" fillId="2" borderId="7" xfId="0" applyFont="1" applyFill="1" applyBorder="1" applyAlignment="1" applyProtection="1"/>
    <xf numFmtId="0" fontId="101" fillId="2" borderId="8" xfId="0" applyFont="1" applyFill="1" applyBorder="1" applyAlignment="1" applyProtection="1"/>
    <xf numFmtId="0" fontId="96" fillId="2" borderId="4" xfId="0" applyFont="1" applyFill="1" applyBorder="1" applyAlignment="1" applyProtection="1">
      <alignment horizontal="left" vertical="center"/>
    </xf>
    <xf numFmtId="0" fontId="96" fillId="2" borderId="5" xfId="0" applyFont="1" applyFill="1" applyBorder="1" applyAlignment="1" applyProtection="1">
      <alignment vertical="center"/>
    </xf>
    <xf numFmtId="0" fontId="30" fillId="4" borderId="0" xfId="0" applyFont="1" applyFill="1" applyBorder="1" applyAlignment="1" applyProtection="1">
      <alignment vertical="top"/>
    </xf>
    <xf numFmtId="0" fontId="96" fillId="2" borderId="4" xfId="0" applyFont="1" applyFill="1" applyBorder="1" applyAlignment="1" applyProtection="1">
      <alignment horizontal="left" vertical="top"/>
    </xf>
    <xf numFmtId="0" fontId="111" fillId="2" borderId="0" xfId="0" applyFont="1" applyFill="1" applyBorder="1" applyAlignment="1" applyProtection="1">
      <alignment vertical="top"/>
    </xf>
    <xf numFmtId="0" fontId="101" fillId="2" borderId="0" xfId="0" applyFont="1" applyFill="1" applyBorder="1" applyAlignment="1" applyProtection="1">
      <alignment horizontal="center" vertical="center"/>
    </xf>
    <xf numFmtId="0" fontId="111" fillId="2" borderId="5" xfId="0" applyFont="1" applyFill="1" applyBorder="1" applyAlignment="1" applyProtection="1">
      <alignment vertical="top"/>
    </xf>
    <xf numFmtId="0" fontId="95" fillId="33" borderId="0" xfId="0" applyFont="1" applyFill="1" applyBorder="1" applyAlignment="1" applyProtection="1">
      <alignment horizontal="center" vertical="top" wrapText="1"/>
    </xf>
    <xf numFmtId="0" fontId="30" fillId="33" borderId="0" xfId="0" applyFont="1" applyFill="1" applyBorder="1" applyAlignment="1" applyProtection="1">
      <alignment vertical="top"/>
    </xf>
    <xf numFmtId="0" fontId="30" fillId="33" borderId="0" xfId="0" applyFont="1" applyFill="1" applyAlignment="1" applyProtection="1">
      <alignment vertical="top"/>
    </xf>
    <xf numFmtId="0" fontId="111" fillId="33" borderId="0" xfId="0" applyFont="1" applyFill="1" applyBorder="1" applyAlignment="1" applyProtection="1">
      <alignment horizontal="left" vertical="center"/>
    </xf>
    <xf numFmtId="0" fontId="30" fillId="2" borderId="4" xfId="0" applyFont="1" applyFill="1" applyBorder="1" applyAlignment="1" applyProtection="1"/>
    <xf numFmtId="0" fontId="30" fillId="33" borderId="0" xfId="0" applyFont="1" applyFill="1" applyBorder="1" applyAlignment="1" applyProtection="1">
      <alignment horizontal="left" vertical="center"/>
    </xf>
    <xf numFmtId="0" fontId="30" fillId="33" borderId="0" xfId="0" applyFont="1" applyFill="1" applyAlignment="1" applyProtection="1">
      <alignment horizontal="left" vertical="center"/>
    </xf>
    <xf numFmtId="179" fontId="93" fillId="33" borderId="0" xfId="0" applyNumberFormat="1" applyFont="1" applyFill="1" applyBorder="1" applyAlignment="1" applyProtection="1">
      <alignment horizontal="center" vertical="center"/>
    </xf>
    <xf numFmtId="0" fontId="98" fillId="33" borderId="34" xfId="0" applyFont="1" applyFill="1" applyBorder="1" applyAlignment="1" applyProtection="1">
      <alignment vertical="center"/>
    </xf>
    <xf numFmtId="0" fontId="30" fillId="4" borderId="0" xfId="0" applyFont="1" applyFill="1" applyBorder="1" applyAlignment="1" applyProtection="1">
      <alignment horizontal="left" vertical="center"/>
    </xf>
    <xf numFmtId="179" fontId="93" fillId="33" borderId="0" xfId="0" applyNumberFormat="1" applyFont="1" applyFill="1" applyBorder="1" applyAlignment="1" applyProtection="1">
      <alignment vertical="center"/>
    </xf>
    <xf numFmtId="179" fontId="93" fillId="33" borderId="0" xfId="0" applyNumberFormat="1" applyFont="1" applyFill="1" applyBorder="1" applyAlignment="1" applyProtection="1">
      <alignment horizontal="center" vertical="top" wrapText="1"/>
    </xf>
    <xf numFmtId="0" fontId="30" fillId="2" borderId="0" xfId="0" applyFont="1" applyFill="1" applyBorder="1" applyAlignment="1" applyProtection="1">
      <alignment horizontal="left" vertical="center"/>
    </xf>
    <xf numFmtId="0" fontId="93" fillId="2" borderId="0" xfId="0" applyFont="1" applyFill="1" applyBorder="1" applyAlignment="1" applyProtection="1">
      <alignment vertical="center"/>
    </xf>
    <xf numFmtId="179" fontId="93" fillId="2" borderId="0" xfId="0" applyNumberFormat="1" applyFont="1" applyFill="1" applyBorder="1" applyAlignment="1" applyProtection="1">
      <alignment vertical="center"/>
    </xf>
    <xf numFmtId="179" fontId="93" fillId="2" borderId="0" xfId="0" applyNumberFormat="1" applyFont="1" applyFill="1" applyBorder="1" applyAlignment="1" applyProtection="1">
      <alignment horizontal="center" vertical="top" wrapText="1"/>
    </xf>
    <xf numFmtId="0" fontId="112" fillId="2" borderId="4" xfId="0" applyFont="1" applyFill="1" applyBorder="1" applyAlignment="1" applyProtection="1">
      <alignment vertical="top"/>
    </xf>
    <xf numFmtId="0" fontId="101" fillId="2" borderId="0" xfId="0" applyFont="1" applyFill="1" applyBorder="1" applyAlignment="1" applyProtection="1"/>
    <xf numFmtId="0" fontId="101" fillId="2" borderId="5" xfId="0" applyFont="1" applyFill="1" applyBorder="1" applyAlignment="1" applyProtection="1"/>
    <xf numFmtId="0" fontId="112" fillId="2" borderId="5" xfId="0" applyFont="1" applyFill="1" applyBorder="1" applyAlignment="1" applyProtection="1">
      <alignment vertical="center"/>
    </xf>
    <xf numFmtId="0" fontId="112" fillId="33" borderId="0" xfId="0" applyFont="1" applyFill="1" applyBorder="1" applyAlignment="1" applyProtection="1">
      <alignment vertical="center"/>
    </xf>
    <xf numFmtId="0" fontId="111" fillId="2" borderId="4" xfId="0" applyFont="1" applyFill="1" applyBorder="1" applyAlignment="1" applyProtection="1">
      <alignment vertical="center" textRotation="90"/>
    </xf>
    <xf numFmtId="0" fontId="111" fillId="2" borderId="0" xfId="0" applyFont="1" applyFill="1" applyBorder="1" applyAlignment="1" applyProtection="1">
      <alignment horizontal="left" vertical="center" textRotation="90"/>
    </xf>
    <xf numFmtId="0" fontId="101" fillId="2" borderId="0" xfId="0" applyFont="1" applyFill="1" applyBorder="1" applyAlignment="1" applyProtection="1">
      <alignment vertical="top"/>
    </xf>
    <xf numFmtId="0" fontId="111" fillId="2" borderId="0" xfId="0" applyFont="1" applyFill="1" applyBorder="1" applyAlignment="1" applyProtection="1">
      <alignment horizontal="left" vertical="top"/>
    </xf>
    <xf numFmtId="0" fontId="101" fillId="33" borderId="34" xfId="0" applyFont="1" applyFill="1" applyBorder="1" applyAlignment="1" applyProtection="1">
      <alignment horizontal="left" vertical="center"/>
    </xf>
    <xf numFmtId="0" fontId="101" fillId="2" borderId="5" xfId="0" applyFont="1" applyFill="1" applyBorder="1" applyAlignment="1" applyProtection="1">
      <alignment horizontal="left" vertical="center"/>
    </xf>
    <xf numFmtId="0" fontId="101" fillId="33" borderId="0" xfId="0" applyFont="1" applyFill="1" applyBorder="1" applyAlignment="1" applyProtection="1">
      <alignment horizontal="left" vertical="center"/>
    </xf>
    <xf numFmtId="0" fontId="101" fillId="2" borderId="4" xfId="0" applyFont="1" applyFill="1" applyBorder="1" applyAlignment="1" applyProtection="1"/>
    <xf numFmtId="0" fontId="101" fillId="33" borderId="0" xfId="0" applyFont="1" applyFill="1" applyBorder="1" applyAlignment="1" applyProtection="1">
      <alignment horizontal="center" vertical="center"/>
    </xf>
    <xf numFmtId="0" fontId="135" fillId="33" borderId="0" xfId="0" applyFont="1" applyFill="1" applyBorder="1" applyAlignment="1" applyProtection="1">
      <alignment horizontal="left" vertical="center"/>
    </xf>
    <xf numFmtId="0" fontId="109" fillId="2" borderId="4" xfId="0" applyFont="1" applyFill="1" applyBorder="1" applyAlignment="1" applyProtection="1">
      <alignment vertical="center" wrapText="1"/>
    </xf>
    <xf numFmtId="0" fontId="30" fillId="2" borderId="4" xfId="0" applyFont="1" applyFill="1" applyBorder="1" applyProtection="1"/>
    <xf numFmtId="0" fontId="101" fillId="0" borderId="0" xfId="0" applyFont="1" applyBorder="1" applyAlignment="1" applyProtection="1">
      <alignment horizontal="center" vertical="center"/>
    </xf>
    <xf numFmtId="0" fontId="101" fillId="33" borderId="21" xfId="0" applyFont="1" applyFill="1" applyBorder="1" applyAlignment="1" applyProtection="1"/>
    <xf numFmtId="180" fontId="93" fillId="33" borderId="0" xfId="0" applyNumberFormat="1" applyFont="1" applyFill="1" applyBorder="1" applyAlignment="1" applyProtection="1">
      <alignment vertical="center"/>
    </xf>
    <xf numFmtId="0" fontId="96" fillId="2" borderId="3" xfId="0" applyFont="1" applyFill="1" applyBorder="1" applyAlignment="1" applyProtection="1">
      <alignment horizontal="left" vertical="center"/>
    </xf>
    <xf numFmtId="0" fontId="111" fillId="2" borderId="2" xfId="0" applyFont="1" applyFill="1" applyBorder="1" applyAlignment="1" applyProtection="1">
      <alignment horizontal="left" vertical="center"/>
    </xf>
    <xf numFmtId="0" fontId="111" fillId="2" borderId="2" xfId="0" applyFont="1" applyFill="1" applyBorder="1" applyAlignment="1" applyProtection="1">
      <alignment horizontal="left" vertical="top"/>
    </xf>
    <xf numFmtId="0" fontId="111" fillId="2" borderId="2" xfId="0" applyFont="1" applyFill="1" applyBorder="1" applyAlignment="1" applyProtection="1">
      <alignment vertical="top"/>
    </xf>
    <xf numFmtId="0" fontId="111" fillId="2" borderId="2" xfId="0" applyFont="1" applyFill="1" applyBorder="1" applyAlignment="1" applyProtection="1">
      <alignment horizontal="center" vertical="top"/>
    </xf>
    <xf numFmtId="0" fontId="111" fillId="2" borderId="1" xfId="0" applyFont="1" applyFill="1" applyBorder="1" applyAlignment="1" applyProtection="1">
      <alignment vertical="top"/>
    </xf>
    <xf numFmtId="0" fontId="30" fillId="33" borderId="4" xfId="0" applyFont="1" applyFill="1" applyBorder="1" applyAlignment="1" applyProtection="1"/>
    <xf numFmtId="49" fontId="118" fillId="33" borderId="67" xfId="0" applyNumberFormat="1" applyFont="1" applyFill="1" applyBorder="1" applyAlignment="1" applyProtection="1">
      <alignment horizontal="center" vertical="center"/>
    </xf>
    <xf numFmtId="0" fontId="104" fillId="33" borderId="7" xfId="0" applyFont="1" applyFill="1" applyBorder="1" applyAlignment="1" applyProtection="1">
      <alignment horizontal="left" vertical="center" textRotation="90"/>
    </xf>
    <xf numFmtId="0" fontId="104" fillId="33" borderId="0" xfId="0" applyFont="1" applyFill="1" applyBorder="1" applyAlignment="1" applyProtection="1">
      <alignment horizontal="left" vertical="center" textRotation="90"/>
    </xf>
    <xf numFmtId="0" fontId="104" fillId="33" borderId="2" xfId="0" applyFont="1" applyFill="1" applyBorder="1" applyAlignment="1" applyProtection="1">
      <alignment horizontal="left" vertical="center" textRotation="90"/>
    </xf>
    <xf numFmtId="0" fontId="29" fillId="33" borderId="0" xfId="0" applyFont="1" applyFill="1" applyProtection="1"/>
    <xf numFmtId="0" fontId="29" fillId="4" borderId="0" xfId="0" applyFont="1" applyFill="1" applyBorder="1" applyProtection="1"/>
    <xf numFmtId="0" fontId="29" fillId="33" borderId="0" xfId="0" applyFont="1" applyFill="1" applyBorder="1" applyProtection="1"/>
    <xf numFmtId="0" fontId="29" fillId="33" borderId="65" xfId="0" applyFont="1" applyFill="1" applyBorder="1" applyProtection="1"/>
    <xf numFmtId="0" fontId="29" fillId="33" borderId="66" xfId="0" applyFont="1" applyFill="1" applyBorder="1" applyProtection="1"/>
    <xf numFmtId="0" fontId="29" fillId="33" borderId="67" xfId="0" applyFont="1" applyFill="1" applyBorder="1" applyProtection="1"/>
    <xf numFmtId="0" fontId="29" fillId="33" borderId="4" xfId="0" applyFont="1" applyFill="1" applyBorder="1" applyProtection="1"/>
    <xf numFmtId="0" fontId="29" fillId="33" borderId="5" xfId="0" applyFont="1" applyFill="1" applyBorder="1" applyProtection="1"/>
    <xf numFmtId="0" fontId="29" fillId="0" borderId="0" xfId="0" applyFont="1" applyBorder="1" applyProtection="1"/>
    <xf numFmtId="0" fontId="29" fillId="4" borderId="5" xfId="0" applyFont="1" applyFill="1" applyBorder="1" applyAlignment="1" applyProtection="1"/>
    <xf numFmtId="0" fontId="29" fillId="33" borderId="18" xfId="0" applyFont="1" applyFill="1" applyBorder="1" applyProtection="1"/>
    <xf numFmtId="0" fontId="29" fillId="33" borderId="19" xfId="0" applyFont="1" applyFill="1" applyBorder="1" applyProtection="1"/>
    <xf numFmtId="0" fontId="29" fillId="33" borderId="20" xfId="0" applyFont="1" applyFill="1" applyBorder="1" applyProtection="1"/>
    <xf numFmtId="0" fontId="29" fillId="4" borderId="4" xfId="0" applyFont="1" applyFill="1" applyBorder="1" applyProtection="1"/>
    <xf numFmtId="0" fontId="29" fillId="33" borderId="0" xfId="0" applyFont="1" applyFill="1" applyBorder="1" applyAlignment="1" applyProtection="1"/>
    <xf numFmtId="0" fontId="29" fillId="33" borderId="5" xfId="0" applyFont="1" applyFill="1" applyBorder="1" applyAlignment="1" applyProtection="1"/>
    <xf numFmtId="0" fontId="29" fillId="2" borderId="7" xfId="0" applyFont="1" applyFill="1" applyBorder="1" applyProtection="1"/>
    <xf numFmtId="0" fontId="29" fillId="2" borderId="8" xfId="0" applyFont="1" applyFill="1" applyBorder="1" applyProtection="1"/>
    <xf numFmtId="0" fontId="29" fillId="2" borderId="0" xfId="0" applyFont="1" applyFill="1" applyBorder="1" applyProtection="1"/>
    <xf numFmtId="0" fontId="29" fillId="2" borderId="0" xfId="0" applyFont="1" applyFill="1" applyBorder="1" applyAlignment="1" applyProtection="1"/>
    <xf numFmtId="0" fontId="29" fillId="2" borderId="5" xfId="0" applyFont="1" applyFill="1" applyBorder="1" applyAlignment="1" applyProtection="1"/>
    <xf numFmtId="0" fontId="29" fillId="2" borderId="4" xfId="0" applyFont="1" applyFill="1" applyBorder="1" applyAlignment="1" applyProtection="1"/>
    <xf numFmtId="0" fontId="29" fillId="4" borderId="0" xfId="0" applyFont="1" applyFill="1" applyBorder="1" applyAlignment="1" applyProtection="1"/>
    <xf numFmtId="0" fontId="29" fillId="2" borderId="3" xfId="0" applyFont="1" applyFill="1" applyBorder="1" applyAlignment="1" applyProtection="1"/>
    <xf numFmtId="0" fontId="29" fillId="2" borderId="5" xfId="0" applyFont="1" applyFill="1" applyBorder="1" applyProtection="1"/>
    <xf numFmtId="0" fontId="29" fillId="4" borderId="0" xfId="0" applyFont="1" applyFill="1" applyBorder="1" applyAlignment="1" applyProtection="1">
      <alignment horizontal="left" vertical="center"/>
    </xf>
    <xf numFmtId="0" fontId="29" fillId="4" borderId="0" xfId="0" applyFont="1" applyFill="1" applyBorder="1" applyAlignment="1" applyProtection="1">
      <alignment vertical="center"/>
    </xf>
    <xf numFmtId="0" fontId="29" fillId="33" borderId="0" xfId="0" applyFont="1" applyFill="1" applyAlignment="1" applyProtection="1">
      <alignment horizontal="left" vertical="center"/>
    </xf>
    <xf numFmtId="0" fontId="29" fillId="2" borderId="4" xfId="0" applyFont="1" applyFill="1" applyBorder="1" applyAlignment="1" applyProtection="1">
      <alignment horizontal="left" vertical="center"/>
    </xf>
    <xf numFmtId="0" fontId="29" fillId="33" borderId="0" xfId="0" applyFont="1" applyFill="1" applyBorder="1" applyAlignment="1" applyProtection="1">
      <alignment horizontal="left" vertical="center"/>
    </xf>
    <xf numFmtId="0" fontId="29" fillId="2" borderId="4" xfId="0" applyFont="1" applyFill="1" applyBorder="1" applyProtection="1"/>
    <xf numFmtId="0" fontId="29" fillId="2" borderId="3" xfId="0" applyFont="1" applyFill="1" applyBorder="1" applyProtection="1"/>
    <xf numFmtId="0" fontId="29" fillId="2" borderId="2" xfId="0" applyFont="1" applyFill="1" applyBorder="1" applyProtection="1"/>
    <xf numFmtId="0" fontId="29" fillId="2" borderId="1" xfId="0" applyFont="1" applyFill="1" applyBorder="1" applyProtection="1"/>
    <xf numFmtId="0" fontId="29" fillId="0" borderId="0" xfId="0" applyFont="1" applyFill="1" applyBorder="1" applyAlignment="1" applyProtection="1"/>
    <xf numFmtId="0" fontId="29" fillId="2" borderId="2" xfId="0" applyFont="1" applyFill="1" applyBorder="1" applyAlignment="1" applyProtection="1"/>
    <xf numFmtId="0" fontId="29" fillId="2" borderId="1" xfId="0" applyFont="1" applyFill="1" applyBorder="1" applyAlignment="1" applyProtection="1"/>
    <xf numFmtId="0" fontId="113" fillId="2" borderId="0" xfId="0" applyFont="1" applyFill="1" applyBorder="1" applyAlignment="1" applyProtection="1"/>
    <xf numFmtId="0" fontId="29" fillId="33" borderId="83" xfId="0" applyFont="1" applyFill="1" applyBorder="1" applyProtection="1"/>
    <xf numFmtId="0" fontId="90" fillId="33" borderId="0" xfId="0" applyNumberFormat="1" applyFont="1" applyFill="1" applyBorder="1" applyAlignment="1" applyProtection="1">
      <alignment horizontal="center" vertical="center"/>
    </xf>
    <xf numFmtId="180" fontId="90" fillId="4" borderId="0" xfId="0" applyNumberFormat="1" applyFont="1" applyFill="1" applyBorder="1" applyAlignment="1" applyProtection="1">
      <alignment horizontal="center" vertical="center"/>
    </xf>
    <xf numFmtId="0" fontId="90" fillId="2" borderId="5" xfId="0" applyFont="1" applyFill="1" applyBorder="1" applyProtection="1"/>
    <xf numFmtId="0" fontId="90" fillId="2" borderId="5" xfId="0" applyFont="1" applyFill="1" applyBorder="1" applyAlignment="1" applyProtection="1">
      <alignment vertical="center" wrapText="1"/>
    </xf>
    <xf numFmtId="0" fontId="90" fillId="2" borderId="5" xfId="0" applyFont="1" applyFill="1" applyBorder="1" applyAlignment="1" applyProtection="1">
      <alignment vertical="center"/>
    </xf>
    <xf numFmtId="0" fontId="29" fillId="2" borderId="5" xfId="0" applyFont="1" applyFill="1" applyBorder="1" applyAlignment="1" applyProtection="1">
      <alignment horizontal="left" vertical="center"/>
    </xf>
    <xf numFmtId="180" fontId="90" fillId="2" borderId="0" xfId="0" applyNumberFormat="1" applyFont="1" applyFill="1" applyBorder="1" applyAlignment="1" applyProtection="1">
      <alignment horizontal="center" vertical="center"/>
    </xf>
    <xf numFmtId="0" fontId="98" fillId="33" borderId="0" xfId="0" applyFont="1" applyFill="1" applyBorder="1" applyAlignment="1" applyProtection="1">
      <alignment horizontal="left" vertical="center" wrapText="1"/>
    </xf>
    <xf numFmtId="0" fontId="90" fillId="33" borderId="0" xfId="0" applyFont="1" applyFill="1" applyBorder="1" applyAlignment="1" applyProtection="1">
      <alignment horizontal="left" vertical="center" wrapText="1"/>
    </xf>
    <xf numFmtId="0" fontId="29" fillId="38" borderId="3" xfId="0" applyFont="1" applyFill="1" applyBorder="1" applyAlignment="1" applyProtection="1"/>
    <xf numFmtId="0" fontId="29" fillId="38" borderId="2" xfId="0" applyFont="1" applyFill="1" applyBorder="1" applyAlignment="1" applyProtection="1"/>
    <xf numFmtId="0" fontId="29" fillId="38" borderId="1" xfId="0" applyFont="1" applyFill="1" applyBorder="1" applyAlignment="1" applyProtection="1"/>
    <xf numFmtId="0" fontId="29" fillId="2" borderId="2" xfId="0" applyFont="1" applyFill="1" applyBorder="1" applyAlignment="1" applyProtection="1">
      <alignment horizontal="left" vertical="center"/>
    </xf>
    <xf numFmtId="0" fontId="96" fillId="2" borderId="2" xfId="0" applyFont="1" applyFill="1" applyBorder="1" applyAlignment="1" applyProtection="1">
      <alignment vertical="center" wrapText="1"/>
    </xf>
    <xf numFmtId="0" fontId="111" fillId="2" borderId="2" xfId="0" applyFont="1" applyFill="1" applyBorder="1" applyAlignment="1" applyProtection="1">
      <alignment vertical="center" textRotation="90"/>
    </xf>
    <xf numFmtId="0" fontId="29" fillId="2" borderId="2" xfId="0" applyFont="1" applyFill="1" applyBorder="1" applyAlignment="1" applyProtection="1">
      <alignment vertical="center"/>
    </xf>
    <xf numFmtId="0" fontId="36" fillId="0" borderId="0" xfId="0" applyFont="1" applyProtection="1"/>
    <xf numFmtId="0" fontId="136" fillId="2" borderId="0" xfId="0" applyFont="1" applyFill="1" applyBorder="1" applyAlignment="1" applyProtection="1">
      <alignment vertical="center"/>
    </xf>
    <xf numFmtId="0" fontId="98" fillId="33" borderId="0" xfId="0" applyFont="1" applyFill="1" applyBorder="1" applyAlignment="1" applyProtection="1">
      <alignment horizontal="right" vertical="top"/>
    </xf>
    <xf numFmtId="0" fontId="31" fillId="2" borderId="0" xfId="0" applyFont="1" applyFill="1" applyBorder="1" applyAlignment="1" applyProtection="1">
      <alignment horizontal="center" vertical="center"/>
    </xf>
    <xf numFmtId="0" fontId="90" fillId="2" borderId="2" xfId="0" applyFont="1" applyFill="1" applyBorder="1" applyAlignment="1" applyProtection="1">
      <alignment horizontal="left" vertical="center"/>
    </xf>
    <xf numFmtId="0" fontId="98" fillId="2" borderId="2" xfId="0" applyFont="1" applyFill="1" applyBorder="1" applyAlignment="1" applyProtection="1">
      <alignment vertical="center" wrapText="1"/>
    </xf>
    <xf numFmtId="0" fontId="104" fillId="2" borderId="2" xfId="0" applyFont="1" applyFill="1" applyBorder="1" applyAlignment="1" applyProtection="1">
      <alignment vertical="center" textRotation="90"/>
    </xf>
    <xf numFmtId="0" fontId="90" fillId="2" borderId="2" xfId="0" applyFont="1" applyFill="1" applyBorder="1" applyProtection="1"/>
    <xf numFmtId="0" fontId="90" fillId="2" borderId="2" xfId="0" applyFont="1" applyFill="1" applyBorder="1" applyAlignment="1" applyProtection="1">
      <alignment vertical="center"/>
    </xf>
    <xf numFmtId="0" fontId="137" fillId="33" borderId="0" xfId="0" applyFont="1" applyFill="1" applyProtection="1"/>
    <xf numFmtId="0" fontId="123" fillId="2" borderId="0" xfId="0" applyFont="1" applyFill="1" applyBorder="1" applyAlignment="1" applyProtection="1">
      <alignment vertical="center" wrapText="1"/>
    </xf>
    <xf numFmtId="0" fontId="98" fillId="33" borderId="0" xfId="0" applyFont="1" applyFill="1" applyBorder="1" applyAlignment="1" applyProtection="1">
      <alignment vertical="center"/>
    </xf>
    <xf numFmtId="0" fontId="93" fillId="0" borderId="0" xfId="0" applyFont="1" applyFill="1" applyBorder="1" applyAlignment="1" applyProtection="1">
      <alignment horizontal="center" vertical="center" wrapText="1"/>
    </xf>
    <xf numFmtId="0" fontId="96" fillId="33" borderId="0" xfId="0" applyFont="1" applyFill="1" applyBorder="1" applyAlignment="1" applyProtection="1">
      <alignment horizontal="left" vertical="center"/>
    </xf>
    <xf numFmtId="0" fontId="130" fillId="33" borderId="0" xfId="0" applyFont="1" applyFill="1" applyBorder="1" applyAlignment="1" applyProtection="1">
      <alignment horizontal="left" vertical="center" textRotation="90"/>
    </xf>
    <xf numFmtId="0" fontId="130" fillId="33" borderId="7" xfId="0" applyFont="1" applyFill="1" applyBorder="1" applyAlignment="1" applyProtection="1">
      <alignment horizontal="center" vertical="top"/>
    </xf>
    <xf numFmtId="0" fontId="130" fillId="2" borderId="0" xfId="0" applyFont="1" applyFill="1" applyBorder="1" applyAlignment="1" applyProtection="1">
      <alignment vertical="center"/>
    </xf>
    <xf numFmtId="0" fontId="93" fillId="33" borderId="0" xfId="0" applyFont="1" applyFill="1" applyProtection="1"/>
    <xf numFmtId="0" fontId="130" fillId="4" borderId="4" xfId="0" applyFont="1" applyFill="1" applyBorder="1" applyAlignment="1" applyProtection="1">
      <alignment vertical="top"/>
    </xf>
    <xf numFmtId="0" fontId="93" fillId="33" borderId="0" xfId="0" applyFont="1" applyFill="1" applyBorder="1" applyProtection="1"/>
    <xf numFmtId="0" fontId="93" fillId="0" borderId="0" xfId="0" applyFont="1" applyBorder="1" applyProtection="1"/>
    <xf numFmtId="0" fontId="93" fillId="4" borderId="5" xfId="0" applyFont="1" applyFill="1" applyBorder="1" applyAlignment="1" applyProtection="1"/>
    <xf numFmtId="0" fontId="95" fillId="33" borderId="0" xfId="0" applyFont="1" applyFill="1" applyBorder="1" applyAlignment="1" applyProtection="1">
      <alignment vertical="center"/>
    </xf>
    <xf numFmtId="0" fontId="95" fillId="33" borderId="0" xfId="0" applyFont="1" applyFill="1" applyBorder="1" applyAlignment="1" applyProtection="1">
      <alignment horizontal="center" vertical="center"/>
    </xf>
    <xf numFmtId="0" fontId="93" fillId="33" borderId="4" xfId="0" applyFont="1" applyFill="1" applyBorder="1" applyProtection="1"/>
    <xf numFmtId="0" fontId="93" fillId="33" borderId="5" xfId="0" applyFont="1" applyFill="1" applyBorder="1" applyProtection="1"/>
    <xf numFmtId="0" fontId="102" fillId="33" borderId="0" xfId="0" applyFont="1" applyFill="1" applyBorder="1" applyAlignment="1" applyProtection="1">
      <alignment horizontal="left" vertical="center"/>
    </xf>
    <xf numFmtId="0" fontId="102" fillId="33" borderId="0" xfId="145" applyFont="1" applyFill="1" applyBorder="1" applyAlignment="1" applyProtection="1">
      <alignment horizontal="right" vertical="center"/>
    </xf>
    <xf numFmtId="0" fontId="93" fillId="33" borderId="22" xfId="0" applyFont="1" applyFill="1" applyBorder="1" applyProtection="1"/>
    <xf numFmtId="0" fontId="93" fillId="33" borderId="21" xfId="0" applyFont="1" applyFill="1" applyBorder="1" applyProtection="1"/>
    <xf numFmtId="0" fontId="93" fillId="33" borderId="23" xfId="0" applyFont="1" applyFill="1" applyBorder="1" applyProtection="1"/>
    <xf numFmtId="0" fontId="93" fillId="4" borderId="4" xfId="0" applyFont="1" applyFill="1" applyBorder="1" applyProtection="1"/>
    <xf numFmtId="0" fontId="93" fillId="33" borderId="0" xfId="0" applyFont="1" applyFill="1" applyBorder="1" applyAlignment="1" applyProtection="1"/>
    <xf numFmtId="0" fontId="95" fillId="33" borderId="78" xfId="0" applyFont="1" applyFill="1" applyBorder="1" applyAlignment="1" applyProtection="1">
      <alignment horizontal="center" vertical="center"/>
    </xf>
    <xf numFmtId="0" fontId="95" fillId="33" borderId="78" xfId="0" applyNumberFormat="1" applyFont="1" applyFill="1" applyBorder="1" applyAlignment="1" applyProtection="1">
      <alignment vertical="center"/>
    </xf>
    <xf numFmtId="0" fontId="95" fillId="33" borderId="0" xfId="145" applyNumberFormat="1" applyFont="1" applyFill="1" applyBorder="1" applyAlignment="1" applyProtection="1">
      <alignment vertical="center"/>
    </xf>
    <xf numFmtId="0" fontId="95" fillId="33" borderId="26" xfId="145" applyNumberFormat="1" applyFont="1" applyFill="1" applyBorder="1" applyAlignment="1" applyProtection="1">
      <alignment vertical="center"/>
    </xf>
    <xf numFmtId="0" fontId="93" fillId="33" borderId="5" xfId="0" applyFont="1" applyFill="1" applyBorder="1" applyAlignment="1" applyProtection="1"/>
    <xf numFmtId="0" fontId="93" fillId="2" borderId="4" xfId="0" applyFont="1" applyFill="1" applyBorder="1" applyAlignment="1" applyProtection="1"/>
    <xf numFmtId="0" fontId="100" fillId="33" borderId="0" xfId="0" applyFont="1" applyFill="1" applyBorder="1" applyAlignment="1" applyProtection="1">
      <alignment vertical="center"/>
    </xf>
    <xf numFmtId="0" fontId="93" fillId="2" borderId="5" xfId="0" applyFont="1" applyFill="1" applyBorder="1" applyAlignment="1" applyProtection="1"/>
    <xf numFmtId="0" fontId="97" fillId="33" borderId="0" xfId="0" applyFont="1" applyFill="1" applyBorder="1" applyAlignment="1" applyProtection="1">
      <alignment vertical="top"/>
    </xf>
    <xf numFmtId="0" fontId="100" fillId="33" borderId="0" xfId="0" applyFont="1" applyFill="1" applyBorder="1" applyAlignment="1" applyProtection="1">
      <alignment vertical="center" wrapText="1"/>
    </xf>
    <xf numFmtId="1" fontId="93" fillId="4" borderId="0" xfId="0" applyNumberFormat="1" applyFont="1" applyFill="1" applyBorder="1" applyAlignment="1" applyProtection="1">
      <alignment vertical="center"/>
    </xf>
    <xf numFmtId="0" fontId="93" fillId="2" borderId="0" xfId="0" applyFont="1" applyFill="1" applyBorder="1" applyAlignment="1" applyProtection="1"/>
    <xf numFmtId="0" fontId="100" fillId="4" borderId="0" xfId="0" applyFont="1" applyFill="1" applyBorder="1" applyAlignment="1" applyProtection="1">
      <alignment vertical="center"/>
    </xf>
    <xf numFmtId="0" fontId="100" fillId="2" borderId="5" xfId="0" applyFont="1" applyFill="1" applyBorder="1" applyAlignment="1" applyProtection="1">
      <alignment vertical="center"/>
    </xf>
    <xf numFmtId="0" fontId="93" fillId="37" borderId="79" xfId="0" applyFont="1" applyFill="1" applyBorder="1" applyAlignment="1" applyProtection="1"/>
    <xf numFmtId="0" fontId="93" fillId="37" borderId="80" xfId="0" applyFont="1" applyFill="1" applyBorder="1" applyAlignment="1" applyProtection="1"/>
    <xf numFmtId="0" fontId="93" fillId="37" borderId="81" xfId="0" applyFont="1" applyFill="1" applyBorder="1" applyAlignment="1" applyProtection="1"/>
    <xf numFmtId="0" fontId="100" fillId="0" borderId="0" xfId="0" applyFont="1" applyFill="1" applyBorder="1" applyAlignment="1" applyProtection="1">
      <alignment vertical="center" wrapText="1"/>
    </xf>
    <xf numFmtId="180" fontId="93" fillId="36" borderId="0" xfId="0" applyNumberFormat="1" applyFont="1" applyFill="1" applyBorder="1" applyAlignment="1" applyProtection="1">
      <alignment horizontal="center" vertical="center" wrapText="1"/>
    </xf>
    <xf numFmtId="0" fontId="93" fillId="4" borderId="0" xfId="0" applyFont="1" applyFill="1" applyBorder="1" applyAlignment="1" applyProtection="1">
      <alignment vertical="center" wrapText="1"/>
    </xf>
    <xf numFmtId="0" fontId="138" fillId="0" borderId="0" xfId="0" applyFont="1" applyFill="1" applyBorder="1" applyAlignment="1" applyProtection="1">
      <alignment horizontal="left" vertical="center" wrapText="1"/>
    </xf>
    <xf numFmtId="0" fontId="100" fillId="33" borderId="26" xfId="0" applyFont="1" applyFill="1" applyBorder="1" applyAlignment="1" applyProtection="1">
      <alignment vertical="center"/>
    </xf>
    <xf numFmtId="0" fontId="93" fillId="0" borderId="0" xfId="0" applyNumberFormat="1" applyFont="1" applyFill="1" applyBorder="1" applyAlignment="1" applyProtection="1">
      <alignment horizontal="center" vertical="center" wrapText="1"/>
    </xf>
    <xf numFmtId="0" fontId="100" fillId="33" borderId="0" xfId="0" applyFont="1" applyFill="1" applyBorder="1" applyAlignment="1" applyProtection="1">
      <alignment horizontal="left" vertical="center"/>
    </xf>
    <xf numFmtId="0" fontId="100" fillId="0" borderId="0" xfId="0" applyFont="1" applyFill="1" applyBorder="1" applyAlignment="1" applyProtection="1">
      <alignment horizontal="left" vertical="center"/>
    </xf>
    <xf numFmtId="0" fontId="93" fillId="4" borderId="26" xfId="0" applyFont="1" applyFill="1" applyBorder="1" applyAlignment="1" applyProtection="1"/>
    <xf numFmtId="0" fontId="93" fillId="0" borderId="0" xfId="0" applyFont="1" applyFill="1" applyBorder="1" applyAlignment="1" applyProtection="1"/>
    <xf numFmtId="0" fontId="100" fillId="4" borderId="0" xfId="0" applyFont="1" applyFill="1" applyBorder="1" applyAlignment="1" applyProtection="1">
      <alignment horizontal="left" vertical="center" wrapText="1"/>
    </xf>
    <xf numFmtId="0" fontId="100" fillId="2" borderId="0" xfId="0" applyFont="1" applyFill="1" applyBorder="1" applyAlignment="1" applyProtection="1">
      <alignment vertical="center"/>
    </xf>
    <xf numFmtId="0" fontId="93" fillId="2" borderId="0" xfId="0" applyFont="1" applyFill="1" applyBorder="1" applyProtection="1"/>
    <xf numFmtId="0" fontId="100" fillId="2" borderId="0" xfId="0" applyFont="1" applyFill="1" applyBorder="1" applyAlignment="1" applyProtection="1">
      <alignment vertical="top"/>
    </xf>
    <xf numFmtId="0" fontId="100" fillId="33" borderId="0" xfId="0" applyFont="1" applyFill="1" applyBorder="1" applyAlignment="1" applyProtection="1">
      <alignment vertical="top"/>
    </xf>
    <xf numFmtId="0" fontId="130" fillId="33" borderId="0" xfId="0" applyFont="1" applyFill="1" applyBorder="1" applyAlignment="1" applyProtection="1">
      <alignment vertical="center" textRotation="90"/>
    </xf>
    <xf numFmtId="0" fontId="97" fillId="33" borderId="0" xfId="0" applyFont="1" applyFill="1" applyBorder="1" applyAlignment="1" applyProtection="1">
      <alignment horizontal="left" vertical="top" wrapText="1"/>
    </xf>
    <xf numFmtId="0" fontId="97" fillId="33" borderId="0" xfId="0" applyFont="1" applyFill="1" applyBorder="1" applyAlignment="1" applyProtection="1">
      <alignment horizontal="left" vertical="top"/>
    </xf>
    <xf numFmtId="0" fontId="93" fillId="33" borderId="0" xfId="0" applyFont="1" applyFill="1" applyBorder="1" applyAlignment="1" applyProtection="1">
      <alignment horizontal="left" vertical="center"/>
    </xf>
    <xf numFmtId="0" fontId="93" fillId="4" borderId="0" xfId="0" applyFont="1" applyFill="1" applyBorder="1" applyAlignment="1" applyProtection="1">
      <alignment horizontal="left" vertical="center"/>
    </xf>
    <xf numFmtId="0" fontId="93" fillId="33" borderId="0" xfId="0" applyFont="1" applyFill="1" applyAlignment="1" applyProtection="1">
      <alignment horizontal="left" vertical="center"/>
    </xf>
    <xf numFmtId="0" fontId="93" fillId="2" borderId="4" xfId="0" applyFont="1" applyFill="1" applyBorder="1" applyAlignment="1" applyProtection="1">
      <alignment horizontal="left" vertical="center"/>
    </xf>
    <xf numFmtId="0" fontId="93" fillId="2" borderId="5" xfId="0" applyFont="1" applyFill="1" applyBorder="1" applyAlignment="1" applyProtection="1">
      <alignment horizontal="left" vertical="center"/>
    </xf>
    <xf numFmtId="0" fontId="93" fillId="0" borderId="0" xfId="0" applyFont="1" applyBorder="1" applyAlignment="1" applyProtection="1">
      <alignment vertical="center"/>
    </xf>
    <xf numFmtId="0" fontId="130" fillId="33" borderId="0" xfId="0" applyFont="1" applyFill="1" applyBorder="1" applyAlignment="1" applyProtection="1">
      <alignment horizontal="center" vertical="center" textRotation="90"/>
    </xf>
    <xf numFmtId="0" fontId="93" fillId="4" borderId="0" xfId="0" applyFont="1" applyFill="1" applyBorder="1" applyAlignment="1" applyProtection="1">
      <alignment horizontal="center" vertical="center"/>
    </xf>
    <xf numFmtId="0" fontId="28" fillId="33" borderId="0" xfId="0" applyFont="1" applyFill="1" applyProtection="1"/>
    <xf numFmtId="0" fontId="28" fillId="33" borderId="0" xfId="0" applyFont="1" applyFill="1" applyAlignment="1" applyProtection="1">
      <alignment horizontal="left"/>
    </xf>
    <xf numFmtId="0" fontId="86" fillId="4" borderId="0" xfId="0" applyFont="1" applyFill="1" applyProtection="1"/>
    <xf numFmtId="0" fontId="89" fillId="33" borderId="7" xfId="145" applyFont="1" applyFill="1" applyBorder="1" applyAlignment="1" applyProtection="1">
      <alignment horizontal="right" vertical="center"/>
    </xf>
    <xf numFmtId="0" fontId="89" fillId="33" borderId="8" xfId="145" applyFont="1" applyFill="1" applyBorder="1" applyAlignment="1" applyProtection="1">
      <alignment horizontal="right" vertical="center"/>
    </xf>
    <xf numFmtId="0" fontId="28" fillId="33" borderId="0" xfId="0" applyFont="1" applyFill="1" applyBorder="1" applyProtection="1"/>
    <xf numFmtId="0" fontId="141" fillId="33" borderId="0" xfId="0" applyFont="1" applyFill="1" applyProtection="1"/>
    <xf numFmtId="0" fontId="87" fillId="2" borderId="4" xfId="0" applyFont="1" applyFill="1" applyBorder="1" applyAlignment="1" applyProtection="1">
      <alignment vertical="top"/>
    </xf>
    <xf numFmtId="0" fontId="87" fillId="33" borderId="0" xfId="0" applyFont="1" applyFill="1" applyBorder="1" applyAlignment="1" applyProtection="1">
      <alignment vertical="top"/>
    </xf>
    <xf numFmtId="0" fontId="28" fillId="2" borderId="4" xfId="0" applyFont="1" applyFill="1" applyBorder="1" applyAlignment="1" applyProtection="1">
      <alignment wrapText="1"/>
    </xf>
    <xf numFmtId="0" fontId="28" fillId="33" borderId="0" xfId="0" applyFont="1" applyFill="1" applyBorder="1" applyAlignment="1" applyProtection="1">
      <alignment wrapText="1"/>
    </xf>
    <xf numFmtId="0" fontId="122" fillId="33" borderId="0" xfId="0" applyFont="1" applyFill="1" applyBorder="1" applyProtection="1"/>
    <xf numFmtId="0" fontId="105" fillId="2" borderId="4" xfId="0" applyFont="1" applyFill="1" applyBorder="1" applyAlignment="1" applyProtection="1">
      <alignment vertical="center" wrapText="1"/>
    </xf>
    <xf numFmtId="0" fontId="105" fillId="33" borderId="0" xfId="0" applyFont="1" applyFill="1" applyBorder="1" applyAlignment="1" applyProtection="1">
      <alignment vertical="center" wrapText="1"/>
    </xf>
    <xf numFmtId="0" fontId="103" fillId="2" borderId="4" xfId="0" applyFont="1" applyFill="1" applyBorder="1" applyAlignment="1" applyProtection="1">
      <alignment horizontal="center" vertical="center" wrapText="1"/>
    </xf>
    <xf numFmtId="0" fontId="103" fillId="33" borderId="0" xfId="0" applyFont="1" applyFill="1" applyBorder="1" applyAlignment="1" applyProtection="1">
      <alignment horizontal="center" vertical="center" wrapText="1"/>
    </xf>
    <xf numFmtId="0" fontId="105" fillId="2" borderId="3" xfId="0" applyFont="1" applyFill="1" applyBorder="1" applyAlignment="1" applyProtection="1">
      <alignment vertical="center" wrapText="1"/>
    </xf>
    <xf numFmtId="0" fontId="87" fillId="33" borderId="2" xfId="0" applyFont="1" applyFill="1" applyBorder="1" applyAlignment="1" applyProtection="1">
      <alignment vertical="center" textRotation="90"/>
    </xf>
    <xf numFmtId="0" fontId="105" fillId="33" borderId="2" xfId="0" applyFont="1" applyFill="1" applyBorder="1" applyAlignment="1" applyProtection="1">
      <alignment vertical="center" wrapText="1"/>
    </xf>
    <xf numFmtId="0" fontId="105" fillId="33" borderId="2" xfId="0" applyFont="1" applyFill="1" applyBorder="1" applyAlignment="1" applyProtection="1">
      <alignment horizontal="right" vertical="center" wrapText="1"/>
    </xf>
    <xf numFmtId="0" fontId="103" fillId="33" borderId="2" xfId="0" applyFont="1" applyFill="1" applyBorder="1" applyAlignment="1" applyProtection="1">
      <alignment vertical="center" wrapText="1"/>
    </xf>
    <xf numFmtId="0" fontId="103" fillId="33" borderId="2" xfId="0" applyFont="1" applyFill="1" applyBorder="1" applyProtection="1"/>
    <xf numFmtId="0" fontId="28" fillId="2" borderId="6" xfId="0" applyFont="1" applyFill="1" applyBorder="1" applyProtection="1"/>
    <xf numFmtId="0" fontId="122" fillId="2" borderId="7" xfId="0" applyFont="1" applyFill="1" applyBorder="1" applyProtection="1"/>
    <xf numFmtId="0" fontId="122" fillId="2" borderId="8" xfId="0" applyFont="1" applyFill="1" applyBorder="1" applyProtection="1"/>
    <xf numFmtId="0" fontId="28" fillId="0" borderId="0" xfId="0" applyFont="1" applyFill="1" applyBorder="1" applyProtection="1"/>
    <xf numFmtId="0" fontId="28" fillId="2" borderId="4" xfId="0" applyFont="1" applyFill="1" applyBorder="1" applyProtection="1"/>
    <xf numFmtId="0" fontId="122" fillId="2" borderId="0" xfId="0" applyFont="1" applyFill="1" applyBorder="1" applyProtection="1"/>
    <xf numFmtId="0" fontId="122" fillId="2" borderId="5" xfId="0" applyFont="1" applyFill="1" applyBorder="1" applyProtection="1"/>
    <xf numFmtId="0" fontId="28" fillId="2" borderId="3" xfId="0" applyFont="1" applyFill="1" applyBorder="1" applyProtection="1"/>
    <xf numFmtId="0" fontId="28" fillId="2" borderId="2" xfId="0" applyFont="1" applyFill="1" applyBorder="1" applyProtection="1"/>
    <xf numFmtId="0" fontId="28" fillId="2" borderId="1" xfId="0" applyFont="1" applyFill="1" applyBorder="1" applyProtection="1"/>
    <xf numFmtId="0" fontId="28" fillId="0" borderId="0" xfId="0" applyFont="1" applyFill="1" applyProtection="1"/>
    <xf numFmtId="0" fontId="142" fillId="2" borderId="7" xfId="0" applyFont="1" applyFill="1" applyBorder="1" applyAlignment="1" applyProtection="1">
      <alignment vertical="center"/>
    </xf>
    <xf numFmtId="0" fontId="101" fillId="33" borderId="0" xfId="0" applyFont="1" applyFill="1" applyProtection="1"/>
    <xf numFmtId="0" fontId="143" fillId="2" borderId="6" xfId="0" applyFont="1" applyFill="1" applyBorder="1" applyAlignment="1" applyProtection="1">
      <alignment vertical="center"/>
    </xf>
    <xf numFmtId="0" fontId="92" fillId="2" borderId="7" xfId="0" applyFont="1" applyFill="1" applyBorder="1" applyAlignment="1" applyProtection="1">
      <alignment vertical="center"/>
    </xf>
    <xf numFmtId="0" fontId="143" fillId="2" borderId="7" xfId="0" applyFont="1" applyFill="1" applyBorder="1" applyAlignment="1" applyProtection="1">
      <alignment vertical="center"/>
    </xf>
    <xf numFmtId="0" fontId="143" fillId="2" borderId="89" xfId="0" applyFont="1" applyFill="1" applyBorder="1" applyAlignment="1" applyProtection="1">
      <alignment vertical="center"/>
    </xf>
    <xf numFmtId="0" fontId="103" fillId="4" borderId="0" xfId="0" applyFont="1" applyFill="1" applyProtection="1"/>
    <xf numFmtId="0" fontId="89" fillId="33" borderId="0" xfId="0" applyFont="1" applyFill="1" applyBorder="1" applyAlignment="1" applyProtection="1">
      <alignment vertical="top"/>
    </xf>
    <xf numFmtId="0" fontId="89" fillId="33" borderId="2" xfId="0" applyFont="1" applyFill="1" applyBorder="1" applyAlignment="1" applyProtection="1">
      <alignment vertical="center" textRotation="90"/>
    </xf>
    <xf numFmtId="0" fontId="90" fillId="0" borderId="0" xfId="0" applyFont="1" applyFill="1" applyBorder="1" applyProtection="1"/>
    <xf numFmtId="0" fontId="89" fillId="2" borderId="4" xfId="0" applyFont="1" applyFill="1" applyBorder="1" applyAlignment="1" applyProtection="1">
      <alignment horizontal="center" vertical="center"/>
    </xf>
    <xf numFmtId="0" fontId="89" fillId="33" borderId="0" xfId="0" applyFont="1" applyFill="1" applyBorder="1" applyAlignment="1" applyProtection="1">
      <alignment vertical="center" textRotation="90"/>
    </xf>
    <xf numFmtId="0" fontId="89" fillId="33" borderId="90" xfId="0" applyFont="1" applyFill="1" applyBorder="1" applyAlignment="1" applyProtection="1">
      <alignment horizontal="center" vertical="center"/>
    </xf>
    <xf numFmtId="0" fontId="89" fillId="2" borderId="4" xfId="0" applyFont="1" applyFill="1" applyBorder="1" applyAlignment="1" applyProtection="1">
      <alignment vertical="top"/>
    </xf>
    <xf numFmtId="0" fontId="103" fillId="33" borderId="90" xfId="0" applyFont="1" applyFill="1" applyBorder="1" applyAlignment="1" applyProtection="1">
      <alignment horizontal="center" vertical="center" wrapText="1"/>
    </xf>
    <xf numFmtId="0" fontId="90" fillId="2" borderId="4" xfId="0" applyFont="1" applyFill="1" applyBorder="1" applyProtection="1"/>
    <xf numFmtId="0" fontId="93" fillId="2" borderId="4" xfId="0" applyFont="1" applyFill="1" applyBorder="1" applyProtection="1"/>
    <xf numFmtId="0" fontId="95" fillId="0" borderId="78" xfId="0" applyFont="1" applyFill="1" applyBorder="1" applyAlignment="1" applyProtection="1">
      <alignment horizontal="center" vertical="center"/>
      <protection locked="0"/>
    </xf>
    <xf numFmtId="0" fontId="100" fillId="33" borderId="0" xfId="0" applyFont="1" applyFill="1" applyBorder="1" applyAlignment="1" applyProtection="1">
      <alignment horizontal="left"/>
    </xf>
    <xf numFmtId="0" fontId="144" fillId="2" borderId="5" xfId="0" applyFont="1" applyFill="1" applyBorder="1" applyAlignment="1" applyProtection="1">
      <alignment horizontal="center" vertical="center"/>
    </xf>
    <xf numFmtId="0" fontId="129" fillId="2" borderId="5" xfId="0" applyFont="1" applyFill="1" applyBorder="1" applyAlignment="1" applyProtection="1">
      <alignment horizontal="center" vertical="center"/>
    </xf>
    <xf numFmtId="0" fontId="87" fillId="2" borderId="5" xfId="0" applyFont="1" applyFill="1" applyBorder="1" applyAlignment="1" applyProtection="1">
      <alignment vertical="top"/>
    </xf>
    <xf numFmtId="0" fontId="89" fillId="2" borderId="5" xfId="0" applyFont="1" applyFill="1" applyBorder="1" applyAlignment="1" applyProtection="1">
      <alignment horizontal="center" vertical="center"/>
    </xf>
    <xf numFmtId="0" fontId="123" fillId="2" borderId="5" xfId="0" applyFont="1" applyFill="1" applyBorder="1" applyAlignment="1" applyProtection="1">
      <alignment horizontal="center" vertical="center"/>
    </xf>
    <xf numFmtId="0" fontId="103" fillId="2" borderId="1" xfId="0" applyFont="1" applyFill="1" applyBorder="1" applyAlignment="1" applyProtection="1">
      <alignment vertical="center" wrapText="1"/>
    </xf>
    <xf numFmtId="0" fontId="98" fillId="2" borderId="5" xfId="0" applyFont="1" applyFill="1" applyBorder="1" applyAlignment="1" applyProtection="1">
      <alignment horizontal="left" vertical="center"/>
    </xf>
    <xf numFmtId="0" fontId="100" fillId="2" borderId="5" xfId="0" applyFont="1" applyFill="1" applyBorder="1" applyAlignment="1" applyProtection="1">
      <alignment horizontal="left" vertical="center"/>
    </xf>
    <xf numFmtId="0" fontId="122" fillId="2" borderId="5" xfId="0" applyFont="1" applyFill="1" applyBorder="1" applyAlignment="1" applyProtection="1">
      <alignment horizontal="left" vertical="distributed"/>
    </xf>
    <xf numFmtId="0" fontId="28" fillId="2" borderId="5" xfId="0" applyFont="1" applyFill="1" applyBorder="1" applyProtection="1"/>
    <xf numFmtId="0" fontId="123" fillId="4" borderId="3" xfId="0" applyFont="1" applyFill="1" applyBorder="1" applyProtection="1"/>
    <xf numFmtId="0" fontId="123" fillId="4" borderId="2" xfId="0" applyFont="1" applyFill="1" applyBorder="1" applyProtection="1"/>
    <xf numFmtId="0" fontId="103" fillId="4" borderId="2" xfId="0" applyFont="1" applyFill="1" applyBorder="1" applyProtection="1"/>
    <xf numFmtId="0" fontId="86" fillId="4" borderId="1" xfId="0" applyFont="1" applyFill="1" applyBorder="1" applyProtection="1"/>
    <xf numFmtId="0" fontId="107" fillId="33" borderId="6" xfId="0" applyFont="1" applyFill="1" applyBorder="1" applyAlignment="1" applyProtection="1">
      <alignment vertical="center"/>
    </xf>
    <xf numFmtId="0" fontId="107" fillId="33" borderId="7" xfId="0" applyFont="1" applyFill="1" applyBorder="1" applyAlignment="1" applyProtection="1">
      <alignment vertical="center"/>
    </xf>
    <xf numFmtId="0" fontId="108" fillId="33" borderId="7" xfId="0" applyFont="1" applyFill="1" applyBorder="1" applyAlignment="1" applyProtection="1">
      <alignment vertical="center"/>
    </xf>
    <xf numFmtId="0" fontId="89" fillId="33" borderId="7" xfId="0" applyFont="1" applyFill="1" applyBorder="1" applyAlignment="1" applyProtection="1">
      <alignment vertical="center"/>
    </xf>
    <xf numFmtId="0" fontId="89" fillId="33" borderId="3" xfId="0" applyFont="1" applyFill="1" applyBorder="1" applyAlignment="1" applyProtection="1">
      <alignment horizontal="center" vertical="center"/>
    </xf>
    <xf numFmtId="0" fontId="101" fillId="33" borderId="0" xfId="0" applyFont="1" applyFill="1" applyBorder="1" applyProtection="1"/>
    <xf numFmtId="0" fontId="96" fillId="33" borderId="0" xfId="0" applyFont="1" applyFill="1" applyBorder="1" applyAlignment="1" applyProtection="1"/>
    <xf numFmtId="0" fontId="102" fillId="2" borderId="0" xfId="0" applyFont="1" applyFill="1" applyBorder="1" applyAlignment="1" applyProtection="1">
      <alignment vertical="center"/>
    </xf>
    <xf numFmtId="0" fontId="118" fillId="2" borderId="0" xfId="0" applyFont="1" applyFill="1" applyBorder="1" applyAlignment="1" applyProtection="1">
      <alignment vertical="center"/>
    </xf>
    <xf numFmtId="179" fontId="118" fillId="2" borderId="0" xfId="0" applyNumberFormat="1" applyFont="1" applyFill="1" applyBorder="1" applyAlignment="1" applyProtection="1">
      <alignment horizontal="right" vertical="center"/>
    </xf>
    <xf numFmtId="0" fontId="88" fillId="33" borderId="0" xfId="145" applyFont="1" applyFill="1" applyBorder="1" applyAlignment="1" applyProtection="1">
      <alignment horizontal="center" vertical="center"/>
    </xf>
    <xf numFmtId="0" fontId="98" fillId="33" borderId="0" xfId="0" applyFont="1" applyFill="1" applyBorder="1" applyAlignment="1" applyProtection="1">
      <alignment horizontal="left" vertical="center"/>
    </xf>
    <xf numFmtId="0" fontId="96" fillId="33" borderId="0" xfId="0" applyFont="1" applyFill="1" applyBorder="1" applyAlignment="1" applyProtection="1">
      <alignment horizontal="center" vertical="center"/>
    </xf>
    <xf numFmtId="0" fontId="96" fillId="33" borderId="0" xfId="0" applyFont="1" applyFill="1" applyBorder="1" applyAlignment="1" applyProtection="1">
      <alignment horizontal="left" vertical="top"/>
    </xf>
    <xf numFmtId="0" fontId="111" fillId="2" borderId="0" xfId="0" applyFont="1" applyFill="1" applyBorder="1" applyAlignment="1" applyProtection="1">
      <alignment horizontal="center" vertical="top"/>
    </xf>
    <xf numFmtId="0" fontId="31" fillId="33" borderId="0" xfId="0" applyFont="1" applyFill="1" applyBorder="1" applyAlignment="1" applyProtection="1"/>
    <xf numFmtId="0" fontId="31" fillId="2" borderId="4" xfId="0" applyFont="1" applyFill="1" applyBorder="1" applyProtection="1"/>
    <xf numFmtId="0" fontId="31" fillId="33" borderId="5" xfId="0" applyFont="1" applyFill="1" applyBorder="1" applyProtection="1"/>
    <xf numFmtId="0" fontId="31" fillId="2" borderId="3" xfId="0" applyFont="1" applyFill="1" applyBorder="1" applyProtection="1"/>
    <xf numFmtId="0" fontId="36" fillId="33" borderId="81" xfId="0" applyFont="1" applyFill="1" applyBorder="1" applyProtection="1"/>
    <xf numFmtId="0" fontId="31" fillId="33" borderId="81" xfId="0" applyFont="1" applyFill="1" applyBorder="1" applyProtection="1"/>
    <xf numFmtId="0" fontId="125" fillId="0" borderId="0" xfId="0" applyFont="1" applyFill="1" applyBorder="1" applyAlignment="1" applyProtection="1">
      <alignment horizontal="center" vertical="top"/>
    </xf>
    <xf numFmtId="0" fontId="125" fillId="2" borderId="5" xfId="0" applyFont="1" applyFill="1" applyBorder="1" applyAlignment="1" applyProtection="1">
      <alignment horizontal="center" vertical="top"/>
    </xf>
    <xf numFmtId="0" fontId="125" fillId="2" borderId="2" xfId="0" applyFont="1" applyFill="1" applyBorder="1" applyAlignment="1" applyProtection="1">
      <alignment horizontal="center" vertical="top"/>
    </xf>
    <xf numFmtId="0" fontId="125" fillId="2" borderId="1" xfId="0" applyFont="1" applyFill="1" applyBorder="1" applyAlignment="1" applyProtection="1">
      <alignment horizontal="center" vertical="top"/>
    </xf>
    <xf numFmtId="0" fontId="128" fillId="32" borderId="66" xfId="145" applyFont="1" applyFill="1" applyBorder="1" applyAlignment="1" applyProtection="1">
      <alignment horizontal="right" vertical="center"/>
    </xf>
    <xf numFmtId="0" fontId="31" fillId="32" borderId="67" xfId="0" applyFont="1" applyFill="1" applyBorder="1" applyProtection="1"/>
    <xf numFmtId="0" fontId="27" fillId="33" borderId="0" xfId="0" applyFont="1" applyFill="1" applyBorder="1" applyProtection="1"/>
    <xf numFmtId="0" fontId="36" fillId="33" borderId="78" xfId="0" applyFont="1" applyFill="1" applyBorder="1" applyAlignment="1" applyProtection="1">
      <alignment horizontal="center"/>
    </xf>
    <xf numFmtId="0" fontId="29" fillId="33" borderId="91" xfId="0" applyFont="1" applyFill="1" applyBorder="1" applyProtection="1"/>
    <xf numFmtId="0" fontId="29" fillId="33" borderId="92" xfId="0" applyFont="1" applyFill="1" applyBorder="1" applyProtection="1"/>
    <xf numFmtId="0" fontId="29" fillId="33" borderId="83" xfId="0" applyFont="1" applyFill="1" applyBorder="1" applyAlignment="1" applyProtection="1"/>
    <xf numFmtId="0" fontId="104" fillId="2" borderId="0" xfId="0" applyFont="1" applyFill="1" applyBorder="1" applyAlignment="1" applyProtection="1">
      <alignment vertical="center" textRotation="90"/>
    </xf>
    <xf numFmtId="0" fontId="98" fillId="2" borderId="0" xfId="0" applyFont="1" applyFill="1" applyBorder="1" applyAlignment="1" applyProtection="1">
      <alignment horizontal="right" vertical="center"/>
    </xf>
    <xf numFmtId="0" fontId="114" fillId="2" borderId="0" xfId="0" applyFont="1" applyFill="1" applyBorder="1" applyAlignment="1" applyProtection="1">
      <alignment vertical="center"/>
    </xf>
    <xf numFmtId="0" fontId="98" fillId="4" borderId="0" xfId="0" applyFont="1" applyFill="1" applyBorder="1" applyAlignment="1" applyProtection="1">
      <alignment vertical="center"/>
    </xf>
    <xf numFmtId="0" fontId="96" fillId="4" borderId="0" xfId="0" applyFont="1" applyFill="1" applyBorder="1" applyAlignment="1" applyProtection="1">
      <alignment horizontal="left" vertical="center"/>
    </xf>
    <xf numFmtId="0" fontId="136" fillId="2" borderId="0" xfId="0" applyFont="1" applyFill="1" applyBorder="1" applyAlignment="1" applyProtection="1"/>
    <xf numFmtId="0" fontId="111" fillId="2" borderId="0" xfId="0" applyFont="1" applyFill="1" applyBorder="1" applyAlignment="1" applyProtection="1"/>
    <xf numFmtId="0" fontId="36" fillId="33" borderId="0" xfId="0" applyFont="1" applyFill="1" applyBorder="1" applyProtection="1"/>
    <xf numFmtId="0" fontId="31" fillId="33" borderId="39" xfId="0" applyFont="1" applyFill="1" applyBorder="1" applyAlignment="1" applyProtection="1">
      <alignment horizontal="left" vertical="center"/>
    </xf>
    <xf numFmtId="0" fontId="31" fillId="33" borderId="40" xfId="0" applyFont="1" applyFill="1" applyBorder="1" applyAlignment="1" applyProtection="1">
      <alignment horizontal="left" vertical="center"/>
    </xf>
    <xf numFmtId="0" fontId="31" fillId="33" borderId="86" xfId="0" applyFont="1" applyFill="1" applyBorder="1" applyAlignment="1" applyProtection="1">
      <alignment horizontal="left" vertical="center"/>
    </xf>
    <xf numFmtId="0" fontId="90" fillId="4" borderId="5" xfId="0" applyFont="1" applyFill="1" applyBorder="1" applyAlignment="1" applyProtection="1">
      <alignment horizontal="left" vertical="center"/>
    </xf>
    <xf numFmtId="0" fontId="29" fillId="33" borderId="0" xfId="0" applyFont="1" applyFill="1" applyBorder="1" applyAlignment="1" applyProtection="1">
      <alignment horizontal="center"/>
    </xf>
    <xf numFmtId="0" fontId="105" fillId="33" borderId="0" xfId="0" applyFont="1" applyFill="1" applyBorder="1" applyAlignment="1" applyProtection="1">
      <alignment vertical="distributed"/>
    </xf>
    <xf numFmtId="0" fontId="105" fillId="33" borderId="0" xfId="0" applyFont="1" applyFill="1" applyBorder="1" applyAlignment="1" applyProtection="1">
      <alignment vertical="center"/>
    </xf>
    <xf numFmtId="14" fontId="137" fillId="33" borderId="0" xfId="0" applyNumberFormat="1" applyFont="1" applyFill="1" applyProtection="1"/>
    <xf numFmtId="0" fontId="119" fillId="2" borderId="4" xfId="0" applyFont="1" applyFill="1" applyBorder="1" applyAlignment="1" applyProtection="1">
      <alignment vertical="center"/>
    </xf>
    <xf numFmtId="182" fontId="90" fillId="2" borderId="0" xfId="0" applyNumberFormat="1" applyFont="1" applyFill="1" applyBorder="1" applyAlignment="1" applyProtection="1">
      <alignment vertical="center"/>
    </xf>
    <xf numFmtId="0" fontId="92" fillId="33" borderId="4" xfId="0" applyFont="1" applyFill="1" applyBorder="1" applyAlignment="1" applyProtection="1">
      <alignment horizontal="center" vertical="center" wrapText="1"/>
    </xf>
    <xf numFmtId="0" fontId="89" fillId="33" borderId="4" xfId="0" applyFont="1" applyFill="1" applyBorder="1" applyAlignment="1" applyProtection="1">
      <alignment horizontal="center" vertical="center"/>
    </xf>
    <xf numFmtId="0" fontId="124" fillId="33" borderId="4" xfId="0" applyFont="1" applyFill="1" applyBorder="1" applyAlignment="1" applyProtection="1">
      <alignment vertical="top"/>
    </xf>
    <xf numFmtId="0" fontId="89" fillId="33" borderId="4" xfId="0" applyFont="1" applyFill="1" applyBorder="1" applyAlignment="1" applyProtection="1">
      <alignment vertical="top"/>
    </xf>
    <xf numFmtId="0" fontId="87" fillId="33" borderId="4" xfId="0" applyFont="1" applyFill="1" applyBorder="1" applyAlignment="1" applyProtection="1">
      <alignment vertical="top"/>
    </xf>
    <xf numFmtId="0" fontId="28" fillId="33" borderId="4" xfId="0" applyFont="1" applyFill="1" applyBorder="1" applyProtection="1"/>
    <xf numFmtId="0" fontId="105" fillId="33" borderId="4" xfId="0" applyFont="1" applyFill="1" applyBorder="1" applyAlignment="1" applyProtection="1">
      <alignment vertical="center" wrapText="1"/>
    </xf>
    <xf numFmtId="0" fontId="103" fillId="33" borderId="4" xfId="0" applyFont="1" applyFill="1" applyBorder="1" applyAlignment="1" applyProtection="1">
      <alignment horizontal="center" vertical="center" wrapText="1"/>
    </xf>
    <xf numFmtId="0" fontId="103" fillId="0" borderId="4" xfId="0" applyFont="1" applyFill="1" applyBorder="1" applyAlignment="1" applyProtection="1">
      <alignment vertical="center" wrapText="1"/>
    </xf>
    <xf numFmtId="0" fontId="28" fillId="0" borderId="4" xfId="0" applyFont="1" applyFill="1" applyBorder="1" applyProtection="1"/>
    <xf numFmtId="0" fontId="90" fillId="0" borderId="4" xfId="0" applyFont="1" applyFill="1" applyBorder="1" applyProtection="1"/>
    <xf numFmtId="0" fontId="93" fillId="4" borderId="0" xfId="0" applyFont="1" applyFill="1" applyBorder="1" applyAlignment="1" applyProtection="1">
      <alignment vertical="center" wrapText="1"/>
      <protection locked="0"/>
    </xf>
    <xf numFmtId="0" fontId="97" fillId="33" borderId="0" xfId="0" applyFont="1" applyFill="1" applyBorder="1" applyAlignment="1" applyProtection="1">
      <alignment vertical="center"/>
    </xf>
    <xf numFmtId="0" fontId="97" fillId="0" borderId="0" xfId="0" applyFont="1" applyFill="1" applyBorder="1" applyAlignment="1" applyProtection="1">
      <alignment vertical="top"/>
    </xf>
    <xf numFmtId="0" fontId="122" fillId="0" borderId="0" xfId="0" applyFont="1" applyBorder="1" applyProtection="1"/>
    <xf numFmtId="0" fontId="122" fillId="0" borderId="0" xfId="0" applyFont="1" applyBorder="1"/>
    <xf numFmtId="0" fontId="122" fillId="0" borderId="0" xfId="0" applyFont="1" applyBorder="1" applyAlignment="1">
      <alignment vertical="center" wrapText="1"/>
    </xf>
    <xf numFmtId="0" fontId="93" fillId="2" borderId="3" xfId="0" applyFont="1" applyFill="1" applyBorder="1" applyAlignment="1" applyProtection="1"/>
    <xf numFmtId="0" fontId="93" fillId="2" borderId="2" xfId="0" applyFont="1" applyFill="1" applyBorder="1" applyAlignment="1" applyProtection="1"/>
    <xf numFmtId="0" fontId="101" fillId="4" borderId="0" xfId="0" applyFont="1" applyFill="1" applyBorder="1" applyAlignment="1" applyProtection="1"/>
    <xf numFmtId="0" fontId="93" fillId="0" borderId="0" xfId="0" applyFont="1" applyFill="1" applyBorder="1" applyAlignment="1" applyProtection="1">
      <alignment horizontal="left" vertical="center"/>
    </xf>
    <xf numFmtId="0" fontId="32" fillId="0" borderId="66" xfId="0" applyFont="1" applyBorder="1" applyAlignment="1" applyProtection="1"/>
    <xf numFmtId="0" fontId="93" fillId="4" borderId="65" xfId="0" applyFont="1" applyFill="1" applyBorder="1" applyAlignment="1" applyProtection="1"/>
    <xf numFmtId="0" fontId="93" fillId="4" borderId="66" xfId="0" applyFont="1" applyFill="1" applyBorder="1" applyAlignment="1" applyProtection="1"/>
    <xf numFmtId="0" fontId="134" fillId="33" borderId="0" xfId="0" applyFont="1" applyFill="1" applyBorder="1" applyAlignment="1" applyProtection="1">
      <alignment horizontal="center"/>
    </xf>
    <xf numFmtId="0" fontId="158" fillId="33" borderId="0" xfId="0" applyFont="1" applyFill="1" applyBorder="1" applyAlignment="1" applyProtection="1">
      <alignment horizontal="left" vertical="center"/>
    </xf>
    <xf numFmtId="0" fontId="158" fillId="33" borderId="0" xfId="0" applyFont="1" applyFill="1" applyBorder="1" applyAlignment="1" applyProtection="1">
      <alignment horizontal="left" vertical="top"/>
    </xf>
    <xf numFmtId="0" fontId="86" fillId="33" borderId="0" xfId="0" applyFont="1" applyFill="1" applyBorder="1" applyAlignment="1" applyProtection="1">
      <alignment horizontal="right" vertical="center"/>
    </xf>
    <xf numFmtId="0" fontId="159" fillId="33" borderId="0" xfId="0" applyFont="1" applyFill="1" applyBorder="1" applyAlignment="1" applyProtection="1">
      <alignment horizontal="right" vertical="center"/>
    </xf>
    <xf numFmtId="0" fontId="154" fillId="0" borderId="0" xfId="0" applyFont="1" applyFill="1" applyBorder="1" applyAlignment="1" applyProtection="1">
      <alignment vertical="center"/>
    </xf>
    <xf numFmtId="0" fontId="24" fillId="33" borderId="0" xfId="0" applyFont="1" applyFill="1" applyBorder="1" applyProtection="1"/>
    <xf numFmtId="0" fontId="32" fillId="33" borderId="78" xfId="0" applyFont="1" applyFill="1" applyBorder="1" applyAlignment="1" applyProtection="1">
      <alignment horizontal="center" vertical="center"/>
    </xf>
    <xf numFmtId="0" fontId="24" fillId="33" borderId="78" xfId="0" applyFont="1" applyFill="1" applyBorder="1" applyAlignment="1" applyProtection="1">
      <alignment horizontal="center" vertical="center"/>
    </xf>
    <xf numFmtId="0" fontId="24" fillId="33" borderId="0" xfId="0" applyFont="1" applyFill="1" applyBorder="1" applyAlignment="1" applyProtection="1">
      <alignment horizontal="center"/>
    </xf>
    <xf numFmtId="0" fontId="100" fillId="33" borderId="0" xfId="0" applyFont="1" applyFill="1" applyBorder="1" applyAlignment="1" applyProtection="1">
      <alignment vertical="center"/>
    </xf>
    <xf numFmtId="0" fontId="89" fillId="33" borderId="0" xfId="145" applyFont="1" applyFill="1" applyBorder="1" applyAlignment="1" applyProtection="1">
      <alignment horizontal="center" vertical="center"/>
    </xf>
    <xf numFmtId="0" fontId="100" fillId="4" borderId="0" xfId="0" applyFont="1" applyFill="1" applyBorder="1" applyAlignment="1" applyProtection="1">
      <alignment horizontal="left" vertical="center" wrapText="1"/>
    </xf>
    <xf numFmtId="0" fontId="40" fillId="33" borderId="0" xfId="0" applyFont="1" applyFill="1" applyBorder="1" applyAlignment="1" applyProtection="1">
      <alignment vertical="distributed"/>
    </xf>
    <xf numFmtId="0" fontId="23" fillId="33" borderId="0" xfId="0" applyFont="1" applyFill="1" applyBorder="1" applyProtection="1"/>
    <xf numFmtId="0" fontId="32" fillId="33" borderId="78" xfId="0" applyFont="1" applyFill="1" applyBorder="1" applyProtection="1"/>
    <xf numFmtId="0" fontId="151" fillId="33" borderId="0" xfId="0" applyFont="1" applyFill="1" applyBorder="1" applyProtection="1"/>
    <xf numFmtId="0" fontId="86" fillId="33" borderId="0" xfId="0" applyFont="1" applyFill="1" applyBorder="1" applyAlignment="1" applyProtection="1">
      <alignment vertical="center" wrapText="1"/>
    </xf>
    <xf numFmtId="0" fontId="125" fillId="33" borderId="0" xfId="0" applyFont="1" applyFill="1" applyBorder="1" applyProtection="1"/>
    <xf numFmtId="0" fontId="161" fillId="33" borderId="0" xfId="0" applyFont="1" applyFill="1" applyBorder="1" applyProtection="1"/>
    <xf numFmtId="0" fontId="162" fillId="33" borderId="0" xfId="0" applyFont="1" applyFill="1" applyBorder="1" applyAlignment="1" applyProtection="1">
      <alignment vertical="center" wrapText="1"/>
    </xf>
    <xf numFmtId="0" fontId="36" fillId="33" borderId="0" xfId="0" applyNumberFormat="1" applyFont="1" applyFill="1" applyBorder="1" applyAlignment="1" applyProtection="1">
      <alignment horizontal="right"/>
    </xf>
    <xf numFmtId="0" fontId="27" fillId="33" borderId="0" xfId="0" applyFont="1" applyFill="1" applyAlignment="1" applyProtection="1">
      <alignment horizontal="center"/>
    </xf>
    <xf numFmtId="0" fontId="149" fillId="33" borderId="0" xfId="1" applyFont="1" applyFill="1" applyBorder="1" applyAlignment="1" applyProtection="1">
      <alignment vertical="center"/>
    </xf>
    <xf numFmtId="0" fontId="22" fillId="33" borderId="0" xfId="0" applyFont="1" applyFill="1" applyBorder="1" applyProtection="1"/>
    <xf numFmtId="0" fontId="36" fillId="33" borderId="0" xfId="0" applyFont="1" applyFill="1" applyBorder="1" applyAlignment="1" applyProtection="1">
      <alignment horizontal="center"/>
    </xf>
    <xf numFmtId="0" fontId="31" fillId="33" borderId="41" xfId="0" applyFont="1" applyFill="1" applyBorder="1" applyAlignment="1" applyProtection="1">
      <alignment horizontal="left" vertical="center"/>
    </xf>
    <xf numFmtId="0" fontId="31" fillId="33" borderId="87" xfId="0" applyFont="1" applyFill="1" applyBorder="1" applyAlignment="1" applyProtection="1">
      <alignment horizontal="left" vertical="center"/>
    </xf>
    <xf numFmtId="0" fontId="31" fillId="33" borderId="93" xfId="0" applyFont="1" applyFill="1" applyBorder="1" applyAlignment="1" applyProtection="1">
      <alignment horizontal="left" vertical="center"/>
    </xf>
    <xf numFmtId="0" fontId="137" fillId="33" borderId="0" xfId="0" applyFont="1" applyFill="1" applyBorder="1" applyProtection="1"/>
    <xf numFmtId="0" fontId="26" fillId="33" borderId="0" xfId="0" applyFont="1" applyFill="1" applyBorder="1" applyProtection="1"/>
    <xf numFmtId="182" fontId="137" fillId="33" borderId="0" xfId="0" applyNumberFormat="1" applyFont="1" applyFill="1" applyBorder="1" applyProtection="1"/>
    <xf numFmtId="0" fontId="31" fillId="33" borderId="0" xfId="0" applyFont="1" applyFill="1" applyBorder="1" applyAlignment="1" applyProtection="1">
      <alignment horizontal="left"/>
    </xf>
    <xf numFmtId="182" fontId="137" fillId="33" borderId="0" xfId="0" applyNumberFormat="1" applyFont="1" applyFill="1" applyBorder="1" applyAlignment="1" applyProtection="1">
      <alignment horizontal="left"/>
    </xf>
    <xf numFmtId="182" fontId="137" fillId="33" borderId="0" xfId="0" applyNumberFormat="1" applyFont="1" applyFill="1" applyBorder="1" applyAlignment="1" applyProtection="1">
      <alignment horizontal="left" vertical="center"/>
    </xf>
    <xf numFmtId="0" fontId="137" fillId="33" borderId="0" xfId="0" applyFont="1" applyFill="1" applyBorder="1" applyAlignment="1" applyProtection="1">
      <alignment horizontal="left" vertical="center"/>
    </xf>
    <xf numFmtId="182" fontId="148" fillId="33" borderId="0" xfId="0" applyNumberFormat="1" applyFont="1" applyFill="1" applyBorder="1" applyAlignment="1" applyProtection="1">
      <alignment horizontal="left" vertical="center"/>
    </xf>
    <xf numFmtId="0" fontId="36" fillId="33" borderId="0" xfId="0" applyFont="1" applyFill="1" applyBorder="1" applyAlignment="1" applyProtection="1">
      <alignment horizontal="left"/>
    </xf>
    <xf numFmtId="0" fontId="167" fillId="33" borderId="0" xfId="0" applyFont="1" applyFill="1" applyBorder="1" applyAlignment="1" applyProtection="1">
      <alignment horizontal="center" vertical="distributed"/>
    </xf>
    <xf numFmtId="0" fontId="138" fillId="33" borderId="0" xfId="0" applyFont="1" applyFill="1" applyBorder="1" applyAlignment="1" applyProtection="1">
      <alignment horizontal="center" vertical="distributed"/>
    </xf>
    <xf numFmtId="0" fontId="167" fillId="33" borderId="0" xfId="0" applyFont="1" applyFill="1" applyBorder="1" applyAlignment="1" applyProtection="1">
      <alignment horizontal="center" vertical="center"/>
    </xf>
    <xf numFmtId="0" fontId="121" fillId="2" borderId="0" xfId="0" applyFont="1" applyFill="1" applyBorder="1" applyAlignment="1" applyProtection="1">
      <alignment vertical="center"/>
    </xf>
    <xf numFmtId="0" fontId="126" fillId="2" borderId="5" xfId="0" applyFont="1" applyFill="1" applyBorder="1" applyAlignment="1" applyProtection="1">
      <alignment vertical="center"/>
    </xf>
    <xf numFmtId="0" fontId="131" fillId="2" borderId="0" xfId="0" applyFont="1" applyFill="1" applyBorder="1" applyAlignment="1" applyProtection="1">
      <alignment horizontal="right" vertical="center"/>
    </xf>
    <xf numFmtId="0" fontId="29" fillId="0" borderId="0" xfId="0" applyFont="1" applyFill="1" applyBorder="1" applyAlignment="1" applyProtection="1">
      <alignment horizontal="center"/>
    </xf>
    <xf numFmtId="0" fontId="21" fillId="33" borderId="0" xfId="0" applyFont="1" applyFill="1" applyBorder="1" applyProtection="1"/>
    <xf numFmtId="0" fontId="36" fillId="33" borderId="41" xfId="0" applyFont="1" applyFill="1" applyBorder="1" applyAlignment="1" applyProtection="1">
      <alignment horizontal="left" vertical="center"/>
    </xf>
    <xf numFmtId="0" fontId="24" fillId="33" borderId="0" xfId="0" applyFont="1" applyFill="1" applyBorder="1" applyAlignment="1" applyProtection="1">
      <alignment horizontal="center" vertical="center"/>
    </xf>
    <xf numFmtId="0" fontId="32" fillId="33" borderId="0" xfId="0" applyFont="1" applyFill="1" applyBorder="1" applyAlignment="1" applyProtection="1">
      <alignment horizontal="center" vertical="center"/>
    </xf>
    <xf numFmtId="182" fontId="36" fillId="33" borderId="78" xfId="0" applyNumberFormat="1" applyFont="1" applyFill="1" applyBorder="1" applyProtection="1"/>
    <xf numFmtId="182" fontId="31" fillId="33" borderId="78" xfId="0" applyNumberFormat="1" applyFont="1" applyFill="1" applyBorder="1" applyProtection="1"/>
    <xf numFmtId="0" fontId="36" fillId="33" borderId="78" xfId="0" applyNumberFormat="1" applyFont="1" applyFill="1" applyBorder="1" applyProtection="1"/>
    <xf numFmtId="0" fontId="130" fillId="0" borderId="78" xfId="0" applyFont="1" applyBorder="1" applyAlignment="1" applyProtection="1">
      <alignment horizontal="center" vertical="center" wrapText="1"/>
    </xf>
    <xf numFmtId="0" fontId="32" fillId="2" borderId="1" xfId="0" applyFont="1" applyFill="1" applyBorder="1" applyAlignment="1" applyProtection="1"/>
    <xf numFmtId="0" fontId="96" fillId="37" borderId="0" xfId="0" applyFont="1" applyFill="1" applyBorder="1" applyAlignment="1" applyProtection="1">
      <alignment vertical="center" textRotation="90"/>
    </xf>
    <xf numFmtId="0" fontId="139" fillId="0" borderId="0" xfId="0" applyFont="1" applyFill="1" applyBorder="1" applyAlignment="1" applyProtection="1">
      <alignment vertical="distributed"/>
    </xf>
    <xf numFmtId="0" fontId="95" fillId="0" borderId="0" xfId="0" applyFont="1" applyFill="1" applyBorder="1" applyAlignment="1" applyProtection="1">
      <alignment horizontal="center" vertical="center"/>
    </xf>
    <xf numFmtId="0" fontId="21" fillId="33" borderId="0" xfId="0" applyFont="1" applyFill="1" applyProtection="1"/>
    <xf numFmtId="0" fontId="31" fillId="33" borderId="79" xfId="0" applyFont="1" applyFill="1" applyBorder="1" applyProtection="1"/>
    <xf numFmtId="0" fontId="166" fillId="33" borderId="0" xfId="0" applyFont="1" applyFill="1" applyProtection="1"/>
    <xf numFmtId="0" fontId="166" fillId="33" borderId="0" xfId="0" applyFont="1" applyFill="1" applyBorder="1" applyProtection="1"/>
    <xf numFmtId="0" fontId="31" fillId="33" borderId="40" xfId="0" applyFont="1" applyFill="1" applyBorder="1" applyProtection="1"/>
    <xf numFmtId="0" fontId="31" fillId="33" borderId="0" xfId="0" applyNumberFormat="1" applyFont="1" applyFill="1" applyBorder="1" applyProtection="1"/>
    <xf numFmtId="0" fontId="31" fillId="33" borderId="78" xfId="0" applyNumberFormat="1" applyFont="1" applyFill="1" applyBorder="1" applyProtection="1"/>
    <xf numFmtId="182" fontId="137" fillId="33" borderId="78" xfId="0" applyNumberFormat="1" applyFont="1" applyFill="1" applyBorder="1" applyProtection="1"/>
    <xf numFmtId="0" fontId="31" fillId="33" borderId="40" xfId="0" applyNumberFormat="1" applyFont="1" applyFill="1" applyBorder="1" applyAlignment="1" applyProtection="1">
      <alignment horizontal="left"/>
    </xf>
    <xf numFmtId="0" fontId="20" fillId="33" borderId="0" xfId="0" applyFont="1" applyFill="1" applyBorder="1" applyProtection="1"/>
    <xf numFmtId="182" fontId="31" fillId="33" borderId="40" xfId="0" applyNumberFormat="1" applyFont="1" applyFill="1" applyBorder="1" applyAlignment="1" applyProtection="1">
      <alignment horizontal="left"/>
    </xf>
    <xf numFmtId="0" fontId="31" fillId="33" borderId="78" xfId="0" applyNumberFormat="1" applyFont="1" applyFill="1" applyBorder="1" applyAlignment="1" applyProtection="1">
      <alignment horizontal="left"/>
    </xf>
    <xf numFmtId="182" fontId="31" fillId="33" borderId="78" xfId="0" applyNumberFormat="1" applyFont="1" applyFill="1" applyBorder="1" applyAlignment="1" applyProtection="1">
      <alignment horizontal="left"/>
    </xf>
    <xf numFmtId="0" fontId="125" fillId="33" borderId="39" xfId="0" applyFont="1" applyFill="1" applyBorder="1" applyAlignment="1" applyProtection="1">
      <alignment horizontal="left" vertical="center"/>
    </xf>
    <xf numFmtId="0" fontId="125" fillId="33" borderId="86" xfId="0" applyFont="1" applyFill="1" applyBorder="1" applyAlignment="1" applyProtection="1">
      <alignment horizontal="left" vertical="center"/>
    </xf>
    <xf numFmtId="0" fontId="106" fillId="33" borderId="0" xfId="0" applyFont="1" applyFill="1" applyBorder="1" applyProtection="1"/>
    <xf numFmtId="0" fontId="90" fillId="2" borderId="0" xfId="0" applyFont="1" applyFill="1" applyBorder="1" applyAlignment="1" applyProtection="1">
      <alignment vertical="center"/>
    </xf>
    <xf numFmtId="0" fontId="100" fillId="33" borderId="0" xfId="0" applyFont="1" applyFill="1" applyBorder="1" applyAlignment="1" applyProtection="1">
      <alignment vertical="center"/>
    </xf>
    <xf numFmtId="0" fontId="104" fillId="33" borderId="0" xfId="0" applyFont="1" applyFill="1" applyBorder="1" applyAlignment="1" applyProtection="1">
      <alignment horizontal="left" vertical="center"/>
    </xf>
    <xf numFmtId="0" fontId="89" fillId="33" borderId="0" xfId="0" applyFont="1" applyFill="1" applyBorder="1" applyAlignment="1" applyProtection="1">
      <alignment horizontal="center" vertical="distributed"/>
    </xf>
    <xf numFmtId="0" fontId="104" fillId="33" borderId="0" xfId="0" applyFont="1" applyFill="1" applyBorder="1" applyAlignment="1" applyProtection="1">
      <alignment horizontal="center" vertical="center"/>
    </xf>
    <xf numFmtId="0" fontId="19" fillId="33" borderId="0" xfId="0" applyFont="1" applyFill="1" applyBorder="1" applyProtection="1"/>
    <xf numFmtId="0" fontId="40" fillId="33" borderId="78" xfId="0" applyFont="1" applyFill="1" applyBorder="1" applyProtection="1"/>
    <xf numFmtId="0" fontId="125" fillId="33" borderId="78" xfId="0" applyFont="1" applyFill="1" applyBorder="1" applyProtection="1"/>
    <xf numFmtId="0" fontId="40" fillId="33" borderId="81" xfId="0" applyFont="1" applyFill="1" applyBorder="1" applyProtection="1"/>
    <xf numFmtId="182" fontId="40" fillId="33" borderId="78" xfId="0" applyNumberFormat="1" applyFont="1" applyFill="1" applyBorder="1" applyProtection="1"/>
    <xf numFmtId="0" fontId="40" fillId="33" borderId="78" xfId="0" applyNumberFormat="1" applyFont="1" applyFill="1" applyBorder="1" applyProtection="1"/>
    <xf numFmtId="182" fontId="125" fillId="33" borderId="78" xfId="0" applyNumberFormat="1" applyFont="1" applyFill="1" applyBorder="1" applyProtection="1"/>
    <xf numFmtId="0" fontId="125" fillId="33" borderId="0" xfId="0" applyNumberFormat="1" applyFont="1" applyFill="1" applyBorder="1" applyProtection="1"/>
    <xf numFmtId="0" fontId="125" fillId="33" borderId="78" xfId="0" applyNumberFormat="1" applyFont="1" applyFill="1" applyBorder="1" applyProtection="1"/>
    <xf numFmtId="182" fontId="169" fillId="33" borderId="78" xfId="0" applyNumberFormat="1" applyFont="1" applyFill="1" applyBorder="1" applyProtection="1"/>
    <xf numFmtId="0" fontId="125" fillId="33" borderId="79" xfId="0" applyFont="1" applyFill="1" applyBorder="1" applyProtection="1"/>
    <xf numFmtId="0" fontId="125" fillId="33" borderId="78" xfId="0" applyFont="1" applyFill="1" applyBorder="1" applyAlignment="1" applyProtection="1">
      <alignment horizontal="left" vertical="center"/>
    </xf>
    <xf numFmtId="0" fontId="125" fillId="33" borderId="40" xfId="0" applyFont="1" applyFill="1" applyBorder="1" applyAlignment="1" applyProtection="1">
      <alignment horizontal="left" vertical="center"/>
    </xf>
    <xf numFmtId="0" fontId="125" fillId="33" borderId="78" xfId="0" applyNumberFormat="1" applyFont="1" applyFill="1" applyBorder="1" applyAlignment="1" applyProtection="1">
      <alignment horizontal="left"/>
    </xf>
    <xf numFmtId="182" fontId="125" fillId="33" borderId="78" xfId="0" applyNumberFormat="1" applyFont="1" applyFill="1" applyBorder="1" applyAlignment="1" applyProtection="1">
      <alignment horizontal="left"/>
    </xf>
    <xf numFmtId="0" fontId="125" fillId="33" borderId="93" xfId="0" applyFont="1" applyFill="1" applyBorder="1" applyAlignment="1" applyProtection="1">
      <alignment horizontal="left" vertical="center"/>
    </xf>
    <xf numFmtId="0" fontId="125" fillId="33" borderId="0" xfId="0" applyFont="1" applyFill="1" applyBorder="1" applyAlignment="1" applyProtection="1">
      <alignment horizontal="left" vertical="center"/>
    </xf>
    <xf numFmtId="182" fontId="125" fillId="33" borderId="87" xfId="0" applyNumberFormat="1" applyFont="1" applyFill="1" applyBorder="1" applyProtection="1"/>
    <xf numFmtId="182" fontId="31" fillId="33" borderId="87" xfId="0" applyNumberFormat="1" applyFont="1" applyFill="1" applyBorder="1" applyProtection="1"/>
    <xf numFmtId="0" fontId="111" fillId="2" borderId="0" xfId="0" applyFont="1" applyFill="1" applyBorder="1" applyAlignment="1" applyProtection="1">
      <alignment vertical="center"/>
    </xf>
    <xf numFmtId="0" fontId="130" fillId="4" borderId="0" xfId="0" applyFont="1" applyFill="1" applyBorder="1" applyAlignment="1" applyProtection="1">
      <alignment horizontal="left"/>
    </xf>
    <xf numFmtId="0" fontId="103" fillId="33" borderId="0" xfId="0" applyFont="1" applyFill="1" applyBorder="1" applyAlignment="1" applyProtection="1">
      <alignment horizontal="right" vertical="top"/>
    </xf>
    <xf numFmtId="182" fontId="40" fillId="33" borderId="0" xfId="0" applyNumberFormat="1" applyFont="1" applyFill="1" applyBorder="1" applyAlignment="1" applyProtection="1">
      <alignment vertical="distributed"/>
    </xf>
    <xf numFmtId="0" fontId="40" fillId="33" borderId="0" xfId="0" applyFont="1" applyFill="1" applyBorder="1" applyAlignment="1" applyProtection="1">
      <alignment horizontal="right"/>
    </xf>
    <xf numFmtId="0" fontId="113" fillId="33" borderId="0" xfId="0" quotePrefix="1" applyFont="1" applyFill="1" applyBorder="1" applyAlignment="1" applyProtection="1">
      <alignment vertical="center" wrapText="1"/>
      <protection locked="0"/>
    </xf>
    <xf numFmtId="0" fontId="125" fillId="0" borderId="0" xfId="0" applyFont="1" applyFill="1" applyBorder="1" applyAlignment="1">
      <alignment horizontal="left" vertical="center"/>
    </xf>
    <xf numFmtId="0" fontId="125" fillId="0" borderId="0" xfId="0" applyNumberFormat="1" applyFont="1" applyFill="1" applyBorder="1" applyAlignment="1">
      <alignment horizontal="center" vertical="center"/>
    </xf>
    <xf numFmtId="0" fontId="125" fillId="0" borderId="0" xfId="0" applyFont="1" applyFill="1" applyAlignment="1">
      <alignment horizontal="left" vertical="center"/>
    </xf>
    <xf numFmtId="0" fontId="123" fillId="37" borderId="76" xfId="0" applyFont="1" applyFill="1" applyBorder="1" applyAlignment="1" applyProtection="1">
      <alignment horizontal="center" vertical="distributed" wrapText="1"/>
    </xf>
    <xf numFmtId="0" fontId="122" fillId="33" borderId="0" xfId="0" applyFont="1" applyFill="1" applyBorder="1" applyAlignment="1" applyProtection="1">
      <alignment horizontal="center"/>
    </xf>
    <xf numFmtId="0" fontId="151" fillId="33" borderId="0" xfId="0" applyFont="1" applyFill="1" applyBorder="1" applyAlignment="1" applyProtection="1">
      <alignment horizontal="left" vertical="center"/>
    </xf>
    <xf numFmtId="182" fontId="151" fillId="33" borderId="0" xfId="0" applyNumberFormat="1" applyFont="1" applyFill="1" applyBorder="1" applyAlignment="1" applyProtection="1">
      <alignment horizontal="left" vertical="center"/>
    </xf>
    <xf numFmtId="0" fontId="90" fillId="33" borderId="0" xfId="0" applyFont="1" applyFill="1" applyBorder="1" applyAlignment="1" applyProtection="1">
      <alignment horizontal="center" vertical="center"/>
    </xf>
    <xf numFmtId="0" fontId="90" fillId="33" borderId="78" xfId="0" applyFont="1" applyFill="1" applyBorder="1" applyAlignment="1" applyProtection="1">
      <alignment horizontal="center" vertical="center"/>
    </xf>
    <xf numFmtId="0" fontId="93" fillId="4" borderId="0" xfId="0" applyFont="1" applyFill="1" applyBorder="1" applyAlignment="1" applyProtection="1">
      <alignment horizontal="center" vertical="center"/>
      <protection locked="0"/>
    </xf>
    <xf numFmtId="0" fontId="93" fillId="4" borderId="0" xfId="0" applyFont="1" applyFill="1" applyBorder="1" applyAlignment="1" applyProtection="1">
      <alignment horizontal="center" vertical="distributed" wrapText="1"/>
      <protection locked="0"/>
    </xf>
    <xf numFmtId="0" fontId="93" fillId="0" borderId="0" xfId="0" applyFont="1" applyFill="1" applyBorder="1" applyProtection="1"/>
    <xf numFmtId="0" fontId="93" fillId="33" borderId="0" xfId="0" applyFont="1" applyFill="1" applyBorder="1" applyAlignment="1" applyProtection="1">
      <alignment vertical="top"/>
    </xf>
    <xf numFmtId="0" fontId="130" fillId="4" borderId="0" xfId="0" applyFont="1" applyFill="1" applyBorder="1" applyAlignment="1" applyProtection="1"/>
    <xf numFmtId="0" fontId="139" fillId="33" borderId="0" xfId="0" applyFont="1" applyFill="1" applyBorder="1" applyAlignment="1" applyProtection="1">
      <alignment vertical="distributed"/>
    </xf>
    <xf numFmtId="0" fontId="125" fillId="0" borderId="0" xfId="0" applyFont="1" applyFill="1"/>
    <xf numFmtId="0" fontId="125" fillId="2" borderId="0" xfId="0" applyFont="1" applyFill="1"/>
    <xf numFmtId="0" fontId="125" fillId="0" borderId="0" xfId="0" applyFont="1" applyFill="1" applyAlignment="1">
      <alignment wrapText="1"/>
    </xf>
    <xf numFmtId="0" fontId="18" fillId="0" borderId="0" xfId="0" applyFont="1" applyFill="1"/>
    <xf numFmtId="0" fontId="125" fillId="2" borderId="0" xfId="0" applyFont="1" applyFill="1" applyAlignment="1">
      <alignment horizontal="left" vertical="center"/>
    </xf>
    <xf numFmtId="0" fontId="125" fillId="33" borderId="0" xfId="0" applyFont="1" applyFill="1"/>
    <xf numFmtId="0" fontId="165" fillId="42" borderId="83" xfId="0" applyNumberFormat="1" applyFont="1" applyFill="1" applyBorder="1" applyAlignment="1" applyProtection="1">
      <alignment vertical="center" wrapText="1"/>
    </xf>
    <xf numFmtId="0" fontId="165" fillId="42" borderId="84" xfId="0" applyNumberFormat="1" applyFont="1" applyFill="1" applyBorder="1" applyAlignment="1" applyProtection="1">
      <alignment vertical="center" wrapText="1"/>
    </xf>
    <xf numFmtId="0" fontId="32" fillId="42" borderId="82" xfId="0" applyFont="1" applyFill="1" applyBorder="1" applyProtection="1"/>
    <xf numFmtId="0" fontId="87" fillId="33" borderId="0" xfId="0" applyFont="1" applyFill="1" applyBorder="1" applyAlignment="1" applyProtection="1">
      <alignment horizontal="left" vertical="top"/>
    </xf>
    <xf numFmtId="0" fontId="28" fillId="33" borderId="90" xfId="0" applyFont="1" applyFill="1" applyBorder="1" applyProtection="1"/>
    <xf numFmtId="0" fontId="143" fillId="2" borderId="4" xfId="0" applyFont="1" applyFill="1" applyBorder="1" applyAlignment="1" applyProtection="1">
      <alignment vertical="center"/>
    </xf>
    <xf numFmtId="0" fontId="143" fillId="2" borderId="5" xfId="0" applyFont="1" applyFill="1" applyBorder="1" applyAlignment="1" applyProtection="1">
      <alignment horizontal="center" vertical="center"/>
    </xf>
    <xf numFmtId="0" fontId="113" fillId="33" borderId="0" xfId="0" applyFont="1" applyFill="1" applyBorder="1" applyProtection="1"/>
    <xf numFmtId="0" fontId="28" fillId="33" borderId="78" xfId="0" applyFont="1" applyFill="1" applyBorder="1" applyAlignment="1" applyProtection="1">
      <alignment horizontal="left" vertical="distributed"/>
    </xf>
    <xf numFmtId="0" fontId="113" fillId="33" borderId="0" xfId="0" applyFont="1" applyFill="1" applyProtection="1"/>
    <xf numFmtId="0" fontId="93" fillId="33" borderId="0" xfId="0" applyFont="1" applyFill="1" applyAlignment="1" applyProtection="1">
      <alignment horizontal="right" vertical="center"/>
    </xf>
    <xf numFmtId="0" fontId="93" fillId="33" borderId="0" xfId="0" applyFont="1" applyFill="1" applyBorder="1" applyAlignment="1" applyProtection="1">
      <alignment horizontal="right" vertical="center"/>
    </xf>
    <xf numFmtId="0" fontId="28" fillId="33" borderId="0" xfId="0" applyFont="1" applyFill="1" applyAlignment="1" applyProtection="1">
      <alignment horizontal="center" vertical="center"/>
    </xf>
    <xf numFmtId="0" fontId="141" fillId="33" borderId="0" xfId="0" applyFont="1" applyFill="1" applyAlignment="1" applyProtection="1">
      <alignment horizontal="center" vertical="center"/>
    </xf>
    <xf numFmtId="0" fontId="28" fillId="33" borderId="0" xfId="0" applyFont="1" applyFill="1" applyBorder="1" applyAlignment="1" applyProtection="1">
      <alignment horizontal="center" vertical="center"/>
    </xf>
    <xf numFmtId="0" fontId="113" fillId="33" borderId="79" xfId="0" applyFont="1" applyFill="1" applyBorder="1" applyProtection="1"/>
    <xf numFmtId="0" fontId="28" fillId="33" borderId="95" xfId="0" applyFont="1" applyFill="1" applyBorder="1" applyAlignment="1" applyProtection="1">
      <alignment horizontal="left" vertical="distributed"/>
    </xf>
    <xf numFmtId="0" fontId="28" fillId="33" borderId="96" xfId="0" applyFont="1" applyFill="1" applyBorder="1" applyAlignment="1" applyProtection="1">
      <alignment horizontal="left" vertical="distributed"/>
    </xf>
    <xf numFmtId="0" fontId="28" fillId="33" borderId="97" xfId="0" applyFont="1" applyFill="1" applyBorder="1" applyAlignment="1" applyProtection="1">
      <alignment horizontal="left" vertical="distributed"/>
    </xf>
    <xf numFmtId="0" fontId="28" fillId="33" borderId="79" xfId="0" applyFont="1" applyFill="1" applyBorder="1" applyAlignment="1" applyProtection="1">
      <alignment horizontal="left" vertical="distributed"/>
    </xf>
    <xf numFmtId="0" fontId="118" fillId="37" borderId="78" xfId="0" applyFont="1" applyFill="1" applyBorder="1" applyAlignment="1" applyProtection="1">
      <alignment vertical="distributed"/>
    </xf>
    <xf numFmtId="182" fontId="100" fillId="37" borderId="9" xfId="0" applyNumberFormat="1" applyFont="1" applyFill="1" applyBorder="1" applyAlignment="1" applyProtection="1">
      <alignment horizontal="center" vertical="center"/>
    </xf>
    <xf numFmtId="0" fontId="104" fillId="2" borderId="0" xfId="0" applyFont="1" applyFill="1" applyBorder="1" applyAlignment="1" applyProtection="1">
      <alignment vertical="center"/>
    </xf>
    <xf numFmtId="0" fontId="97" fillId="2" borderId="0" xfId="0" applyFont="1" applyFill="1" applyBorder="1" applyAlignment="1" applyProtection="1">
      <alignment horizontal="center"/>
    </xf>
    <xf numFmtId="179" fontId="122" fillId="0" borderId="0" xfId="0" applyNumberFormat="1" applyFont="1" applyFill="1" applyBorder="1" applyAlignment="1" applyProtection="1">
      <alignment vertical="top" wrapText="1"/>
    </xf>
    <xf numFmtId="0" fontId="119" fillId="2" borderId="0" xfId="0" applyFont="1" applyFill="1" applyBorder="1" applyAlignment="1" applyProtection="1">
      <alignment vertical="center"/>
    </xf>
    <xf numFmtId="0" fontId="175" fillId="4" borderId="0" xfId="0" applyFont="1" applyFill="1" applyBorder="1" applyAlignment="1" applyProtection="1">
      <alignment horizontal="center"/>
    </xf>
    <xf numFmtId="0" fontId="175" fillId="0" borderId="0" xfId="0" applyFont="1" applyFill="1" applyBorder="1" applyAlignment="1" applyProtection="1"/>
    <xf numFmtId="0" fontId="175" fillId="33" borderId="0" xfId="0" applyFont="1" applyFill="1" applyBorder="1" applyAlignment="1" applyProtection="1"/>
    <xf numFmtId="0" fontId="31" fillId="2" borderId="0" xfId="0" applyFont="1" applyFill="1" applyBorder="1" applyAlignment="1" applyProtection="1"/>
    <xf numFmtId="0" fontId="145" fillId="33" borderId="0" xfId="0" applyNumberFormat="1" applyFont="1" applyFill="1" applyBorder="1" applyAlignment="1" applyProtection="1">
      <alignment vertical="center" textRotation="90"/>
    </xf>
    <xf numFmtId="0" fontId="177" fillId="33" borderId="0" xfId="0" applyFont="1" applyFill="1" applyBorder="1" applyAlignment="1" applyProtection="1">
      <alignment textRotation="90"/>
    </xf>
    <xf numFmtId="0" fontId="141" fillId="33" borderId="0" xfId="0" applyFont="1" applyFill="1" applyAlignment="1" applyProtection="1">
      <alignment horizontal="left" vertical="center"/>
    </xf>
    <xf numFmtId="0" fontId="28" fillId="33" borderId="26" xfId="0" applyFont="1" applyFill="1" applyBorder="1" applyProtection="1"/>
    <xf numFmtId="0" fontId="101" fillId="33" borderId="26" xfId="0" applyFont="1" applyFill="1" applyBorder="1" applyProtection="1"/>
    <xf numFmtId="0" fontId="90" fillId="33" borderId="42" xfId="0" applyFont="1" applyFill="1" applyBorder="1" applyProtection="1"/>
    <xf numFmtId="0" fontId="113" fillId="33" borderId="78" xfId="0" applyFont="1" applyFill="1" applyBorder="1" applyProtection="1"/>
    <xf numFmtId="0" fontId="28" fillId="33" borderId="95" xfId="0" applyFont="1" applyFill="1" applyBorder="1" applyProtection="1"/>
    <xf numFmtId="0" fontId="28" fillId="33" borderId="96" xfId="0" applyFont="1" applyFill="1" applyBorder="1" applyProtection="1"/>
    <xf numFmtId="0" fontId="28" fillId="33" borderId="97" xfId="0" applyFont="1" applyFill="1" applyBorder="1" applyProtection="1"/>
    <xf numFmtId="0" fontId="179" fillId="2" borderId="0" xfId="0" applyFont="1" applyFill="1" applyBorder="1" applyAlignment="1" applyProtection="1">
      <alignment horizontal="left" vertical="center"/>
    </xf>
    <xf numFmtId="0" fontId="95" fillId="2" borderId="0" xfId="0" applyFont="1" applyFill="1" applyBorder="1" applyAlignment="1" applyProtection="1">
      <alignment horizontal="right" vertical="center"/>
    </xf>
    <xf numFmtId="0" fontId="171" fillId="2" borderId="0" xfId="0" applyFont="1" applyFill="1" applyBorder="1" applyAlignment="1" applyProtection="1">
      <alignment vertical="distributed"/>
    </xf>
    <xf numFmtId="0" fontId="176" fillId="2" borderId="0" xfId="0" applyFont="1" applyFill="1" applyBorder="1" applyAlignment="1" applyProtection="1">
      <alignment vertical="distributed"/>
    </xf>
    <xf numFmtId="0" fontId="102" fillId="2" borderId="0" xfId="0" applyFont="1" applyFill="1" applyBorder="1" applyAlignment="1" applyProtection="1">
      <alignment vertical="center" wrapText="1"/>
    </xf>
    <xf numFmtId="0" fontId="118" fillId="2" borderId="0" xfId="0" applyFont="1" applyFill="1" applyBorder="1" applyAlignment="1" applyProtection="1">
      <alignment horizontal="right" vertical="center" wrapText="1"/>
    </xf>
    <xf numFmtId="0" fontId="102" fillId="2" borderId="4" xfId="0" applyFont="1" applyFill="1" applyBorder="1" applyAlignment="1" applyProtection="1">
      <alignment horizontal="center" vertical="center" textRotation="90"/>
    </xf>
    <xf numFmtId="0" fontId="130" fillId="2" borderId="0" xfId="0" applyFont="1" applyFill="1" applyBorder="1" applyAlignment="1" applyProtection="1">
      <alignment horizontal="left" vertical="center"/>
    </xf>
    <xf numFmtId="0" fontId="93" fillId="0" borderId="78" xfId="0" applyFont="1" applyFill="1" applyBorder="1" applyAlignment="1" applyProtection="1">
      <alignment horizontal="center" vertical="center"/>
      <protection locked="0"/>
    </xf>
    <xf numFmtId="179" fontId="95" fillId="2" borderId="0" xfId="0" applyNumberFormat="1" applyFont="1" applyFill="1" applyBorder="1" applyAlignment="1" applyProtection="1">
      <alignment horizontal="right" vertical="center"/>
    </xf>
    <xf numFmtId="0" fontId="87" fillId="2" borderId="0" xfId="0" applyFont="1" applyFill="1" applyBorder="1" applyAlignment="1" applyProtection="1">
      <alignment vertical="center" wrapText="1"/>
    </xf>
    <xf numFmtId="0" fontId="139" fillId="2" borderId="0" xfId="0" applyFont="1" applyFill="1" applyBorder="1" applyAlignment="1" applyProtection="1">
      <alignment horizontal="center" vertical="center"/>
    </xf>
    <xf numFmtId="182" fontId="113" fillId="2" borderId="0" xfId="0" applyNumberFormat="1" applyFont="1" applyFill="1" applyBorder="1" applyAlignment="1" applyProtection="1">
      <alignment vertical="center"/>
    </xf>
    <xf numFmtId="0" fontId="89" fillId="33" borderId="0" xfId="0" applyFont="1" applyFill="1" applyBorder="1" applyAlignment="1" applyProtection="1">
      <alignment horizontal="center" vertical="center"/>
    </xf>
    <xf numFmtId="0" fontId="90" fillId="33" borderId="78" xfId="0" applyFont="1" applyFill="1" applyBorder="1" applyAlignment="1" applyProtection="1">
      <alignment horizontal="center" vertical="center"/>
      <protection locked="0"/>
    </xf>
    <xf numFmtId="0" fontId="125" fillId="2" borderId="0" xfId="0" applyFont="1" applyFill="1" applyBorder="1" applyAlignment="1" applyProtection="1">
      <alignment horizontal="center" vertical="top"/>
    </xf>
    <xf numFmtId="0" fontId="31" fillId="2" borderId="0" xfId="0" applyFont="1" applyFill="1" applyBorder="1" applyAlignment="1" applyProtection="1">
      <alignment horizontal="right" vertical="center"/>
    </xf>
    <xf numFmtId="179" fontId="125" fillId="2" borderId="0" xfId="0" applyNumberFormat="1" applyFont="1" applyFill="1" applyBorder="1" applyAlignment="1" applyProtection="1">
      <alignment horizontal="center" vertical="center" wrapText="1"/>
    </xf>
    <xf numFmtId="179" fontId="31" fillId="2" borderId="0" xfId="0" applyNumberFormat="1" applyFont="1" applyFill="1" applyBorder="1" applyAlignment="1" applyProtection="1">
      <alignment horizontal="center" vertical="center"/>
    </xf>
    <xf numFmtId="0" fontId="177" fillId="2" borderId="0" xfId="0" applyFont="1" applyFill="1" applyBorder="1" applyAlignment="1" applyProtection="1">
      <alignment textRotation="90"/>
    </xf>
    <xf numFmtId="0" fontId="31" fillId="0" borderId="6" xfId="0" applyFont="1" applyBorder="1" applyProtection="1"/>
    <xf numFmtId="0" fontId="31" fillId="0" borderId="7" xfId="0" applyFont="1" applyBorder="1" applyProtection="1"/>
    <xf numFmtId="0" fontId="126" fillId="4" borderId="7" xfId="0" applyFont="1" applyFill="1" applyBorder="1" applyAlignment="1" applyProtection="1">
      <alignment vertical="center" wrapText="1"/>
    </xf>
    <xf numFmtId="0" fontId="31" fillId="33" borderId="7" xfId="0" applyFont="1" applyFill="1" applyBorder="1" applyProtection="1"/>
    <xf numFmtId="0" fontId="31" fillId="33" borderId="8" xfId="0" applyFont="1" applyFill="1" applyBorder="1" applyProtection="1"/>
    <xf numFmtId="0" fontId="125" fillId="4" borderId="4" xfId="0" applyFont="1" applyFill="1" applyBorder="1" applyProtection="1"/>
    <xf numFmtId="0" fontId="125" fillId="4" borderId="0" xfId="0" applyFont="1" applyFill="1" applyBorder="1" applyProtection="1"/>
    <xf numFmtId="0" fontId="102" fillId="2" borderId="5" xfId="0" applyFont="1" applyFill="1" applyBorder="1" applyAlignment="1" applyProtection="1">
      <alignment vertical="center" wrapText="1"/>
    </xf>
    <xf numFmtId="0" fontId="102" fillId="2" borderId="4" xfId="0" applyFont="1" applyFill="1" applyBorder="1" applyAlignment="1" applyProtection="1">
      <alignment vertical="center"/>
    </xf>
    <xf numFmtId="0" fontId="36" fillId="33" borderId="78" xfId="0" applyFont="1" applyFill="1" applyBorder="1" applyAlignment="1" applyProtection="1">
      <alignment horizontal="left"/>
    </xf>
    <xf numFmtId="0" fontId="147" fillId="33" borderId="78" xfId="0" applyFont="1" applyFill="1" applyBorder="1" applyAlignment="1" applyProtection="1">
      <alignment horizontal="left"/>
    </xf>
    <xf numFmtId="0" fontId="104" fillId="0" borderId="0" xfId="0" applyFont="1" applyFill="1" applyBorder="1" applyAlignment="1" applyProtection="1">
      <alignment vertical="center"/>
    </xf>
    <xf numFmtId="0" fontId="119" fillId="2" borderId="7" xfId="0" applyFont="1" applyFill="1" applyBorder="1" applyAlignment="1" applyProtection="1">
      <alignment vertical="center"/>
    </xf>
    <xf numFmtId="0" fontId="151" fillId="33" borderId="78" xfId="0" applyFont="1" applyFill="1" applyBorder="1" applyProtection="1"/>
    <xf numFmtId="180" fontId="93" fillId="33" borderId="0" xfId="0" applyNumberFormat="1" applyFont="1" applyFill="1" applyBorder="1" applyAlignment="1" applyProtection="1">
      <alignment horizontal="center" vertical="center"/>
    </xf>
    <xf numFmtId="0" fontId="104" fillId="2" borderId="0" xfId="0" applyFont="1" applyFill="1" applyBorder="1" applyAlignment="1" applyProtection="1">
      <alignment vertical="top"/>
    </xf>
    <xf numFmtId="0" fontId="144" fillId="33" borderId="0" xfId="0" applyFont="1" applyFill="1" applyBorder="1" applyAlignment="1" applyProtection="1">
      <alignment horizontal="center" vertical="center"/>
    </xf>
    <xf numFmtId="0" fontId="113" fillId="33" borderId="0" xfId="0" applyFont="1" applyFill="1" applyBorder="1" applyAlignment="1" applyProtection="1">
      <alignment horizontal="left" vertical="distributed"/>
    </xf>
    <xf numFmtId="0" fontId="183" fillId="33" borderId="0" xfId="0" applyFont="1" applyFill="1" applyAlignment="1" applyProtection="1">
      <alignment vertical="center"/>
    </xf>
    <xf numFmtId="0" fontId="125" fillId="0" borderId="0" xfId="0" applyFont="1" applyProtection="1"/>
    <xf numFmtId="0" fontId="17" fillId="0" borderId="0" xfId="0" applyFont="1" applyProtection="1"/>
    <xf numFmtId="0" fontId="169" fillId="0" borderId="0" xfId="0" applyFont="1" applyProtection="1"/>
    <xf numFmtId="0" fontId="151" fillId="0" borderId="0" xfId="0" applyFont="1" applyProtection="1"/>
    <xf numFmtId="0" fontId="139" fillId="0" borderId="0" xfId="0" applyFont="1" applyProtection="1"/>
    <xf numFmtId="0" fontId="89" fillId="2" borderId="4" xfId="0" applyFont="1" applyFill="1" applyBorder="1" applyAlignment="1" applyProtection="1">
      <alignment vertical="center"/>
    </xf>
    <xf numFmtId="0" fontId="16" fillId="33" borderId="0" xfId="0" applyFont="1" applyFill="1" applyProtection="1"/>
    <xf numFmtId="0" fontId="128" fillId="33" borderId="8" xfId="145" applyFont="1" applyFill="1" applyBorder="1" applyAlignment="1" applyProtection="1">
      <alignment horizontal="right" vertical="center"/>
    </xf>
    <xf numFmtId="0" fontId="121" fillId="2" borderId="5" xfId="0" applyFont="1" applyFill="1" applyBorder="1" applyAlignment="1" applyProtection="1">
      <alignment vertical="center"/>
    </xf>
    <xf numFmtId="182" fontId="113" fillId="2" borderId="5" xfId="0" applyNumberFormat="1" applyFont="1" applyFill="1" applyBorder="1" applyAlignment="1" applyProtection="1">
      <alignment vertical="center"/>
    </xf>
    <xf numFmtId="0" fontId="31" fillId="2" borderId="5" xfId="0" applyFont="1" applyFill="1" applyBorder="1" applyAlignment="1" applyProtection="1"/>
    <xf numFmtId="0" fontId="95" fillId="2" borderId="5" xfId="0" applyFont="1" applyFill="1" applyBorder="1" applyAlignment="1" applyProtection="1">
      <alignment vertical="top"/>
    </xf>
    <xf numFmtId="0" fontId="125" fillId="33" borderId="1" xfId="0" applyFont="1" applyFill="1" applyBorder="1" applyAlignment="1" applyProtection="1">
      <alignment horizontal="center" vertical="top"/>
    </xf>
    <xf numFmtId="0" fontId="30" fillId="2" borderId="3" xfId="0" applyFont="1" applyFill="1" applyBorder="1" applyAlignment="1" applyProtection="1"/>
    <xf numFmtId="0" fontId="30" fillId="2" borderId="2" xfId="0" applyFont="1" applyFill="1" applyBorder="1" applyAlignment="1" applyProtection="1">
      <alignment horizontal="left" vertical="center"/>
    </xf>
    <xf numFmtId="0" fontId="93" fillId="2" borderId="2" xfId="0" applyFont="1" applyFill="1" applyBorder="1" applyAlignment="1" applyProtection="1">
      <alignment vertical="center"/>
    </xf>
    <xf numFmtId="179" fontId="93" fillId="2" borderId="2" xfId="0" applyNumberFormat="1" applyFont="1" applyFill="1" applyBorder="1" applyAlignment="1" applyProtection="1">
      <alignment vertical="center"/>
    </xf>
    <xf numFmtId="179" fontId="93" fillId="2" borderId="2" xfId="0" applyNumberFormat="1" applyFont="1" applyFill="1" applyBorder="1" applyAlignment="1" applyProtection="1">
      <alignment horizontal="center" vertical="top" wrapText="1"/>
    </xf>
    <xf numFmtId="0" fontId="98" fillId="2" borderId="2" xfId="0" applyFont="1" applyFill="1" applyBorder="1" applyAlignment="1" applyProtection="1">
      <alignment vertical="center"/>
    </xf>
    <xf numFmtId="0" fontId="98" fillId="2" borderId="1" xfId="0" applyFont="1" applyFill="1" applyBorder="1" applyAlignment="1" applyProtection="1">
      <alignment vertical="center"/>
    </xf>
    <xf numFmtId="0" fontId="104" fillId="2" borderId="4" xfId="0" applyFont="1" applyFill="1" applyBorder="1" applyAlignment="1" applyProtection="1"/>
    <xf numFmtId="0" fontId="112" fillId="2" borderId="3" xfId="0" applyFont="1" applyFill="1" applyBorder="1" applyAlignment="1" applyProtection="1">
      <alignment vertical="center"/>
    </xf>
    <xf numFmtId="0" fontId="112" fillId="2" borderId="2" xfId="0" applyFont="1" applyFill="1" applyBorder="1" applyAlignment="1" applyProtection="1">
      <alignment vertical="center"/>
    </xf>
    <xf numFmtId="0" fontId="112" fillId="2" borderId="2" xfId="0" applyFont="1" applyFill="1" applyBorder="1" applyAlignment="1" applyProtection="1">
      <alignment horizontal="left" vertical="center"/>
    </xf>
    <xf numFmtId="0" fontId="101" fillId="2" borderId="2" xfId="0" applyFont="1" applyFill="1" applyBorder="1" applyAlignment="1" applyProtection="1">
      <alignment vertical="center"/>
    </xf>
    <xf numFmtId="0" fontId="101" fillId="2" borderId="2" xfId="0" applyFont="1" applyFill="1" applyBorder="1" applyAlignment="1" applyProtection="1"/>
    <xf numFmtId="0" fontId="101" fillId="2" borderId="1" xfId="0" applyFont="1" applyFill="1" applyBorder="1" applyAlignment="1" applyProtection="1"/>
    <xf numFmtId="14" fontId="93" fillId="0" borderId="33" xfId="0" applyNumberFormat="1" applyFont="1" applyFill="1" applyBorder="1" applyAlignment="1" applyProtection="1">
      <alignment horizontal="center" vertical="center"/>
      <protection locked="0"/>
    </xf>
    <xf numFmtId="0" fontId="90" fillId="4" borderId="107" xfId="0" applyFont="1" applyFill="1" applyBorder="1" applyAlignment="1" applyProtection="1"/>
    <xf numFmtId="0" fontId="100" fillId="2" borderId="0" xfId="0" applyFont="1" applyFill="1" applyBorder="1" applyAlignment="1" applyProtection="1">
      <alignment horizontal="left" vertical="center"/>
    </xf>
    <xf numFmtId="0" fontId="36" fillId="0" borderId="0" xfId="0" applyFont="1" applyFill="1" applyAlignment="1">
      <alignment horizontal="right"/>
    </xf>
    <xf numFmtId="0" fontId="105" fillId="2" borderId="0" xfId="0" applyFont="1" applyFill="1" applyBorder="1" applyAlignment="1" applyProtection="1">
      <alignment vertical="center"/>
    </xf>
    <xf numFmtId="0" fontId="105" fillId="0" borderId="0" xfId="0" applyFont="1" applyFill="1" applyBorder="1" applyAlignment="1" applyProtection="1">
      <alignment vertical="center"/>
    </xf>
    <xf numFmtId="0" fontId="86" fillId="33" borderId="0" xfId="0" quotePrefix="1" applyNumberFormat="1" applyFont="1" applyFill="1" applyBorder="1" applyAlignment="1" applyProtection="1">
      <alignment vertical="top" wrapText="1"/>
    </xf>
    <xf numFmtId="0" fontId="104" fillId="2" borderId="4" xfId="0" applyFont="1" applyFill="1" applyBorder="1" applyAlignment="1" applyProtection="1">
      <alignment horizontal="left" vertical="center"/>
    </xf>
    <xf numFmtId="0" fontId="100" fillId="33" borderId="0" xfId="0" applyFont="1" applyFill="1" applyBorder="1" applyAlignment="1" applyProtection="1">
      <alignment horizontal="left" vertical="center"/>
    </xf>
    <xf numFmtId="0" fontId="100" fillId="33" borderId="0" xfId="0" applyFont="1" applyFill="1" applyBorder="1" applyAlignment="1" applyProtection="1">
      <alignment horizontal="center" vertical="center"/>
    </xf>
    <xf numFmtId="0" fontId="93" fillId="33" borderId="0" xfId="0" applyFont="1" applyFill="1" applyBorder="1" applyAlignment="1" applyProtection="1">
      <alignment horizontal="center" vertical="center"/>
    </xf>
    <xf numFmtId="0" fontId="100" fillId="0" borderId="0" xfId="0" applyFont="1" applyFill="1" applyBorder="1" applyAlignment="1" applyProtection="1">
      <alignment horizontal="left" vertical="center"/>
    </xf>
    <xf numFmtId="0" fontId="90" fillId="33" borderId="0" xfId="0" applyFont="1" applyFill="1" applyBorder="1" applyAlignment="1" applyProtection="1">
      <alignment horizontal="center" vertical="center"/>
    </xf>
    <xf numFmtId="0" fontId="100" fillId="33" borderId="0" xfId="0" applyFont="1" applyFill="1" applyBorder="1" applyAlignment="1" applyProtection="1">
      <alignment vertical="center"/>
    </xf>
    <xf numFmtId="0" fontId="89" fillId="33" borderId="0" xfId="0" applyFont="1" applyFill="1" applyBorder="1" applyAlignment="1" applyProtection="1">
      <alignment horizontal="center" vertical="center"/>
    </xf>
    <xf numFmtId="0" fontId="130" fillId="2" borderId="0" xfId="0" applyFont="1" applyFill="1" applyBorder="1" applyAlignment="1" applyProtection="1">
      <alignment horizontal="left" vertical="center"/>
    </xf>
    <xf numFmtId="0" fontId="139" fillId="33" borderId="78" xfId="0" applyFont="1" applyFill="1" applyBorder="1" applyAlignment="1" applyProtection="1">
      <alignment horizontal="center" vertical="center"/>
      <protection locked="0"/>
    </xf>
    <xf numFmtId="0" fontId="113" fillId="0" borderId="0" xfId="0" applyFont="1" applyFill="1" applyBorder="1" applyAlignment="1" applyProtection="1">
      <alignment horizontal="center" vertical="center"/>
    </xf>
    <xf numFmtId="0" fontId="96" fillId="33" borderId="0" xfId="0" applyFont="1" applyFill="1" applyBorder="1" applyAlignment="1" applyProtection="1">
      <alignment horizontal="right" vertical="center"/>
    </xf>
    <xf numFmtId="0" fontId="111" fillId="2" borderId="4" xfId="0" applyFont="1" applyFill="1" applyBorder="1" applyAlignment="1" applyProtection="1">
      <alignment horizontal="left" vertical="center" textRotation="90"/>
    </xf>
    <xf numFmtId="0" fontId="98" fillId="33" borderId="0" xfId="0" applyFont="1" applyFill="1" applyBorder="1" applyAlignment="1" applyProtection="1">
      <alignment horizontal="center" vertical="center"/>
    </xf>
    <xf numFmtId="0" fontId="29" fillId="4" borderId="0" xfId="0" applyFont="1" applyFill="1" applyBorder="1" applyAlignment="1" applyProtection="1">
      <alignment horizontal="center"/>
    </xf>
    <xf numFmtId="0" fontId="100" fillId="0" borderId="0" xfId="0" applyFont="1" applyFill="1" applyBorder="1" applyAlignment="1" applyProtection="1">
      <alignment vertical="center"/>
    </xf>
    <xf numFmtId="0" fontId="93" fillId="0" borderId="0" xfId="0" applyFont="1" applyFill="1" applyBorder="1" applyAlignment="1" applyProtection="1">
      <alignment horizontal="center" vertical="center"/>
    </xf>
    <xf numFmtId="0" fontId="118" fillId="33" borderId="0" xfId="0" applyFont="1" applyFill="1" applyBorder="1" applyAlignment="1" applyProtection="1">
      <alignment vertical="center"/>
    </xf>
    <xf numFmtId="0" fontId="113" fillId="33" borderId="0" xfId="0" applyFont="1" applyFill="1" applyBorder="1" applyAlignment="1" applyProtection="1">
      <alignment horizontal="left" vertical="center"/>
    </xf>
    <xf numFmtId="0" fontId="131" fillId="33" borderId="0" xfId="0" applyFont="1" applyFill="1" applyBorder="1" applyAlignment="1" applyProtection="1">
      <alignment vertical="center"/>
    </xf>
    <xf numFmtId="0" fontId="15" fillId="0" borderId="0" xfId="0" applyFont="1" applyProtection="1"/>
    <xf numFmtId="0" fontId="139" fillId="33" borderId="0" xfId="0" applyFont="1" applyFill="1" applyBorder="1" applyAlignment="1" applyProtection="1">
      <alignment horizontal="left" vertical="center"/>
    </xf>
    <xf numFmtId="0" fontId="185" fillId="33" borderId="0" xfId="0" applyFont="1" applyFill="1" applyBorder="1" applyAlignment="1" applyProtection="1">
      <alignment horizontal="left" vertical="center"/>
    </xf>
    <xf numFmtId="49" fontId="105" fillId="33" borderId="66" xfId="0" quotePrefix="1" applyNumberFormat="1" applyFont="1" applyFill="1" applyBorder="1" applyAlignment="1" applyProtection="1">
      <alignment horizontal="left" vertical="center"/>
    </xf>
    <xf numFmtId="49" fontId="105" fillId="33" borderId="66" xfId="0" applyNumberFormat="1" applyFont="1" applyFill="1" applyBorder="1" applyAlignment="1" applyProtection="1">
      <alignment horizontal="center" vertical="center"/>
    </xf>
    <xf numFmtId="49" fontId="105" fillId="33" borderId="67" xfId="0" applyNumberFormat="1" applyFont="1" applyFill="1" applyBorder="1" applyAlignment="1" applyProtection="1">
      <alignment horizontal="center" vertical="center"/>
    </xf>
    <xf numFmtId="182" fontId="93" fillId="4" borderId="0" xfId="0" applyNumberFormat="1" applyFont="1" applyFill="1" applyBorder="1" applyAlignment="1" applyProtection="1">
      <alignment vertical="center"/>
    </xf>
    <xf numFmtId="49" fontId="118" fillId="33" borderId="66" xfId="0" quotePrefix="1" applyNumberFormat="1" applyFont="1" applyFill="1" applyBorder="1" applyAlignment="1" applyProtection="1">
      <alignment vertical="center"/>
    </xf>
    <xf numFmtId="0" fontId="127" fillId="0" borderId="0" xfId="0" applyFont="1" applyFill="1"/>
    <xf numFmtId="0" fontId="166" fillId="0" borderId="0" xfId="0" applyFont="1" applyFill="1"/>
    <xf numFmtId="0" fontId="14" fillId="0" borderId="0" xfId="0" applyFont="1" applyFill="1"/>
    <xf numFmtId="0" fontId="14" fillId="0" borderId="0" xfId="0" applyFont="1" applyFill="1" applyAlignment="1">
      <alignment vertical="distributed"/>
    </xf>
    <xf numFmtId="0" fontId="14" fillId="2" borderId="0" xfId="0" applyFont="1" applyFill="1"/>
    <xf numFmtId="0" fontId="14" fillId="0" borderId="0" xfId="0" applyFont="1"/>
    <xf numFmtId="0" fontId="14" fillId="0" borderId="0" xfId="0" applyFont="1" applyFill="1" applyAlignment="1">
      <alignment horizontal="left" wrapText="1"/>
    </xf>
    <xf numFmtId="0" fontId="14" fillId="0" borderId="0" xfId="0" applyFont="1" applyFill="1" applyAlignment="1">
      <alignment wrapText="1"/>
    </xf>
    <xf numFmtId="0" fontId="14" fillId="33" borderId="0" xfId="0" applyFont="1" applyFill="1"/>
    <xf numFmtId="16" fontId="125" fillId="0" borderId="0" xfId="0" applyNumberFormat="1" applyFont="1" applyFill="1"/>
    <xf numFmtId="0" fontId="166" fillId="0" borderId="0" xfId="0" applyFont="1" applyFill="1" applyAlignment="1">
      <alignment horizontal="center" vertical="center"/>
    </xf>
    <xf numFmtId="0" fontId="166" fillId="0" borderId="0" xfId="0" applyFont="1" applyAlignment="1">
      <alignment horizontal="center" vertical="center"/>
    </xf>
    <xf numFmtId="0" fontId="14" fillId="0" borderId="19" xfId="0" applyFont="1" applyBorder="1"/>
    <xf numFmtId="49" fontId="14" fillId="0" borderId="0" xfId="0" applyNumberFormat="1" applyFont="1"/>
    <xf numFmtId="0" fontId="166" fillId="0" borderId="0" xfId="0" applyFont="1" applyAlignment="1">
      <alignment horizontal="left" vertical="center"/>
    </xf>
    <xf numFmtId="49" fontId="14" fillId="0" borderId="0" xfId="0" applyNumberFormat="1" applyFont="1" applyAlignment="1">
      <alignment horizontal="left"/>
    </xf>
    <xf numFmtId="0" fontId="14" fillId="0" borderId="0" xfId="0" applyFont="1" applyAlignment="1">
      <alignment horizontal="left"/>
    </xf>
    <xf numFmtId="0" fontId="14" fillId="0" borderId="19" xfId="0" applyFont="1" applyBorder="1" applyAlignment="1">
      <alignment horizontal="left"/>
    </xf>
    <xf numFmtId="49" fontId="125" fillId="0" borderId="0" xfId="0" applyNumberFormat="1" applyFont="1" applyFill="1" applyBorder="1" applyAlignment="1">
      <alignment horizontal="center" vertical="center"/>
    </xf>
    <xf numFmtId="0" fontId="13" fillId="0" borderId="0" xfId="0" applyNumberFormat="1" applyFont="1" applyAlignment="1">
      <alignment horizontal="center"/>
    </xf>
    <xf numFmtId="0" fontId="14" fillId="0" borderId="0" xfId="0" applyFont="1" applyFill="1" applyProtection="1">
      <protection locked="0"/>
    </xf>
    <xf numFmtId="0" fontId="14" fillId="0" borderId="0" xfId="0" applyFont="1" applyFill="1" applyAlignment="1" applyProtection="1">
      <alignment wrapText="1"/>
      <protection locked="0"/>
    </xf>
    <xf numFmtId="0" fontId="125" fillId="0" borderId="0" xfId="0" applyFont="1" applyFill="1" applyProtection="1">
      <protection locked="0"/>
    </xf>
    <xf numFmtId="0" fontId="125" fillId="0" borderId="0" xfId="0" applyFont="1" applyProtection="1">
      <protection locked="0"/>
    </xf>
    <xf numFmtId="0" fontId="14" fillId="0" borderId="0" xfId="0" applyFont="1" applyProtection="1">
      <protection locked="0"/>
    </xf>
    <xf numFmtId="0" fontId="122" fillId="0" borderId="0" xfId="0" applyNumberFormat="1" applyFont="1" applyFill="1"/>
    <xf numFmtId="0" fontId="122" fillId="0" borderId="0" xfId="0" applyFont="1" applyFill="1"/>
    <xf numFmtId="49" fontId="122" fillId="0" borderId="0" xfId="0" applyNumberFormat="1" applyFont="1" applyFill="1"/>
    <xf numFmtId="49" fontId="187" fillId="0" borderId="0" xfId="0" applyNumberFormat="1" applyFont="1" applyFill="1" applyBorder="1" applyAlignment="1">
      <alignment horizontal="left" vertical="center"/>
    </xf>
    <xf numFmtId="49" fontId="122" fillId="0" borderId="0" xfId="0" applyNumberFormat="1" applyFont="1" applyFill="1" applyBorder="1" applyAlignment="1">
      <alignment horizontal="left"/>
    </xf>
    <xf numFmtId="182" fontId="113" fillId="0" borderId="78" xfId="0" applyNumberFormat="1" applyFont="1" applyFill="1" applyBorder="1" applyAlignment="1" applyProtection="1">
      <alignment horizontal="center" vertical="center"/>
      <protection locked="0"/>
    </xf>
    <xf numFmtId="182" fontId="139" fillId="33" borderId="78" xfId="0" applyNumberFormat="1" applyFont="1" applyFill="1" applyBorder="1" applyAlignment="1" applyProtection="1">
      <alignment horizontal="center" vertical="center" wrapText="1"/>
      <protection locked="0"/>
    </xf>
    <xf numFmtId="182" fontId="93" fillId="33" borderId="33" xfId="0" applyNumberFormat="1" applyFont="1" applyFill="1" applyBorder="1" applyAlignment="1" applyProtection="1">
      <alignment horizontal="center" vertical="center"/>
      <protection locked="0"/>
    </xf>
    <xf numFmtId="0" fontId="124" fillId="2" borderId="0" xfId="0" applyFont="1" applyFill="1" applyBorder="1" applyAlignment="1" applyProtection="1">
      <alignment vertical="center"/>
    </xf>
    <xf numFmtId="182" fontId="113" fillId="2" borderId="0" xfId="0" applyNumberFormat="1" applyFont="1" applyFill="1" applyBorder="1" applyAlignment="1" applyProtection="1">
      <alignment horizontal="center" vertical="center"/>
    </xf>
    <xf numFmtId="0" fontId="100" fillId="33" borderId="0" xfId="0" applyFont="1" applyFill="1" applyBorder="1" applyAlignment="1" applyProtection="1">
      <alignment vertical="center"/>
    </xf>
    <xf numFmtId="0" fontId="100" fillId="33" borderId="19" xfId="0" applyFont="1" applyFill="1" applyBorder="1" applyAlignment="1" applyProtection="1">
      <alignment vertical="top"/>
    </xf>
    <xf numFmtId="180" fontId="100" fillId="4" borderId="0" xfId="0" applyNumberFormat="1" applyFont="1" applyFill="1" applyBorder="1" applyAlignment="1" applyProtection="1">
      <alignment horizontal="right" vertical="center"/>
    </xf>
    <xf numFmtId="0" fontId="118" fillId="2" borderId="0" xfId="0" applyFont="1" applyFill="1" applyBorder="1" applyAlignment="1" applyProtection="1">
      <alignment vertical="top"/>
    </xf>
    <xf numFmtId="0" fontId="130" fillId="0" borderId="0" xfId="0" applyFont="1" applyFill="1" applyBorder="1" applyAlignment="1" applyProtection="1"/>
    <xf numFmtId="0" fontId="100" fillId="33" borderId="0" xfId="0" applyFont="1" applyFill="1" applyBorder="1" applyAlignment="1" applyProtection="1"/>
    <xf numFmtId="0" fontId="100" fillId="33" borderId="19" xfId="0" applyFont="1" applyFill="1" applyBorder="1" applyAlignment="1" applyProtection="1"/>
    <xf numFmtId="0" fontId="130" fillId="0" borderId="0" xfId="0" applyFont="1" applyFill="1" applyBorder="1" applyAlignment="1" applyProtection="1">
      <alignment vertical="center"/>
    </xf>
    <xf numFmtId="180" fontId="98" fillId="4" borderId="0" xfId="0" applyNumberFormat="1" applyFont="1" applyFill="1" applyBorder="1" applyAlignment="1" applyProtection="1">
      <alignment horizontal="right" vertical="center"/>
    </xf>
    <xf numFmtId="0" fontId="98" fillId="4" borderId="0" xfId="0" applyFont="1" applyFill="1" applyBorder="1" applyAlignment="1" applyProtection="1">
      <alignment horizontal="left" vertical="center"/>
    </xf>
    <xf numFmtId="182" fontId="90" fillId="33" borderId="0" xfId="0" applyNumberFormat="1" applyFont="1" applyFill="1" applyBorder="1" applyAlignment="1" applyProtection="1">
      <alignment vertical="center"/>
    </xf>
    <xf numFmtId="0" fontId="29" fillId="0" borderId="0" xfId="0" applyFont="1" applyBorder="1" applyAlignment="1" applyProtection="1">
      <alignment vertical="center"/>
    </xf>
    <xf numFmtId="0" fontId="100" fillId="33" borderId="19" xfId="0" applyFont="1" applyFill="1" applyBorder="1" applyAlignment="1" applyProtection="1">
      <alignment vertical="center"/>
    </xf>
    <xf numFmtId="0" fontId="95" fillId="0" borderId="0" xfId="0" applyFont="1" applyFill="1" applyBorder="1" applyAlignment="1" applyProtection="1">
      <alignment vertical="top"/>
    </xf>
    <xf numFmtId="0" fontId="102" fillId="2" borderId="4" xfId="0" applyFont="1" applyFill="1" applyBorder="1" applyAlignment="1" applyProtection="1">
      <alignment horizontal="center" vertical="center" textRotation="90"/>
    </xf>
    <xf numFmtId="0" fontId="102" fillId="32" borderId="65" xfId="0" applyFont="1" applyFill="1" applyBorder="1" applyAlignment="1" applyProtection="1">
      <alignment horizontal="center" vertical="center"/>
    </xf>
    <xf numFmtId="0" fontId="102" fillId="32" borderId="67" xfId="0" applyFont="1" applyFill="1" applyBorder="1" applyAlignment="1" applyProtection="1">
      <alignment horizontal="center" vertical="center"/>
    </xf>
    <xf numFmtId="0" fontId="100" fillId="2" borderId="0" xfId="0" applyFont="1" applyFill="1" applyBorder="1" applyAlignment="1" applyProtection="1">
      <alignment horizontal="right" vertical="center"/>
    </xf>
    <xf numFmtId="0" fontId="29" fillId="4" borderId="0" xfId="0" applyFont="1" applyFill="1" applyBorder="1" applyAlignment="1" applyProtection="1">
      <alignment horizontal="center"/>
    </xf>
    <xf numFmtId="0" fontId="130" fillId="33" borderId="7" xfId="0" applyFont="1" applyFill="1" applyBorder="1" applyAlignment="1" applyProtection="1">
      <alignment horizontal="center" vertical="top"/>
      <protection locked="0"/>
    </xf>
    <xf numFmtId="0" fontId="90" fillId="33" borderId="0" xfId="0" applyFont="1" applyFill="1" applyBorder="1" applyAlignment="1" applyProtection="1">
      <protection locked="0"/>
    </xf>
    <xf numFmtId="0" fontId="90" fillId="33" borderId="0" xfId="0" applyFont="1" applyFill="1" applyBorder="1" applyAlignment="1" applyProtection="1">
      <alignment vertical="top"/>
      <protection locked="0"/>
    </xf>
    <xf numFmtId="0" fontId="90" fillId="33" borderId="2" xfId="0" applyFont="1" applyFill="1" applyBorder="1" applyAlignment="1" applyProtection="1">
      <alignment vertical="top"/>
      <protection locked="0"/>
    </xf>
    <xf numFmtId="0" fontId="90" fillId="33" borderId="0" xfId="0" applyFont="1" applyFill="1" applyBorder="1" applyProtection="1">
      <protection locked="0"/>
    </xf>
    <xf numFmtId="0" fontId="130" fillId="2" borderId="6" xfId="0" applyFont="1" applyFill="1" applyBorder="1" applyAlignment="1" applyProtection="1">
      <alignment vertical="center" textRotation="90"/>
    </xf>
    <xf numFmtId="0" fontId="130" fillId="2" borderId="4" xfId="0" applyFont="1" applyFill="1" applyBorder="1" applyAlignment="1" applyProtection="1">
      <alignment vertical="center" textRotation="90"/>
      <protection locked="0"/>
    </xf>
    <xf numFmtId="182" fontId="31" fillId="33" borderId="41" xfId="0" applyNumberFormat="1" applyFont="1" applyFill="1" applyBorder="1" applyProtection="1"/>
    <xf numFmtId="0" fontId="125" fillId="33" borderId="127" xfId="0" applyFont="1" applyFill="1" applyBorder="1" applyAlignment="1" applyProtection="1">
      <alignment horizontal="left" vertical="center"/>
    </xf>
    <xf numFmtId="0" fontId="31" fillId="33" borderId="93" xfId="0" applyFont="1" applyFill="1" applyBorder="1" applyProtection="1"/>
    <xf numFmtId="0" fontId="31" fillId="33" borderId="93" xfId="0" applyNumberFormat="1" applyFont="1" applyFill="1" applyBorder="1" applyAlignment="1" applyProtection="1">
      <alignment horizontal="left"/>
    </xf>
    <xf numFmtId="182" fontId="31" fillId="33" borderId="93" xfId="0" applyNumberFormat="1" applyFont="1" applyFill="1" applyBorder="1" applyAlignment="1" applyProtection="1">
      <alignment horizontal="left"/>
    </xf>
    <xf numFmtId="182" fontId="31" fillId="33" borderId="88" xfId="0" applyNumberFormat="1" applyFont="1" applyFill="1" applyBorder="1" applyProtection="1"/>
    <xf numFmtId="0" fontId="125" fillId="33" borderId="93" xfId="0" applyFont="1" applyFill="1" applyBorder="1" applyProtection="1"/>
    <xf numFmtId="0" fontId="125" fillId="33" borderId="93" xfId="0" applyNumberFormat="1" applyFont="1" applyFill="1" applyBorder="1" applyAlignment="1" applyProtection="1">
      <alignment horizontal="left"/>
    </xf>
    <xf numFmtId="182" fontId="125" fillId="33" borderId="93" xfId="0" applyNumberFormat="1" applyFont="1" applyFill="1" applyBorder="1" applyAlignment="1" applyProtection="1">
      <alignment horizontal="left"/>
    </xf>
    <xf numFmtId="182" fontId="125" fillId="33" borderId="88" xfId="0" applyNumberFormat="1" applyFont="1" applyFill="1" applyBorder="1" applyProtection="1"/>
    <xf numFmtId="0" fontId="86" fillId="0" borderId="85" xfId="0" applyFont="1" applyFill="1" applyBorder="1" applyAlignment="1" applyProtection="1">
      <alignment horizontal="center" vertical="center" wrapText="1"/>
      <protection locked="0"/>
    </xf>
    <xf numFmtId="182" fontId="86" fillId="0" borderId="101" xfId="0" applyNumberFormat="1" applyFont="1" applyBorder="1" applyAlignment="1" applyProtection="1">
      <alignment horizontal="center" vertical="center" wrapText="1"/>
      <protection locked="0"/>
    </xf>
    <xf numFmtId="0" fontId="31" fillId="33" borderId="88" xfId="0" applyFont="1" applyFill="1" applyBorder="1" applyAlignment="1" applyProtection="1">
      <alignment horizontal="left" vertical="center"/>
    </xf>
    <xf numFmtId="0" fontId="12" fillId="33" borderId="0" xfId="0" applyFont="1" applyFill="1" applyBorder="1" applyProtection="1"/>
    <xf numFmtId="0" fontId="31" fillId="33" borderId="127" xfId="0" applyFont="1" applyFill="1" applyBorder="1" applyAlignment="1" applyProtection="1">
      <alignment horizontal="left" vertical="center"/>
    </xf>
    <xf numFmtId="0" fontId="36" fillId="33" borderId="87" xfId="0" applyFont="1" applyFill="1" applyBorder="1" applyAlignment="1" applyProtection="1">
      <alignment horizontal="left" vertical="center"/>
    </xf>
    <xf numFmtId="0" fontId="36" fillId="33" borderId="88" xfId="0" applyFont="1" applyFill="1" applyBorder="1" applyAlignment="1" applyProtection="1">
      <alignment horizontal="left" vertical="center"/>
    </xf>
    <xf numFmtId="0" fontId="125" fillId="33" borderId="40" xfId="0" applyFont="1" applyFill="1" applyBorder="1" applyProtection="1"/>
    <xf numFmtId="0" fontId="125" fillId="33" borderId="40" xfId="0" applyNumberFormat="1" applyFont="1" applyFill="1" applyBorder="1" applyAlignment="1" applyProtection="1">
      <alignment horizontal="left"/>
    </xf>
    <xf numFmtId="182" fontId="125" fillId="33" borderId="40" xfId="0" applyNumberFormat="1" applyFont="1" applyFill="1" applyBorder="1" applyAlignment="1" applyProtection="1">
      <alignment horizontal="left"/>
    </xf>
    <xf numFmtId="182" fontId="125" fillId="33" borderId="41" xfId="0" applyNumberFormat="1" applyFont="1" applyFill="1" applyBorder="1" applyProtection="1"/>
    <xf numFmtId="0" fontId="123" fillId="33" borderId="78" xfId="0" applyFont="1" applyFill="1" applyBorder="1" applyAlignment="1" applyProtection="1">
      <alignment horizontal="center" vertical="distributed"/>
      <protection locked="0"/>
    </xf>
    <xf numFmtId="0" fontId="123" fillId="33" borderId="93" xfId="0" applyFont="1" applyFill="1" applyBorder="1" applyAlignment="1" applyProtection="1">
      <alignment horizontal="center" vertical="distributed"/>
      <protection locked="0"/>
    </xf>
    <xf numFmtId="0" fontId="162" fillId="33" borderId="0" xfId="0" applyFont="1" applyFill="1" applyBorder="1" applyAlignment="1" applyProtection="1">
      <alignment horizontal="center" vertical="center" wrapText="1"/>
    </xf>
    <xf numFmtId="0" fontId="98" fillId="33" borderId="0" xfId="0" applyFont="1" applyFill="1" applyBorder="1" applyAlignment="1" applyProtection="1">
      <alignment horizontal="right" vertical="center"/>
    </xf>
    <xf numFmtId="0" fontId="191" fillId="33" borderId="0" xfId="0" applyFont="1" applyFill="1" applyAlignment="1" applyProtection="1">
      <alignment horizontal="left"/>
    </xf>
    <xf numFmtId="0" fontId="123" fillId="33" borderId="78" xfId="0" applyNumberFormat="1" applyFont="1" applyFill="1" applyBorder="1" applyAlignment="1" applyProtection="1">
      <alignment horizontal="distributed" vertical="center"/>
      <protection locked="0"/>
    </xf>
    <xf numFmtId="0" fontId="123" fillId="33" borderId="93" xfId="0" applyNumberFormat="1" applyFont="1" applyFill="1" applyBorder="1" applyAlignment="1" applyProtection="1">
      <alignment horizontal="distributed" vertical="center"/>
      <protection locked="0"/>
    </xf>
    <xf numFmtId="0" fontId="166" fillId="0" borderId="0" xfId="0" applyFont="1" applyFill="1" applyAlignment="1">
      <alignment vertical="center"/>
    </xf>
    <xf numFmtId="0" fontId="14" fillId="0" borderId="0" xfId="0" applyFont="1" applyFill="1" applyAlignment="1" applyProtection="1">
      <alignment vertical="center"/>
      <protection locked="0"/>
    </xf>
    <xf numFmtId="0" fontId="14" fillId="0" borderId="0" xfId="0" applyFont="1" applyFill="1" applyAlignment="1" applyProtection="1">
      <alignment vertical="center" wrapText="1"/>
      <protection locked="0"/>
    </xf>
    <xf numFmtId="0" fontId="125" fillId="0" borderId="0" xfId="0" applyFont="1" applyFill="1" applyAlignment="1" applyProtection="1">
      <alignment vertical="center"/>
      <protection locked="0"/>
    </xf>
    <xf numFmtId="0" fontId="125" fillId="0" borderId="0" xfId="0" applyFont="1" applyAlignment="1" applyProtection="1">
      <alignment vertical="center"/>
      <protection locked="0"/>
    </xf>
    <xf numFmtId="0" fontId="14" fillId="0" borderId="0" xfId="0" applyFont="1" applyAlignment="1" applyProtection="1">
      <alignment vertical="center"/>
      <protection locked="0"/>
    </xf>
    <xf numFmtId="0" fontId="14" fillId="0" borderId="0" xfId="0" applyFont="1" applyAlignment="1" applyProtection="1">
      <alignment vertical="center" wrapText="1"/>
      <protection locked="0"/>
    </xf>
    <xf numFmtId="0" fontId="14" fillId="0" borderId="0" xfId="0" applyFont="1" applyAlignment="1">
      <alignment vertical="center"/>
    </xf>
    <xf numFmtId="0" fontId="100" fillId="33" borderId="0" xfId="0" applyFont="1" applyFill="1" applyBorder="1" applyAlignment="1" applyProtection="1">
      <alignment horizontal="left" vertical="center"/>
    </xf>
    <xf numFmtId="0" fontId="100" fillId="33" borderId="19" xfId="0" applyFont="1" applyFill="1" applyBorder="1" applyAlignment="1" applyProtection="1">
      <alignment horizontal="left" vertical="center"/>
    </xf>
    <xf numFmtId="0" fontId="11" fillId="0" borderId="0" xfId="0" applyFont="1" applyFill="1" applyAlignment="1" applyProtection="1">
      <alignment vertical="top" wrapText="1"/>
      <protection locked="0"/>
    </xf>
    <xf numFmtId="0" fontId="11" fillId="0" borderId="0" xfId="0" applyFont="1" applyAlignment="1" applyProtection="1">
      <alignment vertical="top" wrapText="1"/>
      <protection locked="0"/>
    </xf>
    <xf numFmtId="0" fontId="11" fillId="0" borderId="0" xfId="0" applyFont="1" applyFill="1" applyAlignment="1">
      <alignment vertical="top" wrapText="1"/>
    </xf>
    <xf numFmtId="0" fontId="125" fillId="0" borderId="0" xfId="0" applyFont="1" applyFill="1" applyAlignment="1" applyProtection="1">
      <alignment vertical="top" wrapText="1"/>
      <protection locked="0"/>
    </xf>
    <xf numFmtId="0" fontId="125" fillId="0" borderId="0" xfId="0" applyFont="1" applyAlignment="1" applyProtection="1">
      <alignment vertical="top" wrapText="1"/>
      <protection locked="0"/>
    </xf>
    <xf numFmtId="0" fontId="125" fillId="0" borderId="0" xfId="0" applyFont="1" applyAlignment="1">
      <alignment vertical="top" wrapText="1"/>
    </xf>
    <xf numFmtId="0" fontId="124" fillId="37" borderId="81" xfId="0" applyFont="1" applyFill="1" applyBorder="1" applyAlignment="1" applyProtection="1">
      <alignment horizontal="center" vertical="center" wrapText="1"/>
    </xf>
    <xf numFmtId="0" fontId="124" fillId="37" borderId="9" xfId="0" applyFont="1" applyFill="1" applyBorder="1" applyAlignment="1" applyProtection="1">
      <alignment horizontal="center" vertical="center" wrapText="1"/>
    </xf>
    <xf numFmtId="0" fontId="10" fillId="0" borderId="0" xfId="0" applyFont="1" applyFill="1" applyAlignment="1">
      <alignment vertical="distributed"/>
    </xf>
    <xf numFmtId="0" fontId="10" fillId="0" borderId="0" xfId="0" applyFont="1" applyFill="1"/>
    <xf numFmtId="0" fontId="10" fillId="0" borderId="0" xfId="0" applyFont="1" applyFill="1" applyAlignment="1" applyProtection="1">
      <alignment vertical="center"/>
      <protection locked="0"/>
    </xf>
    <xf numFmtId="0" fontId="118" fillId="33" borderId="0" xfId="0" applyFont="1" applyFill="1" applyBorder="1" applyAlignment="1" applyProtection="1">
      <alignment horizontal="left" vertical="center"/>
    </xf>
    <xf numFmtId="0" fontId="131" fillId="33" borderId="0" xfId="0" applyFont="1" applyFill="1" applyBorder="1" applyAlignment="1" applyProtection="1">
      <alignment horizontal="left" vertical="center"/>
    </xf>
    <xf numFmtId="0" fontId="9" fillId="0" borderId="0" xfId="0" applyFont="1" applyProtection="1"/>
    <xf numFmtId="0" fontId="166" fillId="0" borderId="0" xfId="0" applyFont="1" applyFill="1" applyAlignment="1">
      <alignment vertical="center" wrapText="1"/>
    </xf>
    <xf numFmtId="0" fontId="125" fillId="0" borderId="0" xfId="0" applyFont="1" applyFill="1" applyAlignment="1" applyProtection="1">
      <alignment vertical="center" wrapText="1"/>
      <protection locked="0"/>
    </xf>
    <xf numFmtId="0" fontId="125" fillId="0" borderId="0" xfId="0" applyFont="1" applyAlignment="1" applyProtection="1">
      <alignment vertical="center" wrapText="1"/>
      <protection locked="0"/>
    </xf>
    <xf numFmtId="0" fontId="14" fillId="0" borderId="0" xfId="0" applyFont="1" applyAlignment="1">
      <alignment vertical="center" wrapText="1"/>
    </xf>
    <xf numFmtId="0" fontId="8" fillId="0" borderId="0" xfId="0" applyFont="1" applyAlignment="1">
      <alignment vertical="center" wrapText="1"/>
    </xf>
    <xf numFmtId="0" fontId="14" fillId="2" borderId="0" xfId="0" applyFont="1" applyFill="1" applyProtection="1">
      <protection locked="0"/>
    </xf>
    <xf numFmtId="0" fontId="7" fillId="0" borderId="0" xfId="0" applyFont="1" applyFill="1" applyAlignment="1" applyProtection="1">
      <alignment vertical="top" wrapText="1"/>
      <protection locked="0"/>
    </xf>
    <xf numFmtId="0" fontId="125" fillId="0" borderId="0" xfId="0" applyFont="1" applyFill="1" applyAlignment="1" applyProtection="1">
      <alignment wrapText="1"/>
      <protection locked="0"/>
    </xf>
    <xf numFmtId="0" fontId="125" fillId="0" borderId="0" xfId="0" applyFont="1" applyAlignment="1" applyProtection="1">
      <alignment wrapText="1"/>
      <protection locked="0"/>
    </xf>
    <xf numFmtId="0" fontId="14" fillId="0" borderId="0" xfId="0" applyFont="1" applyAlignment="1" applyProtection="1">
      <alignment wrapText="1"/>
      <protection locked="0"/>
    </xf>
    <xf numFmtId="0" fontId="6" fillId="0" borderId="0" xfId="0" applyFont="1" applyFill="1" applyProtection="1">
      <protection locked="0"/>
    </xf>
    <xf numFmtId="0" fontId="125" fillId="2" borderId="0" xfId="0" applyFont="1" applyFill="1" applyProtection="1">
      <protection locked="0"/>
    </xf>
    <xf numFmtId="0" fontId="6" fillId="0" borderId="0" xfId="0" applyFont="1" applyFill="1" applyAlignment="1" applyProtection="1">
      <alignment wrapText="1"/>
      <protection locked="0"/>
    </xf>
    <xf numFmtId="0" fontId="6" fillId="2" borderId="0" xfId="0" applyFont="1" applyFill="1" applyProtection="1">
      <protection locked="0"/>
    </xf>
    <xf numFmtId="0" fontId="125" fillId="2" borderId="0" xfId="0" applyFont="1" applyFill="1" applyAlignment="1" applyProtection="1">
      <alignment horizontal="left" vertical="center"/>
      <protection locked="0"/>
    </xf>
    <xf numFmtId="0" fontId="6" fillId="0" borderId="0" xfId="0" applyFont="1" applyProtection="1">
      <protection locked="0"/>
    </xf>
    <xf numFmtId="0" fontId="6" fillId="0" borderId="0" xfId="0" applyFont="1" applyAlignment="1" applyProtection="1">
      <alignment wrapText="1"/>
      <protection locked="0"/>
    </xf>
    <xf numFmtId="0" fontId="6" fillId="0" borderId="0" xfId="0" applyFont="1" applyAlignment="1" applyProtection="1">
      <alignment vertical="top" wrapText="1"/>
      <protection locked="0"/>
    </xf>
    <xf numFmtId="0" fontId="5" fillId="0" borderId="0" xfId="0" applyFont="1" applyFill="1" applyProtection="1">
      <protection locked="0"/>
    </xf>
    <xf numFmtId="0" fontId="5" fillId="0" borderId="0" xfId="0" applyFont="1" applyFill="1" applyAlignment="1" applyProtection="1">
      <alignment vertical="center" wrapText="1"/>
      <protection locked="0"/>
    </xf>
    <xf numFmtId="0" fontId="5" fillId="0" borderId="0" xfId="0" applyFont="1" applyFill="1" applyAlignment="1" applyProtection="1">
      <alignment vertical="top" wrapText="1"/>
      <protection locked="0"/>
    </xf>
    <xf numFmtId="0" fontId="5" fillId="0" borderId="0" xfId="0" applyFont="1" applyFill="1" applyAlignment="1" applyProtection="1">
      <alignment vertical="center"/>
      <protection locked="0"/>
    </xf>
    <xf numFmtId="0" fontId="5" fillId="0" borderId="0" xfId="0" applyFont="1" applyAlignment="1" applyProtection="1">
      <alignment vertical="center" wrapText="1"/>
      <protection locked="0"/>
    </xf>
    <xf numFmtId="0" fontId="5" fillId="2" borderId="0" xfId="0" applyFont="1" applyFill="1" applyProtection="1">
      <protection locked="0"/>
    </xf>
    <xf numFmtId="0" fontId="5" fillId="0" borderId="0" xfId="0" applyFont="1"/>
    <xf numFmtId="0" fontId="5" fillId="0" borderId="0" xfId="0" applyFont="1" applyFill="1"/>
    <xf numFmtId="0" fontId="5" fillId="0" borderId="0" xfId="0" applyFont="1" applyProtection="1">
      <protection locked="0"/>
    </xf>
    <xf numFmtId="0" fontId="5" fillId="0" borderId="0" xfId="0" applyFont="1" applyFill="1" applyAlignment="1">
      <alignment horizontal="left" wrapText="1"/>
    </xf>
    <xf numFmtId="0" fontId="5" fillId="0" borderId="0" xfId="0" applyFont="1" applyAlignment="1" applyProtection="1">
      <alignment vertical="center"/>
      <protection locked="0"/>
    </xf>
    <xf numFmtId="0" fontId="127" fillId="0" borderId="0" xfId="0" applyFont="1" applyFill="1" applyProtection="1">
      <protection hidden="1"/>
    </xf>
    <xf numFmtId="0" fontId="125" fillId="0" borderId="0" xfId="0" applyFont="1" applyFill="1" applyProtection="1">
      <protection hidden="1"/>
    </xf>
    <xf numFmtId="0" fontId="125" fillId="2" borderId="0" xfId="0" applyFont="1" applyFill="1" applyProtection="1">
      <protection hidden="1"/>
    </xf>
    <xf numFmtId="0" fontId="125" fillId="0" borderId="0" xfId="0" applyFont="1" applyFill="1" applyAlignment="1" applyProtection="1">
      <alignment wrapText="1"/>
      <protection hidden="1"/>
    </xf>
    <xf numFmtId="0" fontId="14" fillId="0" borderId="0" xfId="0" applyFont="1" applyFill="1" applyProtection="1">
      <protection hidden="1"/>
    </xf>
    <xf numFmtId="0" fontId="14" fillId="0" borderId="0" xfId="0" applyFont="1" applyFill="1" applyAlignment="1" applyProtection="1">
      <alignment vertical="distributed"/>
      <protection hidden="1"/>
    </xf>
    <xf numFmtId="0" fontId="14" fillId="2" borderId="0" xfId="0" applyFont="1" applyFill="1" applyProtection="1">
      <protection hidden="1"/>
    </xf>
    <xf numFmtId="0" fontId="14" fillId="0" borderId="0" xfId="0" applyFont="1" applyProtection="1">
      <protection hidden="1"/>
    </xf>
    <xf numFmtId="0" fontId="14" fillId="0" borderId="0" xfId="0" applyFont="1" applyFill="1" applyAlignment="1" applyProtection="1">
      <alignment horizontal="left" wrapText="1"/>
      <protection hidden="1"/>
    </xf>
    <xf numFmtId="0" fontId="125" fillId="2" borderId="0" xfId="0" applyFont="1" applyFill="1" applyAlignment="1" applyProtection="1">
      <alignment horizontal="left" vertical="center"/>
      <protection hidden="1"/>
    </xf>
    <xf numFmtId="0" fontId="14" fillId="0" borderId="0" xfId="0" applyFont="1" applyFill="1" applyAlignment="1" applyProtection="1">
      <alignment wrapText="1"/>
      <protection hidden="1"/>
    </xf>
    <xf numFmtId="0" fontId="14" fillId="33" borderId="0" xfId="0" applyFont="1" applyFill="1" applyProtection="1">
      <protection hidden="1"/>
    </xf>
    <xf numFmtId="0" fontId="125" fillId="33" borderId="0" xfId="0" applyFont="1" applyFill="1" applyProtection="1">
      <protection hidden="1"/>
    </xf>
    <xf numFmtId="0" fontId="166" fillId="0" borderId="0" xfId="0" applyFont="1" applyFill="1" applyProtection="1">
      <protection locked="0"/>
    </xf>
    <xf numFmtId="0" fontId="118" fillId="37" borderId="77" xfId="0" applyFont="1" applyFill="1" applyBorder="1" applyAlignment="1" applyProtection="1">
      <alignment horizontal="center" vertical="center" wrapText="1"/>
    </xf>
    <xf numFmtId="0" fontId="95" fillId="33" borderId="78" xfId="0" applyFont="1" applyFill="1" applyBorder="1" applyAlignment="1" applyProtection="1">
      <alignment horizontal="center" vertical="center"/>
    </xf>
    <xf numFmtId="0" fontId="125" fillId="36" borderId="0" xfId="0" applyFont="1" applyFill="1"/>
    <xf numFmtId="0" fontId="4" fillId="0" borderId="0" xfId="0" applyFont="1" applyFill="1" applyProtection="1">
      <protection locked="0"/>
    </xf>
    <xf numFmtId="0" fontId="4" fillId="0" borderId="0" xfId="0" applyFont="1" applyFill="1" applyAlignment="1" applyProtection="1">
      <alignment vertical="center" wrapText="1"/>
      <protection locked="0"/>
    </xf>
    <xf numFmtId="0" fontId="4" fillId="0" borderId="0" xfId="0" applyFont="1" applyFill="1" applyAlignment="1" applyProtection="1">
      <alignment vertical="top" wrapText="1"/>
      <protection locked="0"/>
    </xf>
    <xf numFmtId="0" fontId="4" fillId="0" borderId="0" xfId="0" applyFont="1" applyFill="1" applyAlignment="1" applyProtection="1">
      <alignment vertical="center"/>
      <protection locked="0"/>
    </xf>
    <xf numFmtId="0" fontId="86" fillId="0" borderId="12" xfId="0" applyFont="1" applyFill="1" applyBorder="1" applyAlignment="1" applyProtection="1">
      <alignment horizontal="center" vertical="center" wrapText="1"/>
      <protection locked="0"/>
    </xf>
    <xf numFmtId="182" fontId="86" fillId="0" borderId="13" xfId="0" applyNumberFormat="1" applyFont="1" applyBorder="1" applyAlignment="1" applyProtection="1">
      <alignment horizontal="center" vertical="center" wrapText="1"/>
      <protection locked="0"/>
    </xf>
    <xf numFmtId="0" fontId="78" fillId="0" borderId="0" xfId="0" applyFont="1" applyProtection="1"/>
    <xf numFmtId="14" fontId="36" fillId="0" borderId="0" xfId="0" applyNumberFormat="1" applyFont="1" applyProtection="1"/>
    <xf numFmtId="181" fontId="36" fillId="0" borderId="78" xfId="0" applyNumberFormat="1" applyFont="1" applyBorder="1" applyAlignment="1" applyProtection="1">
      <alignment horizontal="center" vertical="center"/>
    </xf>
    <xf numFmtId="0" fontId="36" fillId="0" borderId="78" xfId="0" applyFont="1" applyBorder="1" applyProtection="1"/>
    <xf numFmtId="181" fontId="36" fillId="0" borderId="78" xfId="0" applyNumberFormat="1" applyFont="1" applyBorder="1" applyAlignment="1" applyProtection="1">
      <alignment horizontal="center"/>
    </xf>
    <xf numFmtId="14" fontId="36" fillId="0" borderId="78" xfId="0" applyNumberFormat="1" applyFont="1" applyBorder="1" applyAlignment="1" applyProtection="1">
      <alignment horizontal="center"/>
    </xf>
    <xf numFmtId="0" fontId="100" fillId="0" borderId="0" xfId="0" applyFont="1" applyFill="1" applyBorder="1" applyAlignment="1" applyProtection="1">
      <alignment horizontal="left" vertical="center"/>
    </xf>
    <xf numFmtId="0" fontId="100" fillId="33" borderId="0" xfId="0" applyFont="1" applyFill="1" applyBorder="1" applyAlignment="1" applyProtection="1">
      <alignment horizontal="left" vertical="center"/>
    </xf>
    <xf numFmtId="0" fontId="100" fillId="33" borderId="0" xfId="0" applyFont="1" applyFill="1" applyBorder="1" applyAlignment="1" applyProtection="1">
      <alignment vertical="center"/>
    </xf>
    <xf numFmtId="0" fontId="100" fillId="33" borderId="19" xfId="0" applyFont="1" applyFill="1" applyBorder="1" applyAlignment="1" applyProtection="1">
      <alignment horizontal="left" vertical="center"/>
    </xf>
    <xf numFmtId="0" fontId="88" fillId="33" borderId="0" xfId="145" applyFont="1" applyFill="1" applyBorder="1" applyAlignment="1" applyProtection="1">
      <alignment horizontal="center" vertical="center"/>
    </xf>
    <xf numFmtId="0" fontId="89" fillId="33" borderId="0" xfId="0" applyFont="1" applyFill="1" applyBorder="1" applyAlignment="1" applyProtection="1">
      <alignment horizontal="center" vertical="center"/>
    </xf>
    <xf numFmtId="0" fontId="89" fillId="33" borderId="0" xfId="0" applyFont="1" applyFill="1" applyBorder="1" applyAlignment="1" applyProtection="1">
      <alignment horizontal="left" vertical="center"/>
    </xf>
    <xf numFmtId="0" fontId="98" fillId="33" borderId="0" xfId="0" applyFont="1" applyFill="1" applyBorder="1" applyAlignment="1" applyProtection="1">
      <alignment horizontal="center" vertical="center"/>
    </xf>
    <xf numFmtId="0" fontId="98" fillId="33" borderId="0" xfId="0" applyFont="1" applyFill="1" applyBorder="1" applyAlignment="1" applyProtection="1">
      <alignment horizontal="right" vertical="center"/>
    </xf>
    <xf numFmtId="0" fontId="96" fillId="33" borderId="0" xfId="0" applyFont="1" applyFill="1" applyBorder="1" applyAlignment="1" applyProtection="1">
      <alignment horizontal="right" vertical="center"/>
    </xf>
    <xf numFmtId="0" fontId="95" fillId="33" borderId="78" xfId="0" applyFont="1" applyFill="1" applyBorder="1" applyAlignment="1" applyProtection="1">
      <alignment horizontal="center" vertical="center"/>
    </xf>
    <xf numFmtId="0" fontId="100" fillId="0" borderId="0" xfId="0" applyFont="1" applyFill="1" applyBorder="1" applyAlignment="1" applyProtection="1">
      <alignment vertical="center"/>
    </xf>
    <xf numFmtId="0" fontId="29" fillId="4" borderId="0" xfId="0" applyFont="1" applyFill="1" applyBorder="1" applyAlignment="1" applyProtection="1">
      <alignment horizontal="center"/>
    </xf>
    <xf numFmtId="0" fontId="90" fillId="4" borderId="0" xfId="0" applyFont="1" applyFill="1" applyBorder="1" applyAlignment="1" applyProtection="1">
      <alignment horizontal="center" vertical="center"/>
    </xf>
    <xf numFmtId="0" fontId="3" fillId="0" borderId="0" xfId="0" applyFont="1" applyProtection="1"/>
    <xf numFmtId="0" fontId="3" fillId="36" borderId="0" xfId="0" applyFont="1" applyFill="1" applyProtection="1"/>
    <xf numFmtId="0" fontId="17" fillId="0" borderId="0" xfId="0" applyFont="1" applyFill="1" applyProtection="1"/>
    <xf numFmtId="0" fontId="29" fillId="4" borderId="19" xfId="0" applyFont="1" applyFill="1" applyBorder="1" applyAlignment="1" applyProtection="1"/>
    <xf numFmtId="49" fontId="125" fillId="36" borderId="0" xfId="0" applyNumberFormat="1" applyFont="1" applyFill="1" applyBorder="1" applyAlignment="1">
      <alignment horizontal="center" vertical="center"/>
    </xf>
    <xf numFmtId="0" fontId="90" fillId="33" borderId="0" xfId="0" applyFont="1" applyFill="1" applyBorder="1" applyAlignment="1" applyProtection="1">
      <alignment vertical="center"/>
      <protection locked="0"/>
    </xf>
    <xf numFmtId="0" fontId="29" fillId="4" borderId="21" xfId="0" applyFont="1" applyFill="1" applyBorder="1" applyAlignment="1" applyProtection="1"/>
    <xf numFmtId="0" fontId="130" fillId="39" borderId="31" xfId="0" applyFont="1" applyFill="1" applyBorder="1" applyAlignment="1" applyProtection="1">
      <alignment vertical="center"/>
    </xf>
    <xf numFmtId="0" fontId="130" fillId="40" borderId="31" xfId="0" applyFont="1" applyFill="1" applyBorder="1" applyAlignment="1" applyProtection="1">
      <alignment vertical="center"/>
    </xf>
    <xf numFmtId="0" fontId="170" fillId="36" borderId="31" xfId="0" applyFont="1" applyFill="1" applyBorder="1" applyAlignment="1" applyProtection="1">
      <alignment vertical="center"/>
    </xf>
    <xf numFmtId="0" fontId="130" fillId="41" borderId="31" xfId="0" applyFont="1" applyFill="1" applyBorder="1" applyAlignment="1" applyProtection="1">
      <alignment vertical="center"/>
    </xf>
    <xf numFmtId="0" fontId="170" fillId="0" borderId="0" xfId="0" applyFont="1" applyFill="1" applyBorder="1" applyAlignment="1" applyProtection="1">
      <alignment vertical="center"/>
    </xf>
    <xf numFmtId="0" fontId="2" fillId="0" borderId="0" xfId="0" applyFont="1" applyFill="1"/>
    <xf numFmtId="0" fontId="36" fillId="0" borderId="78" xfId="0" applyFont="1" applyBorder="1" applyAlignment="1" applyProtection="1">
      <alignment wrapText="1"/>
    </xf>
    <xf numFmtId="14" fontId="36" fillId="0" borderId="78" xfId="0" applyNumberFormat="1" applyFont="1" applyBorder="1" applyAlignment="1" applyProtection="1">
      <alignment horizontal="center" vertical="center"/>
    </xf>
    <xf numFmtId="0" fontId="100" fillId="33" borderId="0" xfId="0" applyFont="1" applyFill="1" applyBorder="1" applyAlignment="1" applyProtection="1">
      <alignment horizontal="right" vertical="center"/>
    </xf>
    <xf numFmtId="0" fontId="100" fillId="33" borderId="0" xfId="0" applyFont="1" applyFill="1" applyBorder="1" applyAlignment="1" applyProtection="1">
      <alignment vertical="center"/>
    </xf>
    <xf numFmtId="0" fontId="90" fillId="33" borderId="0" xfId="0" applyFont="1" applyFill="1" applyBorder="1" applyAlignment="1" applyProtection="1">
      <alignment horizontal="center" vertical="center"/>
    </xf>
    <xf numFmtId="0" fontId="90" fillId="33" borderId="34" xfId="0" applyFont="1" applyFill="1" applyBorder="1" applyAlignment="1" applyProtection="1">
      <alignment vertical="center"/>
    </xf>
    <xf numFmtId="0" fontId="93" fillId="33" borderId="0" xfId="0" applyFont="1" applyFill="1" applyBorder="1" applyAlignment="1" applyProtection="1">
      <alignment horizontal="center"/>
    </xf>
    <xf numFmtId="0" fontId="174" fillId="0" borderId="78" xfId="0" applyFont="1" applyFill="1" applyBorder="1" applyAlignment="1" applyProtection="1">
      <alignment horizontal="center" vertical="center" wrapText="1"/>
      <protection locked="0"/>
    </xf>
    <xf numFmtId="0" fontId="131" fillId="2" borderId="110" xfId="0" applyFont="1" applyFill="1" applyBorder="1" applyAlignment="1" applyProtection="1">
      <alignment horizontal="center" vertical="center" wrapText="1"/>
    </xf>
    <xf numFmtId="0" fontId="131" fillId="2" borderId="111" xfId="0" applyFont="1" applyFill="1" applyBorder="1" applyAlignment="1" applyProtection="1">
      <alignment horizontal="center" vertical="center" wrapText="1"/>
    </xf>
    <xf numFmtId="0" fontId="131" fillId="2" borderId="112" xfId="0" applyFont="1" applyFill="1" applyBorder="1" applyAlignment="1" applyProtection="1">
      <alignment horizontal="center" vertical="center" wrapText="1"/>
    </xf>
    <xf numFmtId="0" fontId="131" fillId="2" borderId="113" xfId="0" applyFont="1" applyFill="1" applyBorder="1" applyAlignment="1" applyProtection="1">
      <alignment horizontal="center" vertical="center" wrapText="1"/>
    </xf>
    <xf numFmtId="0" fontId="131" fillId="2" borderId="0" xfId="0" applyFont="1" applyFill="1" applyBorder="1" applyAlignment="1" applyProtection="1">
      <alignment horizontal="center" vertical="center" wrapText="1"/>
    </xf>
    <xf numFmtId="0" fontId="131" fillId="2" borderId="114" xfId="0" applyFont="1" applyFill="1" applyBorder="1" applyAlignment="1" applyProtection="1">
      <alignment horizontal="center" vertical="center" wrapText="1"/>
    </xf>
    <xf numFmtId="0" fontId="131" fillId="2" borderId="115" xfId="0" applyFont="1" applyFill="1" applyBorder="1" applyAlignment="1" applyProtection="1">
      <alignment horizontal="center" vertical="center" wrapText="1"/>
    </xf>
    <xf numFmtId="0" fontId="131" fillId="2" borderId="116" xfId="0" applyFont="1" applyFill="1" applyBorder="1" applyAlignment="1" applyProtection="1">
      <alignment horizontal="center" vertical="center" wrapText="1"/>
    </xf>
    <xf numFmtId="0" fontId="131" fillId="2" borderId="117" xfId="0" applyFont="1" applyFill="1" applyBorder="1" applyAlignment="1" applyProtection="1">
      <alignment horizontal="center" vertical="center" wrapText="1"/>
    </xf>
    <xf numFmtId="182" fontId="113" fillId="33" borderId="80" xfId="0" quotePrefix="1" applyNumberFormat="1" applyFont="1" applyFill="1" applyBorder="1" applyAlignment="1" applyProtection="1">
      <alignment horizontal="center" vertical="distributed" wrapText="1"/>
      <protection locked="0"/>
    </xf>
    <xf numFmtId="182" fontId="113" fillId="33" borderId="81" xfId="0" quotePrefix="1" applyNumberFormat="1" applyFont="1" applyFill="1" applyBorder="1" applyAlignment="1" applyProtection="1">
      <alignment horizontal="center" vertical="distributed" wrapText="1"/>
      <protection locked="0"/>
    </xf>
    <xf numFmtId="0" fontId="113" fillId="33" borderId="78" xfId="0" quotePrefix="1" applyFont="1" applyFill="1" applyBorder="1" applyAlignment="1" applyProtection="1">
      <alignment horizontal="left" vertical="distributed" wrapText="1"/>
      <protection locked="0"/>
    </xf>
    <xf numFmtId="0" fontId="153" fillId="0" borderId="0" xfId="0" applyFont="1" applyFill="1" applyBorder="1" applyAlignment="1" applyProtection="1">
      <alignment horizontal="center" vertical="top"/>
    </xf>
    <xf numFmtId="0" fontId="93" fillId="33" borderId="9" xfId="0" applyFont="1" applyFill="1" applyBorder="1" applyAlignment="1" applyProtection="1">
      <alignment horizontal="center" vertical="center"/>
      <protection locked="0"/>
    </xf>
    <xf numFmtId="0" fontId="93" fillId="33" borderId="79" xfId="0" applyFont="1" applyFill="1" applyBorder="1" applyAlignment="1" applyProtection="1">
      <alignment horizontal="center" vertical="center"/>
      <protection locked="0"/>
    </xf>
    <xf numFmtId="0" fontId="93" fillId="33" borderId="80" xfId="0" applyFont="1" applyFill="1" applyBorder="1" applyAlignment="1" applyProtection="1">
      <alignment horizontal="center" vertical="center"/>
      <protection locked="0"/>
    </xf>
    <xf numFmtId="0" fontId="93" fillId="33" borderId="81" xfId="0" applyFont="1" applyFill="1" applyBorder="1" applyAlignment="1" applyProtection="1">
      <alignment horizontal="center" vertical="center"/>
      <protection locked="0"/>
    </xf>
    <xf numFmtId="0" fontId="100" fillId="33" borderId="0" xfId="0" applyFont="1" applyFill="1" applyBorder="1" applyAlignment="1" applyProtection="1">
      <alignment horizontal="right" vertical="center"/>
    </xf>
    <xf numFmtId="0" fontId="141" fillId="0" borderId="0" xfId="0" applyFont="1" applyBorder="1" applyAlignment="1" applyProtection="1">
      <alignment horizontal="center" vertical="center"/>
    </xf>
    <xf numFmtId="0" fontId="141" fillId="0" borderId="26" xfId="0" applyFont="1" applyBorder="1" applyAlignment="1" applyProtection="1">
      <alignment horizontal="center" vertical="center"/>
    </xf>
    <xf numFmtId="0" fontId="100" fillId="33" borderId="26" xfId="0" applyFont="1" applyFill="1" applyBorder="1" applyAlignment="1" applyProtection="1">
      <alignment horizontal="right" vertical="center"/>
    </xf>
    <xf numFmtId="0" fontId="113" fillId="4" borderId="79" xfId="0" applyFont="1" applyFill="1" applyBorder="1" applyAlignment="1" applyProtection="1">
      <alignment horizontal="left" vertical="center"/>
      <protection locked="0"/>
    </xf>
    <xf numFmtId="0" fontId="113" fillId="4" borderId="80" xfId="0" applyFont="1" applyFill="1" applyBorder="1" applyAlignment="1" applyProtection="1">
      <alignment horizontal="left" vertical="center"/>
      <protection locked="0"/>
    </xf>
    <xf numFmtId="0" fontId="113" fillId="4" borderId="81" xfId="0" applyFont="1" applyFill="1" applyBorder="1" applyAlignment="1" applyProtection="1">
      <alignment horizontal="left" vertical="center"/>
      <protection locked="0"/>
    </xf>
    <xf numFmtId="0" fontId="113" fillId="4" borderId="79" xfId="0" applyFont="1" applyFill="1" applyBorder="1" applyAlignment="1" applyProtection="1">
      <alignment horizontal="center" vertical="center"/>
      <protection locked="0"/>
    </xf>
    <xf numFmtId="0" fontId="113" fillId="4" borderId="80" xfId="0" applyFont="1" applyFill="1" applyBorder="1" applyAlignment="1" applyProtection="1">
      <alignment horizontal="center" vertical="center"/>
      <protection locked="0"/>
    </xf>
    <xf numFmtId="0" fontId="113" fillId="4" borderId="81" xfId="0" applyFont="1" applyFill="1" applyBorder="1" applyAlignment="1" applyProtection="1">
      <alignment horizontal="center" vertical="center"/>
      <protection locked="0"/>
    </xf>
    <xf numFmtId="0" fontId="113" fillId="4" borderId="79" xfId="0" applyFont="1" applyFill="1" applyBorder="1" applyAlignment="1" applyProtection="1">
      <alignment horizontal="center" vertical="distributed" wrapText="1"/>
      <protection locked="0"/>
    </xf>
    <xf numFmtId="0" fontId="113" fillId="4" borderId="80" xfId="0" applyFont="1" applyFill="1" applyBorder="1" applyAlignment="1" applyProtection="1">
      <alignment horizontal="center" vertical="distributed" wrapText="1"/>
      <protection locked="0"/>
    </xf>
    <xf numFmtId="0" fontId="113" fillId="4" borderId="81" xfId="0" applyFont="1" applyFill="1" applyBorder="1" applyAlignment="1" applyProtection="1">
      <alignment horizontal="center" vertical="distributed" wrapText="1"/>
      <protection locked="0"/>
    </xf>
    <xf numFmtId="0" fontId="93" fillId="4" borderId="0" xfId="0" applyFont="1" applyFill="1" applyBorder="1" applyAlignment="1" applyProtection="1">
      <alignment horizontal="center" vertical="center"/>
      <protection locked="0"/>
    </xf>
    <xf numFmtId="0" fontId="93" fillId="4" borderId="0" xfId="0" applyFont="1" applyFill="1" applyBorder="1" applyAlignment="1" applyProtection="1">
      <alignment horizontal="center" vertical="distributed" wrapText="1"/>
      <protection locked="0"/>
    </xf>
    <xf numFmtId="0" fontId="93" fillId="4" borderId="0" xfId="0" applyFont="1" applyFill="1" applyBorder="1" applyAlignment="1" applyProtection="1">
      <alignment horizontal="center" vertical="center" wrapText="1"/>
    </xf>
    <xf numFmtId="0" fontId="93" fillId="4" borderId="79" xfId="0" applyFont="1" applyFill="1" applyBorder="1" applyAlignment="1" applyProtection="1">
      <alignment horizontal="left" vertical="center" wrapText="1"/>
      <protection locked="0"/>
    </xf>
    <xf numFmtId="0" fontId="93" fillId="4" borderId="80" xfId="0" applyFont="1" applyFill="1" applyBorder="1" applyAlignment="1" applyProtection="1">
      <alignment horizontal="left" vertical="center" wrapText="1"/>
      <protection locked="0"/>
    </xf>
    <xf numFmtId="0" fontId="93" fillId="4" borderId="81" xfId="0" applyFont="1" applyFill="1" applyBorder="1" applyAlignment="1" applyProtection="1">
      <alignment horizontal="left" vertical="center" wrapText="1"/>
      <protection locked="0"/>
    </xf>
    <xf numFmtId="0" fontId="100" fillId="0" borderId="0" xfId="0" applyFont="1" applyFill="1" applyBorder="1" applyAlignment="1" applyProtection="1">
      <alignment horizontal="left" vertical="center"/>
    </xf>
    <xf numFmtId="0" fontId="90" fillId="4" borderId="82" xfId="0" applyFont="1" applyFill="1" applyBorder="1" applyAlignment="1" applyProtection="1">
      <alignment horizontal="center"/>
      <protection locked="0"/>
    </xf>
    <xf numFmtId="0" fontId="90" fillId="4" borderId="83" xfId="0" applyFont="1" applyFill="1" applyBorder="1" applyAlignment="1" applyProtection="1">
      <alignment horizontal="center"/>
      <protection locked="0"/>
    </xf>
    <xf numFmtId="0" fontId="90" fillId="4" borderId="84" xfId="0" applyFont="1" applyFill="1" applyBorder="1" applyAlignment="1" applyProtection="1">
      <alignment horizontal="center"/>
      <protection locked="0"/>
    </xf>
    <xf numFmtId="0" fontId="90" fillId="4" borderId="34" xfId="0" applyFont="1" applyFill="1" applyBorder="1" applyAlignment="1" applyProtection="1">
      <alignment horizontal="center"/>
      <protection locked="0"/>
    </xf>
    <xf numFmtId="0" fontId="90" fillId="4" borderId="0" xfId="0" applyFont="1" applyFill="1" applyBorder="1" applyAlignment="1" applyProtection="1">
      <alignment horizontal="center"/>
      <protection locked="0"/>
    </xf>
    <xf numFmtId="0" fontId="90" fillId="4" borderId="26" xfId="0" applyFont="1" applyFill="1" applyBorder="1" applyAlignment="1" applyProtection="1">
      <alignment horizontal="center"/>
      <protection locked="0"/>
    </xf>
    <xf numFmtId="0" fontId="90" fillId="4" borderId="30" xfId="0" applyFont="1" applyFill="1" applyBorder="1" applyAlignment="1" applyProtection="1">
      <alignment horizontal="center"/>
      <protection locked="0"/>
    </xf>
    <xf numFmtId="0" fontId="90" fillId="4" borderId="19" xfId="0" applyFont="1" applyFill="1" applyBorder="1" applyAlignment="1" applyProtection="1">
      <alignment horizontal="center"/>
      <protection locked="0"/>
    </xf>
    <xf numFmtId="0" fontId="90" fillId="4" borderId="28" xfId="0" applyFont="1" applyFill="1" applyBorder="1" applyAlignment="1" applyProtection="1">
      <alignment horizontal="center"/>
      <protection locked="0"/>
    </xf>
    <xf numFmtId="0" fontId="93" fillId="33" borderId="0" xfId="0" applyFont="1" applyFill="1" applyBorder="1" applyAlignment="1" applyProtection="1">
      <alignment horizontal="center" vertical="center"/>
    </xf>
    <xf numFmtId="0" fontId="100" fillId="4" borderId="0" xfId="0" applyFont="1" applyFill="1" applyBorder="1" applyAlignment="1" applyProtection="1">
      <alignment horizontal="center" vertical="center"/>
    </xf>
    <xf numFmtId="0" fontId="100" fillId="33" borderId="0" xfId="0" applyFont="1" applyFill="1" applyBorder="1" applyAlignment="1" applyProtection="1">
      <alignment horizontal="left" vertical="center"/>
    </xf>
    <xf numFmtId="0" fontId="104" fillId="2" borderId="0" xfId="0" applyFont="1" applyFill="1" applyBorder="1" applyAlignment="1" applyProtection="1">
      <alignment horizontal="center" textRotation="90"/>
    </xf>
    <xf numFmtId="0" fontId="93" fillId="33" borderId="79" xfId="0" applyFont="1" applyFill="1" applyBorder="1" applyAlignment="1" applyProtection="1">
      <alignment horizontal="center" vertical="center"/>
    </xf>
    <xf numFmtId="0" fontId="93" fillId="33" borderId="80" xfId="0" applyFont="1" applyFill="1" applyBorder="1" applyAlignment="1" applyProtection="1">
      <alignment horizontal="center" vertical="center"/>
    </xf>
    <xf numFmtId="0" fontId="93" fillId="33" borderId="81" xfId="0" applyFont="1" applyFill="1" applyBorder="1" applyAlignment="1" applyProtection="1">
      <alignment horizontal="center" vertical="center"/>
    </xf>
    <xf numFmtId="0" fontId="100" fillId="33" borderId="0" xfId="0" applyFont="1" applyFill="1" applyBorder="1" applyAlignment="1" applyProtection="1">
      <alignment vertical="center"/>
    </xf>
    <xf numFmtId="0" fontId="93" fillId="4" borderId="79" xfId="0" applyFont="1" applyFill="1" applyBorder="1" applyAlignment="1" applyProtection="1">
      <alignment horizontal="center" vertical="center"/>
      <protection locked="0"/>
    </xf>
    <xf numFmtId="0" fontId="93" fillId="4" borderId="80" xfId="0" applyFont="1" applyFill="1" applyBorder="1" applyAlignment="1" applyProtection="1">
      <alignment horizontal="center" vertical="center"/>
      <protection locked="0"/>
    </xf>
    <xf numFmtId="0" fontId="93" fillId="4" borderId="81" xfId="0" applyFont="1" applyFill="1" applyBorder="1" applyAlignment="1" applyProtection="1">
      <alignment horizontal="center" vertical="center"/>
      <protection locked="0"/>
    </xf>
    <xf numFmtId="0" fontId="93" fillId="4" borderId="79" xfId="0" applyFont="1" applyFill="1" applyBorder="1" applyAlignment="1" applyProtection="1">
      <alignment horizontal="left" vertical="top" wrapText="1"/>
      <protection locked="0"/>
    </xf>
    <xf numFmtId="0" fontId="93" fillId="4" borderId="80" xfId="0" applyFont="1" applyFill="1" applyBorder="1" applyAlignment="1" applyProtection="1">
      <alignment horizontal="left" vertical="top" wrapText="1"/>
      <protection locked="0"/>
    </xf>
    <xf numFmtId="0" fontId="93" fillId="4" borderId="81" xfId="0" applyFont="1" applyFill="1" applyBorder="1" applyAlignment="1" applyProtection="1">
      <alignment horizontal="left" vertical="top" wrapText="1"/>
      <protection locked="0"/>
    </xf>
    <xf numFmtId="0" fontId="93" fillId="4" borderId="82" xfId="0" applyFont="1" applyFill="1" applyBorder="1" applyAlignment="1" applyProtection="1">
      <alignment horizontal="center" vertical="center"/>
      <protection locked="0"/>
    </xf>
    <xf numFmtId="0" fontId="93" fillId="4" borderId="83" xfId="0" applyFont="1" applyFill="1" applyBorder="1" applyAlignment="1" applyProtection="1">
      <alignment horizontal="center" vertical="center"/>
      <protection locked="0"/>
    </xf>
    <xf numFmtId="0" fontId="93" fillId="4" borderId="84" xfId="0" applyFont="1" applyFill="1" applyBorder="1" applyAlignment="1" applyProtection="1">
      <alignment horizontal="center" vertical="center"/>
      <protection locked="0"/>
    </xf>
    <xf numFmtId="0" fontId="93" fillId="4" borderId="30" xfId="0" applyFont="1" applyFill="1" applyBorder="1" applyAlignment="1" applyProtection="1">
      <alignment horizontal="center" vertical="center"/>
      <protection locked="0"/>
    </xf>
    <xf numFmtId="0" fontId="93" fillId="4" borderId="19" xfId="0" applyFont="1" applyFill="1" applyBorder="1" applyAlignment="1" applyProtection="1">
      <alignment horizontal="center" vertical="center"/>
      <protection locked="0"/>
    </xf>
    <xf numFmtId="0" fontId="93" fillId="4" borderId="28" xfId="0" applyFont="1" applyFill="1" applyBorder="1" applyAlignment="1" applyProtection="1">
      <alignment horizontal="center" vertical="center"/>
      <protection locked="0"/>
    </xf>
    <xf numFmtId="0" fontId="93" fillId="4" borderId="34" xfId="0" applyFont="1" applyFill="1" applyBorder="1" applyAlignment="1" applyProtection="1">
      <alignment horizontal="center" vertical="center"/>
    </xf>
    <xf numFmtId="0" fontId="93" fillId="0" borderId="0" xfId="0" applyFont="1" applyFill="1" applyBorder="1" applyAlignment="1" applyProtection="1">
      <alignment horizontal="center" vertical="center" wrapText="1"/>
    </xf>
    <xf numFmtId="49" fontId="90" fillId="33" borderId="0" xfId="0" applyNumberFormat="1" applyFont="1" applyFill="1" applyBorder="1" applyAlignment="1" applyProtection="1">
      <alignment horizontal="center" vertical="center"/>
    </xf>
    <xf numFmtId="182" fontId="93" fillId="33" borderId="79" xfId="0" applyNumberFormat="1" applyFont="1" applyFill="1" applyBorder="1" applyAlignment="1" applyProtection="1">
      <alignment horizontal="center" vertical="center"/>
      <protection locked="0"/>
    </xf>
    <xf numFmtId="182" fontId="93" fillId="33" borderId="80" xfId="0" applyNumberFormat="1" applyFont="1" applyFill="1" applyBorder="1" applyAlignment="1" applyProtection="1">
      <alignment horizontal="center" vertical="center"/>
      <protection locked="0"/>
    </xf>
    <xf numFmtId="182" fontId="93" fillId="33" borderId="81" xfId="0" applyNumberFormat="1" applyFont="1" applyFill="1" applyBorder="1" applyAlignment="1" applyProtection="1">
      <alignment horizontal="center" vertical="center"/>
      <protection locked="0"/>
    </xf>
    <xf numFmtId="0" fontId="98" fillId="2" borderId="0" xfId="0" applyFont="1" applyFill="1" applyBorder="1" applyAlignment="1" applyProtection="1">
      <alignment horizontal="center" vertical="center"/>
    </xf>
    <xf numFmtId="180" fontId="90" fillId="4" borderId="0" xfId="0" applyNumberFormat="1" applyFont="1" applyFill="1" applyBorder="1" applyAlignment="1" applyProtection="1">
      <alignment horizontal="center" vertical="center" wrapText="1"/>
    </xf>
    <xf numFmtId="0" fontId="104" fillId="2" borderId="6" xfId="0" applyFont="1" applyFill="1" applyBorder="1" applyAlignment="1" applyProtection="1">
      <alignment horizontal="left" vertical="center"/>
    </xf>
    <xf numFmtId="0" fontId="104" fillId="2" borderId="7" xfId="0" applyFont="1" applyFill="1" applyBorder="1" applyAlignment="1" applyProtection="1">
      <alignment horizontal="left" vertical="center"/>
    </xf>
    <xf numFmtId="0" fontId="104" fillId="2" borderId="4" xfId="0" applyFont="1" applyFill="1" applyBorder="1" applyAlignment="1" applyProtection="1">
      <alignment horizontal="left" vertical="center"/>
    </xf>
    <xf numFmtId="0" fontId="104" fillId="2" borderId="0" xfId="0" applyFont="1" applyFill="1" applyBorder="1" applyAlignment="1" applyProtection="1">
      <alignment horizontal="left" vertical="center"/>
    </xf>
    <xf numFmtId="0" fontId="90" fillId="33" borderId="0" xfId="0" applyFont="1" applyFill="1" applyBorder="1" applyAlignment="1" applyProtection="1">
      <alignment horizontal="center" vertical="center"/>
    </xf>
    <xf numFmtId="0" fontId="131" fillId="37" borderId="78" xfId="0" applyFont="1" applyFill="1" applyBorder="1" applyAlignment="1" applyProtection="1">
      <alignment horizontal="left" vertical="center" wrapText="1"/>
    </xf>
    <xf numFmtId="0" fontId="139" fillId="0" borderId="78" xfId="0" applyFont="1" applyFill="1" applyBorder="1" applyAlignment="1" applyProtection="1">
      <alignment horizontal="left" vertical="center" wrapText="1"/>
      <protection locked="0"/>
    </xf>
    <xf numFmtId="0" fontId="140" fillId="0" borderId="78" xfId="0" applyFont="1" applyFill="1" applyBorder="1" applyAlignment="1" applyProtection="1">
      <alignment horizontal="left" vertical="center" wrapText="1"/>
      <protection locked="0"/>
    </xf>
    <xf numFmtId="0" fontId="113" fillId="0" borderId="78" xfId="0" applyFont="1" applyFill="1" applyBorder="1" applyAlignment="1" applyProtection="1">
      <alignment horizontal="left" vertical="center" wrapText="1"/>
      <protection locked="0"/>
    </xf>
    <xf numFmtId="0" fontId="131" fillId="0" borderId="78" xfId="0" applyFont="1" applyFill="1" applyBorder="1" applyAlignment="1" applyProtection="1">
      <alignment horizontal="left" vertical="center" wrapText="1"/>
      <protection locked="0"/>
    </xf>
    <xf numFmtId="0" fontId="138" fillId="0" borderId="0" xfId="0" applyFont="1" applyFill="1" applyBorder="1" applyAlignment="1" applyProtection="1">
      <alignment horizontal="left" vertical="center"/>
    </xf>
    <xf numFmtId="0" fontId="138" fillId="0" borderId="0" xfId="0" applyFont="1" applyFill="1" applyBorder="1" applyAlignment="1" applyProtection="1">
      <alignment horizontal="left" vertical="center" wrapText="1"/>
    </xf>
    <xf numFmtId="0" fontId="100" fillId="0" borderId="0" xfId="0" applyFont="1" applyFill="1" applyBorder="1" applyAlignment="1" applyProtection="1">
      <alignment horizontal="left" vertical="center" wrapText="1"/>
    </xf>
    <xf numFmtId="0" fontId="103" fillId="33" borderId="0" xfId="0" applyFont="1" applyFill="1" applyBorder="1" applyAlignment="1" applyProtection="1">
      <alignment horizontal="center" vertical="top"/>
    </xf>
    <xf numFmtId="182" fontId="113" fillId="33" borderId="79" xfId="0" quotePrefix="1" applyNumberFormat="1" applyFont="1" applyFill="1" applyBorder="1" applyAlignment="1" applyProtection="1">
      <alignment horizontal="center" vertical="center" wrapText="1"/>
      <protection locked="0"/>
    </xf>
    <xf numFmtId="182" fontId="113" fillId="33" borderId="80" xfId="0" quotePrefix="1" applyNumberFormat="1" applyFont="1" applyFill="1" applyBorder="1" applyAlignment="1" applyProtection="1">
      <alignment horizontal="center" vertical="center" wrapText="1"/>
      <protection locked="0"/>
    </xf>
    <xf numFmtId="182" fontId="113" fillId="33" borderId="81" xfId="0" quotePrefix="1" applyNumberFormat="1" applyFont="1" applyFill="1" applyBorder="1" applyAlignment="1" applyProtection="1">
      <alignment horizontal="center" vertical="center" wrapText="1"/>
      <protection locked="0"/>
    </xf>
    <xf numFmtId="0" fontId="113" fillId="0" borderId="78" xfId="0" applyFont="1" applyFill="1" applyBorder="1" applyAlignment="1" applyProtection="1">
      <alignment horizontal="center" vertical="center" wrapText="1"/>
      <protection locked="0"/>
    </xf>
    <xf numFmtId="0" fontId="93" fillId="4" borderId="30" xfId="0" applyFont="1" applyFill="1" applyBorder="1" applyAlignment="1" applyProtection="1">
      <alignment horizontal="left" vertical="center" wrapText="1"/>
      <protection locked="0"/>
    </xf>
    <xf numFmtId="0" fontId="93" fillId="4" borderId="19" xfId="0" applyFont="1" applyFill="1" applyBorder="1" applyAlignment="1" applyProtection="1">
      <alignment horizontal="left" vertical="center" wrapText="1"/>
      <protection locked="0"/>
    </xf>
    <xf numFmtId="0" fontId="93" fillId="4" borderId="28" xfId="0" applyFont="1" applyFill="1" applyBorder="1" applyAlignment="1" applyProtection="1">
      <alignment horizontal="left" vertical="center" wrapText="1"/>
      <protection locked="0"/>
    </xf>
    <xf numFmtId="49" fontId="113" fillId="0" borderId="78" xfId="0" applyNumberFormat="1" applyFont="1" applyFill="1" applyBorder="1" applyAlignment="1" applyProtection="1">
      <alignment horizontal="left" vertical="center" wrapText="1"/>
      <protection locked="0"/>
    </xf>
    <xf numFmtId="0" fontId="98" fillId="37" borderId="78" xfId="0" applyFont="1" applyFill="1" applyBorder="1" applyAlignment="1" applyProtection="1">
      <alignment horizontal="center" vertical="center" textRotation="90"/>
    </xf>
    <xf numFmtId="0" fontId="93" fillId="0" borderId="0" xfId="0" applyFont="1" applyFill="1" applyBorder="1" applyAlignment="1" applyProtection="1">
      <alignment horizontal="center" textRotation="90"/>
    </xf>
    <xf numFmtId="0" fontId="100" fillId="33" borderId="0" xfId="0" applyFont="1" applyFill="1" applyBorder="1" applyAlignment="1" applyProtection="1">
      <alignment horizontal="center" vertical="top"/>
    </xf>
    <xf numFmtId="0" fontId="113" fillId="4" borderId="31" xfId="0" applyFont="1" applyFill="1" applyBorder="1" applyAlignment="1" applyProtection="1">
      <alignment horizontal="center" vertical="distributed" wrapText="1"/>
      <protection locked="0"/>
    </xf>
    <xf numFmtId="0" fontId="113" fillId="4" borderId="16" xfId="0" applyFont="1" applyFill="1" applyBorder="1" applyAlignment="1" applyProtection="1">
      <alignment horizontal="center" vertical="distributed" wrapText="1"/>
      <protection locked="0"/>
    </xf>
    <xf numFmtId="0" fontId="113" fillId="4" borderId="33" xfId="0" applyFont="1" applyFill="1" applyBorder="1" applyAlignment="1" applyProtection="1">
      <alignment horizontal="center" vertical="distributed" wrapText="1"/>
      <protection locked="0"/>
    </xf>
    <xf numFmtId="0" fontId="93" fillId="4" borderId="0" xfId="0" applyFont="1" applyFill="1" applyBorder="1" applyAlignment="1" applyProtection="1">
      <alignment horizontal="center"/>
      <protection locked="0"/>
    </xf>
    <xf numFmtId="0" fontId="93" fillId="4" borderId="108" xfId="0" applyFont="1" applyFill="1" applyBorder="1" applyAlignment="1" applyProtection="1">
      <alignment horizontal="center"/>
      <protection locked="0"/>
    </xf>
    <xf numFmtId="0" fontId="93" fillId="4" borderId="107" xfId="0" applyFont="1" applyFill="1" applyBorder="1" applyAlignment="1" applyProtection="1">
      <alignment horizontal="center"/>
      <protection locked="0"/>
    </xf>
    <xf numFmtId="0" fontId="93" fillId="4" borderId="109" xfId="0" applyFont="1" applyFill="1" applyBorder="1" applyAlignment="1" applyProtection="1">
      <alignment horizontal="center"/>
      <protection locked="0"/>
    </xf>
    <xf numFmtId="0" fontId="113" fillId="4" borderId="9" xfId="0" applyFont="1" applyFill="1" applyBorder="1" applyAlignment="1" applyProtection="1">
      <alignment horizontal="center" vertical="distributed" wrapText="1"/>
      <protection locked="0"/>
    </xf>
    <xf numFmtId="0" fontId="130" fillId="2" borderId="0" xfId="0" applyFont="1" applyFill="1" applyBorder="1" applyAlignment="1" applyProtection="1">
      <alignment horizontal="center" vertical="center" textRotation="90"/>
    </xf>
    <xf numFmtId="0" fontId="93" fillId="0" borderId="0" xfId="0" applyFont="1" applyFill="1" applyBorder="1" applyAlignment="1" applyProtection="1">
      <alignment horizontal="center" vertical="center" textRotation="90"/>
    </xf>
    <xf numFmtId="0" fontId="102" fillId="37" borderId="81" xfId="0" applyFont="1" applyFill="1" applyBorder="1" applyAlignment="1" applyProtection="1">
      <alignment horizontal="center" vertical="center"/>
    </xf>
    <xf numFmtId="0" fontId="102" fillId="37" borderId="78" xfId="0" applyFont="1" applyFill="1" applyBorder="1" applyAlignment="1" applyProtection="1">
      <alignment horizontal="center" vertical="center"/>
    </xf>
    <xf numFmtId="0" fontId="93" fillId="0" borderId="78" xfId="0" applyFont="1" applyFill="1" applyBorder="1" applyAlignment="1" applyProtection="1">
      <alignment horizontal="left" vertical="center" wrapText="1"/>
      <protection locked="0"/>
    </xf>
    <xf numFmtId="182" fontId="113" fillId="33" borderId="78" xfId="0" applyNumberFormat="1" applyFont="1" applyFill="1" applyBorder="1" applyAlignment="1" applyProtection="1">
      <alignment horizontal="center" vertical="distributed"/>
      <protection locked="0"/>
    </xf>
    <xf numFmtId="14" fontId="113" fillId="33" borderId="78" xfId="0" quotePrefix="1" applyNumberFormat="1" applyFont="1" applyFill="1" applyBorder="1" applyAlignment="1" applyProtection="1">
      <alignment horizontal="center" vertical="center" wrapText="1"/>
      <protection locked="0"/>
    </xf>
    <xf numFmtId="180" fontId="93" fillId="4" borderId="79" xfId="0" applyNumberFormat="1" applyFont="1" applyFill="1" applyBorder="1" applyAlignment="1" applyProtection="1">
      <alignment horizontal="center" vertical="center"/>
      <protection locked="0"/>
    </xf>
    <xf numFmtId="180" fontId="93" fillId="4" borderId="80" xfId="0" applyNumberFormat="1" applyFont="1" applyFill="1" applyBorder="1" applyAlignment="1" applyProtection="1">
      <alignment horizontal="center" vertical="center"/>
      <protection locked="0"/>
    </xf>
    <xf numFmtId="180" fontId="93" fillId="4" borderId="81" xfId="0" applyNumberFormat="1" applyFont="1" applyFill="1" applyBorder="1" applyAlignment="1" applyProtection="1">
      <alignment horizontal="center" vertical="center"/>
      <protection locked="0"/>
    </xf>
    <xf numFmtId="0" fontId="93" fillId="4" borderId="68" xfId="0" applyFont="1" applyFill="1" applyBorder="1" applyAlignment="1" applyProtection="1">
      <alignment horizontal="center"/>
      <protection locked="0"/>
    </xf>
    <xf numFmtId="0" fontId="93" fillId="4" borderId="69" xfId="0" applyFont="1" applyFill="1" applyBorder="1" applyAlignment="1" applyProtection="1">
      <alignment horizontal="center"/>
      <protection locked="0"/>
    </xf>
    <xf numFmtId="0" fontId="93" fillId="4" borderId="70" xfId="0" applyFont="1" applyFill="1" applyBorder="1" applyAlignment="1" applyProtection="1">
      <alignment horizontal="center"/>
      <protection locked="0"/>
    </xf>
    <xf numFmtId="0" fontId="93" fillId="4" borderId="71" xfId="0" applyFont="1" applyFill="1" applyBorder="1" applyAlignment="1" applyProtection="1">
      <alignment horizontal="center"/>
      <protection locked="0"/>
    </xf>
    <xf numFmtId="0" fontId="93" fillId="4" borderId="72" xfId="0" applyFont="1" applyFill="1" applyBorder="1" applyAlignment="1" applyProtection="1">
      <alignment horizontal="center"/>
      <protection locked="0"/>
    </xf>
    <xf numFmtId="0" fontId="93" fillId="4" borderId="73" xfId="0" applyFont="1" applyFill="1" applyBorder="1" applyAlignment="1" applyProtection="1">
      <alignment horizontal="center"/>
      <protection locked="0"/>
    </xf>
    <xf numFmtId="0" fontId="93" fillId="4" borderId="74" xfId="0" applyFont="1" applyFill="1" applyBorder="1" applyAlignment="1" applyProtection="1">
      <alignment horizontal="center"/>
      <protection locked="0"/>
    </xf>
    <xf numFmtId="0" fontId="93" fillId="4" borderId="75" xfId="0" applyFont="1" applyFill="1" applyBorder="1" applyAlignment="1" applyProtection="1">
      <alignment horizontal="center"/>
      <protection locked="0"/>
    </xf>
    <xf numFmtId="0" fontId="98" fillId="37" borderId="82" xfId="0" applyFont="1" applyFill="1" applyBorder="1" applyAlignment="1" applyProtection="1">
      <alignment horizontal="center" vertical="center" textRotation="90"/>
    </xf>
    <xf numFmtId="0" fontId="98" fillId="37" borderId="83" xfId="0" applyFont="1" applyFill="1" applyBorder="1" applyAlignment="1" applyProtection="1">
      <alignment horizontal="center" vertical="center" textRotation="90"/>
    </xf>
    <xf numFmtId="0" fontId="98" fillId="37" borderId="84" xfId="0" applyFont="1" applyFill="1" applyBorder="1" applyAlignment="1" applyProtection="1">
      <alignment horizontal="center" vertical="center" textRotation="90"/>
    </xf>
    <xf numFmtId="0" fontId="98" fillId="37" borderId="34" xfId="0" applyFont="1" applyFill="1" applyBorder="1" applyAlignment="1" applyProtection="1">
      <alignment horizontal="center" vertical="center" textRotation="90"/>
    </xf>
    <xf numFmtId="0" fontId="98" fillId="37" borderId="0" xfId="0" applyFont="1" applyFill="1" applyBorder="1" applyAlignment="1" applyProtection="1">
      <alignment horizontal="center" vertical="center" textRotation="90"/>
    </xf>
    <xf numFmtId="0" fontId="98" fillId="37" borderId="26" xfId="0" applyFont="1" applyFill="1" applyBorder="1" applyAlignment="1" applyProtection="1">
      <alignment horizontal="center" vertical="center" textRotation="90"/>
    </xf>
    <xf numFmtId="0" fontId="98" fillId="37" borderId="30" xfId="0" applyFont="1" applyFill="1" applyBorder="1" applyAlignment="1" applyProtection="1">
      <alignment horizontal="center" vertical="center" textRotation="90"/>
    </xf>
    <xf numFmtId="0" fontId="98" fillId="37" borderId="19" xfId="0" applyFont="1" applyFill="1" applyBorder="1" applyAlignment="1" applyProtection="1">
      <alignment horizontal="center" vertical="center" textRotation="90"/>
    </xf>
    <xf numFmtId="0" fontId="98" fillId="37" borderId="28" xfId="0" applyFont="1" applyFill="1" applyBorder="1" applyAlignment="1" applyProtection="1">
      <alignment horizontal="center" vertical="center" textRotation="90"/>
    </xf>
    <xf numFmtId="0" fontId="102" fillId="37" borderId="79" xfId="0" applyFont="1" applyFill="1" applyBorder="1" applyAlignment="1" applyProtection="1">
      <alignment horizontal="center" vertical="center"/>
    </xf>
    <xf numFmtId="0" fontId="102" fillId="37" borderId="80" xfId="0" applyFont="1" applyFill="1" applyBorder="1" applyAlignment="1" applyProtection="1">
      <alignment horizontal="center" vertical="center"/>
    </xf>
    <xf numFmtId="0" fontId="95" fillId="2" borderId="0" xfId="0" applyFont="1" applyFill="1" applyBorder="1" applyAlignment="1" applyProtection="1">
      <alignment horizontal="center" vertical="center"/>
    </xf>
    <xf numFmtId="0" fontId="98" fillId="37" borderId="76" xfId="0" applyFont="1" applyFill="1" applyBorder="1" applyAlignment="1" applyProtection="1">
      <alignment horizontal="center" vertical="center" textRotation="90"/>
    </xf>
    <xf numFmtId="0" fontId="100" fillId="33" borderId="0" xfId="0" applyFont="1" applyFill="1" applyBorder="1" applyAlignment="1" applyProtection="1">
      <alignment horizontal="right" vertical="top"/>
    </xf>
    <xf numFmtId="0" fontId="100" fillId="33" borderId="79" xfId="0" applyFont="1" applyFill="1" applyBorder="1" applyAlignment="1" applyProtection="1">
      <alignment horizontal="center" vertical="center"/>
    </xf>
    <xf numFmtId="0" fontId="100" fillId="33" borderId="80" xfId="0" applyFont="1" applyFill="1" applyBorder="1" applyAlignment="1" applyProtection="1">
      <alignment horizontal="center" vertical="center"/>
    </xf>
    <xf numFmtId="0" fontId="100" fillId="33" borderId="81" xfId="0" applyFont="1" applyFill="1" applyBorder="1" applyAlignment="1" applyProtection="1">
      <alignment horizontal="center" vertical="center"/>
    </xf>
    <xf numFmtId="0" fontId="100" fillId="4" borderId="0" xfId="0" applyFont="1" applyFill="1" applyBorder="1" applyAlignment="1" applyProtection="1">
      <alignment horizontal="left" vertical="center" wrapText="1"/>
    </xf>
    <xf numFmtId="0" fontId="100" fillId="33" borderId="0" xfId="0" applyFont="1" applyFill="1" applyBorder="1" applyAlignment="1" applyProtection="1">
      <alignment horizontal="center" vertical="center" wrapText="1"/>
    </xf>
    <xf numFmtId="0" fontId="130" fillId="4" borderId="0" xfId="0" applyFont="1" applyFill="1" applyBorder="1" applyAlignment="1" applyProtection="1">
      <alignment horizontal="left" vertical="center"/>
    </xf>
    <xf numFmtId="0" fontId="130" fillId="4" borderId="26" xfId="0" applyFont="1" applyFill="1" applyBorder="1" applyAlignment="1" applyProtection="1">
      <alignment horizontal="left" vertical="center"/>
    </xf>
    <xf numFmtId="0" fontId="102" fillId="33" borderId="0" xfId="145" applyNumberFormat="1" applyFont="1" applyFill="1" applyBorder="1" applyAlignment="1" applyProtection="1">
      <alignment horizontal="left" vertical="center"/>
    </xf>
    <xf numFmtId="0" fontId="102" fillId="33" borderId="26" xfId="145" applyNumberFormat="1" applyFont="1" applyFill="1" applyBorder="1" applyAlignment="1" applyProtection="1">
      <alignment horizontal="left" vertical="center"/>
    </xf>
    <xf numFmtId="0" fontId="93" fillId="0" borderId="79" xfId="0" applyFont="1" applyFill="1" applyBorder="1" applyAlignment="1" applyProtection="1">
      <alignment horizontal="center" vertical="center"/>
      <protection locked="0"/>
    </xf>
    <xf numFmtId="0" fontId="93" fillId="0" borderId="80" xfId="0" applyFont="1" applyFill="1" applyBorder="1" applyAlignment="1" applyProtection="1">
      <alignment horizontal="center" vertical="center"/>
      <protection locked="0"/>
    </xf>
    <xf numFmtId="0" fontId="93" fillId="0" borderId="81" xfId="0" applyFont="1" applyFill="1" applyBorder="1" applyAlignment="1" applyProtection="1">
      <alignment horizontal="center" vertical="center"/>
      <protection locked="0"/>
    </xf>
    <xf numFmtId="0" fontId="93" fillId="32" borderId="31" xfId="0" applyFont="1" applyFill="1" applyBorder="1" applyAlignment="1" applyProtection="1">
      <alignment horizontal="center" vertical="center"/>
      <protection locked="0"/>
    </xf>
    <xf numFmtId="0" fontId="93" fillId="32" borderId="16" xfId="0" applyFont="1" applyFill="1" applyBorder="1" applyAlignment="1" applyProtection="1">
      <alignment horizontal="center" vertical="center"/>
      <protection locked="0"/>
    </xf>
    <xf numFmtId="0" fontId="93" fillId="32" borderId="33" xfId="0" applyFont="1" applyFill="1" applyBorder="1" applyAlignment="1" applyProtection="1">
      <alignment horizontal="center" vertical="center"/>
      <protection locked="0"/>
    </xf>
    <xf numFmtId="0" fontId="93" fillId="0" borderId="31" xfId="0" applyFont="1" applyFill="1" applyBorder="1" applyAlignment="1" applyProtection="1">
      <alignment horizontal="center" vertical="center"/>
      <protection locked="0"/>
    </xf>
    <xf numFmtId="0" fontId="93" fillId="0" borderId="16" xfId="0" applyFont="1" applyFill="1" applyBorder="1" applyAlignment="1" applyProtection="1">
      <alignment horizontal="center" vertical="center"/>
      <protection locked="0"/>
    </xf>
    <xf numFmtId="0" fontId="93" fillId="0" borderId="33" xfId="0" applyFont="1" applyFill="1" applyBorder="1" applyAlignment="1" applyProtection="1">
      <alignment horizontal="center" vertical="center"/>
      <protection locked="0"/>
    </xf>
    <xf numFmtId="0" fontId="95" fillId="33" borderId="0" xfId="0" applyFont="1" applyFill="1" applyBorder="1" applyAlignment="1" applyProtection="1">
      <alignment horizontal="left" vertical="center"/>
    </xf>
    <xf numFmtId="0" fontId="95" fillId="33" borderId="26" xfId="0" applyFont="1" applyFill="1" applyBorder="1" applyAlignment="1" applyProtection="1">
      <alignment horizontal="left" vertical="center"/>
    </xf>
    <xf numFmtId="0" fontId="93" fillId="33" borderId="31" xfId="0" applyFont="1" applyFill="1" applyBorder="1" applyAlignment="1" applyProtection="1">
      <alignment horizontal="center" vertical="center"/>
      <protection locked="0"/>
    </xf>
    <xf numFmtId="0" fontId="93" fillId="33" borderId="16" xfId="0" applyFont="1" applyFill="1" applyBorder="1" applyAlignment="1" applyProtection="1">
      <alignment horizontal="center" vertical="center"/>
      <protection locked="0"/>
    </xf>
    <xf numFmtId="0" fontId="93" fillId="33" borderId="33" xfId="0" applyFont="1" applyFill="1" applyBorder="1" applyAlignment="1" applyProtection="1">
      <alignment horizontal="center" vertical="center"/>
      <protection locked="0"/>
    </xf>
    <xf numFmtId="49" fontId="93" fillId="33" borderId="31" xfId="0" applyNumberFormat="1" applyFont="1" applyFill="1" applyBorder="1" applyAlignment="1" applyProtection="1">
      <alignment horizontal="center" vertical="center"/>
      <protection locked="0"/>
    </xf>
    <xf numFmtId="49" fontId="93" fillId="33" borderId="16" xfId="0" applyNumberFormat="1" applyFont="1" applyFill="1" applyBorder="1" applyAlignment="1" applyProtection="1">
      <alignment horizontal="center" vertical="center"/>
      <protection locked="0"/>
    </xf>
    <xf numFmtId="49" fontId="93" fillId="33" borderId="33" xfId="0" applyNumberFormat="1" applyFont="1" applyFill="1" applyBorder="1" applyAlignment="1" applyProtection="1">
      <alignment horizontal="center" vertical="center"/>
      <protection locked="0"/>
    </xf>
    <xf numFmtId="0" fontId="100" fillId="0" borderId="0" xfId="0" applyFont="1" applyFill="1" applyBorder="1" applyAlignment="1" applyProtection="1">
      <alignment horizontal="center" vertical="center" wrapText="1"/>
    </xf>
    <xf numFmtId="0" fontId="100" fillId="0" borderId="26" xfId="0" applyFont="1" applyFill="1" applyBorder="1" applyAlignment="1" applyProtection="1">
      <alignment horizontal="center" vertical="center" wrapText="1"/>
    </xf>
    <xf numFmtId="0" fontId="100" fillId="0" borderId="0" xfId="0" applyFont="1" applyFill="1" applyBorder="1" applyAlignment="1" applyProtection="1">
      <alignment horizontal="center" vertical="center" wrapText="1"/>
      <protection locked="0"/>
    </xf>
    <xf numFmtId="0" fontId="100" fillId="0" borderId="26" xfId="0" applyFont="1" applyFill="1" applyBorder="1" applyAlignment="1" applyProtection="1">
      <alignment horizontal="center" vertical="center" wrapText="1"/>
      <protection locked="0"/>
    </xf>
    <xf numFmtId="0" fontId="93" fillId="0" borderId="79" xfId="0" applyFont="1" applyFill="1" applyBorder="1" applyAlignment="1" applyProtection="1">
      <alignment horizontal="center" vertical="center" wrapText="1"/>
      <protection locked="0"/>
    </xf>
    <xf numFmtId="0" fontId="93" fillId="0" borderId="80" xfId="0" applyFont="1" applyFill="1" applyBorder="1" applyAlignment="1" applyProtection="1">
      <alignment horizontal="center" vertical="center" wrapText="1"/>
      <protection locked="0"/>
    </xf>
    <xf numFmtId="0" fontId="93" fillId="0" borderId="81" xfId="0" applyFont="1" applyFill="1" applyBorder="1" applyAlignment="1" applyProtection="1">
      <alignment horizontal="center" vertical="center" wrapText="1"/>
      <protection locked="0"/>
    </xf>
    <xf numFmtId="1" fontId="93" fillId="4" borderId="79" xfId="0" applyNumberFormat="1" applyFont="1" applyFill="1" applyBorder="1" applyAlignment="1" applyProtection="1">
      <alignment horizontal="center" vertical="center"/>
      <protection locked="0"/>
    </xf>
    <xf numFmtId="1" fontId="93" fillId="4" borderId="80" xfId="0" applyNumberFormat="1" applyFont="1" applyFill="1" applyBorder="1" applyAlignment="1" applyProtection="1">
      <alignment horizontal="center" vertical="center"/>
      <protection locked="0"/>
    </xf>
    <xf numFmtId="1" fontId="93" fillId="4" borderId="81" xfId="0" applyNumberFormat="1" applyFont="1" applyFill="1" applyBorder="1" applyAlignment="1" applyProtection="1">
      <alignment horizontal="center" vertical="center"/>
      <protection locked="0"/>
    </xf>
    <xf numFmtId="0" fontId="100" fillId="0" borderId="0" xfId="0" applyFont="1" applyFill="1" applyBorder="1" applyAlignment="1" applyProtection="1">
      <alignment horizontal="center" vertical="center"/>
    </xf>
    <xf numFmtId="0" fontId="100" fillId="0" borderId="26" xfId="0" applyFont="1" applyFill="1" applyBorder="1" applyAlignment="1" applyProtection="1">
      <alignment horizontal="center" vertical="center"/>
    </xf>
    <xf numFmtId="0" fontId="100" fillId="33" borderId="0" xfId="0" applyFont="1" applyFill="1" applyBorder="1" applyAlignment="1" applyProtection="1">
      <alignment horizontal="center" vertical="center"/>
    </xf>
    <xf numFmtId="0" fontId="100" fillId="33" borderId="26" xfId="0" applyFont="1" applyFill="1" applyBorder="1" applyAlignment="1" applyProtection="1">
      <alignment horizontal="center" vertical="center"/>
    </xf>
    <xf numFmtId="182" fontId="93" fillId="4" borderId="31" xfId="0" applyNumberFormat="1" applyFont="1" applyFill="1" applyBorder="1" applyAlignment="1" applyProtection="1">
      <alignment horizontal="center" vertical="center"/>
      <protection locked="0"/>
    </xf>
    <xf numFmtId="182" fontId="93" fillId="4" borderId="16" xfId="0" applyNumberFormat="1" applyFont="1" applyFill="1" applyBorder="1" applyAlignment="1" applyProtection="1">
      <alignment horizontal="center" vertical="center"/>
      <protection locked="0"/>
    </xf>
    <xf numFmtId="182" fontId="93" fillId="4" borderId="33" xfId="0" applyNumberFormat="1" applyFont="1" applyFill="1" applyBorder="1" applyAlignment="1" applyProtection="1">
      <alignment horizontal="center" vertical="center"/>
      <protection locked="0"/>
    </xf>
    <xf numFmtId="0" fontId="93" fillId="4" borderId="31" xfId="0" applyFont="1" applyFill="1" applyBorder="1" applyAlignment="1" applyProtection="1">
      <alignment horizontal="center" vertical="center"/>
      <protection locked="0"/>
    </xf>
    <xf numFmtId="0" fontId="93" fillId="4" borderId="16" xfId="0" applyFont="1" applyFill="1" applyBorder="1" applyAlignment="1" applyProtection="1">
      <alignment horizontal="center" vertical="center"/>
      <protection locked="0"/>
    </xf>
    <xf numFmtId="0" fontId="93" fillId="4" borderId="33" xfId="0" applyFont="1" applyFill="1" applyBorder="1" applyAlignment="1" applyProtection="1">
      <alignment horizontal="center" vertical="center"/>
      <protection locked="0"/>
    </xf>
    <xf numFmtId="0" fontId="100" fillId="33" borderId="0" xfId="0" applyFont="1" applyFill="1" applyBorder="1" applyAlignment="1" applyProtection="1">
      <alignment horizontal="left" vertical="center"/>
      <protection locked="0"/>
    </xf>
    <xf numFmtId="0" fontId="100" fillId="33" borderId="26" xfId="0" applyFont="1" applyFill="1" applyBorder="1" applyAlignment="1" applyProtection="1">
      <alignment horizontal="left" vertical="center"/>
      <protection locked="0"/>
    </xf>
    <xf numFmtId="0" fontId="89" fillId="33" borderId="0" xfId="145" applyFont="1" applyFill="1" applyBorder="1" applyAlignment="1" applyProtection="1">
      <alignment horizontal="center" vertical="center"/>
    </xf>
    <xf numFmtId="0" fontId="87" fillId="32" borderId="65" xfId="0" applyFont="1" applyFill="1" applyBorder="1" applyAlignment="1" applyProtection="1">
      <alignment horizontal="center" vertical="center"/>
    </xf>
    <xf numFmtId="0" fontId="87" fillId="32" borderId="66" xfId="0" applyFont="1" applyFill="1" applyBorder="1" applyAlignment="1" applyProtection="1">
      <alignment horizontal="center" vertical="center"/>
    </xf>
    <xf numFmtId="0" fontId="87" fillId="32" borderId="67" xfId="0" applyFont="1" applyFill="1" applyBorder="1" applyAlignment="1" applyProtection="1">
      <alignment horizontal="center" vertical="center"/>
    </xf>
    <xf numFmtId="177" fontId="89" fillId="32" borderId="65" xfId="146" applyFont="1" applyFill="1" applyBorder="1" applyAlignment="1" applyProtection="1">
      <alignment horizontal="center" vertical="center"/>
    </xf>
    <xf numFmtId="177" fontId="89" fillId="32" borderId="66" xfId="146" applyFont="1" applyFill="1" applyBorder="1" applyAlignment="1" applyProtection="1">
      <alignment horizontal="center" vertical="center"/>
    </xf>
    <xf numFmtId="177" fontId="89" fillId="32" borderId="67" xfId="146" applyFont="1" applyFill="1" applyBorder="1" applyAlignment="1" applyProtection="1">
      <alignment horizontal="center" vertical="center"/>
    </xf>
    <xf numFmtId="49" fontId="93" fillId="32" borderId="31" xfId="0" applyNumberFormat="1" applyFont="1" applyFill="1" applyBorder="1" applyAlignment="1" applyProtection="1">
      <alignment horizontal="center" vertical="center"/>
      <protection locked="0"/>
    </xf>
    <xf numFmtId="49" fontId="93" fillId="32" borderId="16" xfId="0" applyNumberFormat="1" applyFont="1" applyFill="1" applyBorder="1" applyAlignment="1" applyProtection="1">
      <alignment horizontal="center" vertical="center"/>
      <protection locked="0"/>
    </xf>
    <xf numFmtId="49" fontId="93" fillId="32" borderId="33" xfId="0" applyNumberFormat="1" applyFont="1" applyFill="1" applyBorder="1" applyAlignment="1" applyProtection="1">
      <alignment horizontal="center" vertical="center"/>
      <protection locked="0"/>
    </xf>
    <xf numFmtId="0" fontId="89" fillId="33" borderId="65" xfId="0" applyFont="1" applyFill="1" applyBorder="1" applyAlignment="1" applyProtection="1">
      <alignment horizontal="center" vertical="center"/>
    </xf>
    <xf numFmtId="0" fontId="89" fillId="33" borderId="66" xfId="0" applyFont="1" applyFill="1" applyBorder="1" applyAlignment="1" applyProtection="1">
      <alignment horizontal="center" vertical="center"/>
    </xf>
    <xf numFmtId="0" fontId="152" fillId="33" borderId="0" xfId="0" applyFont="1" applyFill="1" applyBorder="1" applyAlignment="1" applyProtection="1">
      <alignment horizontal="left" vertical="center"/>
    </xf>
    <xf numFmtId="0" fontId="93" fillId="33" borderId="19" xfId="0" applyFont="1" applyFill="1" applyBorder="1" applyAlignment="1" applyProtection="1">
      <alignment horizontal="center"/>
      <protection locked="0"/>
    </xf>
    <xf numFmtId="0" fontId="104" fillId="3" borderId="65" xfId="0" applyFont="1" applyFill="1" applyBorder="1" applyAlignment="1" applyProtection="1">
      <alignment horizontal="center" vertical="center" wrapText="1"/>
    </xf>
    <xf numFmtId="0" fontId="104" fillId="3" borderId="66" xfId="0" applyFont="1" applyFill="1" applyBorder="1" applyAlignment="1" applyProtection="1">
      <alignment horizontal="center" vertical="center" wrapText="1"/>
    </xf>
    <xf numFmtId="0" fontId="104" fillId="3" borderId="67" xfId="0" applyFont="1" applyFill="1" applyBorder="1" applyAlignment="1" applyProtection="1">
      <alignment horizontal="center" vertical="center" wrapText="1"/>
    </xf>
    <xf numFmtId="0" fontId="95" fillId="33" borderId="0" xfId="145" applyNumberFormat="1" applyFont="1" applyFill="1" applyBorder="1" applyAlignment="1" applyProtection="1">
      <alignment horizontal="left" vertical="center"/>
    </xf>
    <xf numFmtId="0" fontId="95" fillId="33" borderId="26" xfId="145" applyNumberFormat="1" applyFont="1" applyFill="1" applyBorder="1" applyAlignment="1" applyProtection="1">
      <alignment horizontal="left" vertical="center"/>
    </xf>
    <xf numFmtId="182" fontId="93" fillId="33" borderId="31" xfId="0" quotePrefix="1" applyNumberFormat="1" applyFont="1" applyFill="1" applyBorder="1" applyAlignment="1" applyProtection="1">
      <alignment horizontal="center" vertical="center" wrapText="1"/>
      <protection locked="0"/>
    </xf>
    <xf numFmtId="182" fontId="93" fillId="33" borderId="16" xfId="0" quotePrefix="1" applyNumberFormat="1" applyFont="1" applyFill="1" applyBorder="1" applyAlignment="1" applyProtection="1">
      <alignment horizontal="center" vertical="center" wrapText="1"/>
      <protection locked="0"/>
    </xf>
    <xf numFmtId="182" fontId="93" fillId="33" borderId="33" xfId="0" quotePrefix="1" applyNumberFormat="1" applyFont="1" applyFill="1" applyBorder="1" applyAlignment="1" applyProtection="1">
      <alignment horizontal="center" vertical="center" wrapText="1"/>
      <protection locked="0"/>
    </xf>
    <xf numFmtId="0" fontId="113" fillId="4" borderId="79" xfId="0" applyFont="1" applyFill="1" applyBorder="1" applyAlignment="1" applyProtection="1">
      <alignment horizontal="center" vertical="distributed"/>
      <protection locked="0"/>
    </xf>
    <xf numFmtId="0" fontId="113" fillId="4" borderId="80" xfId="0" applyFont="1" applyFill="1" applyBorder="1" applyAlignment="1" applyProtection="1">
      <alignment horizontal="center" vertical="distributed"/>
      <protection locked="0"/>
    </xf>
    <xf numFmtId="0" fontId="113" fillId="4" borderId="81" xfId="0" applyFont="1" applyFill="1" applyBorder="1" applyAlignment="1" applyProtection="1">
      <alignment horizontal="center" vertical="distributed"/>
      <protection locked="0"/>
    </xf>
    <xf numFmtId="0" fontId="113" fillId="4" borderId="82" xfId="0" applyFont="1" applyFill="1" applyBorder="1" applyAlignment="1" applyProtection="1">
      <alignment horizontal="left" vertical="top" wrapText="1"/>
      <protection locked="0"/>
    </xf>
    <xf numFmtId="0" fontId="113" fillId="4" borderId="83" xfId="0" applyFont="1" applyFill="1" applyBorder="1" applyAlignment="1" applyProtection="1">
      <alignment horizontal="left" vertical="top" wrapText="1"/>
      <protection locked="0"/>
    </xf>
    <xf numFmtId="0" fontId="113" fillId="4" borderId="84" xfId="0" applyFont="1" applyFill="1" applyBorder="1" applyAlignment="1" applyProtection="1">
      <alignment horizontal="left" vertical="top" wrapText="1"/>
      <protection locked="0"/>
    </xf>
    <xf numFmtId="0" fontId="113" fillId="4" borderId="34" xfId="0" applyFont="1" applyFill="1" applyBorder="1" applyAlignment="1" applyProtection="1">
      <alignment horizontal="left" vertical="top" wrapText="1"/>
      <protection locked="0"/>
    </xf>
    <xf numFmtId="0" fontId="113" fillId="4" borderId="0" xfId="0" applyFont="1" applyFill="1" applyBorder="1" applyAlignment="1" applyProtection="1">
      <alignment horizontal="left" vertical="top" wrapText="1"/>
      <protection locked="0"/>
    </xf>
    <xf numFmtId="0" fontId="113" fillId="4" borderId="26" xfId="0" applyFont="1" applyFill="1" applyBorder="1" applyAlignment="1" applyProtection="1">
      <alignment horizontal="left" vertical="top" wrapText="1"/>
      <protection locked="0"/>
    </xf>
    <xf numFmtId="0" fontId="113" fillId="4" borderId="30" xfId="0" applyFont="1" applyFill="1" applyBorder="1" applyAlignment="1" applyProtection="1">
      <alignment horizontal="left" vertical="top" wrapText="1"/>
      <protection locked="0"/>
    </xf>
    <xf numFmtId="0" fontId="113" fillId="4" borderId="19" xfId="0" applyFont="1" applyFill="1" applyBorder="1" applyAlignment="1" applyProtection="1">
      <alignment horizontal="left" vertical="top" wrapText="1"/>
      <protection locked="0"/>
    </xf>
    <xf numFmtId="0" fontId="113" fillId="4" borderId="28" xfId="0" applyFont="1" applyFill="1" applyBorder="1" applyAlignment="1" applyProtection="1">
      <alignment horizontal="left" vertical="top" wrapText="1"/>
      <protection locked="0"/>
    </xf>
    <xf numFmtId="0" fontId="113" fillId="4" borderId="82" xfId="0" applyFont="1" applyFill="1" applyBorder="1" applyAlignment="1" applyProtection="1">
      <alignment horizontal="left" vertical="distributed" wrapText="1"/>
      <protection locked="0"/>
    </xf>
    <xf numFmtId="0" fontId="113" fillId="4" borderId="83" xfId="0" applyFont="1" applyFill="1" applyBorder="1" applyAlignment="1" applyProtection="1">
      <alignment horizontal="left" vertical="distributed" wrapText="1"/>
      <protection locked="0"/>
    </xf>
    <xf numFmtId="0" fontId="113" fillId="4" borderId="84" xfId="0" applyFont="1" applyFill="1" applyBorder="1" applyAlignment="1" applyProtection="1">
      <alignment horizontal="left" vertical="distributed" wrapText="1"/>
      <protection locked="0"/>
    </xf>
    <xf numFmtId="0" fontId="113" fillId="4" borderId="34" xfId="0" applyFont="1" applyFill="1" applyBorder="1" applyAlignment="1" applyProtection="1">
      <alignment horizontal="left" vertical="distributed" wrapText="1"/>
      <protection locked="0"/>
    </xf>
    <xf numFmtId="0" fontId="113" fillId="4" borderId="0" xfId="0" applyFont="1" applyFill="1" applyBorder="1" applyAlignment="1" applyProtection="1">
      <alignment horizontal="left" vertical="distributed" wrapText="1"/>
      <protection locked="0"/>
    </xf>
    <xf numFmtId="0" fontId="113" fillId="4" borderId="26" xfId="0" applyFont="1" applyFill="1" applyBorder="1" applyAlignment="1" applyProtection="1">
      <alignment horizontal="left" vertical="distributed" wrapText="1"/>
      <protection locked="0"/>
    </xf>
    <xf numFmtId="0" fontId="113" fillId="4" borderId="30" xfId="0" applyFont="1" applyFill="1" applyBorder="1" applyAlignment="1" applyProtection="1">
      <alignment horizontal="left" vertical="distributed" wrapText="1"/>
      <protection locked="0"/>
    </xf>
    <xf numFmtId="0" fontId="113" fillId="4" borderId="19" xfId="0" applyFont="1" applyFill="1" applyBorder="1" applyAlignment="1" applyProtection="1">
      <alignment horizontal="left" vertical="distributed" wrapText="1"/>
      <protection locked="0"/>
    </xf>
    <xf numFmtId="0" fontId="113" fillId="4" borderId="28" xfId="0" applyFont="1" applyFill="1" applyBorder="1" applyAlignment="1" applyProtection="1">
      <alignment horizontal="left" vertical="distributed" wrapText="1"/>
      <protection locked="0"/>
    </xf>
    <xf numFmtId="0" fontId="93" fillId="4" borderId="78" xfId="0" applyFont="1" applyFill="1" applyBorder="1" applyAlignment="1" applyProtection="1">
      <alignment horizontal="center" vertical="center"/>
      <protection locked="0"/>
    </xf>
    <xf numFmtId="0" fontId="113" fillId="0" borderId="82" xfId="0" applyFont="1" applyFill="1" applyBorder="1" applyAlignment="1" applyProtection="1">
      <alignment horizontal="left" vertical="distributed"/>
      <protection locked="0"/>
    </xf>
    <xf numFmtId="0" fontId="113" fillId="0" borderId="83" xfId="0" applyFont="1" applyFill="1" applyBorder="1" applyAlignment="1" applyProtection="1">
      <alignment horizontal="left" vertical="distributed"/>
      <protection locked="0"/>
    </xf>
    <xf numFmtId="0" fontId="113" fillId="0" borderId="84" xfId="0" applyFont="1" applyFill="1" applyBorder="1" applyAlignment="1" applyProtection="1">
      <alignment horizontal="left" vertical="distributed"/>
      <protection locked="0"/>
    </xf>
    <xf numFmtId="0" fontId="113" fillId="0" borderId="30" xfId="0" applyFont="1" applyFill="1" applyBorder="1" applyAlignment="1" applyProtection="1">
      <alignment horizontal="left" vertical="distributed"/>
      <protection locked="0"/>
    </xf>
    <xf numFmtId="0" fontId="113" fillId="0" borderId="19" xfId="0" applyFont="1" applyFill="1" applyBorder="1" applyAlignment="1" applyProtection="1">
      <alignment horizontal="left" vertical="distributed"/>
      <protection locked="0"/>
    </xf>
    <xf numFmtId="0" fontId="113" fillId="0" borderId="28" xfId="0" applyFont="1" applyFill="1" applyBorder="1" applyAlignment="1" applyProtection="1">
      <alignment horizontal="left" vertical="distributed"/>
      <protection locked="0"/>
    </xf>
    <xf numFmtId="0" fontId="93" fillId="33" borderId="79" xfId="0" applyFont="1" applyFill="1" applyBorder="1" applyAlignment="1" applyProtection="1">
      <alignment horizontal="left" vertical="center"/>
      <protection locked="0"/>
    </xf>
    <xf numFmtId="0" fontId="93" fillId="33" borderId="80" xfId="0" applyFont="1" applyFill="1" applyBorder="1" applyAlignment="1" applyProtection="1">
      <alignment horizontal="left" vertical="center"/>
      <protection locked="0"/>
    </xf>
    <xf numFmtId="0" fontId="93" fillId="33" borderId="81" xfId="0" applyFont="1" applyFill="1" applyBorder="1" applyAlignment="1" applyProtection="1">
      <alignment horizontal="left" vertical="center"/>
      <protection locked="0"/>
    </xf>
    <xf numFmtId="0" fontId="100" fillId="2" borderId="0" xfId="0" applyFont="1" applyFill="1" applyBorder="1" applyAlignment="1" applyProtection="1">
      <alignment horizontal="center" vertical="center"/>
    </xf>
    <xf numFmtId="0" fontId="131" fillId="33" borderId="19" xfId="0" applyFont="1" applyFill="1" applyBorder="1" applyAlignment="1" applyProtection="1">
      <alignment horizontal="center" vertical="center"/>
    </xf>
    <xf numFmtId="0" fontId="95" fillId="33" borderId="19" xfId="0" applyFont="1" applyFill="1" applyBorder="1" applyAlignment="1" applyProtection="1">
      <alignment horizontal="center" vertical="center"/>
    </xf>
    <xf numFmtId="0" fontId="118" fillId="33" borderId="19" xfId="0" applyFont="1" applyFill="1" applyBorder="1" applyAlignment="1" applyProtection="1">
      <alignment horizontal="center" vertical="center"/>
    </xf>
    <xf numFmtId="0" fontId="100" fillId="33" borderId="19" xfId="0" applyFont="1" applyFill="1" applyBorder="1" applyAlignment="1" applyProtection="1">
      <alignment horizontal="center" vertical="center"/>
    </xf>
    <xf numFmtId="0" fontId="98" fillId="4" borderId="0" xfId="0" applyFont="1" applyFill="1" applyBorder="1" applyAlignment="1" applyProtection="1">
      <alignment horizontal="center" vertical="center"/>
    </xf>
    <xf numFmtId="0" fontId="100" fillId="33" borderId="19" xfId="0" applyFont="1" applyFill="1" applyBorder="1" applyAlignment="1" applyProtection="1">
      <alignment horizontal="left" vertical="center" indent="6"/>
    </xf>
    <xf numFmtId="0" fontId="100" fillId="33" borderId="19" xfId="0" applyFont="1" applyFill="1" applyBorder="1" applyAlignment="1" applyProtection="1">
      <alignment horizontal="left" vertical="center"/>
    </xf>
    <xf numFmtId="49" fontId="93" fillId="33" borderId="79" xfId="0" applyNumberFormat="1" applyFont="1" applyFill="1" applyBorder="1" applyAlignment="1" applyProtection="1">
      <alignment horizontal="center" vertical="center"/>
      <protection locked="0"/>
    </xf>
    <xf numFmtId="49" fontId="93" fillId="33" borderId="80" xfId="0" applyNumberFormat="1" applyFont="1" applyFill="1" applyBorder="1" applyAlignment="1" applyProtection="1">
      <alignment horizontal="center" vertical="center"/>
      <protection locked="0"/>
    </xf>
    <xf numFmtId="49" fontId="93" fillId="33" borderId="81" xfId="0" applyNumberFormat="1" applyFont="1" applyFill="1" applyBorder="1" applyAlignment="1" applyProtection="1">
      <alignment horizontal="center" vertical="center"/>
      <protection locked="0"/>
    </xf>
    <xf numFmtId="0" fontId="100" fillId="4" borderId="0" xfId="0" applyFont="1" applyFill="1" applyBorder="1" applyAlignment="1" applyProtection="1">
      <alignment horizontal="center" vertical="center" wrapText="1"/>
    </xf>
    <xf numFmtId="0" fontId="100" fillId="4" borderId="108" xfId="0" applyFont="1" applyFill="1" applyBorder="1" applyAlignment="1" applyProtection="1">
      <alignment horizontal="center" vertical="center" wrapText="1"/>
    </xf>
    <xf numFmtId="0" fontId="105" fillId="33" borderId="0" xfId="0" applyFont="1" applyFill="1" applyBorder="1" applyAlignment="1" applyProtection="1">
      <alignment horizontal="left" vertical="center"/>
    </xf>
    <xf numFmtId="0" fontId="105" fillId="33" borderId="26" xfId="0" applyFont="1" applyFill="1" applyBorder="1" applyAlignment="1" applyProtection="1">
      <alignment horizontal="left" vertical="center"/>
    </xf>
    <xf numFmtId="0" fontId="131" fillId="37" borderId="76" xfId="0" applyFont="1" applyFill="1" applyBorder="1" applyAlignment="1" applyProtection="1">
      <alignment horizontal="left" vertical="center" wrapText="1"/>
    </xf>
    <xf numFmtId="0" fontId="104" fillId="0" borderId="0" xfId="0" applyFont="1" applyFill="1" applyBorder="1" applyAlignment="1" applyProtection="1">
      <alignment horizontal="center" vertical="center" textRotation="90"/>
    </xf>
    <xf numFmtId="180" fontId="113" fillId="33" borderId="79" xfId="0" applyNumberFormat="1" applyFont="1" applyFill="1" applyBorder="1" applyAlignment="1" applyProtection="1">
      <alignment horizontal="center" vertical="center"/>
      <protection locked="0"/>
    </xf>
    <xf numFmtId="180" fontId="113" fillId="33" borderId="80" xfId="0" applyNumberFormat="1" applyFont="1" applyFill="1" applyBorder="1" applyAlignment="1" applyProtection="1">
      <alignment horizontal="center" vertical="center"/>
      <protection locked="0"/>
    </xf>
    <xf numFmtId="180" fontId="113" fillId="33" borderId="81" xfId="0" applyNumberFormat="1" applyFont="1" applyFill="1" applyBorder="1" applyAlignment="1" applyProtection="1">
      <alignment horizontal="center" vertical="center"/>
      <protection locked="0"/>
    </xf>
    <xf numFmtId="0" fontId="123" fillId="2" borderId="98" xfId="0" applyFont="1" applyFill="1" applyBorder="1" applyAlignment="1" applyProtection="1">
      <alignment horizontal="center" vertical="distributed"/>
    </xf>
    <xf numFmtId="0" fontId="123" fillId="2" borderId="99" xfId="0" applyFont="1" applyFill="1" applyBorder="1" applyAlignment="1" applyProtection="1">
      <alignment horizontal="center" vertical="distributed"/>
    </xf>
    <xf numFmtId="0" fontId="123" fillId="2" borderId="100" xfId="0" applyFont="1" applyFill="1" applyBorder="1" applyAlignment="1" applyProtection="1">
      <alignment horizontal="center" vertical="distributed"/>
    </xf>
    <xf numFmtId="0" fontId="123" fillId="2" borderId="98" xfId="0" applyFont="1" applyFill="1" applyBorder="1" applyAlignment="1" applyProtection="1">
      <alignment horizontal="center" vertical="center" wrapText="1"/>
    </xf>
    <xf numFmtId="0" fontId="123" fillId="2" borderId="99" xfId="0" applyFont="1" applyFill="1" applyBorder="1" applyAlignment="1" applyProtection="1">
      <alignment horizontal="center" vertical="center" wrapText="1"/>
    </xf>
    <xf numFmtId="0" fontId="123" fillId="2" borderId="100" xfId="0" applyFont="1" applyFill="1" applyBorder="1" applyAlignment="1" applyProtection="1">
      <alignment horizontal="center" vertical="center" wrapText="1"/>
    </xf>
    <xf numFmtId="0" fontId="118" fillId="37" borderId="79" xfId="0" applyFont="1" applyFill="1" applyBorder="1" applyAlignment="1" applyProtection="1">
      <alignment horizontal="center" vertical="center"/>
    </xf>
    <xf numFmtId="0" fontId="118" fillId="37" borderId="80" xfId="0" applyFont="1" applyFill="1" applyBorder="1" applyAlignment="1" applyProtection="1">
      <alignment horizontal="center" vertical="center"/>
    </xf>
    <xf numFmtId="0" fontId="118" fillId="37" borderId="81" xfId="0" applyFont="1" applyFill="1" applyBorder="1" applyAlignment="1" applyProtection="1">
      <alignment horizontal="center" vertical="center"/>
    </xf>
    <xf numFmtId="0" fontId="160" fillId="33" borderId="78" xfId="0" applyFont="1" applyFill="1" applyBorder="1" applyAlignment="1" applyProtection="1">
      <alignment horizontal="center" vertical="center"/>
    </xf>
    <xf numFmtId="0" fontId="118" fillId="37" borderId="79" xfId="0" applyFont="1" applyFill="1" applyBorder="1" applyAlignment="1" applyProtection="1">
      <alignment horizontal="left" vertical="distributed"/>
    </xf>
    <xf numFmtId="0" fontId="118" fillId="37" borderId="80" xfId="0" applyFont="1" applyFill="1" applyBorder="1" applyAlignment="1" applyProtection="1">
      <alignment horizontal="left" vertical="distributed"/>
    </xf>
    <xf numFmtId="0" fontId="118" fillId="37" borderId="81" xfId="0" applyFont="1" applyFill="1" applyBorder="1" applyAlignment="1" applyProtection="1">
      <alignment horizontal="left" vertical="distributed"/>
    </xf>
    <xf numFmtId="0" fontId="139" fillId="33" borderId="78" xfId="0" applyFont="1" applyFill="1" applyBorder="1" applyAlignment="1" applyProtection="1">
      <alignment horizontal="left" vertical="distributed"/>
      <protection locked="0"/>
    </xf>
    <xf numFmtId="0" fontId="97" fillId="33" borderId="78" xfId="0" applyFont="1" applyFill="1" applyBorder="1" applyAlignment="1" applyProtection="1">
      <alignment horizontal="center" vertical="center"/>
      <protection locked="0"/>
    </xf>
    <xf numFmtId="0" fontId="184" fillId="33" borderId="78" xfId="0" applyFont="1" applyFill="1" applyBorder="1" applyAlignment="1" applyProtection="1">
      <alignment horizontal="center" vertical="center"/>
    </xf>
    <xf numFmtId="0" fontId="139" fillId="33" borderId="0" xfId="0" applyFont="1" applyFill="1" applyBorder="1" applyAlignment="1" applyProtection="1">
      <alignment horizontal="left" vertical="distributed"/>
    </xf>
    <xf numFmtId="0" fontId="97" fillId="33" borderId="0" xfId="0" applyFont="1" applyFill="1" applyBorder="1" applyAlignment="1" applyProtection="1">
      <alignment horizontal="center" vertical="center"/>
    </xf>
    <xf numFmtId="0" fontId="102" fillId="33" borderId="0" xfId="0" applyFont="1" applyFill="1" applyBorder="1" applyAlignment="1" applyProtection="1">
      <alignment horizontal="center" vertical="center"/>
    </xf>
    <xf numFmtId="0" fontId="160" fillId="33" borderId="0" xfId="0" applyFont="1" applyFill="1" applyBorder="1" applyAlignment="1" applyProtection="1">
      <alignment horizontal="center" vertical="center"/>
    </xf>
    <xf numFmtId="0" fontId="102" fillId="0" borderId="0" xfId="0" applyNumberFormat="1" applyFont="1" applyFill="1" applyBorder="1" applyAlignment="1" applyProtection="1">
      <alignment horizontal="left" vertical="center" wrapText="1"/>
    </xf>
    <xf numFmtId="0" fontId="118" fillId="37" borderId="78" xfId="0" applyFont="1" applyFill="1" applyBorder="1" applyAlignment="1" applyProtection="1">
      <alignment horizontal="left" vertical="distributed"/>
    </xf>
    <xf numFmtId="0" fontId="97" fillId="33" borderId="79" xfId="0" applyFont="1" applyFill="1" applyBorder="1" applyAlignment="1" applyProtection="1">
      <alignment horizontal="center" vertical="center"/>
      <protection locked="0"/>
    </xf>
    <xf numFmtId="0" fontId="97" fillId="33" borderId="80" xfId="0" applyFont="1" applyFill="1" applyBorder="1" applyAlignment="1" applyProtection="1">
      <alignment horizontal="center" vertical="center"/>
      <protection locked="0"/>
    </xf>
    <xf numFmtId="0" fontId="97" fillId="33" borderId="81" xfId="0" applyFont="1" applyFill="1" applyBorder="1" applyAlignment="1" applyProtection="1">
      <alignment horizontal="center" vertical="center"/>
      <protection locked="0"/>
    </xf>
    <xf numFmtId="0" fontId="160" fillId="33" borderId="79" xfId="0" applyFont="1" applyFill="1" applyBorder="1" applyAlignment="1" applyProtection="1">
      <alignment horizontal="center" vertical="center"/>
    </xf>
    <xf numFmtId="0" fontId="160" fillId="33" borderId="80" xfId="0" applyFont="1" applyFill="1" applyBorder="1" applyAlignment="1" applyProtection="1">
      <alignment horizontal="center" vertical="center"/>
    </xf>
    <xf numFmtId="0" fontId="160" fillId="33" borderId="81" xfId="0" applyFont="1" applyFill="1" applyBorder="1" applyAlignment="1" applyProtection="1">
      <alignment horizontal="center" vertical="center"/>
    </xf>
    <xf numFmtId="0" fontId="184" fillId="33" borderId="76" xfId="0" applyFont="1" applyFill="1" applyBorder="1" applyAlignment="1" applyProtection="1">
      <alignment horizontal="center" vertical="center"/>
    </xf>
    <xf numFmtId="0" fontId="97" fillId="33" borderId="76" xfId="0" applyFont="1" applyFill="1" applyBorder="1" applyAlignment="1" applyProtection="1">
      <alignment horizontal="center" vertical="center"/>
      <protection locked="0"/>
    </xf>
    <xf numFmtId="0" fontId="154" fillId="2" borderId="0" xfId="0" applyFont="1" applyFill="1" applyBorder="1" applyAlignment="1" applyProtection="1">
      <alignment horizontal="center" vertical="center"/>
    </xf>
    <xf numFmtId="0" fontId="163" fillId="42" borderId="78" xfId="0" applyFont="1" applyFill="1" applyBorder="1" applyAlignment="1" applyProtection="1">
      <alignment horizontal="center" vertical="center"/>
    </xf>
    <xf numFmtId="0" fontId="163" fillId="42" borderId="79" xfId="0" applyFont="1" applyFill="1" applyBorder="1" applyAlignment="1" applyProtection="1">
      <alignment horizontal="center" vertical="center"/>
    </xf>
    <xf numFmtId="0" fontId="164" fillId="42" borderId="79" xfId="0" applyNumberFormat="1" applyFont="1" applyFill="1" applyBorder="1" applyAlignment="1" applyProtection="1">
      <alignment horizontal="center" vertical="center" wrapText="1"/>
    </xf>
    <xf numFmtId="0" fontId="164" fillId="42" borderId="80" xfId="0" applyNumberFormat="1" applyFont="1" applyFill="1" applyBorder="1" applyAlignment="1" applyProtection="1">
      <alignment horizontal="center" vertical="center" wrapText="1"/>
    </xf>
    <xf numFmtId="0" fontId="164" fillId="42" borderId="81" xfId="0" applyNumberFormat="1" applyFont="1" applyFill="1" applyBorder="1" applyAlignment="1" applyProtection="1">
      <alignment horizontal="center" vertical="center" wrapText="1"/>
    </xf>
    <xf numFmtId="0" fontId="98" fillId="36" borderId="82" xfId="0" applyFont="1" applyFill="1" applyBorder="1" applyAlignment="1" applyProtection="1">
      <alignment horizontal="center" vertical="center"/>
    </xf>
    <xf numFmtId="0" fontId="98" fillId="36" borderId="83" xfId="0" applyFont="1" applyFill="1" applyBorder="1" applyAlignment="1" applyProtection="1">
      <alignment horizontal="center" vertical="center"/>
    </xf>
    <xf numFmtId="0" fontId="98" fillId="41" borderId="34" xfId="0" applyFont="1" applyFill="1" applyBorder="1" applyAlignment="1" applyProtection="1">
      <alignment horizontal="center" vertical="center"/>
    </xf>
    <xf numFmtId="0" fontId="98" fillId="41" borderId="0" xfId="0" applyFont="1" applyFill="1" applyBorder="1" applyAlignment="1" applyProtection="1">
      <alignment horizontal="center" vertical="center"/>
    </xf>
    <xf numFmtId="0" fontId="98" fillId="41" borderId="30" xfId="0" applyFont="1" applyFill="1" applyBorder="1" applyAlignment="1" applyProtection="1">
      <alignment horizontal="center" vertical="center"/>
    </xf>
    <xf numFmtId="0" fontId="98" fillId="41" borderId="19" xfId="0" applyFont="1" applyFill="1" applyBorder="1" applyAlignment="1" applyProtection="1">
      <alignment horizontal="center" vertical="center"/>
    </xf>
    <xf numFmtId="0" fontId="98" fillId="40" borderId="83" xfId="0" applyFont="1" applyFill="1" applyBorder="1" applyAlignment="1" applyProtection="1">
      <alignment horizontal="center" vertical="center"/>
    </xf>
    <xf numFmtId="0" fontId="98" fillId="40" borderId="0" xfId="0" applyFont="1" applyFill="1" applyBorder="1" applyAlignment="1" applyProtection="1">
      <alignment horizontal="center" vertical="center"/>
    </xf>
    <xf numFmtId="0" fontId="98" fillId="36" borderId="0" xfId="0" applyFont="1" applyFill="1" applyBorder="1" applyAlignment="1" applyProtection="1">
      <alignment horizontal="center" vertical="center"/>
    </xf>
    <xf numFmtId="0" fontId="98" fillId="39" borderId="83" xfId="0" applyFont="1" applyFill="1" applyBorder="1" applyAlignment="1" applyProtection="1">
      <alignment horizontal="center" vertical="center"/>
    </xf>
    <xf numFmtId="0" fontId="98" fillId="39" borderId="0" xfId="0" applyFont="1" applyFill="1" applyBorder="1" applyAlignment="1" applyProtection="1">
      <alignment horizontal="center" vertical="center"/>
    </xf>
    <xf numFmtId="0" fontId="98" fillId="39" borderId="26" xfId="0" applyFont="1" applyFill="1" applyBorder="1" applyAlignment="1" applyProtection="1">
      <alignment horizontal="center" vertical="center"/>
    </xf>
    <xf numFmtId="0" fontId="98" fillId="40" borderId="26" xfId="0" applyFont="1" applyFill="1" applyBorder="1" applyAlignment="1" applyProtection="1">
      <alignment horizontal="center" vertical="center"/>
    </xf>
    <xf numFmtId="0" fontId="98" fillId="36" borderId="19" xfId="0" applyFont="1" applyFill="1" applyBorder="1" applyAlignment="1" applyProtection="1">
      <alignment horizontal="center" vertical="center"/>
    </xf>
    <xf numFmtId="0" fontId="98" fillId="36" borderId="28" xfId="0" applyFont="1" applyFill="1" applyBorder="1" applyAlignment="1" applyProtection="1">
      <alignment horizontal="center" vertical="center"/>
    </xf>
    <xf numFmtId="0" fontId="164" fillId="42" borderId="78" xfId="0" applyNumberFormat="1" applyFont="1" applyFill="1" applyBorder="1" applyAlignment="1" applyProtection="1">
      <alignment horizontal="center" vertical="center" wrapText="1"/>
    </xf>
    <xf numFmtId="0" fontId="89" fillId="0" borderId="83" xfId="0" applyFont="1" applyFill="1" applyBorder="1" applyAlignment="1" applyProtection="1">
      <alignment horizontal="center" vertical="center" wrapText="1"/>
    </xf>
    <xf numFmtId="0" fontId="89" fillId="0" borderId="0" xfId="0" applyFont="1" applyFill="1" applyBorder="1" applyAlignment="1" applyProtection="1">
      <alignment horizontal="center" vertical="center" textRotation="90" wrapText="1"/>
    </xf>
    <xf numFmtId="0" fontId="100" fillId="0" borderId="78" xfId="0" applyFont="1" applyBorder="1" applyAlignment="1" applyProtection="1">
      <alignment horizontal="left" vertical="center" wrapText="1"/>
    </xf>
    <xf numFmtId="0" fontId="130" fillId="39" borderId="78" xfId="0" applyFont="1" applyFill="1" applyBorder="1" applyAlignment="1" applyProtection="1">
      <alignment horizontal="center" vertical="center"/>
    </xf>
    <xf numFmtId="0" fontId="130" fillId="40" borderId="78" xfId="0" applyFont="1" applyFill="1" applyBorder="1" applyAlignment="1" applyProtection="1">
      <alignment horizontal="center" vertical="center"/>
    </xf>
    <xf numFmtId="0" fontId="170" fillId="36" borderId="78" xfId="0" applyFont="1" applyFill="1" applyBorder="1" applyAlignment="1" applyProtection="1">
      <alignment horizontal="center" vertical="center"/>
    </xf>
    <xf numFmtId="0" fontId="130" fillId="41" borderId="78" xfId="0" applyFont="1" applyFill="1" applyBorder="1" applyAlignment="1" applyProtection="1">
      <alignment horizontal="center" vertical="center"/>
    </xf>
    <xf numFmtId="0" fontId="174" fillId="39" borderId="78" xfId="0" applyFont="1" applyFill="1" applyBorder="1" applyAlignment="1" applyProtection="1">
      <alignment horizontal="center" vertical="center"/>
    </xf>
    <xf numFmtId="0" fontId="174" fillId="40" borderId="31" xfId="0" applyNumberFormat="1" applyFont="1" applyFill="1" applyBorder="1" applyAlignment="1" applyProtection="1">
      <alignment horizontal="center" vertical="center"/>
    </xf>
    <xf numFmtId="0" fontId="174" fillId="40" borderId="16" xfId="0" applyNumberFormat="1" applyFont="1" applyFill="1" applyBorder="1" applyAlignment="1" applyProtection="1">
      <alignment horizontal="center" vertical="center"/>
    </xf>
    <xf numFmtId="0" fontId="174" fillId="40" borderId="33" xfId="0" applyNumberFormat="1" applyFont="1" applyFill="1" applyBorder="1" applyAlignment="1" applyProtection="1">
      <alignment horizontal="center" vertical="center"/>
    </xf>
    <xf numFmtId="0" fontId="174" fillId="36" borderId="31" xfId="0" applyFont="1" applyFill="1" applyBorder="1" applyAlignment="1" applyProtection="1">
      <alignment horizontal="center" vertical="center"/>
    </xf>
    <xf numFmtId="0" fontId="174" fillId="36" borderId="16" xfId="0" applyFont="1" applyFill="1" applyBorder="1" applyAlignment="1" applyProtection="1">
      <alignment horizontal="center" vertical="center"/>
    </xf>
    <xf numFmtId="0" fontId="174" fillId="36" borderId="33" xfId="0" applyFont="1" applyFill="1" applyBorder="1" applyAlignment="1" applyProtection="1">
      <alignment horizontal="center" vertical="center"/>
    </xf>
    <xf numFmtId="0" fontId="174" fillId="41" borderId="31" xfId="0" applyFont="1" applyFill="1" applyBorder="1" applyAlignment="1" applyProtection="1">
      <alignment horizontal="center" vertical="center"/>
    </xf>
    <xf numFmtId="0" fontId="174" fillId="41" borderId="16" xfId="0" applyFont="1" applyFill="1" applyBorder="1" applyAlignment="1" applyProtection="1">
      <alignment horizontal="center" vertical="center"/>
    </xf>
    <xf numFmtId="0" fontId="174" fillId="41" borderId="33" xfId="0" applyFont="1" applyFill="1" applyBorder="1" applyAlignment="1" applyProtection="1">
      <alignment horizontal="center" vertical="center"/>
    </xf>
    <xf numFmtId="0" fontId="154" fillId="2" borderId="0" xfId="0" applyFont="1" applyFill="1" applyAlignment="1" applyProtection="1">
      <alignment horizontal="center" vertical="center"/>
    </xf>
    <xf numFmtId="0" fontId="88" fillId="33" borderId="0" xfId="145" applyFont="1" applyFill="1" applyBorder="1" applyAlignment="1" applyProtection="1">
      <alignment horizontal="center" vertical="center"/>
    </xf>
    <xf numFmtId="0" fontId="89" fillId="3" borderId="65" xfId="0" applyFont="1" applyFill="1" applyBorder="1" applyAlignment="1" applyProtection="1">
      <alignment horizontal="center" vertical="center" wrapText="1"/>
    </xf>
    <xf numFmtId="0" fontId="89" fillId="3" borderId="66" xfId="0" applyFont="1" applyFill="1" applyBorder="1" applyAlignment="1" applyProtection="1">
      <alignment horizontal="center" vertical="center" wrapText="1"/>
    </xf>
    <xf numFmtId="0" fontId="89" fillId="3" borderId="67" xfId="0" applyFont="1" applyFill="1" applyBorder="1" applyAlignment="1" applyProtection="1">
      <alignment horizontal="center" vertical="center" wrapText="1"/>
    </xf>
    <xf numFmtId="0" fontId="89" fillId="33" borderId="65" xfId="0" applyFont="1" applyFill="1" applyBorder="1" applyAlignment="1" applyProtection="1">
      <alignment horizontal="right" vertical="center"/>
    </xf>
    <xf numFmtId="0" fontId="89" fillId="33" borderId="66" xfId="0" applyFont="1" applyFill="1" applyBorder="1" applyAlignment="1" applyProtection="1">
      <alignment horizontal="right" vertical="center"/>
    </xf>
    <xf numFmtId="49" fontId="105" fillId="33" borderId="66" xfId="0" applyNumberFormat="1" applyFont="1" applyFill="1" applyBorder="1" applyAlignment="1" applyProtection="1">
      <alignment horizontal="center" vertical="center"/>
    </xf>
    <xf numFmtId="0" fontId="105" fillId="33" borderId="66" xfId="0" applyNumberFormat="1" applyFont="1" applyFill="1" applyBorder="1" applyAlignment="1" applyProtection="1">
      <alignment horizontal="center" vertical="center"/>
    </xf>
    <xf numFmtId="0" fontId="105" fillId="33" borderId="67" xfId="0" applyNumberFormat="1" applyFont="1" applyFill="1" applyBorder="1" applyAlignment="1" applyProtection="1">
      <alignment horizontal="center" vertical="center"/>
    </xf>
    <xf numFmtId="0" fontId="185" fillId="32" borderId="65" xfId="0" applyFont="1" applyFill="1" applyBorder="1" applyAlignment="1" applyProtection="1">
      <alignment horizontal="center" vertical="center" wrapText="1"/>
    </xf>
    <xf numFmtId="0" fontId="185" fillId="32" borderId="66" xfId="0" applyFont="1" applyFill="1" applyBorder="1" applyAlignment="1" applyProtection="1">
      <alignment horizontal="center" vertical="center" wrapText="1"/>
    </xf>
    <xf numFmtId="0" fontId="185" fillId="32" borderId="67" xfId="0" applyFont="1" applyFill="1" applyBorder="1" applyAlignment="1" applyProtection="1">
      <alignment horizontal="center" vertical="center" wrapText="1"/>
    </xf>
    <xf numFmtId="0" fontId="156" fillId="4" borderId="0" xfId="0" applyFont="1" applyFill="1" applyBorder="1" applyAlignment="1" applyProtection="1">
      <alignment horizontal="left"/>
    </xf>
    <xf numFmtId="0" fontId="98" fillId="39" borderId="84" xfId="0" applyFont="1" applyFill="1" applyBorder="1" applyAlignment="1" applyProtection="1">
      <alignment horizontal="center" vertical="center"/>
    </xf>
    <xf numFmtId="0" fontId="100" fillId="39" borderId="79" xfId="0" applyFont="1" applyFill="1" applyBorder="1" applyAlignment="1" applyProtection="1">
      <alignment horizontal="center" vertical="center" wrapText="1"/>
    </xf>
    <xf numFmtId="0" fontId="100" fillId="39" borderId="80" xfId="0" applyFont="1" applyFill="1" applyBorder="1" applyAlignment="1" applyProtection="1">
      <alignment horizontal="center" vertical="center" wrapText="1"/>
    </xf>
    <xf numFmtId="0" fontId="100" fillId="39" borderId="81" xfId="0" applyFont="1" applyFill="1" applyBorder="1" applyAlignment="1" applyProtection="1">
      <alignment horizontal="center" vertical="center" wrapText="1"/>
    </xf>
    <xf numFmtId="0" fontId="100" fillId="40" borderId="79" xfId="0" applyFont="1" applyFill="1" applyBorder="1" applyAlignment="1" applyProtection="1">
      <alignment horizontal="center" vertical="center" wrapText="1"/>
    </xf>
    <xf numFmtId="0" fontId="100" fillId="40" borderId="80" xfId="0" applyFont="1" applyFill="1" applyBorder="1" applyAlignment="1" applyProtection="1">
      <alignment horizontal="center" vertical="center" wrapText="1"/>
    </xf>
    <xf numFmtId="0" fontId="100" fillId="40" borderId="81" xfId="0" applyFont="1" applyFill="1" applyBorder="1" applyAlignment="1" applyProtection="1">
      <alignment horizontal="center" vertical="center" wrapText="1"/>
    </xf>
    <xf numFmtId="0" fontId="100" fillId="36" borderId="79" xfId="0" applyFont="1" applyFill="1" applyBorder="1" applyAlignment="1" applyProtection="1">
      <alignment horizontal="center" vertical="center" wrapText="1"/>
    </xf>
    <xf numFmtId="0" fontId="100" fillId="36" borderId="80" xfId="0" applyFont="1" applyFill="1" applyBorder="1" applyAlignment="1" applyProtection="1">
      <alignment horizontal="center" vertical="center" wrapText="1"/>
    </xf>
    <xf numFmtId="0" fontId="100" fillId="36" borderId="81" xfId="0" applyFont="1" applyFill="1" applyBorder="1" applyAlignment="1" applyProtection="1">
      <alignment horizontal="center" vertical="center" wrapText="1"/>
    </xf>
    <xf numFmtId="0" fontId="100" fillId="41" borderId="79" xfId="0" applyFont="1" applyFill="1" applyBorder="1" applyAlignment="1" applyProtection="1">
      <alignment horizontal="center" vertical="center" wrapText="1"/>
    </xf>
    <xf numFmtId="0" fontId="100" fillId="41" borderId="80" xfId="0" applyFont="1" applyFill="1" applyBorder="1" applyAlignment="1" applyProtection="1">
      <alignment horizontal="center" vertical="center" wrapText="1"/>
    </xf>
    <xf numFmtId="0" fontId="100" fillId="41" borderId="81" xfId="0" applyFont="1" applyFill="1" applyBorder="1" applyAlignment="1" applyProtection="1">
      <alignment horizontal="center" vertical="center" wrapText="1"/>
    </xf>
    <xf numFmtId="0" fontId="165" fillId="42" borderId="30" xfId="0" applyNumberFormat="1" applyFont="1" applyFill="1" applyBorder="1" applyAlignment="1" applyProtection="1">
      <alignment horizontal="center" vertical="top" wrapText="1"/>
    </xf>
    <xf numFmtId="0" fontId="165" fillId="42" borderId="19" xfId="0" applyNumberFormat="1" applyFont="1" applyFill="1" applyBorder="1" applyAlignment="1" applyProtection="1">
      <alignment horizontal="center" vertical="top" wrapText="1"/>
    </xf>
    <xf numFmtId="0" fontId="32" fillId="42" borderId="82" xfId="0" applyFont="1" applyFill="1" applyBorder="1" applyAlignment="1" applyProtection="1">
      <alignment horizontal="center"/>
    </xf>
    <xf numFmtId="0" fontId="32" fillId="42" borderId="83" xfId="0" applyFont="1" applyFill="1" applyBorder="1" applyAlignment="1" applyProtection="1">
      <alignment horizontal="center"/>
    </xf>
    <xf numFmtId="0" fontId="32" fillId="42" borderId="84" xfId="0" applyFont="1" applyFill="1" applyBorder="1" applyAlignment="1" applyProtection="1">
      <alignment horizontal="center"/>
    </xf>
    <xf numFmtId="0" fontId="165" fillId="42" borderId="28" xfId="0" applyNumberFormat="1" applyFont="1" applyFill="1" applyBorder="1" applyAlignment="1" applyProtection="1">
      <alignment horizontal="center" vertical="top" wrapText="1"/>
    </xf>
    <xf numFmtId="0" fontId="130" fillId="37" borderId="85" xfId="0" applyFont="1" applyFill="1" applyBorder="1" applyAlignment="1" applyProtection="1">
      <alignment horizontal="center" vertical="center" textRotation="90"/>
    </xf>
    <xf numFmtId="0" fontId="130" fillId="37" borderId="64" xfId="0" applyFont="1" applyFill="1" applyBorder="1" applyAlignment="1" applyProtection="1">
      <alignment horizontal="center" vertical="center" textRotation="90"/>
    </xf>
    <xf numFmtId="0" fontId="130" fillId="37" borderId="76" xfId="0" applyFont="1" applyFill="1" applyBorder="1" applyAlignment="1" applyProtection="1">
      <alignment horizontal="center" vertical="center" textRotation="90"/>
    </xf>
    <xf numFmtId="0" fontId="32" fillId="4" borderId="6" xfId="0" applyFont="1" applyFill="1" applyBorder="1" applyAlignment="1" applyProtection="1">
      <alignment horizontal="center"/>
      <protection locked="0"/>
    </xf>
    <xf numFmtId="0" fontId="32" fillId="4" borderId="7" xfId="0" applyFont="1" applyFill="1" applyBorder="1" applyAlignment="1" applyProtection="1">
      <alignment horizontal="center"/>
      <protection locked="0"/>
    </xf>
    <xf numFmtId="0" fontId="32" fillId="4" borderId="8" xfId="0" applyFont="1" applyFill="1" applyBorder="1" applyAlignment="1" applyProtection="1">
      <alignment horizontal="center"/>
      <protection locked="0"/>
    </xf>
    <xf numFmtId="0" fontId="32" fillId="4" borderId="4" xfId="0" applyFont="1" applyFill="1" applyBorder="1" applyAlignment="1" applyProtection="1">
      <alignment horizontal="center"/>
      <protection locked="0"/>
    </xf>
    <xf numFmtId="0" fontId="32" fillId="4" borderId="0" xfId="0" applyFont="1" applyFill="1" applyBorder="1" applyAlignment="1" applyProtection="1">
      <alignment horizontal="center"/>
      <protection locked="0"/>
    </xf>
    <xf numFmtId="0" fontId="32" fillId="4" borderId="5" xfId="0" applyFont="1" applyFill="1" applyBorder="1" applyAlignment="1" applyProtection="1">
      <alignment horizontal="center"/>
      <protection locked="0"/>
    </xf>
    <xf numFmtId="0" fontId="32" fillId="4" borderId="3" xfId="0" applyFont="1" applyFill="1" applyBorder="1" applyAlignment="1" applyProtection="1">
      <alignment horizontal="center"/>
      <protection locked="0"/>
    </xf>
    <xf numFmtId="0" fontId="32" fillId="4" borderId="2" xfId="0" applyFont="1" applyFill="1" applyBorder="1" applyAlignment="1" applyProtection="1">
      <alignment horizontal="center"/>
      <protection locked="0"/>
    </xf>
    <xf numFmtId="0" fontId="32" fillId="4" borderId="1" xfId="0" applyFont="1" applyFill="1" applyBorder="1" applyAlignment="1" applyProtection="1">
      <alignment horizontal="center"/>
      <protection locked="0"/>
    </xf>
    <xf numFmtId="0" fontId="87" fillId="3" borderId="65" xfId="0" applyFont="1" applyFill="1" applyBorder="1" applyAlignment="1" applyProtection="1">
      <alignment horizontal="center" vertical="center" wrapText="1"/>
    </xf>
    <xf numFmtId="0" fontId="87" fillId="3" borderId="66" xfId="0" applyFont="1" applyFill="1" applyBorder="1" applyAlignment="1" applyProtection="1">
      <alignment horizontal="center" vertical="center" wrapText="1"/>
    </xf>
    <xf numFmtId="0" fontId="87" fillId="3" borderId="67" xfId="0" applyFont="1" applyFill="1" applyBorder="1" applyAlignment="1" applyProtection="1">
      <alignment horizontal="center" vertical="center" wrapText="1"/>
    </xf>
    <xf numFmtId="0" fontId="89" fillId="32" borderId="65" xfId="0" applyFont="1" applyFill="1" applyBorder="1" applyAlignment="1" applyProtection="1">
      <alignment horizontal="center" vertical="center" wrapText="1"/>
    </xf>
    <xf numFmtId="0" fontId="89" fillId="32" borderId="66" xfId="0" applyFont="1" applyFill="1" applyBorder="1" applyAlignment="1" applyProtection="1">
      <alignment horizontal="center" vertical="center" wrapText="1"/>
    </xf>
    <xf numFmtId="0" fontId="89" fillId="32" borderId="67" xfId="0" applyFont="1" applyFill="1" applyBorder="1" applyAlignment="1" applyProtection="1">
      <alignment horizontal="center" vertical="center" wrapText="1"/>
    </xf>
    <xf numFmtId="49" fontId="92" fillId="33" borderId="66" xfId="0" applyNumberFormat="1" applyFont="1" applyFill="1" applyBorder="1" applyAlignment="1" applyProtection="1">
      <alignment horizontal="center" vertical="center"/>
    </xf>
    <xf numFmtId="49" fontId="92" fillId="33" borderId="67" xfId="0" applyNumberFormat="1" applyFont="1" applyFill="1" applyBorder="1" applyAlignment="1" applyProtection="1">
      <alignment horizontal="center" vertical="center"/>
    </xf>
    <xf numFmtId="0" fontId="87" fillId="2" borderId="65" xfId="0" applyFont="1" applyFill="1" applyBorder="1" applyAlignment="1" applyProtection="1">
      <alignment horizontal="center" vertical="center" wrapText="1"/>
    </xf>
    <xf numFmtId="0" fontId="87" fillId="2" borderId="66" xfId="0" applyFont="1" applyFill="1" applyBorder="1" applyAlignment="1" applyProtection="1">
      <alignment horizontal="center" vertical="center" wrapText="1"/>
    </xf>
    <xf numFmtId="0" fontId="87" fillId="2" borderId="67" xfId="0" applyFont="1" applyFill="1" applyBorder="1" applyAlignment="1" applyProtection="1">
      <alignment horizontal="center" vertical="center" wrapText="1"/>
    </xf>
    <xf numFmtId="0" fontId="93" fillId="4" borderId="29" xfId="0" applyFont="1" applyFill="1" applyBorder="1" applyAlignment="1" applyProtection="1">
      <alignment horizontal="left" vertical="top" wrapText="1"/>
      <protection locked="0"/>
    </xf>
    <xf numFmtId="0" fontId="90" fillId="4" borderId="21" xfId="0" applyFont="1" applyFill="1" applyBorder="1" applyAlignment="1" applyProtection="1">
      <alignment horizontal="left" vertical="top"/>
      <protection locked="0"/>
    </xf>
    <xf numFmtId="0" fontId="90" fillId="4" borderId="25" xfId="0" applyFont="1" applyFill="1" applyBorder="1" applyAlignment="1" applyProtection="1">
      <alignment horizontal="left" vertical="top"/>
      <protection locked="0"/>
    </xf>
    <xf numFmtId="0" fontId="90" fillId="4" borderId="34" xfId="0" applyFont="1" applyFill="1" applyBorder="1" applyAlignment="1" applyProtection="1">
      <alignment horizontal="left" vertical="top"/>
      <protection locked="0"/>
    </xf>
    <xf numFmtId="0" fontId="90" fillId="4" borderId="0" xfId="0" applyFont="1" applyFill="1" applyBorder="1" applyAlignment="1" applyProtection="1">
      <alignment horizontal="left" vertical="top"/>
      <protection locked="0"/>
    </xf>
    <xf numFmtId="0" fontId="90" fillId="4" borderId="26" xfId="0" applyFont="1" applyFill="1" applyBorder="1" applyAlignment="1" applyProtection="1">
      <alignment horizontal="left" vertical="top"/>
      <protection locked="0"/>
    </xf>
    <xf numFmtId="0" fontId="90" fillId="4" borderId="30" xfId="0" applyFont="1" applyFill="1" applyBorder="1" applyAlignment="1" applyProtection="1">
      <alignment horizontal="left" vertical="top"/>
      <protection locked="0"/>
    </xf>
    <xf numFmtId="0" fontId="90" fillId="4" borderId="19" xfId="0" applyFont="1" applyFill="1" applyBorder="1" applyAlignment="1" applyProtection="1">
      <alignment horizontal="left" vertical="top"/>
      <protection locked="0"/>
    </xf>
    <xf numFmtId="0" fontId="90" fillId="4" borderId="28" xfId="0" applyFont="1" applyFill="1" applyBorder="1" applyAlignment="1" applyProtection="1">
      <alignment horizontal="left" vertical="top"/>
      <protection locked="0"/>
    </xf>
    <xf numFmtId="0" fontId="93" fillId="33" borderId="78" xfId="0" applyFont="1" applyFill="1" applyBorder="1" applyAlignment="1" applyProtection="1">
      <alignment horizontal="left" vertical="top" wrapText="1"/>
      <protection locked="0"/>
    </xf>
    <xf numFmtId="0" fontId="93" fillId="33" borderId="78" xfId="0" applyFont="1" applyFill="1" applyBorder="1" applyAlignment="1" applyProtection="1">
      <alignment horizontal="left" vertical="top"/>
      <protection locked="0"/>
    </xf>
    <xf numFmtId="0" fontId="101" fillId="33" borderId="78" xfId="0" applyFont="1" applyFill="1" applyBorder="1" applyAlignment="1" applyProtection="1">
      <alignment horizontal="center" vertical="center"/>
      <protection locked="0"/>
    </xf>
    <xf numFmtId="0" fontId="89" fillId="33" borderId="0" xfId="0" applyFont="1" applyFill="1" applyBorder="1" applyAlignment="1" applyProtection="1">
      <alignment horizontal="right" vertical="center"/>
    </xf>
    <xf numFmtId="0" fontId="97" fillId="0" borderId="79" xfId="0" applyFont="1" applyFill="1" applyBorder="1" applyAlignment="1" applyProtection="1">
      <alignment horizontal="left" vertical="distributed"/>
      <protection locked="0"/>
    </xf>
    <xf numFmtId="0" fontId="97" fillId="0" borderId="80" xfId="0" applyFont="1" applyFill="1" applyBorder="1" applyAlignment="1" applyProtection="1">
      <alignment horizontal="left" vertical="distributed"/>
      <protection locked="0"/>
    </xf>
    <xf numFmtId="0" fontId="97" fillId="0" borderId="81" xfId="0" applyFont="1" applyFill="1" applyBorder="1" applyAlignment="1" applyProtection="1">
      <alignment horizontal="left" vertical="distributed"/>
      <protection locked="0"/>
    </xf>
    <xf numFmtId="0" fontId="87" fillId="33" borderId="0" xfId="0" applyFont="1" applyFill="1" applyBorder="1" applyAlignment="1" applyProtection="1">
      <alignment horizontal="center" vertical="center" textRotation="90"/>
    </xf>
    <xf numFmtId="0" fontId="143" fillId="2" borderId="7" xfId="0" applyFont="1" applyFill="1" applyBorder="1" applyAlignment="1" applyProtection="1">
      <alignment horizontal="center" vertical="center"/>
    </xf>
    <xf numFmtId="0" fontId="97" fillId="0" borderId="79" xfId="0" applyNumberFormat="1" applyFont="1" applyFill="1" applyBorder="1" applyAlignment="1" applyProtection="1">
      <alignment horizontal="left" vertical="distributed"/>
      <protection locked="0"/>
    </xf>
    <xf numFmtId="0" fontId="97" fillId="0" borderId="80" xfId="0" applyNumberFormat="1" applyFont="1" applyFill="1" applyBorder="1" applyAlignment="1" applyProtection="1">
      <alignment horizontal="left" vertical="distributed"/>
      <protection locked="0"/>
    </xf>
    <xf numFmtId="0" fontId="97" fillId="0" borderId="81" xfId="0" applyNumberFormat="1" applyFont="1" applyFill="1" applyBorder="1" applyAlignment="1" applyProtection="1">
      <alignment horizontal="left" vertical="distributed"/>
      <protection locked="0"/>
    </xf>
    <xf numFmtId="0" fontId="144" fillId="33" borderId="0" xfId="0" applyFont="1" applyFill="1" applyBorder="1" applyAlignment="1" applyProtection="1">
      <alignment horizontal="right" vertical="center"/>
    </xf>
    <xf numFmtId="0" fontId="87" fillId="32" borderId="65" xfId="145" applyFont="1" applyFill="1" applyBorder="1" applyAlignment="1" applyProtection="1">
      <alignment horizontal="center" vertical="center"/>
    </xf>
    <xf numFmtId="0" fontId="87" fillId="32" borderId="66" xfId="145" applyFont="1" applyFill="1" applyBorder="1" applyAlignment="1" applyProtection="1">
      <alignment horizontal="center" vertical="center"/>
    </xf>
    <xf numFmtId="0" fontId="87" fillId="32" borderId="67" xfId="145" applyFont="1" applyFill="1" applyBorder="1" applyAlignment="1" applyProtection="1">
      <alignment horizontal="center" vertical="center"/>
    </xf>
    <xf numFmtId="49" fontId="105" fillId="0" borderId="66" xfId="0" applyNumberFormat="1" applyFont="1" applyFill="1" applyBorder="1" applyAlignment="1" applyProtection="1">
      <alignment horizontal="center" vertical="center"/>
    </xf>
    <xf numFmtId="0" fontId="105" fillId="0" borderId="66" xfId="0" applyFont="1" applyFill="1" applyBorder="1" applyAlignment="1" applyProtection="1">
      <alignment horizontal="center" vertical="center"/>
    </xf>
    <xf numFmtId="0" fontId="105" fillId="0" borderId="67" xfId="0" applyFont="1" applyFill="1" applyBorder="1" applyAlignment="1" applyProtection="1">
      <alignment horizontal="center" vertical="center"/>
    </xf>
    <xf numFmtId="0" fontId="89" fillId="0" borderId="66" xfId="0" applyFont="1" applyFill="1" applyBorder="1" applyAlignment="1" applyProtection="1">
      <alignment horizontal="center" vertical="center"/>
    </xf>
    <xf numFmtId="0" fontId="89" fillId="33" borderId="19" xfId="0" applyFont="1" applyFill="1" applyBorder="1" applyAlignment="1" applyProtection="1">
      <alignment horizontal="center" vertical="center"/>
    </xf>
    <xf numFmtId="0" fontId="89" fillId="32" borderId="65" xfId="145" applyFont="1" applyFill="1" applyBorder="1" applyAlignment="1" applyProtection="1">
      <alignment horizontal="center" vertical="distributed"/>
    </xf>
    <xf numFmtId="0" fontId="89" fillId="32" borderId="66" xfId="145" applyFont="1" applyFill="1" applyBorder="1" applyAlignment="1" applyProtection="1">
      <alignment horizontal="center" vertical="distributed"/>
    </xf>
    <xf numFmtId="0" fontId="89" fillId="32" borderId="67" xfId="145" applyFont="1" applyFill="1" applyBorder="1" applyAlignment="1" applyProtection="1">
      <alignment horizontal="center" vertical="distributed"/>
    </xf>
    <xf numFmtId="0" fontId="143" fillId="2" borderId="8" xfId="0" applyFont="1" applyFill="1" applyBorder="1" applyAlignment="1" applyProtection="1">
      <alignment horizontal="center" vertical="center"/>
    </xf>
    <xf numFmtId="0" fontId="89" fillId="33" borderId="0" xfId="0" applyFont="1" applyFill="1" applyBorder="1" applyAlignment="1" applyProtection="1">
      <alignment horizontal="center" vertical="center"/>
    </xf>
    <xf numFmtId="0" fontId="89" fillId="33" borderId="0" xfId="0" applyFont="1" applyFill="1" applyBorder="1" applyAlignment="1" applyProtection="1">
      <alignment horizontal="left" vertical="center"/>
    </xf>
    <xf numFmtId="0" fontId="144" fillId="33" borderId="0" xfId="0" applyFont="1" applyFill="1" applyBorder="1" applyAlignment="1" applyProtection="1">
      <alignment horizontal="left" vertical="center"/>
    </xf>
    <xf numFmtId="0" fontId="93" fillId="33" borderId="79" xfId="0" applyFont="1" applyFill="1" applyBorder="1" applyAlignment="1" applyProtection="1">
      <alignment horizontal="left" vertical="distributed"/>
      <protection locked="0"/>
    </xf>
    <xf numFmtId="0" fontId="93" fillId="33" borderId="80" xfId="0" applyFont="1" applyFill="1" applyBorder="1" applyAlignment="1" applyProtection="1">
      <alignment horizontal="left" vertical="distributed"/>
      <protection locked="0"/>
    </xf>
    <xf numFmtId="0" fontId="93" fillId="33" borderId="81" xfId="0" applyFont="1" applyFill="1" applyBorder="1" applyAlignment="1" applyProtection="1">
      <alignment horizontal="left" vertical="distributed"/>
      <protection locked="0"/>
    </xf>
    <xf numFmtId="0" fontId="97" fillId="0" borderId="78" xfId="0" applyFont="1" applyFill="1" applyBorder="1" applyAlignment="1" applyProtection="1">
      <alignment horizontal="left" vertical="distributed"/>
      <protection locked="0"/>
    </xf>
    <xf numFmtId="0" fontId="95" fillId="37" borderId="79" xfId="0" applyNumberFormat="1" applyFont="1" applyFill="1" applyBorder="1" applyAlignment="1" applyProtection="1">
      <alignment horizontal="left" vertical="distributed"/>
    </xf>
    <xf numFmtId="0" fontId="95" fillId="37" borderId="80" xfId="0" applyNumberFormat="1" applyFont="1" applyFill="1" applyBorder="1" applyAlignment="1" applyProtection="1">
      <alignment horizontal="left" vertical="distributed"/>
    </xf>
    <xf numFmtId="0" fontId="95" fillId="37" borderId="81" xfId="0" applyNumberFormat="1" applyFont="1" applyFill="1" applyBorder="1" applyAlignment="1" applyProtection="1">
      <alignment horizontal="left" vertical="distributed"/>
    </xf>
    <xf numFmtId="0" fontId="172" fillId="33" borderId="19" xfId="0" applyFont="1" applyFill="1" applyBorder="1" applyAlignment="1" applyProtection="1">
      <alignment horizontal="center" vertical="center"/>
      <protection locked="0"/>
    </xf>
    <xf numFmtId="0" fontId="95" fillId="2" borderId="7" xfId="0" applyFont="1" applyFill="1" applyBorder="1" applyAlignment="1" applyProtection="1">
      <alignment horizontal="left" vertical="center"/>
    </xf>
    <xf numFmtId="0" fontId="95" fillId="2" borderId="0" xfId="0" applyFont="1" applyFill="1" applyBorder="1" applyAlignment="1" applyProtection="1">
      <alignment horizontal="left" vertical="center"/>
    </xf>
    <xf numFmtId="0" fontId="120" fillId="33" borderId="0" xfId="0" applyFont="1" applyFill="1" applyBorder="1" applyAlignment="1" applyProtection="1">
      <alignment horizontal="center" vertical="center" textRotation="90"/>
    </xf>
    <xf numFmtId="0" fontId="98" fillId="33" borderId="19" xfId="0" applyFont="1" applyFill="1" applyBorder="1" applyAlignment="1" applyProtection="1">
      <alignment horizontal="left"/>
    </xf>
    <xf numFmtId="0" fontId="111" fillId="0" borderId="0" xfId="0" applyFont="1" applyFill="1" applyBorder="1" applyAlignment="1" applyProtection="1">
      <alignment horizontal="center"/>
    </xf>
    <xf numFmtId="0" fontId="97" fillId="37" borderId="34" xfId="0" applyFont="1" applyFill="1" applyBorder="1" applyAlignment="1" applyProtection="1">
      <alignment horizontal="left" vertical="center" wrapText="1"/>
    </xf>
    <xf numFmtId="0" fontId="97" fillId="37" borderId="0" xfId="0" applyFont="1" applyFill="1" applyBorder="1" applyAlignment="1" applyProtection="1">
      <alignment horizontal="left" vertical="center" wrapText="1"/>
    </xf>
    <xf numFmtId="0" fontId="97" fillId="37" borderId="26" xfId="0" applyFont="1" applyFill="1" applyBorder="1" applyAlignment="1" applyProtection="1">
      <alignment horizontal="left" vertical="center" wrapText="1"/>
    </xf>
    <xf numFmtId="0" fontId="97" fillId="37" borderId="30" xfId="0" applyFont="1" applyFill="1" applyBorder="1" applyAlignment="1" applyProtection="1">
      <alignment horizontal="left" vertical="center" wrapText="1"/>
    </xf>
    <xf numFmtId="0" fontId="97" fillId="37" borderId="19" xfId="0" applyFont="1" applyFill="1" applyBorder="1" applyAlignment="1" applyProtection="1">
      <alignment horizontal="left" vertical="center" wrapText="1"/>
    </xf>
    <xf numFmtId="0" fontId="97" fillId="37" borderId="28" xfId="0" applyFont="1" applyFill="1" applyBorder="1" applyAlignment="1" applyProtection="1">
      <alignment horizontal="left" vertical="center" wrapText="1"/>
    </xf>
    <xf numFmtId="0" fontId="111" fillId="2" borderId="7" xfId="0" applyFont="1" applyFill="1" applyBorder="1" applyAlignment="1" applyProtection="1">
      <alignment horizontal="center" vertical="center"/>
    </xf>
    <xf numFmtId="0" fontId="111" fillId="2" borderId="0" xfId="0" applyFont="1" applyFill="1" applyBorder="1" applyAlignment="1" applyProtection="1">
      <alignment horizontal="center" vertical="center"/>
    </xf>
    <xf numFmtId="0" fontId="182" fillId="0" borderId="2" xfId="0" applyFont="1" applyFill="1" applyBorder="1" applyAlignment="1" applyProtection="1">
      <alignment horizontal="center" vertical="center"/>
    </xf>
    <xf numFmtId="0" fontId="180" fillId="37" borderId="80" xfId="0" applyFont="1" applyFill="1" applyBorder="1" applyAlignment="1" applyProtection="1">
      <alignment horizontal="left" vertical="center"/>
    </xf>
    <xf numFmtId="0" fontId="180" fillId="37" borderId="81" xfId="0" applyFont="1" applyFill="1" applyBorder="1" applyAlignment="1" applyProtection="1">
      <alignment horizontal="left" vertical="center"/>
    </xf>
    <xf numFmtId="0" fontId="97" fillId="37" borderId="0" xfId="0" applyFont="1" applyFill="1" applyBorder="1" applyAlignment="1" applyProtection="1">
      <alignment horizontal="left" vertical="center"/>
    </xf>
    <xf numFmtId="0" fontId="97" fillId="37" borderId="26" xfId="0" applyFont="1" applyFill="1" applyBorder="1" applyAlignment="1" applyProtection="1">
      <alignment horizontal="left" vertical="center"/>
    </xf>
    <xf numFmtId="0" fontId="97" fillId="37" borderId="19" xfId="0" applyFont="1" applyFill="1" applyBorder="1" applyAlignment="1" applyProtection="1">
      <alignment horizontal="left" vertical="center"/>
    </xf>
    <xf numFmtId="0" fontId="97" fillId="37" borderId="28" xfId="0" applyFont="1" applyFill="1" applyBorder="1" applyAlignment="1" applyProtection="1">
      <alignment horizontal="left" vertical="center"/>
    </xf>
    <xf numFmtId="0" fontId="180" fillId="37" borderId="79" xfId="0" applyFont="1" applyFill="1" applyBorder="1" applyAlignment="1" applyProtection="1">
      <alignment horizontal="left" vertical="center" wrapText="1"/>
    </xf>
    <xf numFmtId="0" fontId="180" fillId="37" borderId="80" xfId="0" applyFont="1" applyFill="1" applyBorder="1" applyAlignment="1" applyProtection="1">
      <alignment horizontal="left" vertical="center" wrapText="1"/>
    </xf>
    <xf numFmtId="0" fontId="180" fillId="37" borderId="81" xfId="0" applyFont="1" applyFill="1" applyBorder="1" applyAlignment="1" applyProtection="1">
      <alignment horizontal="left" vertical="center" wrapText="1"/>
    </xf>
    <xf numFmtId="0" fontId="86" fillId="33" borderId="79" xfId="0" applyFont="1" applyFill="1" applyBorder="1" applyAlignment="1" applyProtection="1">
      <alignment horizontal="center" vertical="center"/>
      <protection locked="0"/>
    </xf>
    <xf numFmtId="0" fontId="86" fillId="33" borderId="81" xfId="0" applyFont="1" applyFill="1" applyBorder="1" applyAlignment="1" applyProtection="1">
      <alignment horizontal="center" vertical="center"/>
      <protection locked="0"/>
    </xf>
    <xf numFmtId="0" fontId="86" fillId="33" borderId="131" xfId="0" applyFont="1" applyFill="1" applyBorder="1" applyAlignment="1" applyProtection="1">
      <alignment horizontal="center" vertical="center"/>
      <protection locked="0"/>
    </xf>
    <xf numFmtId="0" fontId="86" fillId="33" borderId="128" xfId="0" applyFont="1" applyFill="1" applyBorder="1" applyAlignment="1" applyProtection="1">
      <alignment horizontal="center" vertical="center"/>
      <protection locked="0"/>
    </xf>
    <xf numFmtId="0" fontId="113" fillId="33" borderId="79" xfId="0" applyFont="1" applyFill="1" applyBorder="1" applyAlignment="1" applyProtection="1">
      <alignment horizontal="center" vertical="center"/>
      <protection locked="0"/>
    </xf>
    <xf numFmtId="0" fontId="113" fillId="33" borderId="80" xfId="0" applyFont="1" applyFill="1" applyBorder="1" applyAlignment="1" applyProtection="1">
      <alignment horizontal="center" vertical="center"/>
      <protection locked="0"/>
    </xf>
    <xf numFmtId="0" fontId="113" fillId="33" borderId="81" xfId="0" applyFont="1" applyFill="1" applyBorder="1" applyAlignment="1" applyProtection="1">
      <alignment horizontal="center" vertical="center"/>
      <protection locked="0"/>
    </xf>
    <xf numFmtId="0" fontId="118" fillId="37" borderId="30" xfId="0" applyFont="1" applyFill="1" applyBorder="1" applyAlignment="1" applyProtection="1">
      <alignment horizontal="center" vertical="center" wrapText="1"/>
    </xf>
    <xf numFmtId="0" fontId="118" fillId="37" borderId="28" xfId="0" applyFont="1" applyFill="1" applyBorder="1" applyAlignment="1" applyProtection="1">
      <alignment horizontal="center" vertical="center" wrapText="1"/>
    </xf>
    <xf numFmtId="14" fontId="86" fillId="33" borderId="79" xfId="0" applyNumberFormat="1" applyFont="1" applyFill="1" applyBorder="1" applyAlignment="1" applyProtection="1">
      <alignment horizontal="center" vertical="center"/>
      <protection locked="0"/>
    </xf>
    <xf numFmtId="0" fontId="86" fillId="33" borderId="82" xfId="0" applyFont="1" applyFill="1" applyBorder="1" applyAlignment="1" applyProtection="1">
      <alignment horizontal="center" vertical="center"/>
      <protection locked="0"/>
    </xf>
    <xf numFmtId="0" fontId="86" fillId="33" borderId="84" xfId="0" applyFont="1" applyFill="1" applyBorder="1" applyAlignment="1" applyProtection="1">
      <alignment horizontal="center" vertical="center"/>
      <protection locked="0"/>
    </xf>
    <xf numFmtId="0" fontId="193" fillId="2" borderId="0" xfId="0" applyFont="1" applyFill="1" applyBorder="1" applyAlignment="1" applyProtection="1">
      <alignment horizontal="center" vertical="center" textRotation="90" wrapText="1"/>
    </xf>
    <xf numFmtId="0" fontId="86" fillId="33" borderId="82" xfId="0" applyFont="1" applyFill="1" applyBorder="1" applyAlignment="1" applyProtection="1">
      <alignment horizontal="distributed" vertical="center"/>
      <protection locked="0"/>
    </xf>
    <xf numFmtId="0" fontId="86" fillId="33" borderId="84" xfId="0" applyFont="1" applyFill="1" applyBorder="1" applyAlignment="1" applyProtection="1">
      <alignment horizontal="distributed" vertical="center"/>
      <protection locked="0"/>
    </xf>
    <xf numFmtId="0" fontId="86" fillId="0" borderId="82" xfId="0" applyFont="1" applyBorder="1" applyAlignment="1" applyProtection="1">
      <alignment horizontal="center" vertical="center" wrapText="1"/>
      <protection locked="0"/>
    </xf>
    <xf numFmtId="0" fontId="86" fillId="0" borderId="92" xfId="0" applyFont="1" applyBorder="1" applyAlignment="1" applyProtection="1">
      <alignment horizontal="center" vertical="center" wrapText="1"/>
      <protection locked="0"/>
    </xf>
    <xf numFmtId="0" fontId="86" fillId="33" borderId="91" xfId="0" applyFont="1" applyFill="1" applyBorder="1" applyAlignment="1" applyProtection="1">
      <alignment horizontal="left" vertical="top" wrapText="1"/>
      <protection locked="0"/>
    </xf>
    <xf numFmtId="0" fontId="86" fillId="33" borderId="83" xfId="0" applyFont="1" applyFill="1" applyBorder="1" applyAlignment="1" applyProtection="1">
      <alignment horizontal="left" vertical="top" wrapText="1"/>
      <protection locked="0"/>
    </xf>
    <xf numFmtId="0" fontId="86" fillId="33" borderId="84" xfId="0" applyFont="1" applyFill="1" applyBorder="1" applyAlignment="1" applyProtection="1">
      <alignment horizontal="left" vertical="top" wrapText="1"/>
      <protection locked="0"/>
    </xf>
    <xf numFmtId="0" fontId="86" fillId="0" borderId="82" xfId="0" applyFont="1" applyBorder="1" applyAlignment="1" applyProtection="1">
      <alignment horizontal="left" vertical="center" wrapText="1"/>
      <protection locked="0"/>
    </xf>
    <xf numFmtId="0" fontId="86" fillId="0" borderId="84" xfId="0" applyFont="1" applyBorder="1" applyAlignment="1" applyProtection="1">
      <alignment horizontal="left" vertical="center" wrapText="1"/>
      <protection locked="0"/>
    </xf>
    <xf numFmtId="0" fontId="86" fillId="0" borderId="83" xfId="0" applyFont="1" applyBorder="1" applyAlignment="1" applyProtection="1">
      <alignment horizontal="left" vertical="center" wrapText="1"/>
      <protection locked="0"/>
    </xf>
    <xf numFmtId="0" fontId="86" fillId="0" borderId="82" xfId="0" applyFont="1" applyFill="1" applyBorder="1" applyAlignment="1" applyProtection="1">
      <alignment horizontal="left" vertical="center" wrapText="1"/>
      <protection locked="0"/>
    </xf>
    <xf numFmtId="0" fontId="86" fillId="0" borderId="83" xfId="0" applyFont="1" applyFill="1" applyBorder="1" applyAlignment="1" applyProtection="1">
      <alignment horizontal="left" vertical="center" wrapText="1"/>
      <protection locked="0"/>
    </xf>
    <xf numFmtId="0" fontId="86" fillId="0" borderId="84" xfId="0" applyFont="1" applyFill="1" applyBorder="1" applyAlignment="1" applyProtection="1">
      <alignment horizontal="left" vertical="center" wrapText="1"/>
      <protection locked="0"/>
    </xf>
    <xf numFmtId="0" fontId="178" fillId="37" borderId="91" xfId="0" applyFont="1" applyFill="1" applyBorder="1" applyAlignment="1" applyProtection="1">
      <alignment horizontal="center" vertical="center" textRotation="90" wrapText="1"/>
    </xf>
    <xf numFmtId="0" fontId="178" fillId="37" borderId="83" xfId="0" applyFont="1" applyFill="1" applyBorder="1" applyAlignment="1" applyProtection="1">
      <alignment horizontal="center" vertical="center" textRotation="90" wrapText="1"/>
    </xf>
    <xf numFmtId="0" fontId="178" fillId="37" borderId="84" xfId="0" applyFont="1" applyFill="1" applyBorder="1" applyAlignment="1" applyProtection="1">
      <alignment horizontal="center" vertical="center" textRotation="90" wrapText="1"/>
    </xf>
    <xf numFmtId="0" fontId="178" fillId="37" borderId="4" xfId="0" applyFont="1" applyFill="1" applyBorder="1" applyAlignment="1" applyProtection="1">
      <alignment horizontal="center" vertical="center" textRotation="90" wrapText="1"/>
    </xf>
    <xf numFmtId="0" fontId="178" fillId="37" borderId="0" xfId="0" applyFont="1" applyFill="1" applyBorder="1" applyAlignment="1" applyProtection="1">
      <alignment horizontal="center" vertical="center" textRotation="90" wrapText="1"/>
    </xf>
    <xf numFmtId="0" fontId="178" fillId="37" borderId="26" xfId="0" applyFont="1" applyFill="1" applyBorder="1" applyAlignment="1" applyProtection="1">
      <alignment horizontal="center" vertical="center" textRotation="90" wrapText="1"/>
    </xf>
    <xf numFmtId="0" fontId="178" fillId="37" borderId="3" xfId="0" applyFont="1" applyFill="1" applyBorder="1" applyAlignment="1" applyProtection="1">
      <alignment horizontal="center" vertical="center" textRotation="90" wrapText="1"/>
    </xf>
    <xf numFmtId="0" fontId="178" fillId="37" borderId="2" xfId="0" applyFont="1" applyFill="1" applyBorder="1" applyAlignment="1" applyProtection="1">
      <alignment horizontal="center" vertical="center" textRotation="90" wrapText="1"/>
    </xf>
    <xf numFmtId="0" fontId="178" fillId="37" borderId="42" xfId="0" applyFont="1" applyFill="1" applyBorder="1" applyAlignment="1" applyProtection="1">
      <alignment horizontal="center" vertical="center" textRotation="90" wrapText="1"/>
    </xf>
    <xf numFmtId="0" fontId="123" fillId="0" borderId="79" xfId="0" quotePrefix="1" applyNumberFormat="1" applyFont="1" applyFill="1" applyBorder="1" applyAlignment="1" applyProtection="1">
      <alignment horizontal="center" vertical="center" wrapText="1"/>
      <protection locked="0"/>
    </xf>
    <xf numFmtId="0" fontId="123" fillId="0" borderId="81" xfId="0" quotePrefix="1" applyNumberFormat="1" applyFont="1" applyFill="1" applyBorder="1" applyAlignment="1" applyProtection="1">
      <alignment horizontal="center" vertical="center" wrapText="1"/>
      <protection locked="0"/>
    </xf>
    <xf numFmtId="0" fontId="118" fillId="37" borderId="76" xfId="0" applyFont="1" applyFill="1" applyBorder="1" applyAlignment="1" applyProtection="1">
      <alignment horizontal="center" vertical="center"/>
    </xf>
    <xf numFmtId="0" fontId="118" fillId="37" borderId="30" xfId="0" applyFont="1" applyFill="1" applyBorder="1" applyAlignment="1" applyProtection="1">
      <alignment horizontal="center" vertical="center"/>
    </xf>
    <xf numFmtId="0" fontId="118" fillId="37" borderId="19" xfId="0" applyFont="1" applyFill="1" applyBorder="1" applyAlignment="1" applyProtection="1">
      <alignment horizontal="center" vertical="center"/>
    </xf>
    <xf numFmtId="0" fontId="118" fillId="37" borderId="28" xfId="0" applyFont="1" applyFill="1" applyBorder="1" applyAlignment="1" applyProtection="1">
      <alignment horizontal="center" vertical="center"/>
    </xf>
    <xf numFmtId="0" fontId="123" fillId="0" borderId="79" xfId="0" quotePrefix="1" applyFont="1" applyFill="1" applyBorder="1" applyAlignment="1" applyProtection="1">
      <alignment horizontal="center" vertical="center" wrapText="1"/>
      <protection locked="0"/>
    </xf>
    <xf numFmtId="0" fontId="123" fillId="0" borderId="81" xfId="0" quotePrefix="1" applyFont="1" applyFill="1" applyBorder="1" applyAlignment="1" applyProtection="1">
      <alignment horizontal="center" vertical="center" wrapText="1"/>
      <protection locked="0"/>
    </xf>
    <xf numFmtId="0" fontId="123" fillId="0" borderId="94" xfId="0" quotePrefix="1" applyFont="1" applyFill="1" applyBorder="1" applyAlignment="1" applyProtection="1">
      <alignment horizontal="center" vertical="center" wrapText="1"/>
      <protection locked="0"/>
    </xf>
    <xf numFmtId="0" fontId="123" fillId="0" borderId="104" xfId="0" quotePrefix="1" applyFont="1" applyFill="1" applyBorder="1" applyAlignment="1" applyProtection="1">
      <alignment horizontal="center" vertical="center" wrapText="1"/>
      <protection locked="0"/>
    </xf>
    <xf numFmtId="0" fontId="133" fillId="2" borderId="39" xfId="0" applyNumberFormat="1" applyFont="1" applyFill="1" applyBorder="1" applyAlignment="1" applyProtection="1">
      <alignment horizontal="center" vertical="center" wrapText="1"/>
    </xf>
    <xf numFmtId="0" fontId="133" fillId="2" borderId="40" xfId="0" applyNumberFormat="1" applyFont="1" applyFill="1" applyBorder="1" applyAlignment="1" applyProtection="1">
      <alignment horizontal="center" vertical="center" wrapText="1"/>
    </xf>
    <xf numFmtId="0" fontId="133" fillId="2" borderId="10" xfId="0" applyNumberFormat="1" applyFont="1" applyFill="1" applyBorder="1" applyAlignment="1" applyProtection="1">
      <alignment horizontal="center" vertical="center" wrapText="1"/>
    </xf>
    <xf numFmtId="0" fontId="133" fillId="2" borderId="9" xfId="0" applyNumberFormat="1" applyFont="1" applyFill="1" applyBorder="1" applyAlignment="1" applyProtection="1">
      <alignment horizontal="center" vertical="center" wrapText="1"/>
    </xf>
    <xf numFmtId="0" fontId="121" fillId="32" borderId="65" xfId="145" applyFont="1" applyFill="1" applyBorder="1" applyAlignment="1" applyProtection="1">
      <alignment horizontal="center" vertical="center"/>
    </xf>
    <xf numFmtId="0" fontId="121" fillId="32" borderId="66" xfId="145" applyFont="1" applyFill="1" applyBorder="1" applyAlignment="1" applyProtection="1">
      <alignment horizontal="center" vertical="center"/>
    </xf>
    <xf numFmtId="0" fontId="102" fillId="32" borderId="65" xfId="145" applyFont="1" applyFill="1" applyBorder="1" applyAlignment="1" applyProtection="1">
      <alignment horizontal="center" vertical="center"/>
    </xf>
    <xf numFmtId="0" fontId="102" fillId="32" borderId="66" xfId="145" applyFont="1" applyFill="1" applyBorder="1" applyAlignment="1" applyProtection="1">
      <alignment horizontal="center" vertical="center"/>
    </xf>
    <xf numFmtId="0" fontId="102" fillId="32" borderId="67" xfId="145" applyFont="1" applyFill="1" applyBorder="1" applyAlignment="1" applyProtection="1">
      <alignment horizontal="center" vertical="center"/>
    </xf>
    <xf numFmtId="0" fontId="121" fillId="33" borderId="65" xfId="0" applyFont="1" applyFill="1" applyBorder="1" applyAlignment="1" applyProtection="1">
      <alignment horizontal="center" vertical="distributed"/>
    </xf>
    <xf numFmtId="0" fontId="121" fillId="33" borderId="66" xfId="0" applyFont="1" applyFill="1" applyBorder="1" applyAlignment="1" applyProtection="1">
      <alignment horizontal="center" vertical="distributed"/>
    </xf>
    <xf numFmtId="0" fontId="118" fillId="37" borderId="78" xfId="0" applyFont="1" applyFill="1" applyBorder="1" applyAlignment="1" applyProtection="1">
      <alignment horizontal="center" vertical="center" wrapText="1"/>
    </xf>
    <xf numFmtId="0" fontId="118" fillId="37" borderId="78" xfId="0" applyFont="1" applyFill="1" applyBorder="1" applyAlignment="1" applyProtection="1">
      <alignment horizontal="center" vertical="center"/>
    </xf>
    <xf numFmtId="0" fontId="102" fillId="3" borderId="65" xfId="0" applyFont="1" applyFill="1" applyBorder="1" applyAlignment="1" applyProtection="1">
      <alignment horizontal="center" vertical="distributed"/>
    </xf>
    <xf numFmtId="0" fontId="102" fillId="3" borderId="66" xfId="0" applyFont="1" applyFill="1" applyBorder="1" applyAlignment="1" applyProtection="1">
      <alignment horizontal="center" vertical="distributed"/>
    </xf>
    <xf numFmtId="0" fontId="102" fillId="3" borderId="67" xfId="0" applyFont="1" applyFill="1" applyBorder="1" applyAlignment="1" applyProtection="1">
      <alignment horizontal="center" vertical="distributed"/>
    </xf>
    <xf numFmtId="49" fontId="118" fillId="33" borderId="66" xfId="0" applyNumberFormat="1" applyFont="1" applyFill="1" applyBorder="1" applyAlignment="1" applyProtection="1">
      <alignment horizontal="center" vertical="center"/>
    </xf>
    <xf numFmtId="0" fontId="118" fillId="33" borderId="66" xfId="0" applyFont="1" applyFill="1" applyBorder="1" applyAlignment="1" applyProtection="1">
      <alignment horizontal="center" vertical="center"/>
    </xf>
    <xf numFmtId="0" fontId="118" fillId="33" borderId="67" xfId="0" applyFont="1" applyFill="1" applyBorder="1" applyAlignment="1" applyProtection="1">
      <alignment horizontal="center" vertical="center"/>
    </xf>
    <xf numFmtId="182" fontId="113" fillId="2" borderId="0" xfId="0" applyNumberFormat="1" applyFont="1" applyFill="1" applyBorder="1" applyAlignment="1" applyProtection="1">
      <alignment horizontal="center" vertical="center"/>
    </xf>
    <xf numFmtId="0" fontId="176" fillId="2" borderId="0" xfId="0" applyFont="1" applyFill="1" applyBorder="1" applyAlignment="1" applyProtection="1">
      <alignment horizontal="center" vertical="distributed"/>
    </xf>
    <xf numFmtId="0" fontId="139" fillId="33" borderId="79" xfId="0" applyFont="1" applyFill="1" applyBorder="1" applyAlignment="1" applyProtection="1">
      <alignment horizontal="center" vertical="center"/>
      <protection locked="0"/>
    </xf>
    <xf numFmtId="0" fontId="139" fillId="33" borderId="80" xfId="0" applyFont="1" applyFill="1" applyBorder="1" applyAlignment="1" applyProtection="1">
      <alignment horizontal="center" vertical="center"/>
      <protection locked="0"/>
    </xf>
    <xf numFmtId="0" fontId="139" fillId="33" borderId="81" xfId="0" applyFont="1" applyFill="1" applyBorder="1" applyAlignment="1" applyProtection="1">
      <alignment horizontal="center" vertical="center"/>
      <protection locked="0"/>
    </xf>
    <xf numFmtId="0" fontId="121" fillId="2" borderId="35" xfId="0" applyFont="1" applyFill="1" applyBorder="1" applyAlignment="1" applyProtection="1">
      <alignment horizontal="distributed" vertical="center"/>
    </xf>
    <xf numFmtId="0" fontId="121" fillId="2" borderId="8" xfId="0" applyFont="1" applyFill="1" applyBorder="1" applyAlignment="1" applyProtection="1">
      <alignment horizontal="distributed" vertical="center"/>
    </xf>
    <xf numFmtId="0" fontId="121" fillId="2" borderId="30" xfId="0" applyFont="1" applyFill="1" applyBorder="1" applyAlignment="1" applyProtection="1">
      <alignment horizontal="distributed" vertical="center"/>
    </xf>
    <xf numFmtId="0" fontId="121" fillId="2" borderId="20" xfId="0" applyFont="1" applyFill="1" applyBorder="1" applyAlignment="1" applyProtection="1">
      <alignment horizontal="distributed" vertical="center"/>
    </xf>
    <xf numFmtId="182" fontId="113" fillId="33" borderId="79" xfId="0" applyNumberFormat="1" applyFont="1" applyFill="1" applyBorder="1" applyAlignment="1" applyProtection="1">
      <alignment horizontal="center" vertical="center"/>
      <protection locked="0"/>
    </xf>
    <xf numFmtId="182" fontId="113" fillId="33" borderId="80" xfId="0" applyNumberFormat="1" applyFont="1" applyFill="1" applyBorder="1" applyAlignment="1" applyProtection="1">
      <alignment horizontal="center" vertical="center"/>
      <protection locked="0"/>
    </xf>
    <xf numFmtId="182" fontId="113" fillId="33" borderId="81" xfId="0" applyNumberFormat="1" applyFont="1" applyFill="1" applyBorder="1" applyAlignment="1" applyProtection="1">
      <alignment horizontal="center" vertical="center"/>
      <protection locked="0"/>
    </xf>
    <xf numFmtId="0" fontId="123" fillId="2" borderId="34" xfId="0" applyFont="1" applyFill="1" applyBorder="1" applyAlignment="1" applyProtection="1">
      <alignment horizontal="right" vertical="distributed"/>
    </xf>
    <xf numFmtId="0" fontId="123" fillId="2" borderId="0" xfId="0" applyFont="1" applyFill="1" applyBorder="1" applyAlignment="1" applyProtection="1">
      <alignment horizontal="right" vertical="distributed"/>
    </xf>
    <xf numFmtId="0" fontId="123" fillId="2" borderId="26" xfId="0" applyFont="1" applyFill="1" applyBorder="1" applyAlignment="1" applyProtection="1">
      <alignment horizontal="right" vertical="distributed"/>
    </xf>
    <xf numFmtId="0" fontId="188" fillId="2" borderId="4" xfId="0" applyFont="1" applyFill="1" applyBorder="1" applyAlignment="1" applyProtection="1">
      <alignment horizontal="left" vertical="distributed"/>
    </xf>
    <xf numFmtId="0" fontId="188" fillId="2" borderId="0" xfId="0" applyFont="1" applyFill="1" applyBorder="1" applyAlignment="1" applyProtection="1">
      <alignment horizontal="left" vertical="distributed"/>
    </xf>
    <xf numFmtId="0" fontId="118" fillId="2" borderId="4" xfId="0" applyFont="1" applyFill="1" applyBorder="1" applyAlignment="1" applyProtection="1">
      <alignment horizontal="center" vertical="center" wrapText="1"/>
    </xf>
    <xf numFmtId="0" fontId="118" fillId="2" borderId="0" xfId="0" applyFont="1" applyFill="1" applyBorder="1" applyAlignment="1" applyProtection="1">
      <alignment horizontal="center" vertical="center" wrapText="1"/>
    </xf>
    <xf numFmtId="0" fontId="139" fillId="0" borderId="9" xfId="0" applyFont="1" applyFill="1" applyBorder="1" applyAlignment="1" applyProtection="1">
      <alignment vertical="top"/>
      <protection locked="0"/>
    </xf>
    <xf numFmtId="0" fontId="118" fillId="2" borderId="4" xfId="0" applyFont="1" applyFill="1" applyBorder="1" applyAlignment="1" applyProtection="1">
      <alignment horizontal="right" vertical="center"/>
    </xf>
    <xf numFmtId="0" fontId="118" fillId="2" borderId="0" xfId="0" applyFont="1" applyFill="1" applyBorder="1" applyAlignment="1" applyProtection="1">
      <alignment horizontal="right" vertical="center"/>
    </xf>
    <xf numFmtId="0" fontId="176" fillId="43" borderId="4" xfId="0" applyFont="1" applyFill="1" applyBorder="1" applyAlignment="1" applyProtection="1">
      <alignment horizontal="center" vertical="distributed"/>
    </xf>
    <xf numFmtId="0" fontId="176" fillId="43" borderId="0" xfId="0" applyFont="1" applyFill="1" applyBorder="1" applyAlignment="1" applyProtection="1">
      <alignment horizontal="center" vertical="distributed"/>
    </xf>
    <xf numFmtId="0" fontId="176" fillId="43" borderId="26" xfId="0" applyFont="1" applyFill="1" applyBorder="1" applyAlignment="1" applyProtection="1">
      <alignment horizontal="center" vertical="distributed"/>
    </xf>
    <xf numFmtId="0" fontId="113" fillId="33" borderId="79" xfId="0" applyFont="1" applyFill="1" applyBorder="1" applyAlignment="1" applyProtection="1">
      <alignment horizontal="left" vertical="center"/>
      <protection locked="0"/>
    </xf>
    <xf numFmtId="0" fontId="113" fillId="33" borderId="81" xfId="0" applyFont="1" applyFill="1" applyBorder="1" applyAlignment="1" applyProtection="1">
      <alignment horizontal="left" vertical="center"/>
      <protection locked="0"/>
    </xf>
    <xf numFmtId="0" fontId="118" fillId="37" borderId="79" xfId="0" applyFont="1" applyFill="1" applyBorder="1" applyAlignment="1" applyProtection="1">
      <alignment horizontal="center" vertical="center" wrapText="1"/>
    </xf>
    <xf numFmtId="0" fontId="118" fillId="37" borderId="81" xfId="0" applyFont="1" applyFill="1" applyBorder="1" applyAlignment="1" applyProtection="1">
      <alignment horizontal="center" vertical="center" wrapText="1"/>
    </xf>
    <xf numFmtId="0" fontId="118" fillId="2" borderId="34" xfId="0" applyFont="1" applyFill="1" applyBorder="1" applyAlignment="1" applyProtection="1">
      <alignment horizontal="right" vertical="center"/>
    </xf>
    <xf numFmtId="0" fontId="118" fillId="2" borderId="26" xfId="0" applyFont="1" applyFill="1" applyBorder="1" applyAlignment="1" applyProtection="1">
      <alignment horizontal="right" vertical="center"/>
    </xf>
    <xf numFmtId="0" fontId="170" fillId="2" borderId="0" xfId="0" applyFont="1" applyFill="1" applyBorder="1" applyAlignment="1" applyProtection="1">
      <alignment horizontal="center" vertical="distributed"/>
    </xf>
    <xf numFmtId="0" fontId="188" fillId="2" borderId="0" xfId="0" applyFont="1" applyFill="1" applyBorder="1" applyAlignment="1" applyProtection="1">
      <alignment horizontal="center" vertical="center" wrapText="1"/>
    </xf>
    <xf numFmtId="0" fontId="124" fillId="37" borderId="103" xfId="0" applyFont="1" applyFill="1" applyBorder="1" applyAlignment="1" applyProtection="1">
      <alignment horizontal="center" vertical="center" wrapText="1"/>
    </xf>
    <xf numFmtId="0" fontId="124" fillId="37" borderId="80" xfId="0" applyFont="1" applyFill="1" applyBorder="1" applyAlignment="1" applyProtection="1">
      <alignment horizontal="center" vertical="center" wrapText="1"/>
    </xf>
    <xf numFmtId="0" fontId="124" fillId="37" borderId="81" xfId="0" applyFont="1" applyFill="1" applyBorder="1" applyAlignment="1" applyProtection="1">
      <alignment horizontal="center" vertical="center" wrapText="1"/>
    </xf>
    <xf numFmtId="0" fontId="139" fillId="0" borderId="78" xfId="0" quotePrefix="1" applyFont="1" applyFill="1" applyBorder="1" applyAlignment="1" applyProtection="1">
      <alignment horizontal="left" vertical="top" wrapText="1"/>
      <protection locked="0"/>
    </xf>
    <xf numFmtId="0" fontId="102" fillId="2" borderId="0" xfId="0" applyFont="1" applyFill="1" applyBorder="1" applyAlignment="1" applyProtection="1">
      <alignment horizontal="center" textRotation="90"/>
    </xf>
    <xf numFmtId="0" fontId="102" fillId="2" borderId="26" xfId="0" applyFont="1" applyFill="1" applyBorder="1" applyAlignment="1" applyProtection="1">
      <alignment horizontal="center" textRotation="90"/>
    </xf>
    <xf numFmtId="0" fontId="178" fillId="2" borderId="35" xfId="0" applyFont="1" applyFill="1" applyBorder="1" applyAlignment="1" applyProtection="1">
      <alignment horizontal="center" vertical="center"/>
    </xf>
    <xf numFmtId="0" fontId="178" fillId="2" borderId="7" xfId="0" applyFont="1" applyFill="1" applyBorder="1" applyAlignment="1" applyProtection="1">
      <alignment horizontal="center" vertical="center"/>
    </xf>
    <xf numFmtId="0" fontId="178" fillId="2" borderId="36" xfId="0" applyFont="1" applyFill="1" applyBorder="1" applyAlignment="1" applyProtection="1">
      <alignment horizontal="center" vertical="center"/>
    </xf>
    <xf numFmtId="0" fontId="118" fillId="37" borderId="76" xfId="0" applyFont="1" applyFill="1" applyBorder="1" applyAlignment="1" applyProtection="1">
      <alignment horizontal="center" vertical="center" wrapText="1"/>
    </xf>
    <xf numFmtId="0" fontId="118" fillId="37" borderId="77" xfId="0" applyFont="1" applyFill="1" applyBorder="1" applyAlignment="1" applyProtection="1">
      <alignment horizontal="center" vertical="center" wrapText="1"/>
    </xf>
    <xf numFmtId="0" fontId="118" fillId="37" borderId="102" xfId="0" applyFont="1" applyFill="1" applyBorder="1" applyAlignment="1" applyProtection="1">
      <alignment horizontal="center" vertical="center"/>
    </xf>
    <xf numFmtId="0" fontId="178" fillId="2" borderId="6" xfId="0" applyFont="1" applyFill="1" applyBorder="1" applyAlignment="1" applyProtection="1">
      <alignment horizontal="center" vertical="center"/>
    </xf>
    <xf numFmtId="0" fontId="178" fillId="2" borderId="8" xfId="0" applyFont="1" applyFill="1" applyBorder="1" applyAlignment="1" applyProtection="1">
      <alignment horizontal="center" vertical="center"/>
    </xf>
    <xf numFmtId="0" fontId="178" fillId="2" borderId="4" xfId="0" applyFont="1" applyFill="1" applyBorder="1" applyAlignment="1" applyProtection="1">
      <alignment horizontal="center" vertical="center"/>
    </xf>
    <xf numFmtId="0" fontId="178" fillId="2" borderId="0" xfId="0" applyFont="1" applyFill="1" applyBorder="1" applyAlignment="1" applyProtection="1">
      <alignment horizontal="center" vertical="center"/>
    </xf>
    <xf numFmtId="0" fontId="178" fillId="2" borderId="5" xfId="0" applyFont="1" applyFill="1" applyBorder="1" applyAlignment="1" applyProtection="1">
      <alignment horizontal="center" vertical="center"/>
    </xf>
    <xf numFmtId="0" fontId="178" fillId="2" borderId="18" xfId="0" applyFont="1" applyFill="1" applyBorder="1" applyAlignment="1" applyProtection="1">
      <alignment horizontal="center" vertical="center"/>
    </xf>
    <xf numFmtId="0" fontId="178" fillId="2" borderId="19" xfId="0" applyFont="1" applyFill="1" applyBorder="1" applyAlignment="1" applyProtection="1">
      <alignment horizontal="center" vertical="center"/>
    </xf>
    <xf numFmtId="0" fontId="178" fillId="2" borderId="20" xfId="0" applyFont="1" applyFill="1" applyBorder="1" applyAlignment="1" applyProtection="1">
      <alignment horizontal="center" vertical="center"/>
    </xf>
    <xf numFmtId="0" fontId="121" fillId="2" borderId="36" xfId="0" applyFont="1" applyFill="1" applyBorder="1" applyAlignment="1" applyProtection="1">
      <alignment horizontal="distributed" vertical="center"/>
    </xf>
    <xf numFmtId="0" fontId="121" fillId="2" borderId="34" xfId="0" applyFont="1" applyFill="1" applyBorder="1" applyAlignment="1" applyProtection="1">
      <alignment horizontal="distributed" vertical="center"/>
    </xf>
    <xf numFmtId="0" fontId="121" fillId="2" borderId="26" xfId="0" applyFont="1" applyFill="1" applyBorder="1" applyAlignment="1" applyProtection="1">
      <alignment horizontal="distributed" vertical="center"/>
    </xf>
    <xf numFmtId="0" fontId="121" fillId="2" borderId="28" xfId="0" applyFont="1" applyFill="1" applyBorder="1" applyAlignment="1" applyProtection="1">
      <alignment horizontal="distributed" vertical="center"/>
    </xf>
    <xf numFmtId="0" fontId="121" fillId="2" borderId="5" xfId="0" applyFont="1" applyFill="1" applyBorder="1" applyAlignment="1" applyProtection="1">
      <alignment horizontal="distributed" vertical="center"/>
    </xf>
    <xf numFmtId="0" fontId="86" fillId="0" borderId="82" xfId="0" applyNumberFormat="1" applyFont="1" applyBorder="1" applyAlignment="1" applyProtection="1">
      <alignment horizontal="left" vertical="center" wrapText="1"/>
      <protection locked="0"/>
    </xf>
    <xf numFmtId="0" fontId="86" fillId="0" borderId="83" xfId="0" applyNumberFormat="1" applyFont="1" applyBorder="1" applyAlignment="1" applyProtection="1">
      <alignment horizontal="left" vertical="center" wrapText="1"/>
      <protection locked="0"/>
    </xf>
    <xf numFmtId="0" fontId="86" fillId="0" borderId="84" xfId="0" applyNumberFormat="1" applyFont="1" applyBorder="1" applyAlignment="1" applyProtection="1">
      <alignment horizontal="left" vertical="center" wrapText="1"/>
      <protection locked="0"/>
    </xf>
    <xf numFmtId="0" fontId="86" fillId="0" borderId="82" xfId="0" applyNumberFormat="1" applyFont="1" applyFill="1" applyBorder="1" applyAlignment="1" applyProtection="1">
      <alignment horizontal="left" vertical="center" wrapText="1"/>
      <protection locked="0"/>
    </xf>
    <xf numFmtId="0" fontId="86" fillId="0" borderId="83" xfId="0" applyNumberFormat="1" applyFont="1" applyFill="1" applyBorder="1" applyAlignment="1" applyProtection="1">
      <alignment horizontal="left" vertical="center" wrapText="1"/>
      <protection locked="0"/>
    </xf>
    <xf numFmtId="0" fontId="86" fillId="0" borderId="84" xfId="0" applyNumberFormat="1" applyFont="1" applyFill="1" applyBorder="1" applyAlignment="1" applyProtection="1">
      <alignment horizontal="left" vertical="center" wrapText="1"/>
      <protection locked="0"/>
    </xf>
    <xf numFmtId="0" fontId="86" fillId="33" borderId="82" xfId="0" applyNumberFormat="1" applyFont="1" applyFill="1" applyBorder="1" applyAlignment="1" applyProtection="1">
      <alignment horizontal="distributed" vertical="center"/>
      <protection locked="0"/>
    </xf>
    <xf numFmtId="0" fontId="86" fillId="33" borderId="84" xfId="0" applyNumberFormat="1" applyFont="1" applyFill="1" applyBorder="1" applyAlignment="1" applyProtection="1">
      <alignment horizontal="distributed" vertical="center"/>
      <protection locked="0"/>
    </xf>
    <xf numFmtId="0" fontId="86" fillId="0" borderId="82" xfId="0" applyNumberFormat="1" applyFont="1" applyBorder="1" applyAlignment="1" applyProtection="1">
      <alignment horizontal="center" vertical="center" wrapText="1"/>
      <protection locked="0"/>
    </xf>
    <xf numFmtId="0" fontId="86" fillId="0" borderId="92" xfId="0" applyNumberFormat="1" applyFont="1" applyBorder="1" applyAlignment="1" applyProtection="1">
      <alignment horizontal="center" vertical="center" wrapText="1"/>
      <protection locked="0"/>
    </xf>
    <xf numFmtId="0" fontId="27" fillId="33" borderId="0" xfId="0" applyFont="1" applyFill="1" applyBorder="1" applyAlignment="1" applyProtection="1">
      <alignment horizontal="center"/>
    </xf>
    <xf numFmtId="0" fontId="102" fillId="2" borderId="4" xfId="0" applyFont="1" applyFill="1" applyBorder="1" applyAlignment="1" applyProtection="1">
      <alignment horizontal="center" vertical="center" textRotation="90"/>
    </xf>
    <xf numFmtId="0" fontId="118" fillId="2" borderId="0" xfId="0" applyFont="1" applyFill="1" applyBorder="1" applyAlignment="1" applyProtection="1">
      <alignment horizontal="right" vertical="center" wrapText="1"/>
    </xf>
    <xf numFmtId="0" fontId="118" fillId="2" borderId="26" xfId="0" applyFont="1" applyFill="1" applyBorder="1" applyAlignment="1" applyProtection="1">
      <alignment horizontal="right" vertical="center" wrapText="1"/>
    </xf>
    <xf numFmtId="0" fontId="121" fillId="2" borderId="35" xfId="0" applyFont="1" applyFill="1" applyBorder="1" applyAlignment="1" applyProtection="1">
      <alignment horizontal="center" vertical="center" wrapText="1"/>
    </xf>
    <xf numFmtId="0" fontId="121" fillId="2" borderId="36" xfId="0" applyFont="1" applyFill="1" applyBorder="1" applyAlignment="1" applyProtection="1">
      <alignment horizontal="center" vertical="center" wrapText="1"/>
    </xf>
    <xf numFmtId="0" fontId="121" fillId="2" borderId="30" xfId="0" applyFont="1" applyFill="1" applyBorder="1" applyAlignment="1" applyProtection="1">
      <alignment horizontal="center" vertical="center" wrapText="1"/>
    </xf>
    <xf numFmtId="0" fontId="121" fillId="2" borderId="28" xfId="0" applyFont="1" applyFill="1" applyBorder="1" applyAlignment="1" applyProtection="1">
      <alignment horizontal="center" vertical="center" wrapText="1"/>
    </xf>
    <xf numFmtId="0" fontId="12" fillId="33" borderId="0" xfId="0" applyFont="1" applyFill="1" applyBorder="1" applyAlignment="1" applyProtection="1">
      <alignment horizontal="center"/>
    </xf>
    <xf numFmtId="0" fontId="12" fillId="33" borderId="0" xfId="0" applyFont="1" applyFill="1" applyAlignment="1" applyProtection="1">
      <alignment horizontal="center"/>
    </xf>
    <xf numFmtId="0" fontId="139" fillId="33" borderId="78" xfId="0" applyFont="1" applyFill="1" applyBorder="1" applyAlignment="1" applyProtection="1">
      <alignment horizontal="center" vertical="center"/>
      <protection locked="0"/>
    </xf>
    <xf numFmtId="0" fontId="178" fillId="2" borderId="27" xfId="0" applyFont="1" applyFill="1" applyBorder="1" applyAlignment="1" applyProtection="1">
      <alignment horizontal="center" vertical="center"/>
    </xf>
    <xf numFmtId="0" fontId="178" fillId="2" borderId="14" xfId="0" applyFont="1" applyFill="1" applyBorder="1" applyAlignment="1" applyProtection="1">
      <alignment horizontal="center" vertical="center"/>
    </xf>
    <xf numFmtId="0" fontId="178" fillId="2" borderId="24" xfId="0" applyFont="1" applyFill="1" applyBorder="1" applyAlignment="1" applyProtection="1">
      <alignment horizontal="center" vertical="center"/>
    </xf>
    <xf numFmtId="0" fontId="170" fillId="2" borderId="6" xfId="0" applyFont="1" applyFill="1" applyBorder="1" applyAlignment="1" applyProtection="1">
      <alignment horizontal="center" vertical="center"/>
    </xf>
    <xf numFmtId="0" fontId="170" fillId="2" borderId="7" xfId="0" applyFont="1" applyFill="1" applyBorder="1" applyAlignment="1" applyProtection="1">
      <alignment horizontal="center" vertical="center"/>
    </xf>
    <xf numFmtId="0" fontId="170" fillId="2" borderId="36" xfId="0" applyFont="1" applyFill="1" applyBorder="1" applyAlignment="1" applyProtection="1">
      <alignment horizontal="center" vertical="center"/>
    </xf>
    <xf numFmtId="0" fontId="86" fillId="33" borderId="82" xfId="0" applyFont="1" applyFill="1" applyBorder="1" applyAlignment="1" applyProtection="1">
      <alignment horizontal="left" vertical="center" wrapText="1"/>
      <protection locked="0"/>
    </xf>
    <xf numFmtId="0" fontId="86" fillId="33" borderId="83" xfId="0" applyFont="1" applyFill="1" applyBorder="1" applyAlignment="1" applyProtection="1">
      <alignment horizontal="left" vertical="center" wrapText="1"/>
      <protection locked="0"/>
    </xf>
    <xf numFmtId="0" fontId="86" fillId="33" borderId="84" xfId="0" applyFont="1" applyFill="1" applyBorder="1" applyAlignment="1" applyProtection="1">
      <alignment horizontal="left" vertical="center" wrapText="1"/>
      <protection locked="0"/>
    </xf>
    <xf numFmtId="0" fontId="86" fillId="33" borderId="30" xfId="0" applyFont="1" applyFill="1" applyBorder="1" applyAlignment="1" applyProtection="1">
      <alignment horizontal="left" vertical="center" wrapText="1"/>
      <protection locked="0"/>
    </xf>
    <xf numFmtId="0" fontId="86" fillId="33" borderId="19" xfId="0" applyFont="1" applyFill="1" applyBorder="1" applyAlignment="1" applyProtection="1">
      <alignment horizontal="left" vertical="center" wrapText="1"/>
      <protection locked="0"/>
    </xf>
    <xf numFmtId="0" fontId="86" fillId="33" borderId="28" xfId="0" applyFont="1" applyFill="1" applyBorder="1" applyAlignment="1" applyProtection="1">
      <alignment horizontal="left" vertical="center" wrapText="1"/>
      <protection locked="0"/>
    </xf>
    <xf numFmtId="0" fontId="133" fillId="2" borderId="79" xfId="0" applyFont="1" applyFill="1" applyBorder="1" applyAlignment="1" applyProtection="1">
      <alignment horizontal="center" vertical="distributed"/>
    </xf>
    <xf numFmtId="0" fontId="133" fillId="2" borderId="80" xfId="0" applyFont="1" applyFill="1" applyBorder="1" applyAlignment="1" applyProtection="1">
      <alignment horizontal="center" vertical="distributed"/>
    </xf>
    <xf numFmtId="0" fontId="133" fillId="2" borderId="81" xfId="0" applyFont="1" applyFill="1" applyBorder="1" applyAlignment="1" applyProtection="1">
      <alignment horizontal="center" vertical="distributed"/>
    </xf>
    <xf numFmtId="0" fontId="86" fillId="33" borderId="94" xfId="0" applyFont="1" applyFill="1" applyBorder="1" applyAlignment="1" applyProtection="1">
      <alignment horizontal="distributed" vertical="center"/>
      <protection locked="0"/>
    </xf>
    <xf numFmtId="0" fontId="86" fillId="33" borderId="104" xfId="0" applyFont="1" applyFill="1" applyBorder="1" applyAlignment="1" applyProtection="1">
      <alignment horizontal="distributed" vertical="center"/>
      <protection locked="0"/>
    </xf>
    <xf numFmtId="0" fontId="133" fillId="2" borderId="82" xfId="0" applyFont="1" applyFill="1" applyBorder="1" applyAlignment="1" applyProtection="1">
      <alignment horizontal="center" vertical="center"/>
    </xf>
    <xf numFmtId="0" fontId="133" fillId="2" borderId="83" xfId="0" applyFont="1" applyFill="1" applyBorder="1" applyAlignment="1" applyProtection="1">
      <alignment horizontal="center" vertical="center"/>
    </xf>
    <xf numFmtId="0" fontId="133" fillId="2" borderId="84" xfId="0" applyFont="1" applyFill="1" applyBorder="1" applyAlignment="1" applyProtection="1">
      <alignment horizontal="center" vertical="center"/>
    </xf>
    <xf numFmtId="0" fontId="133" fillId="2" borderId="30" xfId="0" applyFont="1" applyFill="1" applyBorder="1" applyAlignment="1" applyProtection="1">
      <alignment horizontal="center" vertical="center"/>
    </xf>
    <xf numFmtId="0" fontId="133" fillId="2" borderId="19" xfId="0" applyFont="1" applyFill="1" applyBorder="1" applyAlignment="1" applyProtection="1">
      <alignment horizontal="center" vertical="center"/>
    </xf>
    <xf numFmtId="0" fontId="133" fillId="2" borderId="28" xfId="0" applyFont="1" applyFill="1" applyBorder="1" applyAlignment="1" applyProtection="1">
      <alignment horizontal="center" vertical="center"/>
    </xf>
    <xf numFmtId="0" fontId="118" fillId="2" borderId="34" xfId="0" applyFont="1" applyFill="1" applyBorder="1" applyAlignment="1" applyProtection="1">
      <alignment horizontal="right" vertical="center" wrapText="1"/>
    </xf>
    <xf numFmtId="0" fontId="130" fillId="2" borderId="34" xfId="0" applyFont="1" applyFill="1" applyBorder="1" applyAlignment="1" applyProtection="1">
      <alignment horizontal="left" vertical="center"/>
    </xf>
    <xf numFmtId="0" fontId="130" fillId="2" borderId="0" xfId="0" applyFont="1" applyFill="1" applyBorder="1" applyAlignment="1" applyProtection="1">
      <alignment horizontal="left" vertical="center"/>
    </xf>
    <xf numFmtId="0" fontId="86" fillId="0" borderId="94" xfId="0" applyFont="1" applyBorder="1" applyAlignment="1" applyProtection="1">
      <alignment horizontal="center" vertical="center" wrapText="1"/>
      <protection locked="0"/>
    </xf>
    <xf numFmtId="0" fontId="86" fillId="0" borderId="106" xfId="0" applyFont="1" applyBorder="1" applyAlignment="1" applyProtection="1">
      <alignment horizontal="center" vertical="center" wrapText="1"/>
      <protection locked="0"/>
    </xf>
    <xf numFmtId="0" fontId="86" fillId="33" borderId="129" xfId="0" applyFont="1" applyFill="1" applyBorder="1" applyAlignment="1" applyProtection="1">
      <alignment horizontal="left" vertical="top" wrapText="1"/>
      <protection locked="0"/>
    </xf>
    <xf numFmtId="0" fontId="86" fillId="33" borderId="130" xfId="0" applyFont="1" applyFill="1" applyBorder="1" applyAlignment="1" applyProtection="1">
      <alignment horizontal="left" vertical="top" wrapText="1"/>
      <protection locked="0"/>
    </xf>
    <xf numFmtId="0" fontId="86" fillId="33" borderId="128" xfId="0" applyFont="1" applyFill="1" applyBorder="1" applyAlignment="1" applyProtection="1">
      <alignment horizontal="left" vertical="top" wrapText="1"/>
      <protection locked="0"/>
    </xf>
    <xf numFmtId="0" fontId="86" fillId="0" borderId="94" xfId="0" applyFont="1" applyBorder="1" applyAlignment="1" applyProtection="1">
      <alignment horizontal="left" vertical="center" wrapText="1"/>
      <protection locked="0"/>
    </xf>
    <xf numFmtId="0" fontId="86" fillId="0" borderId="104" xfId="0" applyFont="1" applyBorder="1" applyAlignment="1" applyProtection="1">
      <alignment horizontal="left" vertical="center" wrapText="1"/>
      <protection locked="0"/>
    </xf>
    <xf numFmtId="0" fontId="86" fillId="0" borderId="105" xfId="0" applyFont="1" applyBorder="1" applyAlignment="1" applyProtection="1">
      <alignment horizontal="left" vertical="center" wrapText="1"/>
      <protection locked="0"/>
    </xf>
    <xf numFmtId="0" fontId="86" fillId="0" borderId="94" xfId="0" applyFont="1" applyFill="1" applyBorder="1" applyAlignment="1" applyProtection="1">
      <alignment horizontal="left" vertical="center" wrapText="1"/>
      <protection locked="0"/>
    </xf>
    <xf numFmtId="0" fontId="86" fillId="0" borderId="105" xfId="0" applyFont="1" applyFill="1" applyBorder="1" applyAlignment="1" applyProtection="1">
      <alignment horizontal="left" vertical="center" wrapText="1"/>
      <protection locked="0"/>
    </xf>
    <xf numFmtId="0" fontId="86" fillId="0" borderId="104" xfId="0" applyFont="1" applyFill="1" applyBorder="1" applyAlignment="1" applyProtection="1">
      <alignment horizontal="left" vertical="center" wrapText="1"/>
      <protection locked="0"/>
    </xf>
    <xf numFmtId="0" fontId="86" fillId="0" borderId="94" xfId="0" applyNumberFormat="1" applyFont="1" applyBorder="1" applyAlignment="1" applyProtection="1">
      <alignment horizontal="left" vertical="center" wrapText="1"/>
      <protection locked="0"/>
    </xf>
    <xf numFmtId="0" fontId="86" fillId="0" borderId="104" xfId="0" applyNumberFormat="1" applyFont="1" applyBorder="1" applyAlignment="1" applyProtection="1">
      <alignment horizontal="left" vertical="center" wrapText="1"/>
      <protection locked="0"/>
    </xf>
    <xf numFmtId="0" fontId="86" fillId="0" borderId="105" xfId="0" applyNumberFormat="1" applyFont="1" applyBorder="1" applyAlignment="1" applyProtection="1">
      <alignment horizontal="left" vertical="center" wrapText="1"/>
      <protection locked="0"/>
    </xf>
    <xf numFmtId="0" fontId="86" fillId="0" borderId="94" xfId="0" applyNumberFormat="1" applyFont="1" applyFill="1" applyBorder="1" applyAlignment="1" applyProtection="1">
      <alignment horizontal="left" vertical="center" wrapText="1"/>
      <protection locked="0"/>
    </xf>
    <xf numFmtId="0" fontId="86" fillId="0" borderId="105" xfId="0" applyNumberFormat="1" applyFont="1" applyFill="1" applyBorder="1" applyAlignment="1" applyProtection="1">
      <alignment horizontal="left" vertical="center" wrapText="1"/>
      <protection locked="0"/>
    </xf>
    <xf numFmtId="0" fontId="86" fillId="0" borderId="104" xfId="0" applyNumberFormat="1" applyFont="1" applyFill="1" applyBorder="1" applyAlignment="1" applyProtection="1">
      <alignment horizontal="left" vertical="center" wrapText="1"/>
      <protection locked="0"/>
    </xf>
    <xf numFmtId="0" fontId="124" fillId="37" borderId="10" xfId="0" applyFont="1" applyFill="1" applyBorder="1" applyAlignment="1" applyProtection="1">
      <alignment horizontal="center" vertical="center" wrapText="1"/>
    </xf>
    <xf numFmtId="0" fontId="124" fillId="37" borderId="9" xfId="0" applyFont="1" applyFill="1" applyBorder="1" applyAlignment="1" applyProtection="1">
      <alignment horizontal="center" vertical="center" wrapText="1"/>
    </xf>
    <xf numFmtId="0" fontId="86" fillId="0" borderId="79" xfId="0" applyNumberFormat="1" applyFont="1" applyBorder="1" applyAlignment="1" applyProtection="1">
      <alignment horizontal="left" vertical="center" wrapText="1"/>
      <protection locked="0"/>
    </xf>
    <xf numFmtId="0" fontId="86" fillId="0" borderId="81" xfId="0" applyNumberFormat="1" applyFont="1" applyBorder="1" applyAlignment="1" applyProtection="1">
      <alignment horizontal="left" vertical="center" wrapText="1"/>
      <protection locked="0"/>
    </xf>
    <xf numFmtId="0" fontId="123" fillId="0" borderId="94" xfId="0" quotePrefix="1" applyNumberFormat="1" applyFont="1" applyFill="1" applyBorder="1" applyAlignment="1" applyProtection="1">
      <alignment horizontal="center" vertical="center" wrapText="1"/>
      <protection locked="0"/>
    </xf>
    <xf numFmtId="0" fontId="123" fillId="0" borderId="104" xfId="0" quotePrefix="1" applyNumberFormat="1" applyFont="1" applyFill="1" applyBorder="1" applyAlignment="1" applyProtection="1">
      <alignment horizontal="center" vertical="center" wrapText="1"/>
      <protection locked="0"/>
    </xf>
    <xf numFmtId="0" fontId="86" fillId="33" borderId="94" xfId="0" applyNumberFormat="1" applyFont="1" applyFill="1" applyBorder="1" applyAlignment="1" applyProtection="1">
      <alignment horizontal="distributed" vertical="center"/>
      <protection locked="0"/>
    </xf>
    <xf numFmtId="0" fontId="86" fillId="33" borderId="104" xfId="0" applyNumberFormat="1" applyFont="1" applyFill="1" applyBorder="1" applyAlignment="1" applyProtection="1">
      <alignment horizontal="distributed" vertical="center"/>
      <protection locked="0"/>
    </xf>
    <xf numFmtId="0" fontId="86" fillId="0" borderId="94" xfId="0" applyNumberFormat="1" applyFont="1" applyBorder="1" applyAlignment="1" applyProtection="1">
      <alignment horizontal="center" vertical="center" wrapText="1"/>
      <protection locked="0"/>
    </xf>
    <xf numFmtId="0" fontId="86" fillId="0" borderId="106" xfId="0" applyNumberFormat="1" applyFont="1" applyBorder="1" applyAlignment="1" applyProtection="1">
      <alignment horizontal="center" vertical="center" wrapText="1"/>
      <protection locked="0"/>
    </xf>
    <xf numFmtId="0" fontId="130" fillId="2" borderId="6" xfId="0" applyFont="1" applyFill="1" applyBorder="1" applyAlignment="1" applyProtection="1">
      <alignment horizontal="left" vertical="center" textRotation="90"/>
    </xf>
    <xf numFmtId="0" fontId="130" fillId="2" borderId="4" xfId="0" applyFont="1" applyFill="1" applyBorder="1" applyAlignment="1" applyProtection="1">
      <alignment horizontal="left" vertical="center" textRotation="90"/>
    </xf>
    <xf numFmtId="0" fontId="130" fillId="2" borderId="3" xfId="0" applyFont="1" applyFill="1" applyBorder="1" applyAlignment="1" applyProtection="1">
      <alignment horizontal="left" vertical="center" textRotation="90"/>
    </xf>
    <xf numFmtId="0" fontId="102" fillId="32" borderId="65" xfId="0" applyFont="1" applyFill="1" applyBorder="1" applyAlignment="1" applyProtection="1">
      <alignment horizontal="center" vertical="center"/>
    </xf>
    <xf numFmtId="0" fontId="102" fillId="32" borderId="67" xfId="0" applyFont="1" applyFill="1" applyBorder="1" applyAlignment="1" applyProtection="1">
      <alignment horizontal="center" vertical="center"/>
    </xf>
    <xf numFmtId="0" fontId="121" fillId="33" borderId="65" xfId="0" applyNumberFormat="1" applyFont="1" applyFill="1" applyBorder="1" applyAlignment="1" applyProtection="1">
      <alignment horizontal="right" vertical="center"/>
    </xf>
    <xf numFmtId="0" fontId="121" fillId="33" borderId="66" xfId="0" applyNumberFormat="1" applyFont="1" applyFill="1" applyBorder="1" applyAlignment="1" applyProtection="1">
      <alignment horizontal="right" vertical="center"/>
    </xf>
    <xf numFmtId="0" fontId="102" fillId="3" borderId="65" xfId="0" applyFont="1" applyFill="1" applyBorder="1" applyAlignment="1" applyProtection="1">
      <alignment horizontal="center" vertical="center" wrapText="1"/>
    </xf>
    <xf numFmtId="0" fontId="102" fillId="3" borderId="66" xfId="0" applyFont="1" applyFill="1" applyBorder="1" applyAlignment="1" applyProtection="1">
      <alignment horizontal="center" vertical="center" wrapText="1"/>
    </xf>
    <xf numFmtId="0" fontId="102" fillId="3" borderId="67" xfId="0" applyFont="1" applyFill="1" applyBorder="1" applyAlignment="1" applyProtection="1">
      <alignment horizontal="center" vertical="center" wrapText="1"/>
    </xf>
    <xf numFmtId="0" fontId="93" fillId="0" borderId="0" xfId="0" applyFont="1" applyBorder="1" applyAlignment="1" applyProtection="1">
      <alignment horizontal="left" vertical="top"/>
      <protection locked="0"/>
    </xf>
    <xf numFmtId="0" fontId="93" fillId="0" borderId="5" xfId="0" applyFont="1" applyBorder="1" applyAlignment="1" applyProtection="1">
      <alignment horizontal="left" vertical="top"/>
      <protection locked="0"/>
    </xf>
    <xf numFmtId="0" fontId="93" fillId="0" borderId="2" xfId="0" applyFont="1" applyBorder="1" applyAlignment="1" applyProtection="1">
      <alignment horizontal="left" vertical="top"/>
      <protection locked="0"/>
    </xf>
    <xf numFmtId="0" fontId="93" fillId="0" borderId="1" xfId="0" applyFont="1" applyBorder="1" applyAlignment="1" applyProtection="1">
      <alignment horizontal="left" vertical="top"/>
      <protection locked="0"/>
    </xf>
    <xf numFmtId="0" fontId="93" fillId="33" borderId="0" xfId="0" applyFont="1" applyFill="1" applyBorder="1" applyAlignment="1" applyProtection="1">
      <alignment horizontal="left" vertical="top"/>
      <protection locked="0"/>
    </xf>
    <xf numFmtId="0" fontId="93" fillId="33" borderId="5" xfId="0" applyFont="1" applyFill="1" applyBorder="1" applyAlignment="1" applyProtection="1">
      <alignment horizontal="left" vertical="top"/>
      <protection locked="0"/>
    </xf>
    <xf numFmtId="0" fontId="93" fillId="33" borderId="2" xfId="0" applyFont="1" applyFill="1" applyBorder="1" applyAlignment="1" applyProtection="1">
      <alignment horizontal="left" vertical="top"/>
      <protection locked="0"/>
    </xf>
    <xf numFmtId="0" fontId="93" fillId="33" borderId="1" xfId="0" applyFont="1" applyFill="1" applyBorder="1" applyAlignment="1" applyProtection="1">
      <alignment horizontal="left" vertical="top"/>
      <protection locked="0"/>
    </xf>
    <xf numFmtId="0" fontId="130" fillId="33" borderId="0" xfId="0" applyFont="1" applyFill="1" applyBorder="1" applyAlignment="1" applyProtection="1">
      <alignment horizontal="center" vertical="center"/>
    </xf>
    <xf numFmtId="0" fontId="130" fillId="33" borderId="2" xfId="0" applyFont="1" applyFill="1" applyBorder="1" applyAlignment="1" applyProtection="1">
      <alignment horizontal="center" vertical="center"/>
    </xf>
    <xf numFmtId="0" fontId="130" fillId="2" borderId="4" xfId="0" applyFont="1" applyFill="1" applyBorder="1" applyAlignment="1" applyProtection="1">
      <alignment horizontal="center" vertical="center" textRotation="90"/>
    </xf>
    <xf numFmtId="0" fontId="130" fillId="2" borderId="3" xfId="0" applyFont="1" applyFill="1" applyBorder="1" applyAlignment="1" applyProtection="1">
      <alignment horizontal="center" vertical="center" textRotation="90"/>
    </xf>
    <xf numFmtId="0" fontId="90" fillId="34" borderId="0" xfId="0" applyFont="1" applyFill="1" applyBorder="1" applyAlignment="1" applyProtection="1">
      <alignment horizontal="center"/>
      <protection locked="0"/>
    </xf>
    <xf numFmtId="0" fontId="90" fillId="35" borderId="0" xfId="0" applyFont="1" applyFill="1" applyBorder="1" applyAlignment="1" applyProtection="1">
      <alignment horizontal="center"/>
      <protection locked="0"/>
    </xf>
    <xf numFmtId="0" fontId="90" fillId="35" borderId="5" xfId="0" applyFont="1" applyFill="1" applyBorder="1" applyAlignment="1" applyProtection="1">
      <alignment horizontal="center"/>
      <protection locked="0"/>
    </xf>
    <xf numFmtId="0" fontId="130" fillId="34" borderId="7" xfId="0" applyFont="1" applyFill="1" applyBorder="1" applyAlignment="1" applyProtection="1">
      <alignment horizontal="center" vertical="top"/>
    </xf>
    <xf numFmtId="0" fontId="130" fillId="35" borderId="7" xfId="0" applyFont="1" applyFill="1" applyBorder="1" applyAlignment="1" applyProtection="1">
      <alignment horizontal="center" vertical="top"/>
    </xf>
    <xf numFmtId="0" fontId="130" fillId="35" borderId="8" xfId="0" applyFont="1" applyFill="1" applyBorder="1" applyAlignment="1" applyProtection="1">
      <alignment horizontal="center" vertical="top"/>
    </xf>
    <xf numFmtId="0" fontId="130" fillId="34" borderId="7" xfId="0" applyFont="1" applyFill="1" applyBorder="1" applyAlignment="1" applyProtection="1">
      <alignment horizontal="center" vertical="top"/>
      <protection locked="0"/>
    </xf>
    <xf numFmtId="0" fontId="130" fillId="35" borderId="7" xfId="0" applyFont="1" applyFill="1" applyBorder="1" applyAlignment="1" applyProtection="1">
      <alignment horizontal="center" vertical="top"/>
      <protection locked="0"/>
    </xf>
    <xf numFmtId="0" fontId="130" fillId="35" borderId="8" xfId="0" applyFont="1" applyFill="1" applyBorder="1" applyAlignment="1" applyProtection="1">
      <alignment horizontal="center" vertical="top"/>
      <protection locked="0"/>
    </xf>
    <xf numFmtId="0" fontId="96" fillId="2" borderId="0" xfId="0" applyFont="1" applyFill="1" applyBorder="1" applyAlignment="1" applyProtection="1">
      <alignment horizontal="right" vertical="top"/>
    </xf>
    <xf numFmtId="0" fontId="100" fillId="2" borderId="0" xfId="0" applyFont="1" applyFill="1" applyBorder="1" applyAlignment="1" applyProtection="1">
      <alignment horizontal="right" vertical="center"/>
    </xf>
    <xf numFmtId="0" fontId="100" fillId="2" borderId="26" xfId="0" applyFont="1" applyFill="1" applyBorder="1" applyAlignment="1" applyProtection="1">
      <alignment horizontal="right" vertical="center"/>
    </xf>
    <xf numFmtId="0" fontId="102" fillId="32" borderId="66" xfId="0" applyFont="1" applyFill="1" applyBorder="1" applyAlignment="1" applyProtection="1">
      <alignment horizontal="center" vertical="center"/>
    </xf>
    <xf numFmtId="0" fontId="121" fillId="33" borderId="65" xfId="0" applyFont="1" applyFill="1" applyBorder="1" applyAlignment="1" applyProtection="1">
      <alignment horizontal="center" vertical="center"/>
    </xf>
    <xf numFmtId="0" fontId="121" fillId="33" borderId="66" xfId="0" applyFont="1" applyFill="1" applyBorder="1" applyAlignment="1" applyProtection="1">
      <alignment horizontal="center" vertical="center"/>
    </xf>
    <xf numFmtId="182" fontId="93" fillId="33" borderId="31" xfId="0" applyNumberFormat="1" applyFont="1" applyFill="1" applyBorder="1" applyAlignment="1" applyProtection="1">
      <alignment horizontal="center" vertical="center"/>
      <protection locked="0"/>
    </xf>
    <xf numFmtId="182" fontId="93" fillId="33" borderId="16" xfId="0" applyNumberFormat="1" applyFont="1" applyFill="1" applyBorder="1" applyAlignment="1" applyProtection="1">
      <alignment horizontal="center" vertical="center"/>
      <protection locked="0"/>
    </xf>
    <xf numFmtId="182" fontId="93" fillId="33" borderId="33" xfId="0" applyNumberFormat="1" applyFont="1" applyFill="1" applyBorder="1" applyAlignment="1" applyProtection="1">
      <alignment horizontal="center" vertical="center"/>
      <protection locked="0"/>
    </xf>
    <xf numFmtId="0" fontId="118" fillId="37" borderId="79" xfId="0" applyFont="1" applyFill="1" applyBorder="1" applyAlignment="1" applyProtection="1">
      <alignment horizontal="center" vertical="distributed"/>
    </xf>
    <xf numFmtId="0" fontId="118" fillId="37" borderId="80" xfId="0" applyFont="1" applyFill="1" applyBorder="1" applyAlignment="1" applyProtection="1">
      <alignment horizontal="center" vertical="distributed"/>
    </xf>
    <xf numFmtId="0" fontId="118" fillId="37" borderId="81" xfId="0" applyFont="1" applyFill="1" applyBorder="1" applyAlignment="1" applyProtection="1">
      <alignment horizontal="center" vertical="distributed"/>
    </xf>
    <xf numFmtId="0" fontId="139" fillId="0" borderId="82" xfId="0" applyFont="1" applyFill="1" applyBorder="1" applyAlignment="1" applyProtection="1">
      <alignment horizontal="left" vertical="top"/>
      <protection locked="0"/>
    </xf>
    <xf numFmtId="0" fontId="139" fillId="0" borderId="83" xfId="0" applyFont="1" applyFill="1" applyBorder="1" applyAlignment="1" applyProtection="1">
      <alignment horizontal="left" vertical="top"/>
      <protection locked="0"/>
    </xf>
    <xf numFmtId="0" fontId="139" fillId="0" borderId="84" xfId="0" applyFont="1" applyFill="1" applyBorder="1" applyAlignment="1" applyProtection="1">
      <alignment horizontal="left" vertical="top"/>
      <protection locked="0"/>
    </xf>
    <xf numFmtId="0" fontId="139" fillId="0" borderId="34" xfId="0" applyFont="1" applyFill="1" applyBorder="1" applyAlignment="1" applyProtection="1">
      <alignment horizontal="left" vertical="top"/>
      <protection locked="0"/>
    </xf>
    <xf numFmtId="0" fontId="139" fillId="0" borderId="0" xfId="0" applyFont="1" applyFill="1" applyBorder="1" applyAlignment="1" applyProtection="1">
      <alignment horizontal="left" vertical="top"/>
      <protection locked="0"/>
    </xf>
    <xf numFmtId="0" fontId="139" fillId="0" borderId="26" xfId="0" applyFont="1" applyFill="1" applyBorder="1" applyAlignment="1" applyProtection="1">
      <alignment horizontal="left" vertical="top"/>
      <protection locked="0"/>
    </xf>
    <xf numFmtId="0" fontId="139" fillId="0" borderId="30" xfId="0" applyFont="1" applyFill="1" applyBorder="1" applyAlignment="1" applyProtection="1">
      <alignment horizontal="left" vertical="top"/>
      <protection locked="0"/>
    </xf>
    <xf numFmtId="0" fontId="139" fillId="0" borderId="19" xfId="0" applyFont="1" applyFill="1" applyBorder="1" applyAlignment="1" applyProtection="1">
      <alignment horizontal="left" vertical="top"/>
      <protection locked="0"/>
    </xf>
    <xf numFmtId="0" fontId="139" fillId="0" borderId="28" xfId="0" applyFont="1" applyFill="1" applyBorder="1" applyAlignment="1" applyProtection="1">
      <alignment horizontal="left" vertical="top"/>
      <protection locked="0"/>
    </xf>
    <xf numFmtId="49" fontId="93" fillId="33" borderId="31" xfId="0" applyNumberFormat="1" applyFont="1" applyFill="1" applyBorder="1" applyAlignment="1" applyProtection="1">
      <alignment horizontal="center" vertical="center" wrapText="1"/>
      <protection locked="0"/>
    </xf>
    <xf numFmtId="0" fontId="192" fillId="37" borderId="9" xfId="0" applyFont="1" applyFill="1" applyBorder="1" applyAlignment="1" applyProtection="1">
      <alignment horizontal="distributed" vertical="center"/>
    </xf>
    <xf numFmtId="0" fontId="98" fillId="37" borderId="31" xfId="0" applyFont="1" applyFill="1" applyBorder="1" applyAlignment="1" applyProtection="1">
      <alignment horizontal="center" vertical="center"/>
    </xf>
    <xf numFmtId="0" fontId="98" fillId="37" borderId="16" xfId="0" applyFont="1" applyFill="1" applyBorder="1" applyAlignment="1" applyProtection="1">
      <alignment horizontal="center" vertical="center"/>
    </xf>
    <xf numFmtId="0" fontId="98" fillId="37" borderId="33" xfId="0" applyFont="1" applyFill="1" applyBorder="1" applyAlignment="1" applyProtection="1">
      <alignment horizontal="center" vertical="center"/>
    </xf>
    <xf numFmtId="0" fontId="100" fillId="37" borderId="79" xfId="0" applyFont="1" applyFill="1" applyBorder="1" applyAlignment="1" applyProtection="1">
      <alignment horizontal="center" vertical="center"/>
    </xf>
    <xf numFmtId="0" fontId="100" fillId="37" borderId="80" xfId="0" applyFont="1" applyFill="1" applyBorder="1" applyAlignment="1" applyProtection="1">
      <alignment horizontal="center" vertical="center"/>
    </xf>
    <xf numFmtId="0" fontId="100" fillId="37" borderId="81" xfId="0" applyFont="1" applyFill="1" applyBorder="1" applyAlignment="1" applyProtection="1">
      <alignment horizontal="center" vertical="center"/>
    </xf>
    <xf numFmtId="0" fontId="113" fillId="33" borderId="9" xfId="0" applyFont="1" applyFill="1" applyBorder="1" applyAlignment="1" applyProtection="1">
      <alignment horizontal="distributed" vertical="center"/>
      <protection locked="0"/>
    </xf>
    <xf numFmtId="0" fontId="90" fillId="33" borderId="79" xfId="0" applyFont="1" applyFill="1" applyBorder="1" applyAlignment="1" applyProtection="1">
      <alignment horizontal="center" vertical="center"/>
      <protection locked="0"/>
    </xf>
    <xf numFmtId="0" fontId="90" fillId="33" borderId="81" xfId="0" applyFont="1" applyFill="1" applyBorder="1" applyAlignment="1" applyProtection="1">
      <alignment horizontal="center" vertical="center"/>
      <protection locked="0"/>
    </xf>
    <xf numFmtId="14" fontId="93" fillId="33" borderId="9" xfId="0" applyNumberFormat="1" applyFont="1" applyFill="1" applyBorder="1" applyAlignment="1" applyProtection="1">
      <alignment horizontal="center" vertical="center"/>
      <protection locked="0"/>
    </xf>
    <xf numFmtId="0" fontId="98" fillId="37" borderId="31" xfId="0" applyFont="1" applyFill="1" applyBorder="1" applyAlignment="1" applyProtection="1">
      <alignment horizontal="center" vertical="center" wrapText="1"/>
    </xf>
    <xf numFmtId="0" fontId="98" fillId="37" borderId="16" xfId="0" applyFont="1" applyFill="1" applyBorder="1" applyAlignment="1" applyProtection="1">
      <alignment horizontal="center" vertical="center" wrapText="1"/>
    </xf>
    <xf numFmtId="0" fontId="98" fillId="37" borderId="33" xfId="0" applyFont="1" applyFill="1" applyBorder="1" applyAlignment="1" applyProtection="1">
      <alignment horizontal="center" vertical="center" wrapText="1"/>
    </xf>
    <xf numFmtId="182" fontId="90" fillId="33" borderId="79" xfId="0" applyNumberFormat="1" applyFont="1" applyFill="1" applyBorder="1" applyAlignment="1" applyProtection="1">
      <alignment horizontal="center" vertical="center"/>
      <protection locked="0"/>
    </xf>
    <xf numFmtId="182" fontId="90" fillId="33" borderId="80" xfId="0" applyNumberFormat="1" applyFont="1" applyFill="1" applyBorder="1" applyAlignment="1" applyProtection="1">
      <alignment horizontal="center" vertical="center"/>
      <protection locked="0"/>
    </xf>
    <xf numFmtId="182" fontId="90" fillId="33" borderId="81" xfId="0" applyNumberFormat="1" applyFont="1" applyFill="1" applyBorder="1" applyAlignment="1" applyProtection="1">
      <alignment horizontal="center" vertical="center"/>
      <protection locked="0"/>
    </xf>
    <xf numFmtId="0" fontId="98" fillId="37" borderId="29" xfId="0" applyFont="1" applyFill="1" applyBorder="1" applyAlignment="1" applyProtection="1">
      <alignment horizontal="center" vertical="center"/>
    </xf>
    <xf numFmtId="0" fontId="98" fillId="37" borderId="21" xfId="0" applyFont="1" applyFill="1" applyBorder="1" applyAlignment="1" applyProtection="1">
      <alignment horizontal="center" vertical="center"/>
    </xf>
    <xf numFmtId="0" fontId="98" fillId="37" borderId="25" xfId="0" applyFont="1" applyFill="1" applyBorder="1" applyAlignment="1" applyProtection="1">
      <alignment horizontal="center" vertical="center"/>
    </xf>
    <xf numFmtId="0" fontId="98" fillId="33" borderId="0" xfId="0" applyFont="1" applyFill="1" applyBorder="1" applyAlignment="1" applyProtection="1">
      <alignment horizontal="center" vertical="center"/>
    </xf>
    <xf numFmtId="0" fontId="149" fillId="33" borderId="19" xfId="1" applyFont="1" applyFill="1" applyBorder="1" applyAlignment="1" applyProtection="1">
      <alignment horizontal="center" vertical="center"/>
    </xf>
    <xf numFmtId="0" fontId="149" fillId="33" borderId="28" xfId="1" applyFont="1" applyFill="1" applyBorder="1" applyAlignment="1" applyProtection="1">
      <alignment horizontal="center" vertical="center"/>
    </xf>
    <xf numFmtId="0" fontId="93" fillId="33" borderId="29" xfId="0" applyFont="1" applyFill="1" applyBorder="1" applyAlignment="1" applyProtection="1">
      <alignment horizontal="center" vertical="center"/>
      <protection locked="0"/>
    </xf>
    <xf numFmtId="0" fontId="93" fillId="33" borderId="21" xfId="0" applyFont="1" applyFill="1" applyBorder="1" applyAlignment="1" applyProtection="1">
      <alignment horizontal="center" vertical="center"/>
      <protection locked="0"/>
    </xf>
    <xf numFmtId="0" fontId="93" fillId="33" borderId="25" xfId="0" applyFont="1" applyFill="1" applyBorder="1" applyAlignment="1" applyProtection="1">
      <alignment horizontal="center" vertical="center"/>
      <protection locked="0"/>
    </xf>
    <xf numFmtId="0" fontId="98" fillId="37" borderId="79" xfId="0" applyFont="1" applyFill="1" applyBorder="1" applyAlignment="1" applyProtection="1">
      <alignment horizontal="center" vertical="center"/>
    </xf>
    <xf numFmtId="0" fontId="98" fillId="37" borderId="80" xfId="0" applyFont="1" applyFill="1" applyBorder="1" applyAlignment="1" applyProtection="1">
      <alignment horizontal="center" vertical="center"/>
    </xf>
    <xf numFmtId="0" fontId="98" fillId="37" borderId="81" xfId="0" applyFont="1" applyFill="1" applyBorder="1" applyAlignment="1" applyProtection="1">
      <alignment horizontal="center" vertical="center"/>
    </xf>
    <xf numFmtId="0" fontId="95" fillId="37" borderId="79" xfId="0" applyFont="1" applyFill="1" applyBorder="1" applyAlignment="1" applyProtection="1">
      <alignment horizontal="center" vertical="center"/>
    </xf>
    <xf numFmtId="0" fontId="95" fillId="37" borderId="80" xfId="0" applyFont="1" applyFill="1" applyBorder="1" applyAlignment="1" applyProtection="1">
      <alignment horizontal="center" vertical="center"/>
    </xf>
    <xf numFmtId="0" fontId="95" fillId="37" borderId="81" xfId="0" applyFont="1" applyFill="1" applyBorder="1" applyAlignment="1" applyProtection="1">
      <alignment horizontal="center" vertical="center"/>
    </xf>
    <xf numFmtId="0" fontId="98" fillId="37" borderId="9" xfId="0" applyFont="1" applyFill="1" applyBorder="1" applyAlignment="1" applyProtection="1">
      <alignment horizontal="center" vertical="center"/>
    </xf>
    <xf numFmtId="0" fontId="93" fillId="33" borderId="31" xfId="0" applyFont="1" applyFill="1" applyBorder="1" applyAlignment="1" applyProtection="1">
      <alignment horizontal="left" vertical="center" wrapText="1"/>
      <protection locked="0"/>
    </xf>
    <xf numFmtId="0" fontId="93" fillId="33" borderId="16" xfId="0" applyFont="1" applyFill="1" applyBorder="1" applyAlignment="1" applyProtection="1">
      <alignment horizontal="left" vertical="center"/>
      <protection locked="0"/>
    </xf>
    <xf numFmtId="0" fontId="93" fillId="33" borderId="33" xfId="0" applyFont="1" applyFill="1" applyBorder="1" applyAlignment="1" applyProtection="1">
      <alignment horizontal="left" vertical="center"/>
      <protection locked="0"/>
    </xf>
    <xf numFmtId="0" fontId="93" fillId="33" borderId="31" xfId="0" applyFont="1" applyFill="1" applyBorder="1" applyAlignment="1" applyProtection="1">
      <alignment horizontal="left" vertical="center"/>
      <protection locked="0"/>
    </xf>
    <xf numFmtId="0" fontId="98" fillId="33" borderId="0" xfId="0" applyFont="1" applyFill="1" applyBorder="1" applyAlignment="1" applyProtection="1">
      <alignment horizontal="right" vertical="center"/>
    </xf>
    <xf numFmtId="0" fontId="96" fillId="2" borderId="0" xfId="0" applyFont="1" applyFill="1" applyBorder="1" applyAlignment="1" applyProtection="1">
      <alignment horizontal="right" vertical="center"/>
    </xf>
    <xf numFmtId="179" fontId="122" fillId="0" borderId="0" xfId="0" applyNumberFormat="1" applyFont="1" applyFill="1" applyBorder="1" applyAlignment="1" applyProtection="1">
      <alignment horizontal="left" vertical="top" wrapText="1"/>
    </xf>
    <xf numFmtId="0" fontId="95" fillId="37" borderId="85" xfId="0" applyFont="1" applyFill="1" applyBorder="1" applyAlignment="1" applyProtection="1">
      <alignment horizontal="center" vertical="center" textRotation="90"/>
    </xf>
    <xf numFmtId="0" fontId="95" fillId="37" borderId="64" xfId="0" applyFont="1" applyFill="1" applyBorder="1" applyAlignment="1" applyProtection="1">
      <alignment horizontal="center" vertical="center" textRotation="90"/>
    </xf>
    <xf numFmtId="0" fontId="95" fillId="37" borderId="76" xfId="0" applyFont="1" applyFill="1" applyBorder="1" applyAlignment="1" applyProtection="1">
      <alignment horizontal="center" vertical="center" textRotation="90"/>
    </xf>
    <xf numFmtId="0" fontId="113" fillId="0" borderId="0" xfId="0" applyFont="1" applyFill="1" applyBorder="1" applyAlignment="1" applyProtection="1">
      <alignment horizontal="center" vertical="center"/>
    </xf>
    <xf numFmtId="0" fontId="93" fillId="33" borderId="79" xfId="0" applyFont="1" applyFill="1" applyBorder="1" applyAlignment="1" applyProtection="1">
      <alignment horizontal="center" vertical="center" wrapText="1"/>
      <protection locked="0"/>
    </xf>
    <xf numFmtId="0" fontId="93" fillId="33" borderId="80" xfId="0" applyFont="1" applyFill="1" applyBorder="1" applyAlignment="1" applyProtection="1">
      <alignment horizontal="center" vertical="center" wrapText="1"/>
      <protection locked="0"/>
    </xf>
    <xf numFmtId="0" fontId="93" fillId="33" borderId="81" xfId="0" applyFont="1" applyFill="1" applyBorder="1" applyAlignment="1" applyProtection="1">
      <alignment horizontal="center" vertical="center" wrapText="1"/>
      <protection locked="0"/>
    </xf>
    <xf numFmtId="0" fontId="111" fillId="2" borderId="4" xfId="0" applyFont="1" applyFill="1" applyBorder="1" applyAlignment="1" applyProtection="1">
      <alignment horizontal="left" vertical="center" textRotation="90"/>
    </xf>
    <xf numFmtId="0" fontId="100" fillId="37" borderId="31" xfId="0" applyFont="1" applyFill="1" applyBorder="1" applyAlignment="1" applyProtection="1">
      <alignment horizontal="center" vertical="center"/>
    </xf>
    <xf numFmtId="0" fontId="100" fillId="37" borderId="16" xfId="0" applyFont="1" applyFill="1" applyBorder="1" applyAlignment="1" applyProtection="1">
      <alignment horizontal="center" vertical="center"/>
    </xf>
    <xf numFmtId="0" fontId="93" fillId="33" borderId="82" xfId="0" applyFont="1" applyFill="1" applyBorder="1" applyAlignment="1" applyProtection="1">
      <alignment horizontal="left" vertical="top"/>
      <protection locked="0"/>
    </xf>
    <xf numFmtId="0" fontId="93" fillId="33" borderId="83" xfId="0" applyFont="1" applyFill="1" applyBorder="1" applyAlignment="1" applyProtection="1">
      <alignment horizontal="left" vertical="top"/>
      <protection locked="0"/>
    </xf>
    <xf numFmtId="0" fontId="93" fillId="33" borderId="84" xfId="0" applyFont="1" applyFill="1" applyBorder="1" applyAlignment="1" applyProtection="1">
      <alignment horizontal="left" vertical="top"/>
      <protection locked="0"/>
    </xf>
    <xf numFmtId="0" fontId="93" fillId="33" borderId="34" xfId="0" applyFont="1" applyFill="1" applyBorder="1" applyAlignment="1" applyProtection="1">
      <alignment horizontal="left" vertical="top"/>
      <protection locked="0"/>
    </xf>
    <xf numFmtId="0" fontId="93" fillId="33" borderId="26" xfId="0" applyFont="1" applyFill="1" applyBorder="1" applyAlignment="1" applyProtection="1">
      <alignment horizontal="left" vertical="top"/>
      <protection locked="0"/>
    </xf>
    <xf numFmtId="0" fontId="93" fillId="33" borderId="30" xfId="0" applyFont="1" applyFill="1" applyBorder="1" applyAlignment="1" applyProtection="1">
      <alignment horizontal="left" vertical="top"/>
      <protection locked="0"/>
    </xf>
    <xf numFmtId="0" fontId="93" fillId="33" borderId="19" xfId="0" applyFont="1" applyFill="1" applyBorder="1" applyAlignment="1" applyProtection="1">
      <alignment horizontal="left" vertical="top"/>
      <protection locked="0"/>
    </xf>
    <xf numFmtId="0" fontId="93" fillId="33" borderId="28" xfId="0" applyFont="1" applyFill="1" applyBorder="1" applyAlignment="1" applyProtection="1">
      <alignment horizontal="left" vertical="top"/>
      <protection locked="0"/>
    </xf>
    <xf numFmtId="0" fontId="93" fillId="0" borderId="31" xfId="0" applyFont="1" applyFill="1" applyBorder="1" applyAlignment="1" applyProtection="1">
      <alignment horizontal="left" vertical="center"/>
      <protection locked="0"/>
    </xf>
    <xf numFmtId="0" fontId="93" fillId="0" borderId="16" xfId="0" applyFont="1" applyFill="1" applyBorder="1" applyAlignment="1" applyProtection="1">
      <alignment horizontal="left" vertical="center"/>
      <protection locked="0"/>
    </xf>
    <xf numFmtId="0" fontId="93" fillId="0" borderId="33" xfId="0" applyFont="1" applyFill="1" applyBorder="1" applyAlignment="1" applyProtection="1">
      <alignment horizontal="left" vertical="center"/>
      <protection locked="0"/>
    </xf>
    <xf numFmtId="0" fontId="25" fillId="0" borderId="0" xfId="0" applyFont="1" applyFill="1" applyBorder="1" applyAlignment="1" applyProtection="1">
      <alignment horizontal="center" vertical="center"/>
    </xf>
    <xf numFmtId="182" fontId="113" fillId="0" borderId="0" xfId="0" applyNumberFormat="1" applyFont="1" applyFill="1" applyBorder="1" applyAlignment="1" applyProtection="1">
      <alignment horizontal="center" vertical="center"/>
    </xf>
    <xf numFmtId="0" fontId="100" fillId="37" borderId="9" xfId="0" applyFont="1" applyFill="1" applyBorder="1" applyAlignment="1" applyProtection="1">
      <alignment horizontal="center" vertical="center"/>
    </xf>
    <xf numFmtId="0" fontId="92" fillId="33" borderId="0" xfId="0" applyFont="1" applyFill="1" applyBorder="1" applyAlignment="1" applyProtection="1">
      <alignment horizontal="center" vertical="center"/>
    </xf>
    <xf numFmtId="0" fontId="92" fillId="33" borderId="0" xfId="0" applyFont="1" applyFill="1" applyBorder="1" applyAlignment="1" applyProtection="1">
      <alignment horizontal="left" vertical="center"/>
    </xf>
    <xf numFmtId="0" fontId="98" fillId="33" borderId="26" xfId="0" applyFont="1" applyFill="1" applyBorder="1" applyAlignment="1" applyProtection="1">
      <alignment horizontal="right" vertical="center"/>
    </xf>
    <xf numFmtId="0" fontId="98" fillId="33" borderId="34" xfId="0" applyFont="1" applyFill="1" applyBorder="1" applyAlignment="1" applyProtection="1">
      <alignment horizontal="right" vertical="center"/>
    </xf>
    <xf numFmtId="0" fontId="96" fillId="33" borderId="0" xfId="0" applyFont="1" applyFill="1" applyBorder="1" applyAlignment="1" applyProtection="1">
      <alignment horizontal="right" vertical="center"/>
    </xf>
    <xf numFmtId="0" fontId="93" fillId="0" borderId="9" xfId="0" applyFont="1" applyFill="1" applyBorder="1" applyAlignment="1" applyProtection="1">
      <alignment horizontal="center" vertical="center"/>
      <protection locked="0"/>
    </xf>
    <xf numFmtId="0" fontId="100" fillId="33" borderId="19" xfId="0" applyFont="1" applyFill="1" applyBorder="1" applyAlignment="1" applyProtection="1">
      <alignment horizontal="right" vertical="center"/>
    </xf>
    <xf numFmtId="0" fontId="93" fillId="4" borderId="79" xfId="0" applyNumberFormat="1" applyFont="1" applyFill="1" applyBorder="1" applyAlignment="1" applyProtection="1">
      <alignment horizontal="center" vertical="center"/>
    </xf>
    <xf numFmtId="0" fontId="93" fillId="4" borderId="80" xfId="0" applyNumberFormat="1" applyFont="1" applyFill="1" applyBorder="1" applyAlignment="1" applyProtection="1">
      <alignment horizontal="center" vertical="center"/>
    </xf>
    <xf numFmtId="0" fontId="93" fillId="4" borderId="81" xfId="0" applyNumberFormat="1" applyFont="1" applyFill="1" applyBorder="1" applyAlignment="1" applyProtection="1">
      <alignment horizontal="center" vertical="center"/>
    </xf>
    <xf numFmtId="0" fontId="90" fillId="33" borderId="79" xfId="0" applyFont="1" applyFill="1" applyBorder="1" applyAlignment="1" applyProtection="1">
      <alignment horizontal="center" vertical="center"/>
    </xf>
    <xf numFmtId="0" fontId="90" fillId="33" borderId="80" xfId="0" applyFont="1" applyFill="1" applyBorder="1" applyAlignment="1" applyProtection="1">
      <alignment horizontal="center" vertical="center"/>
    </xf>
    <xf numFmtId="0" fontId="90" fillId="33" borderId="81" xfId="0" applyFont="1" applyFill="1" applyBorder="1" applyAlignment="1" applyProtection="1">
      <alignment horizontal="center" vertical="center"/>
    </xf>
    <xf numFmtId="182" fontId="90" fillId="33" borderId="79" xfId="0" applyNumberFormat="1" applyFont="1" applyFill="1" applyBorder="1" applyAlignment="1" applyProtection="1">
      <alignment horizontal="center" vertical="center"/>
    </xf>
    <xf numFmtId="182" fontId="90" fillId="33" borderId="80" xfId="0" applyNumberFormat="1" applyFont="1" applyFill="1" applyBorder="1" applyAlignment="1" applyProtection="1">
      <alignment horizontal="center" vertical="center"/>
    </xf>
    <xf numFmtId="182" fontId="90" fillId="33" borderId="81" xfId="0" applyNumberFormat="1" applyFont="1" applyFill="1" applyBorder="1" applyAlignment="1" applyProtection="1">
      <alignment horizontal="center" vertical="center"/>
    </xf>
    <xf numFmtId="0" fontId="100" fillId="0" borderId="0" xfId="0" applyFont="1" applyFill="1" applyBorder="1" applyAlignment="1" applyProtection="1">
      <alignment horizontal="center"/>
    </xf>
    <xf numFmtId="0" fontId="131" fillId="33" borderId="0" xfId="0" applyFont="1" applyFill="1" applyBorder="1" applyAlignment="1" applyProtection="1">
      <alignment horizontal="left"/>
    </xf>
    <xf numFmtId="14" fontId="86" fillId="0" borderId="79" xfId="0" applyNumberFormat="1" applyFont="1" applyFill="1" applyBorder="1" applyAlignment="1" applyProtection="1">
      <alignment horizontal="left" vertical="distributed"/>
    </xf>
    <xf numFmtId="14" fontId="86" fillId="0" borderId="80" xfId="0" applyNumberFormat="1" applyFont="1" applyFill="1" applyBorder="1" applyAlignment="1" applyProtection="1">
      <alignment horizontal="left" vertical="distributed"/>
    </xf>
    <xf numFmtId="14" fontId="86" fillId="0" borderId="81" xfId="0" applyNumberFormat="1" applyFont="1" applyFill="1" applyBorder="1" applyAlignment="1" applyProtection="1">
      <alignment horizontal="left" vertical="distributed"/>
    </xf>
    <xf numFmtId="0" fontId="95" fillId="33" borderId="78" xfId="0" applyFont="1" applyFill="1" applyBorder="1" applyAlignment="1" applyProtection="1">
      <alignment horizontal="center" vertical="center"/>
    </xf>
    <xf numFmtId="0" fontId="194" fillId="37" borderId="78" xfId="0" applyFont="1" applyFill="1" applyBorder="1" applyAlignment="1" applyProtection="1">
      <alignment horizontal="center" vertical="center"/>
    </xf>
    <xf numFmtId="0" fontId="139" fillId="37" borderId="78" xfId="0" applyFont="1" applyFill="1" applyBorder="1" applyAlignment="1" applyProtection="1">
      <alignment horizontal="left" vertical="distributed"/>
    </xf>
    <xf numFmtId="0" fontId="139" fillId="0" borderId="78" xfId="0" applyFont="1" applyFill="1" applyBorder="1" applyAlignment="1" applyProtection="1">
      <alignment horizontal="left" vertical="distributed"/>
    </xf>
    <xf numFmtId="0" fontId="86" fillId="0" borderId="78" xfId="0" applyFont="1" applyFill="1" applyBorder="1" applyAlignment="1" applyProtection="1">
      <alignment horizontal="center" vertical="center"/>
    </xf>
    <xf numFmtId="182" fontId="139" fillId="0" borderId="78" xfId="0" applyNumberFormat="1" applyFont="1" applyFill="1" applyBorder="1" applyAlignment="1" applyProtection="1">
      <alignment horizontal="center" vertical="center"/>
    </xf>
    <xf numFmtId="0" fontId="86" fillId="0" borderId="78" xfId="0" applyNumberFormat="1" applyFont="1" applyFill="1" applyBorder="1" applyAlignment="1" applyProtection="1">
      <alignment horizontal="left" vertical="distributed"/>
    </xf>
    <xf numFmtId="0" fontId="95" fillId="0" borderId="0" xfId="0" applyFont="1" applyFill="1" applyBorder="1" applyAlignment="1" applyProtection="1">
      <alignment horizontal="center"/>
    </xf>
    <xf numFmtId="0" fontId="86" fillId="0" borderId="79" xfId="0" applyFont="1" applyFill="1" applyBorder="1" applyAlignment="1" applyProtection="1">
      <alignment horizontal="center" vertical="center"/>
    </xf>
    <xf numFmtId="0" fontId="86" fillId="0" borderId="80" xfId="0" applyFont="1" applyFill="1" applyBorder="1" applyAlignment="1" applyProtection="1">
      <alignment horizontal="center" vertical="center"/>
    </xf>
    <xf numFmtId="0" fontId="86" fillId="0" borderId="81" xfId="0" applyFont="1" applyFill="1" applyBorder="1" applyAlignment="1" applyProtection="1">
      <alignment horizontal="center" vertical="center"/>
    </xf>
    <xf numFmtId="0" fontId="131" fillId="33" borderId="0" xfId="0" applyFont="1" applyFill="1" applyBorder="1" applyAlignment="1" applyProtection="1">
      <alignment horizontal="center"/>
    </xf>
    <xf numFmtId="0" fontId="100" fillId="33" borderId="0" xfId="0" applyFont="1" applyFill="1" applyBorder="1" applyAlignment="1" applyProtection="1">
      <alignment horizontal="center"/>
    </xf>
    <xf numFmtId="0" fontId="139" fillId="0" borderId="78" xfId="0" applyFont="1" applyFill="1" applyBorder="1" applyAlignment="1" applyProtection="1">
      <alignment horizontal="center" vertical="distributed"/>
    </xf>
    <xf numFmtId="0" fontId="93" fillId="0" borderId="79" xfId="0" applyFont="1" applyFill="1" applyBorder="1" applyAlignment="1" applyProtection="1">
      <alignment horizontal="center" vertical="distributed"/>
    </xf>
    <xf numFmtId="0" fontId="93" fillId="0" borderId="80" xfId="0" applyFont="1" applyFill="1" applyBorder="1" applyAlignment="1" applyProtection="1">
      <alignment horizontal="center" vertical="distributed"/>
    </xf>
    <xf numFmtId="0" fontId="93" fillId="0" borderId="81" xfId="0" applyFont="1" applyFill="1" applyBorder="1" applyAlignment="1" applyProtection="1">
      <alignment horizontal="center" vertical="distributed"/>
    </xf>
    <xf numFmtId="0" fontId="113" fillId="33" borderId="78" xfId="0" applyFont="1" applyFill="1" applyBorder="1" applyAlignment="1" applyProtection="1">
      <alignment horizontal="center" vertical="center"/>
    </xf>
    <xf numFmtId="182" fontId="113" fillId="33" borderId="78" xfId="0" applyNumberFormat="1" applyFont="1" applyFill="1" applyBorder="1" applyAlignment="1" applyProtection="1">
      <alignment horizontal="center" vertical="center"/>
    </xf>
    <xf numFmtId="0" fontId="114" fillId="2" borderId="0" xfId="0" applyFont="1" applyFill="1" applyBorder="1" applyAlignment="1" applyProtection="1">
      <alignment horizontal="center" vertical="center"/>
    </xf>
    <xf numFmtId="0" fontId="93" fillId="0" borderId="79" xfId="0" applyFont="1" applyFill="1" applyBorder="1" applyAlignment="1" applyProtection="1">
      <alignment horizontal="center" vertical="center"/>
    </xf>
    <xf numFmtId="0" fontId="93" fillId="0" borderId="80" xfId="0" applyFont="1" applyFill="1" applyBorder="1" applyAlignment="1" applyProtection="1">
      <alignment horizontal="center" vertical="center"/>
    </xf>
    <xf numFmtId="0" fontId="93" fillId="0" borderId="81" xfId="0" applyFont="1" applyFill="1" applyBorder="1" applyAlignment="1" applyProtection="1">
      <alignment horizontal="center" vertical="center"/>
    </xf>
    <xf numFmtId="0" fontId="98" fillId="2" borderId="26" xfId="0" applyFont="1" applyFill="1" applyBorder="1" applyAlignment="1" applyProtection="1">
      <alignment horizontal="center" vertical="center"/>
    </xf>
    <xf numFmtId="182" fontId="93" fillId="33" borderId="78" xfId="0" applyNumberFormat="1" applyFont="1" applyFill="1" applyBorder="1" applyAlignment="1" applyProtection="1">
      <alignment horizontal="center" vertical="center"/>
    </xf>
    <xf numFmtId="182" fontId="139" fillId="0" borderId="79" xfId="0" applyNumberFormat="1" applyFont="1" applyFill="1" applyBorder="1" applyAlignment="1" applyProtection="1">
      <alignment horizontal="center" vertical="center"/>
    </xf>
    <xf numFmtId="182" fontId="139" fillId="0" borderId="80" xfId="0" applyNumberFormat="1" applyFont="1" applyFill="1" applyBorder="1" applyAlignment="1" applyProtection="1">
      <alignment horizontal="center" vertical="center"/>
    </xf>
    <xf numFmtId="182" fontId="139" fillId="0" borderId="81" xfId="0" applyNumberFormat="1" applyFont="1" applyFill="1" applyBorder="1" applyAlignment="1" applyProtection="1">
      <alignment horizontal="center" vertical="center"/>
    </xf>
    <xf numFmtId="0" fontId="139" fillId="0" borderId="79" xfId="0" applyFont="1" applyFill="1" applyBorder="1" applyAlignment="1" applyProtection="1">
      <alignment horizontal="center" vertical="center"/>
    </xf>
    <xf numFmtId="0" fontId="139" fillId="0" borderId="80" xfId="0" applyFont="1" applyFill="1" applyBorder="1" applyAlignment="1" applyProtection="1">
      <alignment horizontal="center" vertical="center"/>
    </xf>
    <xf numFmtId="0" fontId="139" fillId="0" borderId="81" xfId="0" applyFont="1" applyFill="1" applyBorder="1" applyAlignment="1" applyProtection="1">
      <alignment horizontal="center" vertical="center"/>
    </xf>
    <xf numFmtId="0" fontId="100" fillId="37" borderId="78" xfId="0" applyFont="1" applyFill="1" applyBorder="1" applyAlignment="1" applyProtection="1">
      <alignment horizontal="center" vertical="center"/>
    </xf>
    <xf numFmtId="0" fontId="95" fillId="37" borderId="78" xfId="0" applyFont="1" applyFill="1" applyBorder="1" applyAlignment="1" applyProtection="1">
      <alignment horizontal="center" vertical="center"/>
    </xf>
    <xf numFmtId="0" fontId="139" fillId="0" borderId="78" xfId="0" applyFont="1" applyFill="1" applyBorder="1" applyAlignment="1" applyProtection="1">
      <alignment horizontal="center" vertical="center"/>
    </xf>
    <xf numFmtId="182" fontId="113" fillId="33" borderId="79" xfId="0" applyNumberFormat="1" applyFont="1" applyFill="1" applyBorder="1" applyAlignment="1" applyProtection="1">
      <alignment horizontal="center" vertical="center"/>
    </xf>
    <xf numFmtId="182" fontId="113" fillId="33" borderId="80" xfId="0" applyNumberFormat="1" applyFont="1" applyFill="1" applyBorder="1" applyAlignment="1" applyProtection="1">
      <alignment horizontal="center" vertical="center"/>
    </xf>
    <xf numFmtId="182" fontId="113" fillId="33" borderId="81" xfId="0" applyNumberFormat="1" applyFont="1" applyFill="1" applyBorder="1" applyAlignment="1" applyProtection="1">
      <alignment horizontal="center" vertical="center"/>
    </xf>
    <xf numFmtId="0" fontId="113" fillId="33" borderId="79" xfId="0" applyFont="1" applyFill="1" applyBorder="1" applyAlignment="1" applyProtection="1">
      <alignment horizontal="left" vertical="center"/>
    </xf>
    <xf numFmtId="0" fontId="113" fillId="33" borderId="80" xfId="0" applyFont="1" applyFill="1" applyBorder="1" applyAlignment="1" applyProtection="1">
      <alignment horizontal="left" vertical="center"/>
    </xf>
    <xf numFmtId="0" fontId="113" fillId="33" borderId="81" xfId="0" applyFont="1" applyFill="1" applyBorder="1" applyAlignment="1" applyProtection="1">
      <alignment horizontal="left" vertical="center"/>
    </xf>
    <xf numFmtId="0" fontId="118" fillId="0" borderId="9" xfId="0" applyFont="1" applyFill="1" applyBorder="1" applyAlignment="1" applyProtection="1">
      <alignment horizontal="left" vertical="center" wrapText="1"/>
    </xf>
    <xf numFmtId="0" fontId="93" fillId="0" borderId="82" xfId="0" applyFont="1" applyFill="1" applyBorder="1" applyAlignment="1" applyProtection="1">
      <alignment horizontal="center" vertical="center"/>
    </xf>
    <xf numFmtId="0" fontId="93" fillId="0" borderId="83" xfId="0" applyFont="1" applyFill="1" applyBorder="1" applyAlignment="1" applyProtection="1">
      <alignment horizontal="center" vertical="center"/>
    </xf>
    <xf numFmtId="0" fontId="93" fillId="0" borderId="84" xfId="0" applyFont="1" applyFill="1" applyBorder="1" applyAlignment="1" applyProtection="1">
      <alignment horizontal="center" vertical="center"/>
    </xf>
    <xf numFmtId="0" fontId="93" fillId="0" borderId="30" xfId="0" applyFont="1" applyFill="1" applyBorder="1" applyAlignment="1" applyProtection="1">
      <alignment horizontal="center" vertical="center"/>
    </xf>
    <xf numFmtId="0" fontId="93" fillId="0" borderId="19" xfId="0" applyFont="1" applyFill="1" applyBorder="1" applyAlignment="1" applyProtection="1">
      <alignment horizontal="center" vertical="center"/>
    </xf>
    <xf numFmtId="0" fontId="93" fillId="0" borderId="28" xfId="0" applyFont="1" applyFill="1" applyBorder="1" applyAlignment="1" applyProtection="1">
      <alignment horizontal="center" vertical="center"/>
    </xf>
    <xf numFmtId="180" fontId="113" fillId="0" borderId="79" xfId="0" applyNumberFormat="1" applyFont="1" applyFill="1" applyBorder="1" applyAlignment="1" applyProtection="1">
      <alignment horizontal="center" vertical="center"/>
    </xf>
    <xf numFmtId="180" fontId="113" fillId="0" borderId="80" xfId="0" applyNumberFormat="1" applyFont="1" applyFill="1" applyBorder="1" applyAlignment="1" applyProtection="1">
      <alignment horizontal="center" vertical="center"/>
    </xf>
    <xf numFmtId="180" fontId="113" fillId="0" borderId="81" xfId="0" applyNumberFormat="1" applyFont="1" applyFill="1" applyBorder="1" applyAlignment="1" applyProtection="1">
      <alignment horizontal="center" vertical="center"/>
    </xf>
    <xf numFmtId="0" fontId="118" fillId="37" borderId="78" xfId="0" applyFont="1" applyFill="1" applyBorder="1" applyAlignment="1" applyProtection="1">
      <alignment horizontal="left" vertical="center" wrapText="1"/>
    </xf>
    <xf numFmtId="0" fontId="118" fillId="37" borderId="9" xfId="0" applyFont="1" applyFill="1" applyBorder="1" applyAlignment="1" applyProtection="1">
      <alignment horizontal="left" vertical="center" wrapText="1"/>
    </xf>
    <xf numFmtId="0" fontId="90" fillId="0" borderId="78" xfId="0" applyNumberFormat="1" applyFont="1" applyFill="1" applyBorder="1" applyAlignment="1" applyProtection="1">
      <alignment horizontal="center" vertical="center"/>
    </xf>
    <xf numFmtId="0" fontId="118" fillId="0" borderId="78" xfId="0" applyNumberFormat="1" applyFont="1" applyFill="1" applyBorder="1" applyAlignment="1" applyProtection="1">
      <alignment horizontal="left" vertical="center" wrapText="1"/>
    </xf>
    <xf numFmtId="0" fontId="118" fillId="37" borderId="78" xfId="0" applyNumberFormat="1" applyFont="1" applyFill="1" applyBorder="1" applyAlignment="1" applyProtection="1">
      <alignment horizontal="left" vertical="center" wrapText="1"/>
    </xf>
    <xf numFmtId="0" fontId="105" fillId="37" borderId="79" xfId="0" applyFont="1" applyFill="1" applyBorder="1" applyAlignment="1" applyProtection="1">
      <alignment horizontal="center" vertical="center"/>
    </xf>
    <xf numFmtId="0" fontId="105" fillId="37" borderId="80" xfId="0" applyFont="1" applyFill="1" applyBorder="1" applyAlignment="1" applyProtection="1">
      <alignment horizontal="center" vertical="center"/>
    </xf>
    <xf numFmtId="0" fontId="105" fillId="37" borderId="81" xfId="0" applyFont="1" applyFill="1" applyBorder="1" applyAlignment="1" applyProtection="1">
      <alignment horizontal="center" vertical="center"/>
    </xf>
    <xf numFmtId="0" fontId="139" fillId="0" borderId="79" xfId="0" applyFont="1" applyFill="1" applyBorder="1" applyAlignment="1" applyProtection="1">
      <alignment horizontal="center" vertical="distributed"/>
    </xf>
    <xf numFmtId="0" fontId="139" fillId="0" borderId="80" xfId="0" applyFont="1" applyFill="1" applyBorder="1" applyAlignment="1" applyProtection="1">
      <alignment horizontal="center" vertical="distributed"/>
    </xf>
    <xf numFmtId="0" fontId="139" fillId="0" borderId="81" xfId="0" applyFont="1" applyFill="1" applyBorder="1" applyAlignment="1" applyProtection="1">
      <alignment horizontal="center" vertical="distributed"/>
    </xf>
    <xf numFmtId="0" fontId="93" fillId="4" borderId="79" xfId="0" applyFont="1" applyFill="1" applyBorder="1" applyAlignment="1" applyProtection="1">
      <alignment horizontal="left" vertical="center" wrapText="1"/>
    </xf>
    <xf numFmtId="0" fontId="93" fillId="4" borderId="80" xfId="0" applyFont="1" applyFill="1" applyBorder="1" applyAlignment="1" applyProtection="1">
      <alignment horizontal="left" vertical="center" wrapText="1"/>
    </xf>
    <xf numFmtId="0" fontId="93" fillId="4" borderId="81" xfId="0" applyFont="1" applyFill="1" applyBorder="1" applyAlignment="1" applyProtection="1">
      <alignment horizontal="left" vertical="center" wrapText="1"/>
    </xf>
    <xf numFmtId="0" fontId="93" fillId="4" borderId="78" xfId="0" applyFont="1" applyFill="1" applyBorder="1" applyAlignment="1" applyProtection="1">
      <alignment horizontal="center" vertical="center"/>
    </xf>
    <xf numFmtId="0" fontId="113" fillId="0" borderId="79" xfId="0" applyFont="1" applyFill="1" applyBorder="1" applyAlignment="1" applyProtection="1">
      <alignment horizontal="center" vertical="distributed"/>
    </xf>
    <xf numFmtId="0" fontId="113" fillId="0" borderId="80" xfId="0" applyFont="1" applyFill="1" applyBorder="1" applyAlignment="1" applyProtection="1">
      <alignment horizontal="center" vertical="distributed"/>
    </xf>
    <xf numFmtId="0" fontId="113" fillId="0" borderId="81" xfId="0" applyFont="1" applyFill="1" applyBorder="1" applyAlignment="1" applyProtection="1">
      <alignment horizontal="center" vertical="distributed"/>
    </xf>
    <xf numFmtId="0" fontId="113" fillId="0" borderId="82" xfId="0" applyFont="1" applyFill="1" applyBorder="1" applyAlignment="1" applyProtection="1">
      <alignment horizontal="left" vertical="center" wrapText="1"/>
    </xf>
    <xf numFmtId="0" fontId="113" fillId="0" borderId="83" xfId="0" applyFont="1" applyFill="1" applyBorder="1" applyAlignment="1" applyProtection="1">
      <alignment horizontal="left" vertical="center"/>
    </xf>
    <xf numFmtId="0" fontId="113" fillId="0" borderId="84" xfId="0" applyFont="1" applyFill="1" applyBorder="1" applyAlignment="1" applyProtection="1">
      <alignment horizontal="left" vertical="center"/>
    </xf>
    <xf numFmtId="0" fontId="113" fillId="0" borderId="34" xfId="0" applyFont="1" applyFill="1" applyBorder="1" applyAlignment="1" applyProtection="1">
      <alignment horizontal="left" vertical="center"/>
    </xf>
    <xf numFmtId="0" fontId="113" fillId="0" borderId="0" xfId="0" applyFont="1" applyFill="1" applyBorder="1" applyAlignment="1" applyProtection="1">
      <alignment horizontal="left" vertical="center"/>
    </xf>
    <xf numFmtId="0" fontId="113" fillId="0" borderId="26" xfId="0" applyFont="1" applyFill="1" applyBorder="1" applyAlignment="1" applyProtection="1">
      <alignment horizontal="left" vertical="center"/>
    </xf>
    <xf numFmtId="0" fontId="113" fillId="0" borderId="30" xfId="0" applyFont="1" applyFill="1" applyBorder="1" applyAlignment="1" applyProtection="1">
      <alignment horizontal="left" vertical="center"/>
    </xf>
    <xf numFmtId="0" fontId="113" fillId="0" borderId="19" xfId="0" applyFont="1" applyFill="1" applyBorder="1" applyAlignment="1" applyProtection="1">
      <alignment horizontal="left" vertical="center"/>
    </xf>
    <xf numFmtId="0" fontId="113" fillId="0" borderId="28" xfId="0" applyFont="1" applyFill="1" applyBorder="1" applyAlignment="1" applyProtection="1">
      <alignment horizontal="left" vertical="center"/>
    </xf>
    <xf numFmtId="0" fontId="93" fillId="0" borderId="0" xfId="0" applyFont="1" applyFill="1" applyBorder="1" applyAlignment="1" applyProtection="1">
      <alignment horizontal="center" vertical="center"/>
    </xf>
    <xf numFmtId="0" fontId="113" fillId="0" borderId="82" xfId="0" applyFont="1" applyFill="1" applyBorder="1" applyAlignment="1" applyProtection="1">
      <alignment horizontal="left" vertical="distributed" wrapText="1"/>
    </xf>
    <xf numFmtId="0" fontId="113" fillId="0" borderId="83" xfId="0" applyFont="1" applyFill="1" applyBorder="1" applyAlignment="1" applyProtection="1">
      <alignment horizontal="left" vertical="distributed" wrapText="1"/>
    </xf>
    <xf numFmtId="0" fontId="113" fillId="0" borderId="84" xfId="0" applyFont="1" applyFill="1" applyBorder="1" applyAlignment="1" applyProtection="1">
      <alignment horizontal="left" vertical="distributed" wrapText="1"/>
    </xf>
    <xf numFmtId="0" fontId="113" fillId="0" borderId="34" xfId="0" applyFont="1" applyFill="1" applyBorder="1" applyAlignment="1" applyProtection="1">
      <alignment horizontal="left" vertical="distributed" wrapText="1"/>
    </xf>
    <xf numFmtId="0" fontId="113" fillId="0" borderId="0" xfId="0" applyFont="1" applyFill="1" applyBorder="1" applyAlignment="1" applyProtection="1">
      <alignment horizontal="left" vertical="distributed" wrapText="1"/>
    </xf>
    <xf numFmtId="0" fontId="113" fillId="0" borderId="26" xfId="0" applyFont="1" applyFill="1" applyBorder="1" applyAlignment="1" applyProtection="1">
      <alignment horizontal="left" vertical="distributed" wrapText="1"/>
    </xf>
    <xf numFmtId="0" fontId="113" fillId="0" borderId="30" xfId="0" applyFont="1" applyFill="1" applyBorder="1" applyAlignment="1" applyProtection="1">
      <alignment horizontal="left" vertical="distributed" wrapText="1"/>
    </xf>
    <xf numFmtId="0" fontId="113" fillId="0" borderId="19" xfId="0" applyFont="1" applyFill="1" applyBorder="1" applyAlignment="1" applyProtection="1">
      <alignment horizontal="left" vertical="distributed" wrapText="1"/>
    </xf>
    <xf numFmtId="0" fontId="113" fillId="0" borderId="28" xfId="0" applyFont="1" applyFill="1" applyBorder="1" applyAlignment="1" applyProtection="1">
      <alignment horizontal="left" vertical="distributed" wrapText="1"/>
    </xf>
    <xf numFmtId="0" fontId="96" fillId="2" borderId="0" xfId="0" applyFont="1" applyFill="1" applyBorder="1" applyAlignment="1" applyProtection="1">
      <alignment horizontal="center" vertical="center"/>
    </xf>
    <xf numFmtId="0" fontId="98" fillId="4" borderId="0" xfId="0" applyFont="1" applyFill="1" applyBorder="1" applyAlignment="1" applyProtection="1">
      <alignment horizontal="right" vertical="center"/>
    </xf>
    <xf numFmtId="0" fontId="98" fillId="4" borderId="26" xfId="0" applyFont="1" applyFill="1" applyBorder="1" applyAlignment="1" applyProtection="1">
      <alignment horizontal="right" vertical="center"/>
    </xf>
    <xf numFmtId="0" fontId="139" fillId="33" borderId="79" xfId="0" quotePrefix="1" applyNumberFormat="1" applyFont="1" applyFill="1" applyBorder="1" applyAlignment="1" applyProtection="1">
      <alignment horizontal="center" vertical="top" wrapText="1"/>
    </xf>
    <xf numFmtId="0" fontId="139" fillId="33" borderId="80" xfId="0" quotePrefix="1" applyNumberFormat="1" applyFont="1" applyFill="1" applyBorder="1" applyAlignment="1" applyProtection="1">
      <alignment horizontal="center" vertical="top" wrapText="1"/>
    </xf>
    <xf numFmtId="0" fontId="139" fillId="33" borderId="81" xfId="0" quotePrefix="1" applyNumberFormat="1" applyFont="1" applyFill="1" applyBorder="1" applyAlignment="1" applyProtection="1">
      <alignment horizontal="center" vertical="top" wrapText="1"/>
    </xf>
    <xf numFmtId="0" fontId="131" fillId="4" borderId="122" xfId="0" applyFont="1" applyFill="1" applyBorder="1" applyAlignment="1" applyProtection="1">
      <alignment horizontal="center" vertical="center"/>
    </xf>
    <xf numFmtId="0" fontId="131" fillId="4" borderId="126" xfId="0" applyFont="1" applyFill="1" applyBorder="1" applyAlignment="1" applyProtection="1">
      <alignment horizontal="center" vertical="center"/>
    </xf>
    <xf numFmtId="0" fontId="131" fillId="4" borderId="121" xfId="0" applyFont="1" applyFill="1" applyBorder="1" applyAlignment="1" applyProtection="1">
      <alignment horizontal="center" vertical="center"/>
    </xf>
    <xf numFmtId="0" fontId="157" fillId="0" borderId="78" xfId="0" applyFont="1" applyFill="1" applyBorder="1" applyAlignment="1" applyProtection="1">
      <alignment horizontal="center" vertical="center" wrapText="1"/>
    </xf>
    <xf numFmtId="182" fontId="113" fillId="33" borderId="80" xfId="0" quotePrefix="1" applyNumberFormat="1" applyFont="1" applyFill="1" applyBorder="1" applyAlignment="1" applyProtection="1">
      <alignment horizontal="center" vertical="center" wrapText="1"/>
    </xf>
    <xf numFmtId="182" fontId="113" fillId="33" borderId="81" xfId="0" quotePrefix="1" applyNumberFormat="1" applyFont="1" applyFill="1" applyBorder="1" applyAlignment="1" applyProtection="1">
      <alignment horizontal="center" vertical="center" wrapText="1"/>
    </xf>
    <xf numFmtId="0" fontId="106" fillId="0" borderId="0" xfId="0" applyFont="1" applyBorder="1" applyAlignment="1" applyProtection="1">
      <alignment horizontal="center" vertical="center"/>
    </xf>
    <xf numFmtId="0" fontId="106" fillId="0" borderId="26" xfId="0" applyFont="1" applyBorder="1" applyAlignment="1" applyProtection="1">
      <alignment horizontal="center" vertical="center"/>
    </xf>
    <xf numFmtId="0" fontId="118" fillId="0" borderId="78" xfId="0" applyFont="1" applyFill="1" applyBorder="1" applyAlignment="1" applyProtection="1">
      <alignment horizontal="left" vertical="center" wrapText="1"/>
    </xf>
    <xf numFmtId="0" fontId="100" fillId="0" borderId="0" xfId="0" applyFont="1" applyFill="1" applyBorder="1" applyAlignment="1" applyProtection="1">
      <alignment vertical="center"/>
    </xf>
    <xf numFmtId="0" fontId="131" fillId="2" borderId="118" xfId="0" applyFont="1" applyFill="1" applyBorder="1" applyAlignment="1" applyProtection="1">
      <alignment horizontal="center" vertical="center" wrapText="1"/>
    </xf>
    <xf numFmtId="0" fontId="131" fillId="2" borderId="119" xfId="0" applyFont="1" applyFill="1" applyBorder="1" applyAlignment="1" applyProtection="1">
      <alignment horizontal="center" vertical="center" wrapText="1"/>
    </xf>
    <xf numFmtId="0" fontId="131" fillId="2" borderId="120" xfId="0" applyFont="1" applyFill="1" applyBorder="1" applyAlignment="1" applyProtection="1">
      <alignment horizontal="center" vertical="center" wrapText="1"/>
    </xf>
    <xf numFmtId="0" fontId="131" fillId="2" borderId="121" xfId="0" applyFont="1" applyFill="1" applyBorder="1" applyAlignment="1" applyProtection="1">
      <alignment horizontal="center" vertical="center" wrapText="1"/>
    </xf>
    <xf numFmtId="0" fontId="131" fillId="2" borderId="78" xfId="0" applyFont="1" applyFill="1" applyBorder="1" applyAlignment="1" applyProtection="1">
      <alignment horizontal="center" vertical="center" wrapText="1"/>
    </xf>
    <xf numFmtId="0" fontId="131" fillId="2" borderId="122" xfId="0" applyFont="1" applyFill="1" applyBorder="1" applyAlignment="1" applyProtection="1">
      <alignment horizontal="center" vertical="center" wrapText="1"/>
    </xf>
    <xf numFmtId="0" fontId="131" fillId="2" borderId="123" xfId="0" applyFont="1" applyFill="1" applyBorder="1" applyAlignment="1" applyProtection="1">
      <alignment horizontal="center" vertical="center" wrapText="1"/>
    </xf>
    <xf numFmtId="0" fontId="131" fillId="2" borderId="124" xfId="0" applyFont="1" applyFill="1" applyBorder="1" applyAlignment="1" applyProtection="1">
      <alignment horizontal="center" vertical="center" wrapText="1"/>
    </xf>
    <xf numFmtId="0" fontId="131" fillId="2" borderId="125" xfId="0" applyFont="1" applyFill="1" applyBorder="1" applyAlignment="1" applyProtection="1">
      <alignment horizontal="center" vertical="center" wrapText="1"/>
    </xf>
    <xf numFmtId="0" fontId="98" fillId="37" borderId="78" xfId="0" applyFont="1" applyFill="1" applyBorder="1" applyAlignment="1" applyProtection="1">
      <alignment horizontal="center" vertical="center"/>
    </xf>
    <xf numFmtId="179" fontId="100" fillId="37" borderId="78" xfId="0" applyNumberFormat="1" applyFont="1" applyFill="1" applyBorder="1" applyAlignment="1" applyProtection="1">
      <alignment horizontal="center" vertical="center"/>
    </xf>
    <xf numFmtId="14" fontId="113" fillId="33" borderId="78" xfId="0" applyNumberFormat="1" applyFont="1" applyFill="1" applyBorder="1" applyAlignment="1" applyProtection="1">
      <alignment horizontal="center" vertical="center"/>
    </xf>
    <xf numFmtId="0" fontId="102" fillId="37" borderId="9" xfId="0" applyFont="1" applyFill="1" applyBorder="1" applyAlignment="1" applyProtection="1">
      <alignment horizontal="center" vertical="center"/>
    </xf>
    <xf numFmtId="0" fontId="118" fillId="37" borderId="76" xfId="0" applyFont="1" applyFill="1" applyBorder="1" applyAlignment="1" applyProtection="1">
      <alignment horizontal="left" vertical="center" wrapText="1"/>
    </xf>
    <xf numFmtId="0" fontId="93" fillId="33" borderId="84" xfId="0" applyFont="1" applyFill="1" applyBorder="1" applyAlignment="1" applyProtection="1">
      <alignment horizontal="center" vertical="center"/>
    </xf>
    <xf numFmtId="0" fontId="93" fillId="33" borderId="85" xfId="0" applyFont="1" applyFill="1" applyBorder="1" applyAlignment="1" applyProtection="1">
      <alignment horizontal="center" vertical="center"/>
    </xf>
    <xf numFmtId="0" fontId="93" fillId="33" borderId="82" xfId="0" applyFont="1" applyFill="1" applyBorder="1" applyAlignment="1" applyProtection="1">
      <alignment horizontal="center" vertical="center"/>
    </xf>
    <xf numFmtId="0" fontId="113" fillId="33" borderId="30" xfId="0" applyFont="1" applyFill="1" applyBorder="1" applyAlignment="1" applyProtection="1">
      <alignment horizontal="center" vertical="center"/>
    </xf>
    <xf numFmtId="0" fontId="113" fillId="33" borderId="19" xfId="0" applyFont="1" applyFill="1" applyBorder="1" applyAlignment="1" applyProtection="1">
      <alignment horizontal="center" vertical="center"/>
    </xf>
    <xf numFmtId="0" fontId="113" fillId="33" borderId="28" xfId="0" applyFont="1" applyFill="1" applyBorder="1" applyAlignment="1" applyProtection="1">
      <alignment horizontal="center" vertical="center"/>
    </xf>
    <xf numFmtId="0" fontId="113" fillId="33" borderId="78" xfId="0" applyFont="1" applyFill="1" applyBorder="1" applyAlignment="1" applyProtection="1">
      <alignment horizontal="left" vertical="center"/>
    </xf>
    <xf numFmtId="0" fontId="113" fillId="0" borderId="78" xfId="0" applyFont="1" applyFill="1" applyBorder="1" applyAlignment="1" applyProtection="1">
      <alignment horizontal="left" vertical="center"/>
    </xf>
    <xf numFmtId="182" fontId="93" fillId="0" borderId="78" xfId="0" applyNumberFormat="1" applyFont="1" applyBorder="1" applyAlignment="1" applyProtection="1">
      <alignment horizontal="center" vertical="center"/>
    </xf>
    <xf numFmtId="0" fontId="174" fillId="37" borderId="79" xfId="0" applyFont="1" applyFill="1" applyBorder="1" applyAlignment="1" applyProtection="1">
      <alignment horizontal="center" vertical="center"/>
    </xf>
    <xf numFmtId="0" fontId="174" fillId="37" borderId="80" xfId="0" applyFont="1" applyFill="1" applyBorder="1" applyAlignment="1" applyProtection="1">
      <alignment horizontal="center" vertical="center"/>
    </xf>
    <xf numFmtId="0" fontId="174" fillId="37" borderId="81" xfId="0" applyFont="1" applyFill="1" applyBorder="1" applyAlignment="1" applyProtection="1">
      <alignment horizontal="center" vertical="center"/>
    </xf>
    <xf numFmtId="0" fontId="113" fillId="33" borderId="78" xfId="0" applyFont="1" applyFill="1" applyBorder="1" applyAlignment="1" applyProtection="1">
      <alignment horizontal="left" vertical="center" wrapText="1"/>
    </xf>
    <xf numFmtId="0" fontId="101" fillId="0" borderId="82" xfId="0" applyNumberFormat="1" applyFont="1" applyFill="1" applyBorder="1" applyAlignment="1" applyProtection="1">
      <alignment horizontal="left" vertical="center" wrapText="1"/>
    </xf>
    <xf numFmtId="0" fontId="101" fillId="0" borderId="83" xfId="0" applyNumberFormat="1" applyFont="1" applyFill="1" applyBorder="1" applyAlignment="1" applyProtection="1">
      <alignment horizontal="left" vertical="center" wrapText="1"/>
    </xf>
    <xf numFmtId="0" fontId="101" fillId="0" borderId="84" xfId="0" applyNumberFormat="1" applyFont="1" applyFill="1" applyBorder="1" applyAlignment="1" applyProtection="1">
      <alignment horizontal="left" vertical="center" wrapText="1"/>
    </xf>
    <xf numFmtId="0" fontId="101" fillId="0" borderId="34" xfId="0" applyNumberFormat="1" applyFont="1" applyFill="1" applyBorder="1" applyAlignment="1" applyProtection="1">
      <alignment horizontal="left" vertical="center" wrapText="1"/>
    </xf>
    <xf numFmtId="0" fontId="101" fillId="0" borderId="0" xfId="0" applyNumberFormat="1" applyFont="1" applyFill="1" applyBorder="1" applyAlignment="1" applyProtection="1">
      <alignment horizontal="left" vertical="center" wrapText="1"/>
    </xf>
    <xf numFmtId="0" fontId="101" fillId="0" borderId="26" xfId="0" applyNumberFormat="1" applyFont="1" applyFill="1" applyBorder="1" applyAlignment="1" applyProtection="1">
      <alignment horizontal="left" vertical="center" wrapText="1"/>
    </xf>
    <xf numFmtId="0" fontId="101" fillId="0" borderId="30" xfId="0" applyNumberFormat="1" applyFont="1" applyFill="1" applyBorder="1" applyAlignment="1" applyProtection="1">
      <alignment horizontal="left" vertical="center" wrapText="1"/>
    </xf>
    <xf numFmtId="0" fontId="101" fillId="0" borderId="19" xfId="0" applyNumberFormat="1" applyFont="1" applyFill="1" applyBorder="1" applyAlignment="1" applyProtection="1">
      <alignment horizontal="left" vertical="center" wrapText="1"/>
    </xf>
    <xf numFmtId="0" fontId="101" fillId="0" borderId="28" xfId="0" applyNumberFormat="1" applyFont="1" applyFill="1" applyBorder="1" applyAlignment="1" applyProtection="1">
      <alignment horizontal="left" vertical="center" wrapText="1"/>
    </xf>
    <xf numFmtId="0" fontId="98" fillId="33" borderId="0" xfId="0" applyFont="1" applyFill="1" applyBorder="1" applyAlignment="1" applyProtection="1">
      <alignment horizontal="center" vertical="center" wrapText="1"/>
    </xf>
    <xf numFmtId="0" fontId="90" fillId="33" borderId="79" xfId="0" applyFont="1" applyFill="1" applyBorder="1" applyAlignment="1" applyProtection="1">
      <alignment horizontal="center" vertical="center" wrapText="1"/>
    </xf>
    <xf numFmtId="0" fontId="90" fillId="33" borderId="80" xfId="0" applyFont="1" applyFill="1" applyBorder="1" applyAlignment="1" applyProtection="1">
      <alignment horizontal="center" vertical="center" wrapText="1"/>
    </xf>
    <xf numFmtId="0" fontId="90" fillId="33" borderId="81" xfId="0" applyFont="1" applyFill="1" applyBorder="1" applyAlignment="1" applyProtection="1">
      <alignment horizontal="center" vertical="center" wrapText="1"/>
    </xf>
    <xf numFmtId="1" fontId="90" fillId="33" borderId="79" xfId="0" applyNumberFormat="1" applyFont="1" applyFill="1" applyBorder="1" applyAlignment="1" applyProtection="1">
      <alignment horizontal="center" vertical="center" wrapText="1"/>
    </xf>
    <xf numFmtId="1" fontId="90" fillId="33" borderId="80" xfId="0" applyNumberFormat="1" applyFont="1" applyFill="1" applyBorder="1" applyAlignment="1" applyProtection="1">
      <alignment horizontal="center" vertical="center" wrapText="1"/>
    </xf>
    <xf numFmtId="1" fontId="90" fillId="33" borderId="81" xfId="0" applyNumberFormat="1" applyFont="1" applyFill="1" applyBorder="1" applyAlignment="1" applyProtection="1">
      <alignment horizontal="center" vertical="center" wrapText="1"/>
    </xf>
    <xf numFmtId="0" fontId="119" fillId="2" borderId="6" xfId="0" applyFont="1" applyFill="1" applyBorder="1" applyAlignment="1" applyProtection="1">
      <alignment horizontal="left" vertical="center"/>
    </xf>
    <xf numFmtId="0" fontId="119" fillId="2" borderId="7" xfId="0" applyFont="1" applyFill="1" applyBorder="1" applyAlignment="1" applyProtection="1">
      <alignment horizontal="left" vertical="center"/>
    </xf>
    <xf numFmtId="0" fontId="119" fillId="2" borderId="4" xfId="0" applyFont="1" applyFill="1" applyBorder="1" applyAlignment="1" applyProtection="1">
      <alignment horizontal="left" vertical="center"/>
    </xf>
    <xf numFmtId="0" fontId="119" fillId="2" borderId="0" xfId="0" applyFont="1" applyFill="1" applyBorder="1" applyAlignment="1" applyProtection="1">
      <alignment horizontal="left" vertical="center"/>
    </xf>
    <xf numFmtId="0" fontId="98" fillId="33" borderId="26" xfId="0" applyFont="1" applyFill="1" applyBorder="1" applyAlignment="1" applyProtection="1">
      <alignment horizontal="center" vertical="center"/>
    </xf>
    <xf numFmtId="0" fontId="98" fillId="4" borderId="0" xfId="0" applyFont="1" applyFill="1" applyBorder="1" applyAlignment="1" applyProtection="1">
      <alignment horizontal="center" vertical="center" wrapText="1"/>
    </xf>
    <xf numFmtId="0" fontId="29" fillId="4" borderId="0" xfId="0" applyFont="1" applyFill="1" applyBorder="1" applyAlignment="1" applyProtection="1">
      <alignment horizontal="center"/>
    </xf>
    <xf numFmtId="0" fontId="113" fillId="0" borderId="82" xfId="0" applyFont="1" applyFill="1" applyBorder="1" applyAlignment="1" applyProtection="1">
      <alignment horizontal="left" vertical="distributed"/>
    </xf>
    <xf numFmtId="0" fontId="113" fillId="0" borderId="83" xfId="0" applyFont="1" applyFill="1" applyBorder="1" applyAlignment="1" applyProtection="1">
      <alignment horizontal="left" vertical="distributed"/>
    </xf>
    <xf numFmtId="0" fontId="113" fillId="0" borderId="84" xfId="0" applyFont="1" applyFill="1" applyBorder="1" applyAlignment="1" applyProtection="1">
      <alignment horizontal="left" vertical="distributed"/>
    </xf>
    <xf numFmtId="0" fontId="113" fillId="0" borderId="30" xfId="0" applyFont="1" applyFill="1" applyBorder="1" applyAlignment="1" applyProtection="1">
      <alignment horizontal="left" vertical="distributed"/>
    </xf>
    <xf numFmtId="0" fontId="113" fillId="0" borderId="19" xfId="0" applyFont="1" applyFill="1" applyBorder="1" applyAlignment="1" applyProtection="1">
      <alignment horizontal="left" vertical="distributed"/>
    </xf>
    <xf numFmtId="0" fontId="113" fillId="0" borderId="28" xfId="0" applyFont="1" applyFill="1" applyBorder="1" applyAlignment="1" applyProtection="1">
      <alignment horizontal="left" vertical="distributed"/>
    </xf>
    <xf numFmtId="0" fontId="113" fillId="4" borderId="79" xfId="0" applyFont="1" applyFill="1" applyBorder="1" applyAlignment="1" applyProtection="1">
      <alignment horizontal="center" vertical="center"/>
    </xf>
    <xf numFmtId="0" fontId="113" fillId="4" borderId="80" xfId="0" applyFont="1" applyFill="1" applyBorder="1" applyAlignment="1" applyProtection="1">
      <alignment horizontal="center" vertical="center"/>
    </xf>
    <xf numFmtId="0" fontId="113" fillId="4" borderId="81" xfId="0" applyFont="1" applyFill="1" applyBorder="1" applyAlignment="1" applyProtection="1">
      <alignment horizontal="center" vertical="center"/>
    </xf>
    <xf numFmtId="0" fontId="113" fillId="4" borderId="79" xfId="0" applyFont="1" applyFill="1" applyBorder="1" applyAlignment="1" applyProtection="1">
      <alignment horizontal="center" vertical="distributed" wrapText="1"/>
    </xf>
    <xf numFmtId="0" fontId="113" fillId="4" borderId="80" xfId="0" applyFont="1" applyFill="1" applyBorder="1" applyAlignment="1" applyProtection="1">
      <alignment horizontal="center" vertical="distributed" wrapText="1"/>
    </xf>
    <xf numFmtId="0" fontId="113" fillId="4" borderId="81" xfId="0" applyFont="1" applyFill="1" applyBorder="1" applyAlignment="1" applyProtection="1">
      <alignment horizontal="center" vertical="distributed" wrapText="1"/>
    </xf>
    <xf numFmtId="0" fontId="104" fillId="4" borderId="0" xfId="0" applyFont="1" applyFill="1" applyBorder="1" applyAlignment="1" applyProtection="1">
      <alignment horizontal="left" vertical="center"/>
    </xf>
    <xf numFmtId="0" fontId="104" fillId="4" borderId="26" xfId="0" applyFont="1" applyFill="1" applyBorder="1" applyAlignment="1" applyProtection="1">
      <alignment horizontal="left" vertical="center"/>
    </xf>
    <xf numFmtId="0" fontId="90" fillId="32" borderId="79" xfId="0" applyFont="1" applyFill="1" applyBorder="1" applyAlignment="1" applyProtection="1">
      <alignment horizontal="center" vertical="center"/>
    </xf>
    <xf numFmtId="0" fontId="90" fillId="32" borderId="80" xfId="0" applyFont="1" applyFill="1" applyBorder="1" applyAlignment="1" applyProtection="1">
      <alignment horizontal="center" vertical="center"/>
    </xf>
    <xf numFmtId="0" fontId="90" fillId="32" borderId="81" xfId="0" applyFont="1" applyFill="1" applyBorder="1" applyAlignment="1" applyProtection="1">
      <alignment horizontal="center" vertical="center"/>
    </xf>
    <xf numFmtId="0" fontId="89" fillId="33" borderId="0" xfId="145" applyNumberFormat="1" applyFont="1" applyFill="1" applyBorder="1" applyAlignment="1" applyProtection="1">
      <alignment horizontal="left" vertical="center"/>
    </xf>
    <xf numFmtId="0" fontId="89" fillId="33" borderId="26" xfId="145" applyNumberFormat="1" applyFont="1" applyFill="1" applyBorder="1" applyAlignment="1" applyProtection="1">
      <alignment horizontal="left" vertical="center"/>
    </xf>
    <xf numFmtId="180" fontId="98" fillId="32" borderId="79" xfId="0" applyNumberFormat="1" applyFont="1" applyFill="1" applyBorder="1" applyAlignment="1" applyProtection="1">
      <alignment horizontal="center" vertical="center"/>
    </xf>
    <xf numFmtId="180" fontId="98" fillId="32" borderId="80" xfId="0" applyNumberFormat="1" applyFont="1" applyFill="1" applyBorder="1" applyAlignment="1" applyProtection="1">
      <alignment horizontal="center" vertical="center"/>
    </xf>
    <xf numFmtId="180" fontId="98" fillId="32" borderId="81" xfId="0" applyNumberFormat="1" applyFont="1" applyFill="1" applyBorder="1" applyAlignment="1" applyProtection="1">
      <alignment horizontal="center" vertical="center"/>
    </xf>
    <xf numFmtId="0" fontId="98" fillId="32" borderId="79" xfId="0" applyFont="1" applyFill="1" applyBorder="1" applyAlignment="1" applyProtection="1">
      <alignment horizontal="center" vertical="center"/>
    </xf>
    <xf numFmtId="0" fontId="98" fillId="32" borderId="80" xfId="0" applyFont="1" applyFill="1" applyBorder="1" applyAlignment="1" applyProtection="1">
      <alignment horizontal="center" vertical="center"/>
    </xf>
    <xf numFmtId="0" fontId="98" fillId="32" borderId="81" xfId="0" applyFont="1" applyFill="1" applyBorder="1" applyAlignment="1" applyProtection="1">
      <alignment horizontal="center" vertical="center"/>
    </xf>
    <xf numFmtId="0" fontId="105" fillId="33" borderId="0" xfId="145" applyNumberFormat="1" applyFont="1" applyFill="1" applyBorder="1" applyAlignment="1" applyProtection="1">
      <alignment horizontal="left" vertical="center"/>
    </xf>
    <xf numFmtId="0" fontId="105" fillId="33" borderId="26" xfId="145" applyNumberFormat="1" applyFont="1" applyFill="1" applyBorder="1" applyAlignment="1" applyProtection="1">
      <alignment horizontal="left" vertical="center"/>
    </xf>
    <xf numFmtId="0" fontId="146" fillId="3" borderId="65" xfId="0" applyFont="1" applyFill="1" applyBorder="1" applyAlignment="1" applyProtection="1">
      <alignment horizontal="center" vertical="center"/>
    </xf>
    <xf numFmtId="0" fontId="146" fillId="3" borderId="66" xfId="0" applyFont="1" applyFill="1" applyBorder="1" applyAlignment="1" applyProtection="1">
      <alignment horizontal="center" vertical="center"/>
    </xf>
    <xf numFmtId="0" fontId="146" fillId="3" borderId="67" xfId="0" applyFont="1" applyFill="1" applyBorder="1" applyAlignment="1" applyProtection="1">
      <alignment horizontal="center" vertical="center"/>
    </xf>
    <xf numFmtId="0" fontId="155" fillId="33" borderId="0" xfId="0" applyFont="1" applyFill="1" applyBorder="1" applyAlignment="1" applyProtection="1">
      <alignment horizontal="center" vertical="center"/>
    </xf>
    <xf numFmtId="0" fontId="155" fillId="33" borderId="0" xfId="0" applyFont="1" applyFill="1" applyBorder="1" applyAlignment="1" applyProtection="1">
      <alignment horizontal="left" vertical="center"/>
    </xf>
    <xf numFmtId="182" fontId="90" fillId="4" borderId="79" xfId="0" applyNumberFormat="1" applyFont="1" applyFill="1" applyBorder="1" applyAlignment="1" applyProtection="1">
      <alignment horizontal="center" vertical="center"/>
    </xf>
    <xf numFmtId="182" fontId="90" fillId="4" borderId="80" xfId="0" applyNumberFormat="1" applyFont="1" applyFill="1" applyBorder="1" applyAlignment="1" applyProtection="1">
      <alignment horizontal="center" vertical="center"/>
    </xf>
    <xf numFmtId="182" fontId="90" fillId="4" borderId="81" xfId="0" applyNumberFormat="1" applyFont="1" applyFill="1" applyBorder="1" applyAlignment="1" applyProtection="1">
      <alignment horizontal="center" vertical="center"/>
    </xf>
    <xf numFmtId="0" fontId="181" fillId="33" borderId="78" xfId="0" applyFont="1" applyFill="1" applyBorder="1" applyAlignment="1" applyProtection="1">
      <alignment horizontal="center" vertical="center"/>
    </xf>
    <xf numFmtId="0" fontId="139" fillId="33" borderId="78" xfId="0" quotePrefix="1" applyNumberFormat="1" applyFont="1" applyFill="1" applyBorder="1" applyAlignment="1" applyProtection="1">
      <alignment horizontal="center" vertical="top" wrapText="1"/>
    </xf>
    <xf numFmtId="0" fontId="90" fillId="4" borderId="0" xfId="0" applyFont="1" applyFill="1" applyBorder="1" applyAlignment="1" applyProtection="1">
      <alignment horizontal="center" vertical="center"/>
    </xf>
    <xf numFmtId="0" fontId="90" fillId="4" borderId="79" xfId="0" applyFont="1" applyFill="1" applyBorder="1" applyAlignment="1" applyProtection="1">
      <alignment horizontal="center" vertical="center"/>
    </xf>
    <xf numFmtId="0" fontId="90" fillId="4" borderId="80" xfId="0" applyFont="1" applyFill="1" applyBorder="1" applyAlignment="1" applyProtection="1">
      <alignment horizontal="center" vertical="center"/>
    </xf>
    <xf numFmtId="0" fontId="90" fillId="4" borderId="81" xfId="0" applyFont="1" applyFill="1" applyBorder="1" applyAlignment="1" applyProtection="1">
      <alignment horizontal="center" vertical="center"/>
    </xf>
    <xf numFmtId="0" fontId="93" fillId="33" borderId="78" xfId="0" applyNumberFormat="1" applyFont="1" applyFill="1" applyBorder="1" applyAlignment="1" applyProtection="1">
      <alignment horizontal="center" vertical="center"/>
    </xf>
    <xf numFmtId="0" fontId="113" fillId="0" borderId="78" xfId="0" applyFont="1" applyFill="1" applyBorder="1" applyAlignment="1" applyProtection="1">
      <alignment horizontal="center" vertical="center"/>
    </xf>
    <xf numFmtId="0" fontId="90" fillId="33" borderId="79" xfId="0" applyNumberFormat="1" applyFont="1" applyFill="1" applyBorder="1" applyAlignment="1" applyProtection="1">
      <alignment horizontal="center" vertical="center"/>
    </xf>
    <xf numFmtId="0" fontId="90" fillId="33" borderId="80" xfId="0" applyNumberFormat="1" applyFont="1" applyFill="1" applyBorder="1" applyAlignment="1" applyProtection="1">
      <alignment horizontal="center" vertical="center"/>
    </xf>
    <xf numFmtId="0" fontId="90" fillId="33" borderId="81" xfId="0" applyNumberFormat="1" applyFont="1" applyFill="1" applyBorder="1" applyAlignment="1" applyProtection="1">
      <alignment horizontal="center" vertical="center"/>
    </xf>
    <xf numFmtId="182" fontId="90" fillId="33" borderId="78" xfId="0" applyNumberFormat="1" applyFont="1" applyFill="1" applyBorder="1" applyAlignment="1" applyProtection="1">
      <alignment horizontal="center" vertical="center"/>
    </xf>
    <xf numFmtId="0" fontId="93" fillId="33" borderId="78" xfId="0" applyFont="1" applyFill="1" applyBorder="1" applyAlignment="1" applyProtection="1">
      <alignment horizontal="center" vertical="center"/>
    </xf>
    <xf numFmtId="0" fontId="104" fillId="2" borderId="0" xfId="0" applyFont="1" applyFill="1" applyBorder="1" applyAlignment="1" applyProtection="1">
      <alignment horizontal="center" vertical="center"/>
    </xf>
    <xf numFmtId="0" fontId="90" fillId="33" borderId="78" xfId="0" applyFont="1" applyFill="1" applyBorder="1" applyAlignment="1" applyProtection="1">
      <alignment horizontal="center" vertical="center"/>
    </xf>
    <xf numFmtId="0" fontId="149" fillId="33" borderId="0" xfId="1" applyFont="1" applyFill="1" applyBorder="1" applyAlignment="1" applyProtection="1">
      <alignment horizontal="center" vertical="center"/>
    </xf>
    <xf numFmtId="0" fontId="149" fillId="33" borderId="26" xfId="1" applyFont="1" applyFill="1" applyBorder="1" applyAlignment="1" applyProtection="1">
      <alignment horizontal="center" vertical="center"/>
    </xf>
    <xf numFmtId="0" fontId="139" fillId="0" borderId="79" xfId="0" applyFont="1" applyFill="1" applyBorder="1" applyAlignment="1" applyProtection="1">
      <alignment horizontal="left" vertical="distributed"/>
    </xf>
    <xf numFmtId="0" fontId="139" fillId="0" borderId="80" xfId="0" applyFont="1" applyFill="1" applyBorder="1" applyAlignment="1" applyProtection="1">
      <alignment horizontal="left" vertical="distributed"/>
    </xf>
    <xf numFmtId="0" fontId="139" fillId="0" borderId="81" xfId="0" applyFont="1" applyFill="1" applyBorder="1" applyAlignment="1" applyProtection="1">
      <alignment horizontal="left" vertical="distributed"/>
    </xf>
    <xf numFmtId="0" fontId="192" fillId="37" borderId="79" xfId="0" applyFont="1" applyFill="1" applyBorder="1" applyAlignment="1" applyProtection="1">
      <alignment horizontal="left" vertical="center"/>
    </xf>
    <xf numFmtId="0" fontId="192" fillId="37" borderId="80" xfId="0" applyFont="1" applyFill="1" applyBorder="1" applyAlignment="1" applyProtection="1">
      <alignment horizontal="left" vertical="center"/>
    </xf>
    <xf numFmtId="0" fontId="192" fillId="37" borderId="81" xfId="0" applyFont="1" applyFill="1" applyBorder="1" applyAlignment="1" applyProtection="1">
      <alignment horizontal="left" vertical="center"/>
    </xf>
    <xf numFmtId="0" fontId="194" fillId="37" borderId="78" xfId="0" applyFont="1" applyFill="1" applyBorder="1" applyAlignment="1" applyProtection="1">
      <alignment horizontal="center" vertical="distributed"/>
    </xf>
    <xf numFmtId="0" fontId="99" fillId="37" borderId="79" xfId="0" applyFont="1" applyFill="1" applyBorder="1" applyAlignment="1" applyProtection="1">
      <alignment horizontal="left" vertical="center"/>
    </xf>
    <xf numFmtId="0" fontId="99" fillId="37" borderId="80" xfId="0" applyFont="1" applyFill="1" applyBorder="1" applyAlignment="1" applyProtection="1">
      <alignment horizontal="left" vertical="center"/>
    </xf>
    <xf numFmtId="0" fontId="99" fillId="37" borderId="81" xfId="0" applyFont="1" applyFill="1" applyBorder="1" applyAlignment="1" applyProtection="1">
      <alignment horizontal="left" vertical="center"/>
    </xf>
    <xf numFmtId="0" fontId="139" fillId="0" borderId="82" xfId="0" applyFont="1" applyFill="1" applyBorder="1" applyAlignment="1" applyProtection="1">
      <alignment horizontal="left" vertical="center" wrapText="1"/>
      <protection locked="0"/>
    </xf>
    <xf numFmtId="0" fontId="139" fillId="0" borderId="83" xfId="0" applyFont="1" applyFill="1" applyBorder="1" applyAlignment="1" applyProtection="1">
      <alignment horizontal="left" vertical="center" wrapText="1"/>
      <protection locked="0"/>
    </xf>
    <xf numFmtId="0" fontId="139" fillId="0" borderId="84" xfId="0" applyFont="1" applyFill="1" applyBorder="1" applyAlignment="1" applyProtection="1">
      <alignment horizontal="left" vertical="center" wrapText="1"/>
      <protection locked="0"/>
    </xf>
    <xf numFmtId="0" fontId="139" fillId="0" borderId="34" xfId="0" applyFont="1" applyFill="1" applyBorder="1" applyAlignment="1" applyProtection="1">
      <alignment horizontal="left" vertical="center" wrapText="1"/>
      <protection locked="0"/>
    </xf>
    <xf numFmtId="0" fontId="139" fillId="0" borderId="0" xfId="0" applyFont="1" applyFill="1" applyBorder="1" applyAlignment="1" applyProtection="1">
      <alignment horizontal="left" vertical="center" wrapText="1"/>
      <protection locked="0"/>
    </xf>
    <xf numFmtId="0" fontId="139" fillId="0" borderId="26" xfId="0" applyFont="1" applyFill="1" applyBorder="1" applyAlignment="1" applyProtection="1">
      <alignment horizontal="left" vertical="center" wrapText="1"/>
      <protection locked="0"/>
    </xf>
    <xf numFmtId="0" fontId="139" fillId="0" borderId="30" xfId="0" applyFont="1" applyFill="1" applyBorder="1" applyAlignment="1" applyProtection="1">
      <alignment horizontal="left" vertical="center" wrapText="1"/>
      <protection locked="0"/>
    </xf>
    <xf numFmtId="0" fontId="139" fillId="0" borderId="19" xfId="0" applyFont="1" applyFill="1" applyBorder="1" applyAlignment="1" applyProtection="1">
      <alignment horizontal="left" vertical="center" wrapText="1"/>
      <protection locked="0"/>
    </xf>
    <xf numFmtId="0" fontId="139" fillId="0" borderId="28" xfId="0" applyFont="1" applyFill="1" applyBorder="1" applyAlignment="1" applyProtection="1">
      <alignment horizontal="left" vertical="center" wrapText="1"/>
      <protection locked="0"/>
    </xf>
    <xf numFmtId="0" fontId="130" fillId="2" borderId="0" xfId="0" applyFont="1" applyFill="1" applyBorder="1" applyAlignment="1" applyProtection="1">
      <alignment horizontal="center" textRotation="90"/>
    </xf>
    <xf numFmtId="0" fontId="105" fillId="2" borderId="0" xfId="0" applyFont="1" applyFill="1" applyBorder="1" applyAlignment="1" applyProtection="1">
      <alignment horizontal="center" vertical="center"/>
    </xf>
    <xf numFmtId="0" fontId="95" fillId="37" borderId="79" xfId="0" applyFont="1" applyFill="1" applyBorder="1" applyAlignment="1" applyProtection="1">
      <alignment horizontal="center" vertical="distributed"/>
    </xf>
    <xf numFmtId="0" fontId="95" fillId="37" borderId="80" xfId="0" applyFont="1" applyFill="1" applyBorder="1" applyAlignment="1" applyProtection="1">
      <alignment horizontal="center" vertical="distributed"/>
    </xf>
    <xf numFmtId="0" fontId="95" fillId="37" borderId="81" xfId="0" applyFont="1" applyFill="1" applyBorder="1" applyAlignment="1" applyProtection="1">
      <alignment horizontal="center" vertical="distributed"/>
    </xf>
    <xf numFmtId="0" fontId="105" fillId="37" borderId="78" xfId="0" applyFont="1" applyFill="1" applyBorder="1" applyAlignment="1" applyProtection="1">
      <alignment horizontal="center" vertical="center"/>
    </xf>
    <xf numFmtId="0" fontId="113" fillId="4" borderId="79" xfId="0" applyFont="1" applyFill="1" applyBorder="1" applyAlignment="1" applyProtection="1">
      <alignment horizontal="left" vertical="center"/>
    </xf>
    <xf numFmtId="0" fontId="113" fillId="4" borderId="80" xfId="0" applyFont="1" applyFill="1" applyBorder="1" applyAlignment="1" applyProtection="1">
      <alignment horizontal="left" vertical="center"/>
    </xf>
    <xf numFmtId="0" fontId="113" fillId="4" borderId="81" xfId="0" applyFont="1" applyFill="1" applyBorder="1" applyAlignment="1" applyProtection="1">
      <alignment horizontal="left" vertical="center"/>
    </xf>
    <xf numFmtId="0" fontId="93" fillId="0" borderId="78" xfId="0" applyFont="1" applyFill="1" applyBorder="1" applyAlignment="1" applyProtection="1">
      <alignment horizontal="left" vertical="center" wrapText="1"/>
    </xf>
    <xf numFmtId="0" fontId="100" fillId="33" borderId="83" xfId="0" applyFont="1" applyFill="1" applyBorder="1" applyAlignment="1" applyProtection="1">
      <alignment horizontal="center" vertical="center"/>
    </xf>
    <xf numFmtId="0" fontId="105" fillId="37" borderId="79" xfId="0" applyFont="1" applyFill="1" applyBorder="1" applyAlignment="1" applyProtection="1">
      <alignment horizontal="center" vertical="distributed"/>
    </xf>
    <xf numFmtId="0" fontId="105" fillId="37" borderId="80" xfId="0" applyFont="1" applyFill="1" applyBorder="1" applyAlignment="1" applyProtection="1">
      <alignment horizontal="center" vertical="distributed"/>
    </xf>
    <xf numFmtId="0" fontId="105" fillId="37" borderId="81" xfId="0" applyFont="1" applyFill="1" applyBorder="1" applyAlignment="1" applyProtection="1">
      <alignment horizontal="center" vertical="distributed"/>
    </xf>
    <xf numFmtId="0" fontId="139" fillId="0" borderId="82" xfId="0" applyFont="1" applyFill="1" applyBorder="1" applyAlignment="1" applyProtection="1">
      <alignment horizontal="center" vertical="center"/>
    </xf>
    <xf numFmtId="0" fontId="139" fillId="0" borderId="83" xfId="0" applyFont="1" applyFill="1" applyBorder="1" applyAlignment="1" applyProtection="1">
      <alignment horizontal="center" vertical="center"/>
    </xf>
    <xf numFmtId="0" fontId="139" fillId="0" borderId="84" xfId="0" applyFont="1" applyFill="1" applyBorder="1" applyAlignment="1" applyProtection="1">
      <alignment horizontal="center" vertical="center"/>
    </xf>
    <xf numFmtId="0" fontId="139" fillId="0" borderId="34" xfId="0" applyFont="1" applyFill="1" applyBorder="1" applyAlignment="1" applyProtection="1">
      <alignment horizontal="center" vertical="center"/>
    </xf>
    <xf numFmtId="0" fontId="139" fillId="0" borderId="0" xfId="0" applyFont="1" applyFill="1" applyBorder="1" applyAlignment="1" applyProtection="1">
      <alignment horizontal="center" vertical="center"/>
    </xf>
    <xf numFmtId="0" fontId="139" fillId="0" borderId="26" xfId="0" applyFont="1" applyFill="1" applyBorder="1" applyAlignment="1" applyProtection="1">
      <alignment horizontal="center" vertical="center"/>
    </xf>
    <xf numFmtId="0" fontId="139" fillId="0" borderId="30" xfId="0" applyFont="1" applyFill="1" applyBorder="1" applyAlignment="1" applyProtection="1">
      <alignment horizontal="center" vertical="center"/>
    </xf>
    <xf numFmtId="0" fontId="139" fillId="0" borderId="19" xfId="0" applyFont="1" applyFill="1" applyBorder="1" applyAlignment="1" applyProtection="1">
      <alignment horizontal="center" vertical="center"/>
    </xf>
    <xf numFmtId="0" fontId="139" fillId="0" borderId="28" xfId="0" applyFont="1" applyFill="1" applyBorder="1" applyAlignment="1" applyProtection="1">
      <alignment horizontal="center" vertical="center"/>
    </xf>
    <xf numFmtId="0" fontId="123" fillId="37" borderId="78" xfId="0" applyFont="1" applyFill="1" applyBorder="1" applyAlignment="1" applyProtection="1">
      <alignment horizontal="center" vertical="top" wrapText="1"/>
    </xf>
    <xf numFmtId="0" fontId="95" fillId="37" borderId="78" xfId="0" applyFont="1" applyFill="1" applyBorder="1" applyAlignment="1" applyProtection="1">
      <alignment horizontal="center" vertical="center" textRotation="90"/>
    </xf>
    <xf numFmtId="0" fontId="113" fillId="33" borderId="78" xfId="0" quotePrefix="1" applyFont="1" applyFill="1" applyBorder="1" applyAlignment="1" applyProtection="1">
      <alignment horizontal="left" vertical="distributed" wrapText="1"/>
    </xf>
    <xf numFmtId="0" fontId="95" fillId="33" borderId="0" xfId="0" applyFont="1" applyFill="1" applyBorder="1" applyAlignment="1" applyProtection="1">
      <alignment horizontal="center" vertical="center"/>
    </xf>
    <xf numFmtId="0" fontId="118" fillId="33" borderId="0" xfId="0" applyFont="1" applyFill="1" applyBorder="1" applyAlignment="1" applyProtection="1">
      <alignment horizontal="center" vertical="center"/>
    </xf>
    <xf numFmtId="14" fontId="122" fillId="33" borderId="79" xfId="0" quotePrefix="1" applyNumberFormat="1" applyFont="1" applyFill="1" applyBorder="1" applyAlignment="1" applyProtection="1">
      <alignment horizontal="center" vertical="center" wrapText="1"/>
    </xf>
    <xf numFmtId="14" fontId="122" fillId="33" borderId="80" xfId="0" quotePrefix="1" applyNumberFormat="1" applyFont="1" applyFill="1" applyBorder="1" applyAlignment="1" applyProtection="1">
      <alignment horizontal="center" vertical="center" wrapText="1"/>
    </xf>
    <xf numFmtId="14" fontId="122" fillId="33" borderId="81" xfId="0" quotePrefix="1" applyNumberFormat="1" applyFont="1" applyFill="1" applyBorder="1" applyAlignment="1" applyProtection="1">
      <alignment horizontal="center" vertical="center" wrapText="1"/>
    </xf>
    <xf numFmtId="182" fontId="122" fillId="33" borderId="78" xfId="0" applyNumberFormat="1" applyFont="1" applyFill="1" applyBorder="1" applyAlignment="1" applyProtection="1">
      <alignment horizontal="center" vertical="distributed"/>
    </xf>
    <xf numFmtId="0" fontId="113" fillId="33" borderId="78" xfId="0" applyNumberFormat="1" applyFont="1" applyFill="1" applyBorder="1" applyAlignment="1" applyProtection="1">
      <alignment horizontal="center" vertical="distributed"/>
    </xf>
    <xf numFmtId="0" fontId="131" fillId="33" borderId="0" xfId="0" applyFont="1" applyFill="1" applyBorder="1" applyAlignment="1" applyProtection="1">
      <alignment horizontal="center" vertical="center"/>
    </xf>
    <xf numFmtId="0" fontId="122" fillId="33" borderId="78" xfId="0" applyNumberFormat="1" applyFont="1" applyFill="1" applyBorder="1" applyAlignment="1" applyProtection="1">
      <alignment horizontal="center" vertical="distributed"/>
    </xf>
    <xf numFmtId="0" fontId="96" fillId="37" borderId="85" xfId="0" applyFont="1" applyFill="1" applyBorder="1" applyAlignment="1" applyProtection="1">
      <alignment horizontal="center" textRotation="90"/>
    </xf>
    <xf numFmtId="0" fontId="96" fillId="37" borderId="64" xfId="0" applyFont="1" applyFill="1" applyBorder="1" applyAlignment="1" applyProtection="1">
      <alignment horizontal="center" textRotation="90"/>
    </xf>
    <xf numFmtId="0" fontId="96" fillId="37" borderId="76" xfId="0" applyFont="1" applyFill="1" applyBorder="1" applyAlignment="1" applyProtection="1">
      <alignment horizontal="center" textRotation="90"/>
    </xf>
    <xf numFmtId="0" fontId="96" fillId="37" borderId="85" xfId="0" applyFont="1" applyFill="1" applyBorder="1" applyAlignment="1" applyProtection="1">
      <alignment horizontal="center" vertical="center" textRotation="90"/>
    </xf>
    <xf numFmtId="0" fontId="96" fillId="37" borderId="64" xfId="0" applyFont="1" applyFill="1" applyBorder="1" applyAlignment="1" applyProtection="1">
      <alignment horizontal="center" vertical="center" textRotation="90"/>
    </xf>
    <xf numFmtId="0" fontId="96" fillId="37" borderId="76" xfId="0" applyFont="1" applyFill="1" applyBorder="1" applyAlignment="1" applyProtection="1">
      <alignment horizontal="center" vertical="center" textRotation="90"/>
    </xf>
    <xf numFmtId="0" fontId="113" fillId="33" borderId="78" xfId="0" applyFont="1" applyFill="1" applyBorder="1" applyAlignment="1" applyProtection="1">
      <alignment horizontal="left" vertical="center"/>
      <protection locked="0"/>
    </xf>
    <xf numFmtId="0" fontId="113" fillId="33" borderId="78" xfId="0" applyFont="1" applyFill="1" applyBorder="1" applyAlignment="1" applyProtection="1">
      <alignment horizontal="left" vertical="center" wrapText="1"/>
      <protection locked="0"/>
    </xf>
    <xf numFmtId="0" fontId="113" fillId="33" borderId="78" xfId="0" applyFont="1" applyFill="1" applyBorder="1" applyAlignment="1" applyProtection="1">
      <alignment horizontal="center" vertical="center"/>
      <protection locked="0"/>
    </xf>
    <xf numFmtId="182" fontId="113" fillId="33" borderId="78" xfId="0" applyNumberFormat="1" applyFont="1" applyFill="1" applyBorder="1" applyAlignment="1" applyProtection="1">
      <alignment horizontal="center" vertical="center"/>
      <protection locked="0"/>
    </xf>
    <xf numFmtId="0" fontId="93" fillId="33" borderId="31" xfId="0" applyFont="1" applyFill="1" applyBorder="1" applyAlignment="1" applyProtection="1">
      <alignment horizontal="center" vertical="center" wrapText="1"/>
      <protection locked="0"/>
    </xf>
    <xf numFmtId="0" fontId="93" fillId="33" borderId="16" xfId="0" applyFont="1" applyFill="1" applyBorder="1" applyAlignment="1" applyProtection="1">
      <alignment horizontal="center" vertical="center" wrapText="1"/>
      <protection locked="0"/>
    </xf>
    <xf numFmtId="0" fontId="93" fillId="33" borderId="33" xfId="0" applyFont="1" applyFill="1" applyBorder="1" applyAlignment="1" applyProtection="1">
      <alignment horizontal="center" vertical="center" wrapText="1"/>
      <protection locked="0"/>
    </xf>
    <xf numFmtId="182" fontId="93" fillId="0" borderId="78" xfId="0" applyNumberFormat="1" applyFont="1" applyBorder="1" applyAlignment="1" applyProtection="1">
      <alignment horizontal="center" vertical="center"/>
      <protection locked="0"/>
    </xf>
    <xf numFmtId="0" fontId="100" fillId="37" borderId="33" xfId="0" applyFont="1" applyFill="1" applyBorder="1" applyAlignment="1" applyProtection="1">
      <alignment horizontal="center" vertical="center"/>
    </xf>
    <xf numFmtId="0" fontId="113" fillId="33" borderId="30" xfId="0" applyFont="1" applyFill="1" applyBorder="1" applyAlignment="1" applyProtection="1">
      <alignment horizontal="center" vertical="center"/>
      <protection locked="0"/>
    </xf>
    <xf numFmtId="0" fontId="113" fillId="33" borderId="19" xfId="0" applyFont="1" applyFill="1" applyBorder="1" applyAlignment="1" applyProtection="1">
      <alignment horizontal="center" vertical="center"/>
      <protection locked="0"/>
    </xf>
    <xf numFmtId="0" fontId="113" fillId="33" borderId="28" xfId="0" applyFont="1" applyFill="1" applyBorder="1" applyAlignment="1" applyProtection="1">
      <alignment horizontal="center" vertical="center"/>
      <protection locked="0"/>
    </xf>
    <xf numFmtId="14" fontId="113" fillId="33" borderId="78" xfId="0" applyNumberFormat="1" applyFont="1" applyFill="1" applyBorder="1" applyAlignment="1" applyProtection="1">
      <alignment horizontal="center" vertical="center"/>
      <protection locked="0"/>
    </xf>
    <xf numFmtId="0" fontId="113" fillId="0" borderId="78" xfId="0" applyFont="1" applyFill="1" applyBorder="1" applyAlignment="1" applyProtection="1">
      <alignment horizontal="left" vertical="center"/>
      <protection locked="0"/>
    </xf>
    <xf numFmtId="0" fontId="93" fillId="33" borderId="78" xfId="0" applyFont="1" applyFill="1" applyBorder="1" applyAlignment="1" applyProtection="1">
      <alignment horizontal="center" vertical="center"/>
      <protection locked="0"/>
    </xf>
    <xf numFmtId="0" fontId="197" fillId="37" borderId="79" xfId="0" applyFont="1" applyFill="1" applyBorder="1" applyAlignment="1" applyProtection="1">
      <alignment horizontal="center" vertical="center"/>
    </xf>
    <xf numFmtId="0" fontId="197" fillId="37" borderId="80" xfId="0" applyFont="1" applyFill="1" applyBorder="1" applyAlignment="1" applyProtection="1">
      <alignment horizontal="center" vertical="center"/>
    </xf>
    <xf numFmtId="0" fontId="197" fillId="37" borderId="81" xfId="0" applyFont="1" applyFill="1" applyBorder="1" applyAlignment="1" applyProtection="1">
      <alignment horizontal="center" vertical="center"/>
    </xf>
    <xf numFmtId="0" fontId="90" fillId="33" borderId="78" xfId="0" applyFont="1" applyFill="1" applyBorder="1" applyAlignment="1" applyProtection="1">
      <alignment horizontal="center" vertical="center"/>
      <protection locked="0"/>
    </xf>
    <xf numFmtId="0" fontId="113" fillId="33" borderId="31" xfId="0" applyFont="1" applyFill="1" applyBorder="1" applyAlignment="1" applyProtection="1">
      <alignment horizontal="center" vertical="center"/>
      <protection locked="0"/>
    </xf>
    <xf numFmtId="0" fontId="113" fillId="33" borderId="16" xfId="0" applyFont="1" applyFill="1" applyBorder="1" applyAlignment="1" applyProtection="1">
      <alignment horizontal="center" vertical="center"/>
      <protection locked="0"/>
    </xf>
    <xf numFmtId="0" fontId="113" fillId="33" borderId="33" xfId="0" applyFont="1" applyFill="1" applyBorder="1" applyAlignment="1" applyProtection="1">
      <alignment horizontal="center" vertical="center"/>
      <protection locked="0"/>
    </xf>
    <xf numFmtId="0" fontId="113" fillId="33" borderId="80" xfId="0" applyFont="1" applyFill="1" applyBorder="1" applyAlignment="1" applyProtection="1">
      <alignment horizontal="left" vertical="center"/>
      <protection locked="0"/>
    </xf>
    <xf numFmtId="182" fontId="139" fillId="0" borderId="79" xfId="0" applyNumberFormat="1" applyFont="1" applyFill="1" applyBorder="1" applyAlignment="1" applyProtection="1">
      <alignment horizontal="center" vertical="center"/>
      <protection locked="0"/>
    </xf>
    <xf numFmtId="182" fontId="139" fillId="0" borderId="80" xfId="0" applyNumberFormat="1" applyFont="1" applyFill="1" applyBorder="1" applyAlignment="1" applyProtection="1">
      <alignment horizontal="center" vertical="center"/>
      <protection locked="0"/>
    </xf>
    <xf numFmtId="182" fontId="139" fillId="0" borderId="81" xfId="0" applyNumberFormat="1" applyFont="1" applyFill="1" applyBorder="1" applyAlignment="1" applyProtection="1">
      <alignment horizontal="center" vertical="center"/>
      <protection locked="0"/>
    </xf>
    <xf numFmtId="0" fontId="139" fillId="0" borderId="78" xfId="0" applyFont="1" applyFill="1" applyBorder="1" applyAlignment="1" applyProtection="1">
      <alignment horizontal="center" vertical="center"/>
      <protection locked="0"/>
    </xf>
    <xf numFmtId="0" fontId="139" fillId="0" borderId="79" xfId="0" applyFont="1" applyFill="1" applyBorder="1" applyAlignment="1" applyProtection="1">
      <alignment horizontal="center" vertical="center"/>
      <protection locked="0"/>
    </xf>
    <xf numFmtId="0" fontId="139" fillId="0" borderId="80" xfId="0" applyFont="1" applyFill="1" applyBorder="1" applyAlignment="1" applyProtection="1">
      <alignment horizontal="center" vertical="center"/>
      <protection locked="0"/>
    </xf>
    <xf numFmtId="0" fontId="139" fillId="0" borderId="81" xfId="0" applyFont="1" applyFill="1" applyBorder="1" applyAlignment="1" applyProtection="1">
      <alignment horizontal="center" vertical="center"/>
      <protection locked="0"/>
    </xf>
    <xf numFmtId="0" fontId="131" fillId="37" borderId="79" xfId="0" applyFont="1" applyFill="1" applyBorder="1" applyAlignment="1" applyProtection="1">
      <alignment vertical="center"/>
    </xf>
    <xf numFmtId="0" fontId="131" fillId="37" borderId="80" xfId="0" applyFont="1" applyFill="1" applyBorder="1" applyAlignment="1" applyProtection="1">
      <alignment vertical="center"/>
    </xf>
    <xf numFmtId="0" fontId="131" fillId="37" borderId="81" xfId="0" applyFont="1" applyFill="1" applyBorder="1" applyAlignment="1" applyProtection="1">
      <alignment vertical="center"/>
    </xf>
    <xf numFmtId="0" fontId="139" fillId="0" borderId="82" xfId="0" applyFont="1" applyFill="1" applyBorder="1" applyAlignment="1" applyProtection="1">
      <alignment horizontal="center" vertical="center"/>
      <protection locked="0"/>
    </xf>
    <xf numFmtId="0" fontId="139" fillId="0" borderId="83" xfId="0" applyFont="1" applyFill="1" applyBorder="1" applyAlignment="1" applyProtection="1">
      <alignment horizontal="center" vertical="center"/>
      <protection locked="0"/>
    </xf>
    <xf numFmtId="0" fontId="139" fillId="0" borderId="84" xfId="0" applyFont="1" applyFill="1" applyBorder="1" applyAlignment="1" applyProtection="1">
      <alignment horizontal="center" vertical="center"/>
      <protection locked="0"/>
    </xf>
    <xf numFmtId="0" fontId="139" fillId="0" borderId="34" xfId="0" applyFont="1" applyFill="1" applyBorder="1" applyAlignment="1" applyProtection="1">
      <alignment horizontal="center" vertical="center"/>
      <protection locked="0"/>
    </xf>
    <xf numFmtId="0" fontId="139" fillId="0" borderId="0" xfId="0" applyFont="1" applyFill="1" applyBorder="1" applyAlignment="1" applyProtection="1">
      <alignment horizontal="center" vertical="center"/>
      <protection locked="0"/>
    </xf>
    <xf numFmtId="0" fontId="139" fillId="0" borderId="26" xfId="0" applyFont="1" applyFill="1" applyBorder="1" applyAlignment="1" applyProtection="1">
      <alignment horizontal="center" vertical="center"/>
      <protection locked="0"/>
    </xf>
    <xf numFmtId="0" fontId="139" fillId="0" borderId="30" xfId="0" applyFont="1" applyFill="1" applyBorder="1" applyAlignment="1" applyProtection="1">
      <alignment horizontal="center" vertical="center"/>
      <protection locked="0"/>
    </xf>
    <xf numFmtId="0" fontId="139" fillId="0" borderId="19" xfId="0" applyFont="1" applyFill="1" applyBorder="1" applyAlignment="1" applyProtection="1">
      <alignment horizontal="center" vertical="center"/>
      <protection locked="0"/>
    </xf>
    <xf numFmtId="0" fontId="139" fillId="0" borderId="28" xfId="0" applyFont="1" applyFill="1" applyBorder="1" applyAlignment="1" applyProtection="1">
      <alignment horizontal="center" vertical="center"/>
      <protection locked="0"/>
    </xf>
    <xf numFmtId="182" fontId="93" fillId="33" borderId="78" xfId="0" applyNumberFormat="1" applyFont="1" applyFill="1" applyBorder="1" applyAlignment="1" applyProtection="1">
      <alignment horizontal="center" vertical="center"/>
      <protection locked="0"/>
    </xf>
    <xf numFmtId="0" fontId="125" fillId="37" borderId="78" xfId="0" applyFont="1" applyFill="1" applyBorder="1" applyAlignment="1" applyProtection="1">
      <alignment horizontal="center" vertical="top" wrapText="1"/>
    </xf>
    <xf numFmtId="176" fontId="86" fillId="37" borderId="31" xfId="0" applyNumberFormat="1" applyFont="1" applyFill="1" applyBorder="1" applyAlignment="1" applyProtection="1">
      <alignment horizontal="center" vertical="distributed"/>
    </xf>
    <xf numFmtId="176" fontId="86" fillId="37" borderId="16" xfId="0" applyNumberFormat="1" applyFont="1" applyFill="1" applyBorder="1" applyAlignment="1" applyProtection="1">
      <alignment horizontal="center" vertical="distributed"/>
    </xf>
    <xf numFmtId="176" fontId="86" fillId="37" borderId="33" xfId="0" applyNumberFormat="1" applyFont="1" applyFill="1" applyBorder="1" applyAlignment="1" applyProtection="1">
      <alignment horizontal="center" vertical="distributed"/>
    </xf>
    <xf numFmtId="176" fontId="139" fillId="37" borderId="78" xfId="0" applyNumberFormat="1" applyFont="1" applyFill="1" applyBorder="1" applyAlignment="1" applyProtection="1">
      <alignment horizontal="left" vertical="distributed"/>
    </xf>
    <xf numFmtId="0" fontId="139" fillId="0" borderId="78" xfId="0" applyFont="1" applyFill="1" applyBorder="1" applyAlignment="1" applyProtection="1">
      <alignment horizontal="left" vertical="distributed"/>
      <protection locked="0"/>
    </xf>
    <xf numFmtId="0" fontId="86" fillId="0" borderId="78" xfId="0" applyFont="1" applyFill="1" applyBorder="1" applyAlignment="1" applyProtection="1">
      <alignment horizontal="center" vertical="center"/>
      <protection locked="0"/>
    </xf>
    <xf numFmtId="182" fontId="139" fillId="0" borderId="78" xfId="0" applyNumberFormat="1" applyFont="1" applyFill="1" applyBorder="1" applyAlignment="1" applyProtection="1">
      <alignment horizontal="center" vertical="center"/>
      <protection locked="0"/>
    </xf>
    <xf numFmtId="0" fontId="86" fillId="0" borderId="79" xfId="0" applyFont="1" applyFill="1" applyBorder="1" applyAlignment="1" applyProtection="1">
      <alignment horizontal="center" vertical="center"/>
      <protection locked="0"/>
    </xf>
    <xf numFmtId="0" fontId="86" fillId="0" borderId="80" xfId="0" applyFont="1" applyFill="1" applyBorder="1" applyAlignment="1" applyProtection="1">
      <alignment horizontal="center" vertical="center"/>
      <protection locked="0"/>
    </xf>
    <xf numFmtId="0" fontId="86" fillId="0" borderId="81" xfId="0" applyFont="1" applyFill="1" applyBorder="1" applyAlignment="1" applyProtection="1">
      <alignment horizontal="center" vertical="center"/>
      <protection locked="0"/>
    </xf>
    <xf numFmtId="0" fontId="196" fillId="33" borderId="78" xfId="0" applyFont="1" applyFill="1" applyBorder="1" applyAlignment="1" applyProtection="1">
      <alignment horizontal="center" vertical="center"/>
      <protection locked="0"/>
    </xf>
    <xf numFmtId="176" fontId="86" fillId="37" borderId="31" xfId="0" quotePrefix="1" applyNumberFormat="1" applyFont="1" applyFill="1" applyBorder="1" applyAlignment="1" applyProtection="1">
      <alignment horizontal="center" vertical="distributed"/>
    </xf>
    <xf numFmtId="0" fontId="197" fillId="33" borderId="0" xfId="0" applyFont="1" applyFill="1" applyBorder="1" applyAlignment="1" applyProtection="1">
      <alignment horizontal="center"/>
    </xf>
    <xf numFmtId="0" fontId="139" fillId="0" borderId="78" xfId="0" applyFont="1" applyFill="1" applyBorder="1" applyAlignment="1" applyProtection="1">
      <alignment horizontal="center" vertical="distributed"/>
      <protection locked="0"/>
    </xf>
    <xf numFmtId="0" fontId="139" fillId="0" borderId="79" xfId="0" applyFont="1" applyFill="1" applyBorder="1" applyAlignment="1" applyProtection="1">
      <alignment horizontal="center" vertical="distributed"/>
      <protection locked="0"/>
    </xf>
    <xf numFmtId="0" fontId="139" fillId="0" borderId="80" xfId="0" applyFont="1" applyFill="1" applyBorder="1" applyAlignment="1" applyProtection="1">
      <alignment horizontal="center" vertical="distributed"/>
      <protection locked="0"/>
    </xf>
    <xf numFmtId="0" fontId="139" fillId="0" borderId="81" xfId="0" applyFont="1" applyFill="1" applyBorder="1" applyAlignment="1" applyProtection="1">
      <alignment horizontal="center" vertical="distributed"/>
      <protection locked="0"/>
    </xf>
    <xf numFmtId="0" fontId="118" fillId="0" borderId="31" xfId="0" quotePrefix="1" applyFont="1" applyFill="1" applyBorder="1" applyAlignment="1" applyProtection="1">
      <alignment horizontal="center" vertical="center" wrapText="1"/>
      <protection locked="0"/>
    </xf>
    <xf numFmtId="0" fontId="118" fillId="0" borderId="16" xfId="0" quotePrefix="1" applyFont="1" applyFill="1" applyBorder="1" applyAlignment="1" applyProtection="1">
      <alignment horizontal="center" vertical="center" wrapText="1"/>
      <protection locked="0"/>
    </xf>
    <xf numFmtId="0" fontId="118" fillId="0" borderId="33" xfId="0" quotePrefix="1" applyFont="1" applyFill="1" applyBorder="1" applyAlignment="1" applyProtection="1">
      <alignment horizontal="center" vertical="center" wrapText="1"/>
      <protection locked="0"/>
    </xf>
    <xf numFmtId="0" fontId="139" fillId="0" borderId="79" xfId="0" applyFont="1" applyFill="1" applyBorder="1" applyAlignment="1" applyProtection="1">
      <alignment horizontal="left" vertical="distributed"/>
      <protection locked="0"/>
    </xf>
    <xf numFmtId="0" fontId="139" fillId="0" borderId="80" xfId="0" applyFont="1" applyFill="1" applyBorder="1" applyAlignment="1" applyProtection="1">
      <alignment horizontal="left" vertical="distributed"/>
      <protection locked="0"/>
    </xf>
    <xf numFmtId="0" fontId="139" fillId="0" borderId="81" xfId="0" applyFont="1" applyFill="1" applyBorder="1" applyAlignment="1" applyProtection="1">
      <alignment horizontal="left" vertical="distributed"/>
      <protection locked="0"/>
    </xf>
    <xf numFmtId="0" fontId="104" fillId="2" borderId="0" xfId="0" applyFont="1" applyFill="1" applyBorder="1" applyAlignment="1" applyProtection="1">
      <alignment horizontal="center" vertical="center" textRotation="90"/>
    </xf>
    <xf numFmtId="0" fontId="101" fillId="0" borderId="82" xfId="0" applyNumberFormat="1" applyFont="1" applyFill="1" applyBorder="1" applyAlignment="1" applyProtection="1">
      <alignment horizontal="left" vertical="center" wrapText="1"/>
      <protection locked="0"/>
    </xf>
    <xf numFmtId="0" fontId="101" fillId="0" borderId="83" xfId="0" applyNumberFormat="1" applyFont="1" applyFill="1" applyBorder="1" applyAlignment="1" applyProtection="1">
      <alignment horizontal="left" vertical="center" wrapText="1"/>
      <protection locked="0"/>
    </xf>
    <xf numFmtId="0" fontId="101" fillId="0" borderId="84" xfId="0" applyNumberFormat="1" applyFont="1" applyFill="1" applyBorder="1" applyAlignment="1" applyProtection="1">
      <alignment horizontal="left" vertical="center" wrapText="1"/>
      <protection locked="0"/>
    </xf>
    <xf numFmtId="0" fontId="101" fillId="0" borderId="34" xfId="0" applyNumberFormat="1" applyFont="1" applyFill="1" applyBorder="1" applyAlignment="1" applyProtection="1">
      <alignment horizontal="left" vertical="center" wrapText="1"/>
      <protection locked="0"/>
    </xf>
    <xf numFmtId="0" fontId="101" fillId="0" borderId="0" xfId="0" applyNumberFormat="1" applyFont="1" applyFill="1" applyBorder="1" applyAlignment="1" applyProtection="1">
      <alignment horizontal="left" vertical="center" wrapText="1"/>
      <protection locked="0"/>
    </xf>
    <xf numFmtId="0" fontId="101" fillId="0" borderId="26" xfId="0" applyNumberFormat="1" applyFont="1" applyFill="1" applyBorder="1" applyAlignment="1" applyProtection="1">
      <alignment horizontal="left" vertical="center" wrapText="1"/>
      <protection locked="0"/>
    </xf>
    <xf numFmtId="0" fontId="101" fillId="0" borderId="30" xfId="0" applyNumberFormat="1" applyFont="1" applyFill="1" applyBorder="1" applyAlignment="1" applyProtection="1">
      <alignment horizontal="left" vertical="center" wrapText="1"/>
      <protection locked="0"/>
    </xf>
    <xf numFmtId="0" fontId="101" fillId="0" borderId="19" xfId="0" applyNumberFormat="1" applyFont="1" applyFill="1" applyBorder="1" applyAlignment="1" applyProtection="1">
      <alignment horizontal="left" vertical="center" wrapText="1"/>
      <protection locked="0"/>
    </xf>
    <xf numFmtId="0" fontId="101" fillId="0" borderId="28" xfId="0" applyNumberFormat="1" applyFont="1" applyFill="1" applyBorder="1" applyAlignment="1" applyProtection="1">
      <alignment horizontal="left" vertical="center" wrapText="1"/>
      <protection locked="0"/>
    </xf>
    <xf numFmtId="0" fontId="113" fillId="0" borderId="82" xfId="0" applyFont="1" applyFill="1" applyBorder="1" applyAlignment="1" applyProtection="1">
      <alignment horizontal="left" vertical="center" wrapText="1"/>
      <protection locked="0"/>
    </xf>
    <xf numFmtId="0" fontId="113" fillId="0" borderId="83" xfId="0" applyFont="1" applyFill="1" applyBorder="1" applyAlignment="1" applyProtection="1">
      <alignment horizontal="left" vertical="center"/>
      <protection locked="0"/>
    </xf>
    <xf numFmtId="0" fontId="113" fillId="0" borderId="84" xfId="0" applyFont="1" applyFill="1" applyBorder="1" applyAlignment="1" applyProtection="1">
      <alignment horizontal="left" vertical="center"/>
      <protection locked="0"/>
    </xf>
    <xf numFmtId="0" fontId="113" fillId="0" borderId="34" xfId="0" applyFont="1" applyFill="1" applyBorder="1" applyAlignment="1" applyProtection="1">
      <alignment horizontal="left" vertical="center"/>
      <protection locked="0"/>
    </xf>
    <xf numFmtId="0" fontId="113" fillId="0" borderId="0" xfId="0" applyFont="1" applyFill="1" applyBorder="1" applyAlignment="1" applyProtection="1">
      <alignment horizontal="left" vertical="center"/>
      <protection locked="0"/>
    </xf>
    <xf numFmtId="0" fontId="113" fillId="0" borderId="26" xfId="0" applyFont="1" applyFill="1" applyBorder="1" applyAlignment="1" applyProtection="1">
      <alignment horizontal="left" vertical="center"/>
      <protection locked="0"/>
    </xf>
    <xf numFmtId="0" fontId="113" fillId="0" borderId="30" xfId="0" applyFont="1" applyFill="1" applyBorder="1" applyAlignment="1" applyProtection="1">
      <alignment horizontal="left" vertical="center"/>
      <protection locked="0"/>
    </xf>
    <xf numFmtId="0" fontId="113" fillId="0" borderId="19" xfId="0" applyFont="1" applyFill="1" applyBorder="1" applyAlignment="1" applyProtection="1">
      <alignment horizontal="left" vertical="center"/>
      <protection locked="0"/>
    </xf>
    <xf numFmtId="0" fontId="113" fillId="0" borderId="28" xfId="0" applyFont="1" applyFill="1" applyBorder="1" applyAlignment="1" applyProtection="1">
      <alignment horizontal="left" vertical="center"/>
      <protection locked="0"/>
    </xf>
    <xf numFmtId="0" fontId="113" fillId="0" borderId="82" xfId="0" applyFont="1" applyFill="1" applyBorder="1" applyAlignment="1" applyProtection="1">
      <alignment horizontal="left" vertical="distributed" wrapText="1"/>
      <protection locked="0"/>
    </xf>
    <xf numFmtId="0" fontId="113" fillId="0" borderId="83" xfId="0" applyFont="1" applyFill="1" applyBorder="1" applyAlignment="1" applyProtection="1">
      <alignment horizontal="left" vertical="distributed" wrapText="1"/>
      <protection locked="0"/>
    </xf>
    <xf numFmtId="0" fontId="113" fillId="0" borderId="84" xfId="0" applyFont="1" applyFill="1" applyBorder="1" applyAlignment="1" applyProtection="1">
      <alignment horizontal="left" vertical="distributed" wrapText="1"/>
      <protection locked="0"/>
    </xf>
    <xf numFmtId="0" fontId="113" fillId="0" borderId="34" xfId="0" applyFont="1" applyFill="1" applyBorder="1" applyAlignment="1" applyProtection="1">
      <alignment horizontal="left" vertical="distributed" wrapText="1"/>
      <protection locked="0"/>
    </xf>
    <xf numFmtId="0" fontId="113" fillId="0" borderId="0" xfId="0" applyFont="1" applyFill="1" applyBorder="1" applyAlignment="1" applyProtection="1">
      <alignment horizontal="left" vertical="distributed" wrapText="1"/>
      <protection locked="0"/>
    </xf>
    <xf numFmtId="0" fontId="113" fillId="0" borderId="26" xfId="0" applyFont="1" applyFill="1" applyBorder="1" applyAlignment="1" applyProtection="1">
      <alignment horizontal="left" vertical="distributed" wrapText="1"/>
      <protection locked="0"/>
    </xf>
    <xf numFmtId="0" fontId="113" fillId="0" borderId="30" xfId="0" applyFont="1" applyFill="1" applyBorder="1" applyAlignment="1" applyProtection="1">
      <alignment horizontal="left" vertical="distributed" wrapText="1"/>
      <protection locked="0"/>
    </xf>
    <xf numFmtId="0" fontId="113" fillId="0" borderId="19" xfId="0" applyFont="1" applyFill="1" applyBorder="1" applyAlignment="1" applyProtection="1">
      <alignment horizontal="left" vertical="distributed" wrapText="1"/>
      <protection locked="0"/>
    </xf>
    <xf numFmtId="0" fontId="113" fillId="0" borderId="28" xfId="0" applyFont="1" applyFill="1" applyBorder="1" applyAlignment="1" applyProtection="1">
      <alignment horizontal="left" vertical="distributed" wrapText="1"/>
      <protection locked="0"/>
    </xf>
    <xf numFmtId="0" fontId="113" fillId="0" borderId="79" xfId="0" applyFont="1" applyFill="1" applyBorder="1" applyAlignment="1" applyProtection="1">
      <alignment horizontal="center" vertical="distributed"/>
      <protection locked="0"/>
    </xf>
    <xf numFmtId="0" fontId="113" fillId="0" borderId="80" xfId="0" applyFont="1" applyFill="1" applyBorder="1" applyAlignment="1" applyProtection="1">
      <alignment horizontal="center" vertical="distributed"/>
      <protection locked="0"/>
    </xf>
    <xf numFmtId="0" fontId="113" fillId="0" borderId="81" xfId="0" applyFont="1" applyFill="1" applyBorder="1" applyAlignment="1" applyProtection="1">
      <alignment horizontal="center" vertical="distributed"/>
      <protection locked="0"/>
    </xf>
    <xf numFmtId="180" fontId="113" fillId="0" borderId="79" xfId="0" applyNumberFormat="1" applyFont="1" applyFill="1" applyBorder="1" applyAlignment="1" applyProtection="1">
      <alignment horizontal="center" vertical="center"/>
      <protection locked="0"/>
    </xf>
    <xf numFmtId="180" fontId="113" fillId="0" borderId="80" xfId="0" applyNumberFormat="1" applyFont="1" applyFill="1" applyBorder="1" applyAlignment="1" applyProtection="1">
      <alignment horizontal="center" vertical="center"/>
      <protection locked="0"/>
    </xf>
    <xf numFmtId="180" fontId="113" fillId="0" borderId="81" xfId="0" applyNumberFormat="1" applyFont="1" applyFill="1" applyBorder="1" applyAlignment="1" applyProtection="1">
      <alignment horizontal="center" vertical="center"/>
      <protection locked="0"/>
    </xf>
    <xf numFmtId="0" fontId="111" fillId="0" borderId="0" xfId="0" applyFont="1" applyFill="1" applyBorder="1" applyAlignment="1" applyProtection="1">
      <alignment horizontal="center" vertical="center" textRotation="90"/>
    </xf>
    <xf numFmtId="0" fontId="93" fillId="0" borderId="82" xfId="0" applyFont="1" applyFill="1" applyBorder="1" applyAlignment="1" applyProtection="1">
      <alignment horizontal="center" vertical="center"/>
      <protection locked="0"/>
    </xf>
    <xf numFmtId="0" fontId="93" fillId="0" borderId="83" xfId="0" applyFont="1" applyFill="1" applyBorder="1" applyAlignment="1" applyProtection="1">
      <alignment horizontal="center" vertical="center"/>
      <protection locked="0"/>
    </xf>
    <xf numFmtId="0" fontId="93" fillId="0" borderId="84" xfId="0" applyFont="1" applyFill="1" applyBorder="1" applyAlignment="1" applyProtection="1">
      <alignment horizontal="center" vertical="center"/>
      <protection locked="0"/>
    </xf>
    <xf numFmtId="0" fontId="93" fillId="0" borderId="30" xfId="0" applyFont="1" applyFill="1" applyBorder="1" applyAlignment="1" applyProtection="1">
      <alignment horizontal="center" vertical="center"/>
      <protection locked="0"/>
    </xf>
    <xf numFmtId="0" fontId="93" fillId="0" borderId="19" xfId="0" applyFont="1" applyFill="1" applyBorder="1" applyAlignment="1" applyProtection="1">
      <alignment horizontal="center" vertical="center"/>
      <protection locked="0"/>
    </xf>
    <xf numFmtId="0" fontId="93" fillId="0" borderId="28" xfId="0" applyFont="1" applyFill="1" applyBorder="1" applyAlignment="1" applyProtection="1">
      <alignment horizontal="center" vertical="center"/>
      <protection locked="0"/>
    </xf>
    <xf numFmtId="0" fontId="157" fillId="0" borderId="78" xfId="0" applyFont="1" applyFill="1" applyBorder="1" applyAlignment="1" applyProtection="1">
      <alignment horizontal="center" vertical="center" wrapText="1"/>
      <protection locked="0"/>
    </xf>
    <xf numFmtId="0" fontId="195" fillId="33" borderId="78" xfId="0" applyFont="1" applyFill="1" applyBorder="1" applyAlignment="1" applyProtection="1">
      <alignment horizontal="center" vertical="center"/>
      <protection locked="0"/>
    </xf>
    <xf numFmtId="0" fontId="95" fillId="33" borderId="0" xfId="0" applyFont="1" applyFill="1" applyBorder="1" applyAlignment="1" applyProtection="1">
      <alignment vertical="center"/>
    </xf>
    <xf numFmtId="0" fontId="93" fillId="4" borderId="79" xfId="0" applyNumberFormat="1" applyFont="1" applyFill="1" applyBorder="1" applyAlignment="1" applyProtection="1">
      <alignment horizontal="center" vertical="center"/>
      <protection locked="0"/>
    </xf>
    <xf numFmtId="0" fontId="93" fillId="4" borderId="80" xfId="0" applyNumberFormat="1" applyFont="1" applyFill="1" applyBorder="1" applyAlignment="1" applyProtection="1">
      <alignment horizontal="center" vertical="center"/>
      <protection locked="0"/>
    </xf>
    <xf numFmtId="0" fontId="93" fillId="4" borderId="81" xfId="0" applyNumberFormat="1" applyFont="1" applyFill="1" applyBorder="1" applyAlignment="1" applyProtection="1">
      <alignment horizontal="center" vertical="center"/>
      <protection locked="0"/>
    </xf>
    <xf numFmtId="0" fontId="118" fillId="0" borderId="78" xfId="0" applyFont="1" applyFill="1" applyBorder="1" applyAlignment="1" applyProtection="1">
      <alignment horizontal="left" vertical="center" wrapText="1"/>
      <protection locked="0"/>
    </xf>
    <xf numFmtId="0" fontId="118" fillId="0" borderId="9" xfId="0" applyFont="1" applyFill="1" applyBorder="1" applyAlignment="1" applyProtection="1">
      <alignment horizontal="left" vertical="center" wrapText="1"/>
      <protection locked="0"/>
    </xf>
    <xf numFmtId="182" fontId="90" fillId="33" borderId="78" xfId="0" applyNumberFormat="1" applyFont="1" applyFill="1" applyBorder="1" applyAlignment="1" applyProtection="1">
      <alignment horizontal="center" vertical="center"/>
      <protection locked="0"/>
    </xf>
    <xf numFmtId="0" fontId="90" fillId="33" borderId="31" xfId="0" applyFont="1" applyFill="1" applyBorder="1" applyAlignment="1" applyProtection="1">
      <alignment horizontal="center" vertical="center"/>
    </xf>
    <xf numFmtId="0" fontId="90" fillId="33" borderId="16" xfId="0" applyFont="1" applyFill="1" applyBorder="1" applyAlignment="1" applyProtection="1">
      <alignment horizontal="center" vertical="center"/>
    </xf>
    <xf numFmtId="0" fontId="90" fillId="33" borderId="33" xfId="0" applyFont="1" applyFill="1" applyBorder="1" applyAlignment="1" applyProtection="1">
      <alignment horizontal="center" vertical="center"/>
    </xf>
    <xf numFmtId="0" fontId="118" fillId="0" borderId="78" xfId="0" applyNumberFormat="1" applyFont="1" applyFill="1" applyBorder="1" applyAlignment="1" applyProtection="1">
      <alignment horizontal="left" vertical="center" wrapText="1"/>
      <protection locked="0"/>
    </xf>
    <xf numFmtId="0" fontId="29" fillId="0" borderId="68" xfId="0" applyFont="1" applyFill="1" applyBorder="1" applyAlignment="1" applyProtection="1">
      <alignment horizontal="center"/>
      <protection locked="0"/>
    </xf>
    <xf numFmtId="0" fontId="29" fillId="0" borderId="69" xfId="0" applyFont="1" applyFill="1" applyBorder="1" applyAlignment="1" applyProtection="1">
      <alignment horizontal="center"/>
      <protection locked="0"/>
    </xf>
    <xf numFmtId="0" fontId="29" fillId="0" borderId="70" xfId="0" applyFont="1" applyFill="1" applyBorder="1" applyAlignment="1" applyProtection="1">
      <alignment horizontal="center"/>
      <protection locked="0"/>
    </xf>
    <xf numFmtId="0" fontId="29" fillId="0" borderId="71" xfId="0" applyFont="1" applyFill="1" applyBorder="1" applyAlignment="1" applyProtection="1">
      <alignment horizontal="center"/>
      <protection locked="0"/>
    </xf>
    <xf numFmtId="0" fontId="29" fillId="0" borderId="0" xfId="0" applyFont="1" applyFill="1" applyBorder="1" applyAlignment="1" applyProtection="1">
      <alignment horizontal="center"/>
      <protection locked="0"/>
    </xf>
    <xf numFmtId="0" fontId="29" fillId="0" borderId="72" xfId="0" applyFont="1" applyFill="1" applyBorder="1" applyAlignment="1" applyProtection="1">
      <alignment horizontal="center"/>
      <protection locked="0"/>
    </xf>
    <xf numFmtId="0" fontId="29" fillId="0" borderId="73" xfId="0" applyFont="1" applyFill="1" applyBorder="1" applyAlignment="1" applyProtection="1">
      <alignment horizontal="center"/>
      <protection locked="0"/>
    </xf>
    <xf numFmtId="0" fontId="29" fillId="0" borderId="74" xfId="0" applyFont="1" applyFill="1" applyBorder="1" applyAlignment="1" applyProtection="1">
      <alignment horizontal="center"/>
      <protection locked="0"/>
    </xf>
    <xf numFmtId="0" fontId="29" fillId="0" borderId="75" xfId="0" applyFont="1" applyFill="1" applyBorder="1" applyAlignment="1" applyProtection="1">
      <alignment horizontal="center"/>
      <protection locked="0"/>
    </xf>
    <xf numFmtId="0" fontId="29" fillId="4" borderId="133" xfId="0" applyFont="1" applyFill="1" applyBorder="1" applyAlignment="1" applyProtection="1">
      <alignment horizontal="center"/>
      <protection locked="0"/>
    </xf>
    <xf numFmtId="0" fontId="29" fillId="4" borderId="134" xfId="0" applyFont="1" applyFill="1" applyBorder="1" applyAlignment="1" applyProtection="1">
      <alignment horizontal="center"/>
      <protection locked="0"/>
    </xf>
    <xf numFmtId="0" fontId="29" fillId="4" borderId="136" xfId="0" applyFont="1" applyFill="1" applyBorder="1" applyAlignment="1" applyProtection="1">
      <alignment horizontal="center"/>
      <protection locked="0"/>
    </xf>
    <xf numFmtId="0" fontId="29" fillId="4" borderId="132" xfId="0" applyFont="1" applyFill="1" applyBorder="1" applyAlignment="1" applyProtection="1">
      <alignment horizontal="center"/>
      <protection locked="0"/>
    </xf>
    <xf numFmtId="0" fontId="29" fillId="4" borderId="0" xfId="0" applyFont="1" applyFill="1" applyBorder="1" applyAlignment="1" applyProtection="1">
      <alignment horizontal="center"/>
      <protection locked="0"/>
    </xf>
    <xf numFmtId="0" fontId="29" fillId="4" borderId="108" xfId="0" applyFont="1" applyFill="1" applyBorder="1" applyAlignment="1" applyProtection="1">
      <alignment horizontal="center"/>
      <protection locked="0"/>
    </xf>
    <xf numFmtId="0" fontId="29" fillId="4" borderId="135" xfId="0" applyFont="1" applyFill="1" applyBorder="1" applyAlignment="1" applyProtection="1">
      <alignment horizontal="center"/>
      <protection locked="0"/>
    </xf>
    <xf numFmtId="0" fontId="29" fillId="4" borderId="107" xfId="0" applyFont="1" applyFill="1" applyBorder="1" applyAlignment="1" applyProtection="1">
      <alignment horizontal="center"/>
      <protection locked="0"/>
    </xf>
    <xf numFmtId="0" fontId="29" fillId="4" borderId="109" xfId="0" applyFont="1" applyFill="1" applyBorder="1" applyAlignment="1" applyProtection="1">
      <alignment horizontal="center"/>
      <protection locked="0"/>
    </xf>
    <xf numFmtId="0" fontId="90" fillId="4" borderId="79" xfId="0" applyFont="1" applyFill="1" applyBorder="1" applyAlignment="1" applyProtection="1">
      <alignment horizontal="center" vertical="center"/>
      <protection locked="0"/>
    </xf>
    <xf numFmtId="0" fontId="90" fillId="4" borderId="80" xfId="0" applyFont="1" applyFill="1" applyBorder="1" applyAlignment="1" applyProtection="1">
      <alignment horizontal="center" vertical="center"/>
      <protection locked="0"/>
    </xf>
    <xf numFmtId="0" fontId="90" fillId="4" borderId="81" xfId="0" applyFont="1" applyFill="1" applyBorder="1" applyAlignment="1" applyProtection="1">
      <alignment horizontal="center" vertical="center"/>
      <protection locked="0"/>
    </xf>
    <xf numFmtId="0" fontId="98" fillId="33" borderId="0" xfId="0" applyFont="1" applyFill="1" applyBorder="1" applyAlignment="1" applyProtection="1">
      <alignment horizontal="left" vertical="center"/>
      <protection locked="0"/>
    </xf>
    <xf numFmtId="0" fontId="98" fillId="33" borderId="26" xfId="0" applyFont="1" applyFill="1" applyBorder="1" applyAlignment="1" applyProtection="1">
      <alignment horizontal="left" vertical="center"/>
      <protection locked="0"/>
    </xf>
    <xf numFmtId="0" fontId="90" fillId="33" borderId="79" xfId="0" applyFont="1" applyFill="1" applyBorder="1" applyAlignment="1" applyProtection="1">
      <alignment horizontal="center" vertical="center" wrapText="1"/>
      <protection locked="0"/>
    </xf>
    <xf numFmtId="0" fontId="90" fillId="33" borderId="80" xfId="0" applyFont="1" applyFill="1" applyBorder="1" applyAlignment="1" applyProtection="1">
      <alignment horizontal="center" vertical="center" wrapText="1"/>
      <protection locked="0"/>
    </xf>
    <xf numFmtId="0" fontId="90" fillId="33" borderId="81" xfId="0" applyFont="1" applyFill="1" applyBorder="1" applyAlignment="1" applyProtection="1">
      <alignment horizontal="center" vertical="center" wrapText="1"/>
      <protection locked="0"/>
    </xf>
    <xf numFmtId="1" fontId="90" fillId="33" borderId="79" xfId="0" applyNumberFormat="1" applyFont="1" applyFill="1" applyBorder="1" applyAlignment="1" applyProtection="1">
      <alignment horizontal="center" vertical="center" wrapText="1"/>
      <protection locked="0"/>
    </xf>
    <xf numFmtId="1" fontId="90" fillId="33" borderId="80" xfId="0" applyNumberFormat="1" applyFont="1" applyFill="1" applyBorder="1" applyAlignment="1" applyProtection="1">
      <alignment horizontal="center" vertical="center" wrapText="1"/>
      <protection locked="0"/>
    </xf>
    <xf numFmtId="1" fontId="90" fillId="33" borderId="81" xfId="0" applyNumberFormat="1" applyFont="1" applyFill="1" applyBorder="1" applyAlignment="1" applyProtection="1">
      <alignment horizontal="center" vertical="center" wrapText="1"/>
      <protection locked="0"/>
    </xf>
    <xf numFmtId="182" fontId="90" fillId="4" borderId="79" xfId="0" applyNumberFormat="1" applyFont="1" applyFill="1" applyBorder="1" applyAlignment="1" applyProtection="1">
      <alignment horizontal="center" vertical="center"/>
      <protection locked="0"/>
    </xf>
    <xf numFmtId="182" fontId="90" fillId="4" borderId="80" xfId="0" applyNumberFormat="1" applyFont="1" applyFill="1" applyBorder="1" applyAlignment="1" applyProtection="1">
      <alignment horizontal="center" vertical="center"/>
      <protection locked="0"/>
    </xf>
    <xf numFmtId="182" fontId="90" fillId="4" borderId="81" xfId="0" applyNumberFormat="1" applyFont="1" applyFill="1" applyBorder="1" applyAlignment="1" applyProtection="1">
      <alignment horizontal="center" vertical="center"/>
      <protection locked="0"/>
    </xf>
    <xf numFmtId="0" fontId="90" fillId="33" borderId="80" xfId="0" applyFont="1" applyFill="1" applyBorder="1" applyAlignment="1" applyProtection="1">
      <alignment horizontal="center" vertical="center"/>
      <protection locked="0"/>
    </xf>
    <xf numFmtId="0" fontId="90" fillId="33" borderId="79" xfId="0" applyNumberFormat="1" applyFont="1" applyFill="1" applyBorder="1" applyAlignment="1" applyProtection="1">
      <alignment horizontal="center" vertical="center"/>
      <protection locked="0"/>
    </xf>
    <xf numFmtId="0" fontId="90" fillId="33" borderId="80" xfId="0" applyNumberFormat="1" applyFont="1" applyFill="1" applyBorder="1" applyAlignment="1" applyProtection="1">
      <alignment horizontal="center" vertical="center"/>
      <protection locked="0"/>
    </xf>
    <xf numFmtId="0" fontId="90" fillId="33" borderId="81" xfId="0" applyNumberFormat="1" applyFont="1" applyFill="1" applyBorder="1" applyAlignment="1" applyProtection="1">
      <alignment horizontal="center" vertical="center"/>
      <protection locked="0"/>
    </xf>
    <xf numFmtId="0" fontId="155" fillId="33" borderId="0" xfId="0" applyFont="1" applyFill="1" applyBorder="1" applyAlignment="1" applyProtection="1">
      <alignment horizontal="center" vertical="center"/>
      <protection locked="0"/>
    </xf>
    <xf numFmtId="0" fontId="90" fillId="32" borderId="79" xfId="0" applyFont="1" applyFill="1" applyBorder="1" applyAlignment="1" applyProtection="1">
      <alignment horizontal="center" vertical="center"/>
      <protection locked="0"/>
    </xf>
    <xf numFmtId="0" fontId="90" fillId="32" borderId="80" xfId="0" applyFont="1" applyFill="1" applyBorder="1" applyAlignment="1" applyProtection="1">
      <alignment horizontal="center" vertical="center"/>
      <protection locked="0"/>
    </xf>
    <xf numFmtId="0" fontId="90" fillId="32" borderId="81" xfId="0" applyFont="1" applyFill="1" applyBorder="1" applyAlignment="1" applyProtection="1">
      <alignment horizontal="center" vertical="center"/>
      <protection locked="0"/>
    </xf>
    <xf numFmtId="180" fontId="98" fillId="32" borderId="79" xfId="0" applyNumberFormat="1" applyFont="1" applyFill="1" applyBorder="1" applyAlignment="1" applyProtection="1">
      <alignment horizontal="center" vertical="center"/>
      <protection locked="0"/>
    </xf>
    <xf numFmtId="180" fontId="98" fillId="32" borderId="80" xfId="0" applyNumberFormat="1" applyFont="1" applyFill="1" applyBorder="1" applyAlignment="1" applyProtection="1">
      <alignment horizontal="center" vertical="center"/>
      <protection locked="0"/>
    </xf>
    <xf numFmtId="180" fontId="98" fillId="32" borderId="81" xfId="0" applyNumberFormat="1" applyFont="1" applyFill="1" applyBorder="1" applyAlignment="1" applyProtection="1">
      <alignment horizontal="center" vertical="center"/>
      <protection locked="0"/>
    </xf>
    <xf numFmtId="0" fontId="74" fillId="0" borderId="6" xfId="0" applyFont="1" applyBorder="1" applyAlignment="1">
      <alignment horizontal="center" vertical="center" wrapText="1"/>
    </xf>
    <xf numFmtId="0" fontId="74" fillId="0" borderId="7" xfId="0" applyFont="1" applyBorder="1" applyAlignment="1">
      <alignment horizontal="center" vertical="center" wrapText="1"/>
    </xf>
    <xf numFmtId="0" fontId="74" fillId="0" borderId="8" xfId="0" applyFont="1" applyBorder="1" applyAlignment="1">
      <alignment horizontal="center" vertical="center" wrapText="1"/>
    </xf>
    <xf numFmtId="0" fontId="74" fillId="0" borderId="4" xfId="0" applyFont="1" applyBorder="1" applyAlignment="1">
      <alignment horizontal="center" vertical="center" wrapText="1"/>
    </xf>
    <xf numFmtId="0" fontId="74" fillId="0" borderId="0" xfId="0" applyFont="1" applyBorder="1" applyAlignment="1">
      <alignment horizontal="center" vertical="center" wrapText="1"/>
    </xf>
    <xf numFmtId="0" fontId="74" fillId="0" borderId="5" xfId="0" applyFont="1" applyBorder="1" applyAlignment="1">
      <alignment horizontal="center" vertical="center" wrapText="1"/>
    </xf>
    <xf numFmtId="0" fontId="74" fillId="0" borderId="3" xfId="0" applyFont="1" applyBorder="1" applyAlignment="1">
      <alignment horizontal="center" vertical="center" wrapText="1"/>
    </xf>
    <xf numFmtId="0" fontId="74" fillId="0" borderId="2" xfId="0" applyFont="1" applyBorder="1" applyAlignment="1">
      <alignment horizontal="center" vertical="center" wrapText="1"/>
    </xf>
    <xf numFmtId="0" fontId="74" fillId="0" borderId="1" xfId="0" applyFont="1" applyBorder="1" applyAlignment="1">
      <alignment horizontal="center" vertical="center" wrapText="1"/>
    </xf>
    <xf numFmtId="0" fontId="75" fillId="2" borderId="10" xfId="0" applyFont="1" applyFill="1" applyBorder="1" applyAlignment="1">
      <alignment horizontal="center" vertical="center" wrapText="1"/>
    </xf>
    <xf numFmtId="0" fontId="75" fillId="2" borderId="9" xfId="0" applyFont="1" applyFill="1" applyBorder="1" applyAlignment="1">
      <alignment horizontal="center" vertical="center" wrapText="1"/>
    </xf>
    <xf numFmtId="0" fontId="75" fillId="2" borderId="37" xfId="0" applyFont="1" applyFill="1" applyBorder="1" applyAlignment="1">
      <alignment horizontal="center" vertical="center" wrapText="1"/>
    </xf>
    <xf numFmtId="0" fontId="75" fillId="2" borderId="12" xfId="0" applyFont="1" applyFill="1" applyBorder="1" applyAlignment="1">
      <alignment horizontal="center" vertical="center" wrapText="1"/>
    </xf>
    <xf numFmtId="0" fontId="75" fillId="2" borderId="11" xfId="0" applyFont="1" applyFill="1" applyBorder="1" applyAlignment="1">
      <alignment horizontal="center" vertical="center" wrapText="1"/>
    </xf>
    <xf numFmtId="0" fontId="75" fillId="2" borderId="13" xfId="0" applyFont="1" applyFill="1" applyBorder="1" applyAlignment="1">
      <alignment horizontal="center" vertical="center" wrapText="1"/>
    </xf>
    <xf numFmtId="0" fontId="75" fillId="2" borderId="22" xfId="0" applyFont="1" applyFill="1" applyBorder="1" applyAlignment="1">
      <alignment horizontal="center" vertical="center" wrapText="1"/>
    </xf>
    <xf numFmtId="0" fontId="75" fillId="2" borderId="21" xfId="0" applyFont="1" applyFill="1" applyBorder="1" applyAlignment="1">
      <alignment horizontal="center" vertical="center" wrapText="1"/>
    </xf>
    <xf numFmtId="0" fontId="75" fillId="2" borderId="25" xfId="0" applyFont="1" applyFill="1" applyBorder="1" applyAlignment="1">
      <alignment horizontal="center" vertical="center" wrapText="1"/>
    </xf>
    <xf numFmtId="0" fontId="75" fillId="2" borderId="4" xfId="0" applyFont="1" applyFill="1" applyBorder="1" applyAlignment="1">
      <alignment horizontal="center" vertical="center" wrapText="1"/>
    </xf>
    <xf numFmtId="0" fontId="75" fillId="2" borderId="0" xfId="0" applyFont="1" applyFill="1" applyBorder="1" applyAlignment="1">
      <alignment horizontal="center" vertical="center" wrapText="1"/>
    </xf>
    <xf numFmtId="0" fontId="75" fillId="2" borderId="26" xfId="0" applyFont="1" applyFill="1" applyBorder="1" applyAlignment="1">
      <alignment horizontal="center" vertical="center" wrapText="1"/>
    </xf>
    <xf numFmtId="0" fontId="75" fillId="2" borderId="18" xfId="0" applyFont="1" applyFill="1" applyBorder="1" applyAlignment="1">
      <alignment horizontal="center" vertical="center" wrapText="1"/>
    </xf>
    <xf numFmtId="0" fontId="75" fillId="2" borderId="19" xfId="0" applyFont="1" applyFill="1" applyBorder="1" applyAlignment="1">
      <alignment horizontal="center" vertical="center" wrapText="1"/>
    </xf>
    <xf numFmtId="0" fontId="75" fillId="2" borderId="28" xfId="0" applyFont="1" applyFill="1" applyBorder="1" applyAlignment="1">
      <alignment horizontal="center" vertical="center" wrapText="1"/>
    </xf>
    <xf numFmtId="0" fontId="75" fillId="2" borderId="29" xfId="0" applyFont="1" applyFill="1" applyBorder="1" applyAlignment="1">
      <alignment horizontal="center" vertical="center" wrapText="1"/>
    </xf>
    <xf numFmtId="0" fontId="75" fillId="2" borderId="23" xfId="0" applyFont="1" applyFill="1" applyBorder="1" applyAlignment="1">
      <alignment horizontal="center" vertical="center" wrapText="1"/>
    </xf>
    <xf numFmtId="0" fontId="75" fillId="2" borderId="34" xfId="0" applyFont="1" applyFill="1" applyBorder="1" applyAlignment="1">
      <alignment horizontal="center" vertical="center" wrapText="1"/>
    </xf>
    <xf numFmtId="0" fontId="75" fillId="2" borderId="5" xfId="0" applyFont="1" applyFill="1" applyBorder="1" applyAlignment="1">
      <alignment horizontal="center" vertical="center" wrapText="1"/>
    </xf>
    <xf numFmtId="0" fontId="75" fillId="2" borderId="30" xfId="0" applyFont="1" applyFill="1" applyBorder="1" applyAlignment="1">
      <alignment horizontal="center" vertical="center" wrapText="1"/>
    </xf>
    <xf numFmtId="0" fontId="75" fillId="2" borderId="20" xfId="0" applyFont="1" applyFill="1" applyBorder="1" applyAlignment="1">
      <alignment horizontal="center" vertical="center" wrapText="1"/>
    </xf>
    <xf numFmtId="0" fontId="75" fillId="2" borderId="15" xfId="0" applyFont="1" applyFill="1" applyBorder="1" applyAlignment="1">
      <alignment horizontal="center" vertical="center" wrapText="1"/>
    </xf>
    <xf numFmtId="0" fontId="75" fillId="2" borderId="16" xfId="0" applyFont="1" applyFill="1" applyBorder="1" applyAlignment="1">
      <alignment horizontal="center" vertical="center" wrapText="1"/>
    </xf>
    <xf numFmtId="0" fontId="75" fillId="2" borderId="33" xfId="0" applyFont="1" applyFill="1" applyBorder="1" applyAlignment="1">
      <alignment horizontal="center" vertical="center" wrapText="1"/>
    </xf>
    <xf numFmtId="0" fontId="75" fillId="2" borderId="31" xfId="0" applyFont="1" applyFill="1" applyBorder="1" applyAlignment="1">
      <alignment horizontal="center" vertical="center" wrapText="1"/>
    </xf>
    <xf numFmtId="0" fontId="75" fillId="2" borderId="17" xfId="0" applyFont="1" applyFill="1" applyBorder="1" applyAlignment="1">
      <alignment horizontal="center" vertical="center" wrapText="1"/>
    </xf>
    <xf numFmtId="0" fontId="75" fillId="2" borderId="2" xfId="0" applyFont="1" applyFill="1" applyBorder="1" applyAlignment="1">
      <alignment horizontal="center" vertical="center" wrapText="1"/>
    </xf>
    <xf numFmtId="0" fontId="75" fillId="2" borderId="42" xfId="0" applyFont="1" applyFill="1" applyBorder="1" applyAlignment="1">
      <alignment horizontal="center" vertical="center" wrapText="1"/>
    </xf>
    <xf numFmtId="0" fontId="75" fillId="2" borderId="35" xfId="0" applyFont="1" applyFill="1" applyBorder="1" applyAlignment="1">
      <alignment horizontal="center" vertical="center" wrapText="1"/>
    </xf>
    <xf numFmtId="0" fontId="75" fillId="2" borderId="7" xfId="0" applyFont="1" applyFill="1" applyBorder="1" applyAlignment="1">
      <alignment horizontal="center" vertical="center" wrapText="1"/>
    </xf>
    <xf numFmtId="0" fontId="75" fillId="2" borderId="36" xfId="0" applyFont="1" applyFill="1" applyBorder="1" applyAlignment="1">
      <alignment horizontal="center" vertical="center" wrapText="1"/>
    </xf>
    <xf numFmtId="0" fontId="75" fillId="2" borderId="32" xfId="0" applyFont="1" applyFill="1" applyBorder="1" applyAlignment="1">
      <alignment horizontal="center" vertical="center" wrapText="1"/>
    </xf>
    <xf numFmtId="0" fontId="72" fillId="0" borderId="6" xfId="0" applyFont="1" applyBorder="1" applyAlignment="1">
      <alignment horizontal="center" vertical="center"/>
    </xf>
    <xf numFmtId="0" fontId="45" fillId="0" borderId="7" xfId="0" applyFont="1" applyBorder="1" applyAlignment="1">
      <alignment horizontal="center" vertical="center"/>
    </xf>
    <xf numFmtId="0" fontId="45" fillId="0" borderId="8" xfId="0" applyFont="1" applyBorder="1" applyAlignment="1">
      <alignment horizontal="center" vertical="center"/>
    </xf>
    <xf numFmtId="0" fontId="45" fillId="0" borderId="4" xfId="0" applyFont="1" applyBorder="1" applyAlignment="1">
      <alignment horizontal="center" vertical="center"/>
    </xf>
    <xf numFmtId="0" fontId="45" fillId="0" borderId="0" xfId="0" applyFont="1" applyBorder="1" applyAlignment="1">
      <alignment horizontal="center" vertical="center"/>
    </xf>
    <xf numFmtId="0" fontId="45" fillId="0" borderId="5" xfId="0" applyFont="1" applyBorder="1" applyAlignment="1">
      <alignment horizontal="center" vertical="center"/>
    </xf>
    <xf numFmtId="0" fontId="45" fillId="0" borderId="3" xfId="0" applyFont="1" applyBorder="1" applyAlignment="1">
      <alignment horizontal="center" vertical="center"/>
    </xf>
    <xf numFmtId="0" fontId="45" fillId="0" borderId="2" xfId="0" applyFont="1" applyBorder="1" applyAlignment="1">
      <alignment horizontal="center" vertical="center"/>
    </xf>
    <xf numFmtId="0" fontId="45" fillId="0" borderId="1" xfId="0" applyFont="1" applyBorder="1" applyAlignment="1">
      <alignment horizontal="center" vertical="center"/>
    </xf>
    <xf numFmtId="0" fontId="43" fillId="0" borderId="6" xfId="0" applyFont="1" applyBorder="1" applyAlignment="1">
      <alignment horizontal="center" vertical="center"/>
    </xf>
    <xf numFmtId="0" fontId="43" fillId="0" borderId="7" xfId="0" applyFont="1" applyBorder="1" applyAlignment="1">
      <alignment horizontal="center" vertical="center"/>
    </xf>
    <xf numFmtId="0" fontId="43" fillId="0" borderId="8" xfId="0" applyFont="1" applyBorder="1" applyAlignment="1">
      <alignment horizontal="center" vertical="center"/>
    </xf>
    <xf numFmtId="0" fontId="43" fillId="0" borderId="4" xfId="0" applyFont="1" applyBorder="1" applyAlignment="1">
      <alignment horizontal="center" vertical="center"/>
    </xf>
    <xf numFmtId="0" fontId="43" fillId="0" borderId="0" xfId="0" applyFont="1" applyBorder="1" applyAlignment="1">
      <alignment horizontal="center" vertical="center"/>
    </xf>
    <xf numFmtId="0" fontId="43" fillId="0" borderId="5" xfId="0" applyFont="1" applyBorder="1" applyAlignment="1">
      <alignment horizontal="center" vertical="center"/>
    </xf>
    <xf numFmtId="0" fontId="43" fillId="0" borderId="3" xfId="0" applyFont="1" applyBorder="1" applyAlignment="1">
      <alignment horizontal="center" vertical="center"/>
    </xf>
    <xf numFmtId="0" fontId="43" fillId="0" borderId="2" xfId="0" applyFont="1" applyBorder="1" applyAlignment="1">
      <alignment horizontal="center" vertical="center"/>
    </xf>
    <xf numFmtId="0" fontId="43" fillId="0" borderId="1" xfId="0" applyFont="1" applyBorder="1" applyAlignment="1">
      <alignment horizontal="center" vertical="center"/>
    </xf>
    <xf numFmtId="0" fontId="75" fillId="2" borderId="39" xfId="0" applyFont="1" applyFill="1" applyBorder="1" applyAlignment="1">
      <alignment horizontal="center" vertical="center" wrapText="1"/>
    </xf>
    <xf numFmtId="0" fontId="75" fillId="2" borderId="40" xfId="0" applyFont="1" applyFill="1" applyBorder="1" applyAlignment="1">
      <alignment horizontal="center" vertical="center" wrapText="1"/>
    </xf>
    <xf numFmtId="0" fontId="75" fillId="2" borderId="41" xfId="0" applyFont="1" applyFill="1" applyBorder="1" applyAlignment="1">
      <alignment horizontal="center" vertical="center" wrapText="1"/>
    </xf>
    <xf numFmtId="0" fontId="70" fillId="2" borderId="38" xfId="0" applyFont="1" applyFill="1" applyBorder="1" applyAlignment="1">
      <alignment horizontal="center" vertical="center"/>
    </xf>
    <xf numFmtId="0" fontId="70" fillId="2" borderId="44" xfId="0" applyFont="1" applyFill="1" applyBorder="1" applyAlignment="1">
      <alignment horizontal="center" vertical="center"/>
    </xf>
    <xf numFmtId="0" fontId="70" fillId="2" borderId="43" xfId="0" applyFont="1" applyFill="1" applyBorder="1" applyAlignment="1">
      <alignment horizontal="center" vertical="center"/>
    </xf>
    <xf numFmtId="0" fontId="74" fillId="0" borderId="6" xfId="0" applyFont="1" applyBorder="1" applyAlignment="1">
      <alignment horizontal="left" vertical="center"/>
    </xf>
    <xf numFmtId="0" fontId="74" fillId="0" borderId="7" xfId="0" applyFont="1" applyBorder="1" applyAlignment="1">
      <alignment horizontal="left" vertical="center"/>
    </xf>
    <xf numFmtId="0" fontId="74" fillId="0" borderId="8" xfId="0" applyFont="1" applyBorder="1" applyAlignment="1">
      <alignment horizontal="left" vertical="center"/>
    </xf>
    <xf numFmtId="0" fontId="74" fillId="0" borderId="4" xfId="0" applyFont="1" applyBorder="1" applyAlignment="1">
      <alignment horizontal="left" vertical="center"/>
    </xf>
    <xf numFmtId="0" fontId="74" fillId="0" borderId="0" xfId="0" applyFont="1" applyBorder="1" applyAlignment="1">
      <alignment horizontal="left" vertical="center"/>
    </xf>
    <xf numFmtId="0" fontId="74" fillId="0" borderId="5" xfId="0" applyFont="1" applyBorder="1" applyAlignment="1">
      <alignment horizontal="left" vertical="center"/>
    </xf>
    <xf numFmtId="0" fontId="74" fillId="0" borderId="3" xfId="0" applyFont="1" applyBorder="1" applyAlignment="1">
      <alignment horizontal="left" vertical="center"/>
    </xf>
    <xf numFmtId="0" fontId="74" fillId="0" borderId="2" xfId="0" applyFont="1" applyBorder="1" applyAlignment="1">
      <alignment horizontal="left" vertical="center"/>
    </xf>
    <xf numFmtId="0" fontId="74" fillId="0" borderId="1" xfId="0" applyFont="1" applyBorder="1" applyAlignment="1">
      <alignment horizontal="left" vertical="center"/>
    </xf>
    <xf numFmtId="0" fontId="74" fillId="4" borderId="6" xfId="0" applyFont="1" applyFill="1" applyBorder="1" applyAlignment="1">
      <alignment horizontal="center" vertical="center"/>
    </xf>
    <xf numFmtId="0" fontId="74" fillId="4" borderId="7" xfId="0" applyFont="1" applyFill="1" applyBorder="1" applyAlignment="1">
      <alignment horizontal="center" vertical="center"/>
    </xf>
    <xf numFmtId="0" fontId="74" fillId="4" borderId="8" xfId="0" applyFont="1" applyFill="1" applyBorder="1" applyAlignment="1">
      <alignment horizontal="center" vertical="center"/>
    </xf>
    <xf numFmtId="0" fontId="74" fillId="4" borderId="4" xfId="0" applyFont="1" applyFill="1" applyBorder="1" applyAlignment="1">
      <alignment horizontal="center" vertical="center"/>
    </xf>
    <xf numFmtId="0" fontId="74" fillId="4" borderId="0" xfId="0" applyFont="1" applyFill="1" applyBorder="1" applyAlignment="1">
      <alignment horizontal="center" vertical="center"/>
    </xf>
    <xf numFmtId="0" fontId="74" fillId="4" borderId="5" xfId="0" applyFont="1" applyFill="1" applyBorder="1" applyAlignment="1">
      <alignment horizontal="center" vertical="center"/>
    </xf>
    <xf numFmtId="0" fontId="74" fillId="4" borderId="3" xfId="0" applyFont="1" applyFill="1" applyBorder="1" applyAlignment="1">
      <alignment horizontal="center" vertical="center"/>
    </xf>
    <xf numFmtId="0" fontId="74" fillId="4" borderId="2" xfId="0" applyFont="1" applyFill="1" applyBorder="1" applyAlignment="1">
      <alignment horizontal="center" vertical="center"/>
    </xf>
    <xf numFmtId="0" fontId="74" fillId="4" borderId="1" xfId="0" applyFont="1" applyFill="1" applyBorder="1" applyAlignment="1">
      <alignment horizontal="center" vertical="center"/>
    </xf>
    <xf numFmtId="0" fontId="77" fillId="2" borderId="6" xfId="0" applyFont="1" applyFill="1" applyBorder="1" applyAlignment="1">
      <alignment horizontal="left" vertical="top" wrapText="1"/>
    </xf>
    <xf numFmtId="0" fontId="77" fillId="2" borderId="7" xfId="0" applyFont="1" applyFill="1" applyBorder="1" applyAlignment="1">
      <alignment horizontal="left" vertical="top" wrapText="1"/>
    </xf>
    <xf numFmtId="0" fontId="77" fillId="2" borderId="8" xfId="0" applyFont="1" applyFill="1" applyBorder="1" applyAlignment="1">
      <alignment horizontal="left" vertical="top" wrapText="1"/>
    </xf>
    <xf numFmtId="0" fontId="77" fillId="2" borderId="4" xfId="0" applyFont="1" applyFill="1" applyBorder="1" applyAlignment="1">
      <alignment horizontal="left" vertical="top" wrapText="1"/>
    </xf>
    <xf numFmtId="0" fontId="77" fillId="2" borderId="0" xfId="0" applyFont="1" applyFill="1" applyBorder="1" applyAlignment="1">
      <alignment horizontal="left" vertical="top" wrapText="1"/>
    </xf>
    <xf numFmtId="0" fontId="77" fillId="2" borderId="5" xfId="0" applyFont="1" applyFill="1" applyBorder="1" applyAlignment="1">
      <alignment horizontal="left" vertical="top" wrapText="1"/>
    </xf>
    <xf numFmtId="0" fontId="77" fillId="2" borderId="3" xfId="0" applyFont="1" applyFill="1" applyBorder="1" applyAlignment="1">
      <alignment horizontal="left" vertical="top" wrapText="1"/>
    </xf>
    <xf numFmtId="0" fontId="77" fillId="2" borderId="2" xfId="0" applyFont="1" applyFill="1" applyBorder="1" applyAlignment="1">
      <alignment horizontal="left" vertical="top" wrapText="1"/>
    </xf>
    <xf numFmtId="0" fontId="77" fillId="2" borderId="1" xfId="0" applyFont="1" applyFill="1" applyBorder="1" applyAlignment="1">
      <alignment horizontal="left" vertical="top" wrapText="1"/>
    </xf>
    <xf numFmtId="0" fontId="75" fillId="2" borderId="7" xfId="0" applyFont="1" applyFill="1" applyBorder="1" applyAlignment="1">
      <alignment horizontal="center" vertical="center"/>
    </xf>
    <xf numFmtId="0" fontId="75" fillId="2" borderId="8" xfId="0" applyFont="1" applyFill="1" applyBorder="1" applyAlignment="1">
      <alignment horizontal="center" vertical="center"/>
    </xf>
    <xf numFmtId="0" fontId="75" fillId="2" borderId="0" xfId="0" applyFont="1" applyFill="1" applyBorder="1" applyAlignment="1">
      <alignment horizontal="center" vertical="center"/>
    </xf>
    <xf numFmtId="0" fontId="75" fillId="2" borderId="5" xfId="0" applyFont="1" applyFill="1" applyBorder="1" applyAlignment="1">
      <alignment horizontal="center" vertical="center"/>
    </xf>
    <xf numFmtId="0" fontId="75" fillId="2" borderId="2" xfId="0" applyFont="1" applyFill="1" applyBorder="1" applyAlignment="1">
      <alignment horizontal="center" vertical="center"/>
    </xf>
    <xf numFmtId="0" fontId="75" fillId="2" borderId="1" xfId="0" applyFont="1" applyFill="1" applyBorder="1" applyAlignment="1">
      <alignment horizontal="center" vertical="center"/>
    </xf>
    <xf numFmtId="0" fontId="76" fillId="2" borderId="6" xfId="0" applyFont="1" applyFill="1" applyBorder="1" applyAlignment="1">
      <alignment horizontal="left" vertical="top" wrapText="1"/>
    </xf>
    <xf numFmtId="0" fontId="76" fillId="2" borderId="7" xfId="0" applyFont="1" applyFill="1" applyBorder="1" applyAlignment="1">
      <alignment horizontal="left" vertical="top" wrapText="1"/>
    </xf>
    <xf numFmtId="0" fontId="76" fillId="2" borderId="8" xfId="0" applyFont="1" applyFill="1" applyBorder="1" applyAlignment="1">
      <alignment horizontal="left" vertical="top" wrapText="1"/>
    </xf>
    <xf numFmtId="0" fontId="76" fillId="2" borderId="4" xfId="0" applyFont="1" applyFill="1" applyBorder="1" applyAlignment="1">
      <alignment horizontal="left" vertical="top" wrapText="1"/>
    </xf>
    <xf numFmtId="0" fontId="76" fillId="2" borderId="0" xfId="0" applyFont="1" applyFill="1" applyBorder="1" applyAlignment="1">
      <alignment horizontal="left" vertical="top" wrapText="1"/>
    </xf>
    <xf numFmtId="0" fontId="76" fillId="2" borderId="5" xfId="0" applyFont="1" applyFill="1" applyBorder="1" applyAlignment="1">
      <alignment horizontal="left" vertical="top" wrapText="1"/>
    </xf>
    <xf numFmtId="0" fontId="76" fillId="2" borderId="3" xfId="0" applyFont="1" applyFill="1" applyBorder="1" applyAlignment="1">
      <alignment horizontal="left" vertical="top" wrapText="1"/>
    </xf>
    <xf numFmtId="0" fontId="76" fillId="2" borderId="2" xfId="0" applyFont="1" applyFill="1" applyBorder="1" applyAlignment="1">
      <alignment horizontal="left" vertical="top" wrapText="1"/>
    </xf>
    <xf numFmtId="0" fontId="76" fillId="2" borderId="1" xfId="0" applyFont="1" applyFill="1" applyBorder="1" applyAlignment="1">
      <alignment horizontal="left" vertical="top" wrapText="1"/>
    </xf>
    <xf numFmtId="0" fontId="74" fillId="0" borderId="6" xfId="0" applyFont="1" applyBorder="1" applyAlignment="1">
      <alignment horizontal="left" vertical="top"/>
    </xf>
    <xf numFmtId="0" fontId="74" fillId="0" borderId="7" xfId="0" applyFont="1" applyBorder="1" applyAlignment="1">
      <alignment horizontal="left" vertical="top"/>
    </xf>
    <xf numFmtId="0" fontId="74" fillId="0" borderId="4" xfId="0" applyFont="1" applyBorder="1" applyAlignment="1">
      <alignment horizontal="left" vertical="top"/>
    </xf>
    <xf numFmtId="0" fontId="74" fillId="0" borderId="0" xfId="0" applyFont="1" applyBorder="1" applyAlignment="1">
      <alignment horizontal="left" vertical="top"/>
    </xf>
    <xf numFmtId="0" fontId="74" fillId="0" borderId="3" xfId="0" applyFont="1" applyBorder="1" applyAlignment="1">
      <alignment horizontal="left" vertical="top"/>
    </xf>
    <xf numFmtId="0" fontId="74" fillId="0" borderId="2" xfId="0" applyFont="1" applyBorder="1" applyAlignment="1">
      <alignment horizontal="left" vertical="top"/>
    </xf>
    <xf numFmtId="0" fontId="75" fillId="2" borderId="7" xfId="0" applyFont="1" applyFill="1" applyBorder="1" applyAlignment="1">
      <alignment horizontal="center" vertical="top"/>
    </xf>
    <xf numFmtId="0" fontId="75" fillId="2" borderId="8" xfId="0" applyFont="1" applyFill="1" applyBorder="1" applyAlignment="1">
      <alignment horizontal="center" vertical="top"/>
    </xf>
    <xf numFmtId="0" fontId="75" fillId="2" borderId="0" xfId="0" applyFont="1" applyFill="1" applyBorder="1" applyAlignment="1">
      <alignment horizontal="center" vertical="top"/>
    </xf>
    <xf numFmtId="0" fontId="75" fillId="2" borderId="5" xfId="0" applyFont="1" applyFill="1" applyBorder="1" applyAlignment="1">
      <alignment horizontal="center" vertical="top"/>
    </xf>
    <xf numFmtId="0" fontId="75" fillId="2" borderId="2" xfId="0" applyFont="1" applyFill="1" applyBorder="1" applyAlignment="1">
      <alignment horizontal="center" vertical="top"/>
    </xf>
    <xf numFmtId="0" fontId="75" fillId="2" borderId="1" xfId="0" applyFont="1" applyFill="1" applyBorder="1" applyAlignment="1">
      <alignment horizontal="center" vertical="top"/>
    </xf>
    <xf numFmtId="49" fontId="75" fillId="2" borderId="7" xfId="0" applyNumberFormat="1" applyFont="1" applyFill="1" applyBorder="1" applyAlignment="1">
      <alignment horizontal="center" vertical="center"/>
    </xf>
    <xf numFmtId="0" fontId="70" fillId="0" borderId="6" xfId="0" applyFont="1" applyBorder="1" applyAlignment="1">
      <alignment horizontal="center" vertical="center" wrapText="1"/>
    </xf>
    <xf numFmtId="0" fontId="70" fillId="0" borderId="7" xfId="0" applyFont="1" applyBorder="1" applyAlignment="1">
      <alignment horizontal="center" vertical="center"/>
    </xf>
    <xf numFmtId="0" fontId="70" fillId="0" borderId="8" xfId="0" applyFont="1" applyBorder="1" applyAlignment="1">
      <alignment horizontal="center" vertical="center"/>
    </xf>
    <xf numFmtId="0" fontId="70" fillId="0" borderId="4" xfId="0" applyFont="1" applyBorder="1" applyAlignment="1">
      <alignment horizontal="center" vertical="center"/>
    </xf>
    <xf numFmtId="0" fontId="70" fillId="0" borderId="0" xfId="0" applyFont="1" applyBorder="1" applyAlignment="1">
      <alignment horizontal="center" vertical="center"/>
    </xf>
    <xf numFmtId="0" fontId="70" fillId="0" borderId="5" xfId="0" applyFont="1" applyBorder="1" applyAlignment="1">
      <alignment horizontal="center" vertical="center"/>
    </xf>
    <xf numFmtId="0" fontId="70" fillId="0" borderId="3" xfId="0" applyFont="1" applyBorder="1" applyAlignment="1">
      <alignment horizontal="center" vertical="center"/>
    </xf>
    <xf numFmtId="0" fontId="70" fillId="0" borderId="2" xfId="0" applyFont="1" applyBorder="1" applyAlignment="1">
      <alignment horizontal="center" vertical="center"/>
    </xf>
    <xf numFmtId="0" fontId="70" fillId="0" borderId="1" xfId="0" applyFont="1" applyBorder="1" applyAlignment="1">
      <alignment horizontal="center" vertical="center"/>
    </xf>
    <xf numFmtId="0" fontId="74" fillId="0" borderId="6" xfId="0" applyFont="1" applyFill="1" applyBorder="1" applyAlignment="1">
      <alignment horizontal="left" vertical="top"/>
    </xf>
    <xf numFmtId="0" fontId="74" fillId="0" borderId="7" xfId="0" applyFont="1" applyFill="1" applyBorder="1" applyAlignment="1">
      <alignment horizontal="left" vertical="top"/>
    </xf>
    <xf numFmtId="0" fontId="74" fillId="0" borderId="8" xfId="0" applyFont="1" applyFill="1" applyBorder="1" applyAlignment="1">
      <alignment horizontal="left" vertical="top"/>
    </xf>
    <xf numFmtId="0" fontId="74" fillId="0" borderId="4" xfId="0" applyFont="1" applyFill="1" applyBorder="1" applyAlignment="1">
      <alignment horizontal="left" vertical="top"/>
    </xf>
    <xf numFmtId="0" fontId="74" fillId="0" borderId="0" xfId="0" applyFont="1" applyFill="1" applyBorder="1" applyAlignment="1">
      <alignment horizontal="left" vertical="top"/>
    </xf>
    <xf numFmtId="0" fontId="74" fillId="0" borderId="5" xfId="0" applyFont="1" applyFill="1" applyBorder="1" applyAlignment="1">
      <alignment horizontal="left" vertical="top"/>
    </xf>
    <xf numFmtId="0" fontId="75" fillId="2" borderId="4" xfId="0" applyFont="1" applyFill="1" applyBorder="1" applyAlignment="1">
      <alignment horizontal="left" vertical="top"/>
    </xf>
    <xf numFmtId="0" fontId="75" fillId="2" borderId="0" xfId="0" applyFont="1" applyFill="1" applyBorder="1" applyAlignment="1">
      <alignment horizontal="left" vertical="top"/>
    </xf>
    <xf numFmtId="0" fontId="75" fillId="2" borderId="5" xfId="0" applyFont="1" applyFill="1" applyBorder="1" applyAlignment="1">
      <alignment horizontal="left" vertical="top"/>
    </xf>
    <xf numFmtId="0" fontId="75" fillId="2" borderId="3" xfId="0" applyFont="1" applyFill="1" applyBorder="1" applyAlignment="1">
      <alignment horizontal="left" vertical="top"/>
    </xf>
    <xf numFmtId="0" fontId="75" fillId="2" borderId="2" xfId="0" applyFont="1" applyFill="1" applyBorder="1" applyAlignment="1">
      <alignment horizontal="left" vertical="top"/>
    </xf>
    <xf numFmtId="0" fontId="75" fillId="2" borderId="1" xfId="0" applyFont="1" applyFill="1" applyBorder="1" applyAlignment="1">
      <alignment horizontal="left" vertical="top"/>
    </xf>
    <xf numFmtId="0" fontId="39" fillId="0" borderId="0" xfId="0" applyFont="1" applyFill="1" applyBorder="1" applyAlignment="1">
      <alignment horizontal="left" vertical="top"/>
    </xf>
    <xf numFmtId="0" fontId="33" fillId="0" borderId="0" xfId="0" applyFont="1" applyFill="1" applyBorder="1" applyAlignment="1">
      <alignment horizontal="center" vertical="top"/>
    </xf>
    <xf numFmtId="0" fontId="33" fillId="0" borderId="0" xfId="0" applyFont="1" applyFill="1" applyBorder="1" applyAlignment="1">
      <alignment horizontal="left" vertical="top"/>
    </xf>
    <xf numFmtId="0" fontId="39" fillId="0" borderId="6" xfId="0" applyFont="1" applyBorder="1" applyAlignment="1">
      <alignment horizontal="left" vertical="top"/>
    </xf>
    <xf numFmtId="0" fontId="39" fillId="0" borderId="8" xfId="0" applyFont="1" applyBorder="1" applyAlignment="1">
      <alignment horizontal="left" vertical="top"/>
    </xf>
    <xf numFmtId="0" fontId="39" fillId="0" borderId="7" xfId="0" applyFont="1" applyBorder="1" applyAlignment="1">
      <alignment horizontal="left" vertical="top"/>
    </xf>
    <xf numFmtId="0" fontId="33" fillId="2" borderId="3" xfId="0" applyFont="1" applyFill="1" applyBorder="1" applyAlignment="1">
      <alignment horizontal="center" vertical="top"/>
    </xf>
    <xf numFmtId="0" fontId="33" fillId="2" borderId="1" xfId="0" applyFont="1" applyFill="1" applyBorder="1" applyAlignment="1">
      <alignment horizontal="center" vertical="top"/>
    </xf>
    <xf numFmtId="0" fontId="33" fillId="2" borderId="3" xfId="0" applyFont="1" applyFill="1" applyBorder="1" applyAlignment="1">
      <alignment horizontal="left" vertical="top"/>
    </xf>
    <xf numFmtId="0" fontId="33" fillId="2" borderId="2" xfId="0" applyFont="1" applyFill="1" applyBorder="1" applyAlignment="1">
      <alignment horizontal="left" vertical="top"/>
    </xf>
    <xf numFmtId="0" fontId="33" fillId="2" borderId="1" xfId="0" applyFont="1" applyFill="1" applyBorder="1" applyAlignment="1">
      <alignment horizontal="left" vertical="top"/>
    </xf>
  </cellXfs>
  <cellStyles count="147">
    <cellStyle name="20 % - Akzent1 2" xfId="5"/>
    <cellStyle name="20 % - Akzent1 3" xfId="6"/>
    <cellStyle name="20 % - Akzent2 2" xfId="7"/>
    <cellStyle name="20 % - Akzent2 3" xfId="8"/>
    <cellStyle name="20 % - Akzent3 2" xfId="9"/>
    <cellStyle name="20 % - Akzent3 3" xfId="10"/>
    <cellStyle name="20 % - Akzent4 2" xfId="11"/>
    <cellStyle name="20 % - Akzent4 3" xfId="12"/>
    <cellStyle name="20 % - Akzent5 2" xfId="13"/>
    <cellStyle name="20 % - Akzent5 3" xfId="14"/>
    <cellStyle name="20 % - Akzent6 2" xfId="15"/>
    <cellStyle name="20 % - Akzent6 3" xfId="16"/>
    <cellStyle name="20 % - Accent1" xfId="17"/>
    <cellStyle name="20 % - Accent2" xfId="18"/>
    <cellStyle name="20 % - Accent3" xfId="19"/>
    <cellStyle name="20 % - Accent4" xfId="20"/>
    <cellStyle name="20 % - Accent5" xfId="21"/>
    <cellStyle name="20 % - Accent6" xfId="22"/>
    <cellStyle name="40 % - Akzent1 2" xfId="23"/>
    <cellStyle name="40 % - Akzent1 3" xfId="24"/>
    <cellStyle name="40 % - Akzent2 2" xfId="25"/>
    <cellStyle name="40 % - Akzent2 3" xfId="26"/>
    <cellStyle name="40 % - Akzent3 2" xfId="27"/>
    <cellStyle name="40 % - Akzent3 3" xfId="28"/>
    <cellStyle name="40 % - Akzent4 2" xfId="29"/>
    <cellStyle name="40 % - Akzent4 3" xfId="30"/>
    <cellStyle name="40 % - Akzent5 2" xfId="31"/>
    <cellStyle name="40 % - Akzent5 3" xfId="32"/>
    <cellStyle name="40 % - Akzent6 2" xfId="33"/>
    <cellStyle name="40 % - Akzent6 3" xfId="34"/>
    <cellStyle name="40 % - Accent1" xfId="35"/>
    <cellStyle name="40 % - Accent2" xfId="36"/>
    <cellStyle name="40 % - Accent3" xfId="37"/>
    <cellStyle name="40 % - Accent4" xfId="38"/>
    <cellStyle name="40 % - Accent5" xfId="39"/>
    <cellStyle name="40 % - Accent6" xfId="40"/>
    <cellStyle name="60 % - Akzent1 2" xfId="41"/>
    <cellStyle name="60 % - Akzent1 3" xfId="42"/>
    <cellStyle name="60 % - Akzent2 2" xfId="43"/>
    <cellStyle name="60 % - Akzent2 3" xfId="44"/>
    <cellStyle name="60 % - Akzent3 2" xfId="45"/>
    <cellStyle name="60 % - Akzent3 3" xfId="46"/>
    <cellStyle name="60 % - Akzent4 2" xfId="47"/>
    <cellStyle name="60 % - Akzent4 3" xfId="48"/>
    <cellStyle name="60 % - Akzent5 2" xfId="49"/>
    <cellStyle name="60 % - Akzent5 3" xfId="50"/>
    <cellStyle name="60 % - Akzent6 2" xfId="51"/>
    <cellStyle name="60 % - Akzent6 3" xfId="52"/>
    <cellStyle name="60 % - Accent1" xfId="53"/>
    <cellStyle name="60 % - Accent2" xfId="54"/>
    <cellStyle name="60 % - Accent3" xfId="55"/>
    <cellStyle name="60 % - Accent4" xfId="56"/>
    <cellStyle name="60 % - Accent5" xfId="57"/>
    <cellStyle name="60 % - Accent6" xfId="58"/>
    <cellStyle name="Accent1" xfId="59"/>
    <cellStyle name="Accent2" xfId="60"/>
    <cellStyle name="Accent3" xfId="61"/>
    <cellStyle name="Accent4" xfId="62"/>
    <cellStyle name="Accent5" xfId="63"/>
    <cellStyle name="Accent6" xfId="64"/>
    <cellStyle name="Akzent1 2" xfId="65"/>
    <cellStyle name="Akzent1 3" xfId="66"/>
    <cellStyle name="Akzent2 2" xfId="67"/>
    <cellStyle name="Akzent2 3" xfId="68"/>
    <cellStyle name="Akzent3 2" xfId="69"/>
    <cellStyle name="Akzent3 3" xfId="70"/>
    <cellStyle name="Akzent4 2" xfId="71"/>
    <cellStyle name="Akzent4 3" xfId="72"/>
    <cellStyle name="Akzent5 2" xfId="73"/>
    <cellStyle name="Akzent5 3" xfId="74"/>
    <cellStyle name="Akzent6 2" xfId="75"/>
    <cellStyle name="Akzent6 3" xfId="76"/>
    <cellStyle name="Ausgabe 2" xfId="77"/>
    <cellStyle name="Ausgabe 3" xfId="78"/>
    <cellStyle name="Avertissement" xfId="79"/>
    <cellStyle name="Bad" xfId="80"/>
    <cellStyle name="Berechnung 2" xfId="81"/>
    <cellStyle name="Berechnung 3" xfId="82"/>
    <cellStyle name="Calcul" xfId="83"/>
    <cellStyle name="Cellule liée" xfId="84"/>
    <cellStyle name="Check Cell" xfId="85"/>
    <cellStyle name="Commentaire" xfId="86"/>
    <cellStyle name="Eingabe 2" xfId="87"/>
    <cellStyle name="Eingabe 3" xfId="88"/>
    <cellStyle name="Entrée" xfId="89"/>
    <cellStyle name="Ergebnis 2" xfId="90"/>
    <cellStyle name="Ergebnis 3" xfId="91"/>
    <cellStyle name="Erklärender Text 2" xfId="92"/>
    <cellStyle name="Erklärender Text 3" xfId="93"/>
    <cellStyle name="Euro" xfId="94"/>
    <cellStyle name="Excel Built-in Normal" xfId="95"/>
    <cellStyle name="Excel Built-in Normal 1" xfId="96"/>
    <cellStyle name="Good" xfId="97"/>
    <cellStyle name="Gut 2" xfId="98"/>
    <cellStyle name="Gut 3" xfId="99"/>
    <cellStyle name="Heading 1" xfId="100"/>
    <cellStyle name="Heading 2" xfId="101"/>
    <cellStyle name="Heading 3" xfId="102"/>
    <cellStyle name="Heading 4" xfId="103"/>
    <cellStyle name="Hyperlink 2" xfId="144"/>
    <cellStyle name="Insatisfaisant" xfId="104"/>
    <cellStyle name="Linked Cell" xfId="105"/>
    <cellStyle name="Neutral 2" xfId="106"/>
    <cellStyle name="Neutral 3" xfId="107"/>
    <cellStyle name="Neutre" xfId="108"/>
    <cellStyle name="Normal_PDCA-FTA valeo v6" xfId="145"/>
    <cellStyle name="normálne_BerKSSK_07_05" xfId="109"/>
    <cellStyle name="Note" xfId="110"/>
    <cellStyle name="Notiz 2" xfId="111"/>
    <cellStyle name="Notiz 3" xfId="112"/>
    <cellStyle name="Satisfaisant" xfId="113"/>
    <cellStyle name="Schlecht 2" xfId="114"/>
    <cellStyle name="Schlecht 3" xfId="115"/>
    <cellStyle name="Sortie" xfId="116"/>
    <cellStyle name="Standard 2" xfId="117"/>
    <cellStyle name="Standard 2 2" xfId="3"/>
    <cellStyle name="Standard 2 3" xfId="143"/>
    <cellStyle name="Standard 3" xfId="118"/>
    <cellStyle name="Standard 4" xfId="2"/>
    <cellStyle name="Standard 4 2" xfId="4"/>
    <cellStyle name="Texte explicatif" xfId="119"/>
    <cellStyle name="Title" xfId="120"/>
    <cellStyle name="Titre" xfId="121"/>
    <cellStyle name="Titre 1" xfId="122"/>
    <cellStyle name="Titre 2" xfId="123"/>
    <cellStyle name="Titre 3" xfId="124"/>
    <cellStyle name="Titre 4" xfId="125"/>
    <cellStyle name="Überschrift 1 2" xfId="126"/>
    <cellStyle name="Überschrift 1 3" xfId="127"/>
    <cellStyle name="Überschrift 2 2" xfId="128"/>
    <cellStyle name="Überschrift 2 3" xfId="129"/>
    <cellStyle name="Überschrift 3 2" xfId="130"/>
    <cellStyle name="Überschrift 3 3" xfId="131"/>
    <cellStyle name="Überschrift 4 2" xfId="132"/>
    <cellStyle name="Überschrift 4 3" xfId="133"/>
    <cellStyle name="Überschrift 5" xfId="134"/>
    <cellStyle name="Überschrift 6" xfId="135"/>
    <cellStyle name="Vérification" xfId="136"/>
    <cellStyle name="Verknüpfte Zelle 2" xfId="137"/>
    <cellStyle name="Verknüpfte Zelle 3" xfId="138"/>
    <cellStyle name="Warnender Text 2" xfId="139"/>
    <cellStyle name="Warnender Text 3" xfId="140"/>
    <cellStyle name="Zelle überprüfen 2" xfId="141"/>
    <cellStyle name="Zelle überprüfen 3" xfId="142"/>
    <cellStyle name="常规" xfId="0" builtinId="0"/>
    <cellStyle name="超链接" xfId="1" builtinId="8" customBuiltin="1"/>
    <cellStyle name="货币" xfId="146" builtinId="4"/>
  </cellStyles>
  <dxfs count="1994">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ill>
        <patternFill>
          <bgColor theme="9"/>
        </patternFill>
      </fill>
    </dxf>
    <dxf>
      <font>
        <color theme="0" tint="-4.9989318521683403E-2"/>
      </font>
      <fill>
        <patternFill>
          <bgColor theme="0" tint="-4.9989318521683403E-2"/>
        </patternFill>
      </fill>
    </dxf>
    <dxf>
      <font>
        <color theme="0"/>
      </font>
      <fill>
        <patternFill patternType="solid">
          <fgColor auto="1"/>
          <bgColor theme="0"/>
        </patternFill>
      </fill>
      <border>
        <left/>
        <right/>
        <top/>
        <bottom/>
        <vertical/>
        <horizontal/>
      </border>
    </dxf>
    <dxf>
      <font>
        <color theme="0"/>
      </font>
      <border>
        <left/>
        <right/>
        <top/>
        <bottom/>
        <vertical/>
        <horizontal/>
      </border>
    </dxf>
    <dxf>
      <font>
        <color theme="0"/>
      </font>
      <border>
        <left/>
        <right/>
        <top/>
        <bottom/>
        <vertical/>
        <horizontal/>
      </border>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theme="0" tint="-4.9989318521683403E-2"/>
      </font>
      <fill>
        <patternFill>
          <bgColor theme="0" tint="-4.9989318521683403E-2"/>
        </patternFill>
      </fill>
    </dxf>
    <dxf>
      <border>
        <left style="thin">
          <color auto="1"/>
        </left>
        <right style="thin">
          <color auto="1"/>
        </right>
        <top style="thin">
          <color auto="1"/>
        </top>
        <bottom style="thin">
          <color auto="1"/>
        </bottom>
        <vertical/>
        <horizontal/>
      </border>
    </dxf>
    <dxf>
      <font>
        <color theme="1"/>
      </font>
    </dxf>
    <dxf>
      <font>
        <color theme="0"/>
      </font>
      <border>
        <left/>
        <right/>
        <top/>
        <bottom/>
        <vertical/>
        <horizontal/>
      </border>
    </dxf>
    <dxf>
      <font>
        <color theme="0"/>
      </font>
      <fill>
        <patternFill>
          <bgColor theme="0"/>
        </patternFill>
      </fill>
      <border>
        <left/>
        <right/>
        <top/>
        <bottom/>
        <vertical/>
        <horizontal/>
      </border>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color theme="0"/>
      </font>
    </dxf>
    <dxf>
      <font>
        <color theme="0"/>
      </font>
    </dxf>
    <dxf>
      <font>
        <color theme="0"/>
      </font>
      <border>
        <vertical/>
        <horizontal/>
      </border>
    </dxf>
    <dxf>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border>
        <left/>
        <right/>
        <top/>
        <bottom/>
        <vertical/>
        <horizontal/>
      </border>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theme="0" tint="-4.9989318521683403E-2"/>
      </font>
      <fill>
        <patternFill>
          <bgColor theme="0" tint="-4.9989318521683403E-2"/>
        </patternFill>
      </fill>
    </dxf>
    <dxf>
      <border>
        <left style="thin">
          <color auto="1"/>
        </left>
        <right style="thin">
          <color auto="1"/>
        </right>
        <top style="thin">
          <color auto="1"/>
        </top>
        <bottom style="thin">
          <color auto="1"/>
        </bottom>
        <vertical/>
        <horizontal/>
      </border>
    </dxf>
    <dxf>
      <font>
        <color theme="1"/>
      </font>
    </dxf>
    <dxf>
      <font>
        <color theme="0"/>
      </font>
      <border>
        <left/>
        <right/>
        <top/>
        <bottom/>
        <vertical/>
        <horizontal/>
      </border>
    </dxf>
    <dxf>
      <font>
        <color theme="0"/>
      </font>
      <fill>
        <patternFill>
          <bgColor theme="0"/>
        </patternFill>
      </fill>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color theme="0"/>
      </font>
    </dxf>
    <dxf>
      <font>
        <color theme="0"/>
      </font>
    </dxf>
    <dxf>
      <font>
        <color theme="0"/>
      </font>
      <border>
        <vertical/>
        <horizontal/>
      </border>
    </dxf>
    <dxf>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dxf>
    <dxf>
      <font>
        <color theme="0"/>
      </font>
      <fill>
        <patternFill>
          <bgColor theme="0"/>
        </patternFill>
      </fill>
      <border>
        <left/>
        <right/>
        <top/>
        <bottom/>
        <vertical/>
        <horizontal/>
      </border>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fill>
        <patternFill patternType="solid">
          <bgColor theme="0"/>
        </patternFill>
      </fill>
      <border>
        <left/>
        <right/>
        <top/>
        <bottom/>
      </border>
    </dxf>
    <dxf>
      <font>
        <color theme="0"/>
      </font>
      <border>
        <left/>
        <right/>
        <top/>
        <bottom/>
        <vertical/>
        <horizontal/>
      </border>
    </dxf>
    <dxf>
      <font>
        <color theme="0" tint="-4.9989318521683403E-2"/>
      </font>
      <fill>
        <patternFill>
          <bgColor theme="0" tint="-4.9989318521683403E-2"/>
        </patternFill>
      </fill>
    </dxf>
    <dxf>
      <font>
        <color theme="0" tint="-0.14996795556505021"/>
      </font>
      <fill>
        <patternFill>
          <fgColor theme="0" tint="-0.14993743705557422"/>
          <bgColor theme="0" tint="-0.14996795556505021"/>
        </patternFill>
      </fill>
      <border>
        <left/>
        <right/>
        <top/>
        <bottom/>
        <vertical/>
        <horizontal/>
      </border>
    </dxf>
    <dxf>
      <font>
        <color theme="0" tint="-0.14996795556505021"/>
      </font>
    </dxf>
    <dxf>
      <font>
        <color theme="0" tint="-0.14996795556505021"/>
      </font>
      <fill>
        <patternFill>
          <bgColor theme="0" tint="-0.14996795556505021"/>
        </patternFill>
      </fill>
      <border>
        <left/>
        <right/>
        <top/>
        <bottom/>
        <vertical/>
        <horizontal/>
      </border>
    </dxf>
    <dxf>
      <font>
        <color theme="0" tint="-0.14996795556505021"/>
      </font>
      <fill>
        <patternFill>
          <fgColor theme="0" tint="-0.24994659260841701"/>
          <bgColor theme="0" tint="-0.14996795556505021"/>
        </patternFill>
      </fill>
      <border>
        <left/>
        <right/>
        <top/>
        <bottom/>
        <vertical/>
        <horizontal/>
      </border>
    </dxf>
    <dxf>
      <font>
        <strike val="0"/>
        <color theme="0" tint="-0.14996795556505021"/>
      </font>
    </dxf>
    <dxf>
      <font>
        <color theme="0" tint="-0.14996795556505021"/>
      </font>
    </dxf>
    <dxf>
      <font>
        <color theme="0" tint="-0.14996795556505021"/>
      </font>
      <fill>
        <patternFill>
          <bgColor theme="0" tint="-0.14996795556505021"/>
        </patternFill>
      </fill>
      <border>
        <left/>
        <right/>
        <top/>
        <bottom/>
        <vertical/>
        <horizontal/>
      </border>
    </dxf>
    <dxf>
      <font>
        <color theme="0" tint="-0.14996795556505021"/>
      </font>
      <fill>
        <patternFill>
          <bgColor theme="0" tint="-0.14996795556505021"/>
        </patternFill>
      </fill>
      <border>
        <left/>
        <right/>
        <top/>
        <bottom/>
      </border>
    </dxf>
    <dxf>
      <font>
        <b/>
        <i val="0"/>
        <color auto="1"/>
      </font>
      <fill>
        <patternFill>
          <bgColor theme="0" tint="-0.14996795556505021"/>
        </patternFill>
      </fill>
    </dxf>
    <dxf>
      <fill>
        <patternFill>
          <bgColor rgb="FFFF0000"/>
        </patternFill>
      </fill>
    </dxf>
    <dxf>
      <fill>
        <patternFill>
          <bgColor rgb="FF92D050"/>
        </patternFill>
      </fill>
    </dxf>
    <dxf>
      <fill>
        <patternFill patternType="solid">
          <fgColor rgb="FF92D050"/>
          <bgColor rgb="FF92D050"/>
        </patternFill>
      </fill>
    </dxf>
    <dxf>
      <font>
        <color auto="1"/>
      </font>
      <fill>
        <patternFill>
          <bgColor rgb="FFFF0000"/>
        </patternFill>
      </fill>
    </dxf>
    <dxf>
      <fill>
        <patternFill patternType="solid">
          <fgColor rgb="FF92D050"/>
          <bgColor rgb="FF92D050"/>
        </patternFill>
      </fill>
    </dxf>
    <dxf>
      <font>
        <color auto="1"/>
      </font>
      <fill>
        <patternFill>
          <bgColor rgb="FFFF0000"/>
        </patternFill>
      </fill>
    </dxf>
    <dxf>
      <fill>
        <patternFill patternType="solid">
          <fgColor rgb="FF92D050"/>
          <bgColor rgb="FF92D050"/>
        </patternFill>
      </fill>
    </dxf>
    <dxf>
      <font>
        <color auto="1"/>
      </font>
      <fill>
        <patternFill>
          <bgColor rgb="FFFF0000"/>
        </patternFill>
      </fill>
    </dxf>
    <dxf>
      <fill>
        <patternFill patternType="solid">
          <fgColor rgb="FF92D050"/>
          <bgColor rgb="FF92D050"/>
        </patternFill>
      </fill>
    </dxf>
    <dxf>
      <font>
        <color auto="1"/>
      </font>
      <fill>
        <patternFill>
          <bgColor rgb="FFFF00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auto="1"/>
      </font>
      <fill>
        <patternFill>
          <bgColor rgb="FFFF0000"/>
        </patternFill>
      </fill>
    </dxf>
    <dxf>
      <font>
        <color theme="1"/>
      </font>
      <fill>
        <patternFill>
          <bgColor rgb="FF00B050"/>
        </patternFill>
      </fill>
    </dxf>
    <dxf>
      <font>
        <color auto="1"/>
      </font>
      <fill>
        <patternFill>
          <bgColor rgb="FFFFC000"/>
        </patternFill>
      </fill>
    </dxf>
    <dxf>
      <font>
        <color auto="1"/>
      </font>
      <fill>
        <patternFill>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solid">
          <fgColor auto="1"/>
          <bgColor theme="0"/>
        </patternFill>
      </fill>
      <border>
        <left/>
        <right/>
        <top/>
        <bottom/>
        <vertical/>
        <horizontal/>
      </border>
    </dxf>
    <dxf>
      <font>
        <color theme="0"/>
      </font>
      <border>
        <left/>
        <right/>
        <top/>
        <bottom/>
        <vertical/>
        <horizontal/>
      </border>
    </dxf>
    <dxf>
      <border>
        <left style="thin">
          <color auto="1"/>
        </left>
        <right style="thin">
          <color auto="1"/>
        </right>
        <top style="thin">
          <color auto="1"/>
        </top>
        <vertical/>
        <horizontal/>
      </border>
    </dxf>
    <dxf>
      <font>
        <color theme="1"/>
      </font>
    </dxf>
    <dxf>
      <font>
        <color theme="0"/>
      </font>
      <border>
        <left/>
        <right/>
        <bottom/>
        <vertical/>
        <horizontal/>
      </border>
    </dxf>
    <dxf>
      <font>
        <color theme="0"/>
      </font>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border>
        <left/>
        <right/>
        <top/>
        <bottom/>
        <vertical/>
        <horizontal/>
      </border>
    </dxf>
    <dxf>
      <font>
        <color theme="0"/>
      </font>
      <fill>
        <patternFill>
          <bgColor theme="0"/>
        </patternFill>
      </fill>
      <border>
        <left/>
        <right/>
        <top/>
        <bottom/>
        <vertical/>
        <horizontal/>
      </border>
    </dxf>
    <dxf>
      <font>
        <color theme="0"/>
      </font>
      <fill>
        <patternFill patternType="solid">
          <bgColor theme="0"/>
        </patternFill>
      </fill>
      <border>
        <left/>
        <right/>
        <top/>
        <bottom/>
      </border>
    </dxf>
  </dxfs>
  <tableStyles count="0" defaultTableStyle="TableStyleMedium2" defaultPivotStyle="PivotStyleLight16"/>
  <colors>
    <mruColors>
      <color rgb="FF7030A0"/>
      <color rgb="FFB99FD9"/>
      <color rgb="FFFF0000"/>
      <color rgb="FFC9B5E1"/>
      <color rgb="FF9148C8"/>
      <color rgb="FF9A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8.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1</xdr:row>
      <xdr:rowOff>58139</xdr:rowOff>
    </xdr:from>
    <xdr:to>
      <xdr:col>16</xdr:col>
      <xdr:colOff>90938</xdr:colOff>
      <xdr:row>1</xdr:row>
      <xdr:rowOff>707573</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7305" y="166996"/>
          <a:ext cx="2601455" cy="649434"/>
        </a:xfrm>
        <a:prstGeom prst="rect">
          <a:avLst/>
        </a:prstGeom>
      </xdr:spPr>
    </xdr:pic>
    <xdr:clientData/>
  </xdr:twoCellAnchor>
  <xdr:twoCellAnchor>
    <xdr:from>
      <xdr:col>2</xdr:col>
      <xdr:colOff>95250</xdr:colOff>
      <xdr:row>80</xdr:row>
      <xdr:rowOff>11906</xdr:rowOff>
    </xdr:from>
    <xdr:to>
      <xdr:col>2</xdr:col>
      <xdr:colOff>119063</xdr:colOff>
      <xdr:row>89</xdr:row>
      <xdr:rowOff>0</xdr:rowOff>
    </xdr:to>
    <xdr:cxnSp macro="">
      <xdr:nvCxnSpPr>
        <xdr:cNvPr id="11" name="Gerade Verbindung mit Pfeil 10"/>
        <xdr:cNvCxnSpPr/>
      </xdr:nvCxnSpPr>
      <xdr:spPr>
        <a:xfrm>
          <a:off x="369094" y="24907875"/>
          <a:ext cx="23813" cy="3524250"/>
        </a:xfrm>
        <a:prstGeom prst="straightConnector1">
          <a:avLst/>
        </a:prstGeom>
        <a:ln w="57150">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618</xdr:colOff>
      <xdr:row>103</xdr:row>
      <xdr:rowOff>63649</xdr:rowOff>
    </xdr:from>
    <xdr:to>
      <xdr:col>121</xdr:col>
      <xdr:colOff>95252</xdr:colOff>
      <xdr:row>105</xdr:row>
      <xdr:rowOff>0</xdr:rowOff>
    </xdr:to>
    <xdr:sp macro="" textlink="">
      <xdr:nvSpPr>
        <xdr:cNvPr id="6" name="AutoShape 10"/>
        <xdr:cNvSpPr>
          <a:spLocks/>
        </xdr:cNvSpPr>
      </xdr:nvSpPr>
      <xdr:spPr bwMode="auto">
        <a:xfrm rot="16200000">
          <a:off x="9688104" y="21022851"/>
          <a:ext cx="245914" cy="16430009"/>
        </a:xfrm>
        <a:prstGeom prst="leftBrace">
          <a:avLst>
            <a:gd name="adj1" fmla="val 37140"/>
            <a:gd name="adj2" fmla="val 50702"/>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1701</xdr:colOff>
      <xdr:row>1</xdr:row>
      <xdr:rowOff>40050</xdr:rowOff>
    </xdr:from>
    <xdr:to>
      <xdr:col>9</xdr:col>
      <xdr:colOff>127928</xdr:colOff>
      <xdr:row>1</xdr:row>
      <xdr:rowOff>599818</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5576" y="159113"/>
          <a:ext cx="2094727" cy="559768"/>
        </a:xfrm>
        <a:prstGeom prst="rect">
          <a:avLst/>
        </a:prstGeom>
      </xdr:spPr>
    </xdr:pic>
    <xdr:clientData/>
  </xdr:twoCellAnchor>
  <xdr:twoCellAnchor>
    <xdr:from>
      <xdr:col>66</xdr:col>
      <xdr:colOff>133350</xdr:colOff>
      <xdr:row>12</xdr:row>
      <xdr:rowOff>247650</xdr:rowOff>
    </xdr:from>
    <xdr:to>
      <xdr:col>69</xdr:col>
      <xdr:colOff>266700</xdr:colOff>
      <xdr:row>12</xdr:row>
      <xdr:rowOff>247650</xdr:rowOff>
    </xdr:to>
    <xdr:cxnSp macro="">
      <xdr:nvCxnSpPr>
        <xdr:cNvPr id="3" name="Gerade Verbindung mit Pfeil 2"/>
        <xdr:cNvCxnSpPr/>
      </xdr:nvCxnSpPr>
      <xdr:spPr>
        <a:xfrm>
          <a:off x="20935950" y="4248150"/>
          <a:ext cx="1104900" cy="0"/>
        </a:xfrm>
        <a:prstGeom prst="straightConnector1">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155120</xdr:colOff>
      <xdr:row>7</xdr:row>
      <xdr:rowOff>76201</xdr:rowOff>
    </xdr:from>
    <xdr:to>
      <xdr:col>54</xdr:col>
      <xdr:colOff>176893</xdr:colOff>
      <xdr:row>9</xdr:row>
      <xdr:rowOff>394608</xdr:rowOff>
    </xdr:to>
    <xdr:cxnSp macro="">
      <xdr:nvCxnSpPr>
        <xdr:cNvPr id="8" name="Gerade Verbindung mit Pfeil 7"/>
        <xdr:cNvCxnSpPr/>
      </xdr:nvCxnSpPr>
      <xdr:spPr>
        <a:xfrm flipH="1" flipV="1">
          <a:off x="16510906" y="1763487"/>
          <a:ext cx="21773" cy="1243692"/>
        </a:xfrm>
        <a:prstGeom prst="straightConnector1">
          <a:avLst/>
        </a:prstGeom>
        <a:ln w="28575">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13607</xdr:colOff>
      <xdr:row>1</xdr:row>
      <xdr:rowOff>40050</xdr:rowOff>
    </xdr:from>
    <xdr:to>
      <xdr:col>7</xdr:col>
      <xdr:colOff>298584</xdr:colOff>
      <xdr:row>1</xdr:row>
      <xdr:rowOff>599818</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8420" y="159113"/>
          <a:ext cx="2094727" cy="559768"/>
        </a:xfrm>
        <a:prstGeom prst="rect">
          <a:avLst/>
        </a:prstGeom>
      </xdr:spPr>
    </xdr:pic>
    <xdr:clientData/>
  </xdr:twoCellAnchor>
  <xdr:twoCellAnchor>
    <xdr:from>
      <xdr:col>48</xdr:col>
      <xdr:colOff>140338</xdr:colOff>
      <xdr:row>66</xdr:row>
      <xdr:rowOff>16186</xdr:rowOff>
    </xdr:from>
    <xdr:to>
      <xdr:col>56</xdr:col>
      <xdr:colOff>63712</xdr:colOff>
      <xdr:row>66</xdr:row>
      <xdr:rowOff>16422</xdr:rowOff>
    </xdr:to>
    <xdr:cxnSp macro="">
      <xdr:nvCxnSpPr>
        <xdr:cNvPr id="49" name="Gerade Verbindung mit Pfeil 48"/>
        <xdr:cNvCxnSpPr>
          <a:stCxn id="50" idx="1"/>
          <a:endCxn id="67" idx="3"/>
        </xdr:cNvCxnSpPr>
      </xdr:nvCxnSpPr>
      <xdr:spPr>
        <a:xfrm flipH="1" flipV="1">
          <a:off x="19158588" y="20574311"/>
          <a:ext cx="3352374" cy="236"/>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63712</xdr:colOff>
      <xdr:row>65</xdr:row>
      <xdr:rowOff>223343</xdr:rowOff>
    </xdr:from>
    <xdr:to>
      <xdr:col>66</xdr:col>
      <xdr:colOff>2384</xdr:colOff>
      <xdr:row>66</xdr:row>
      <xdr:rowOff>317500</xdr:rowOff>
    </xdr:to>
    <xdr:sp macro="" textlink="">
      <xdr:nvSpPr>
        <xdr:cNvPr id="50" name="TextBox 40"/>
        <xdr:cNvSpPr txBox="1"/>
      </xdr:nvSpPr>
      <xdr:spPr bwMode="auto">
        <a:xfrm>
          <a:off x="22510962" y="20273468"/>
          <a:ext cx="4383672" cy="602157"/>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2000">
              <a:solidFill>
                <a:schemeClr val="bg1"/>
              </a:solidFill>
              <a:effectLst/>
              <a:latin typeface="+mj-lt"/>
              <a:ea typeface="+mn-ea"/>
              <a:cs typeface="+mn-cs"/>
            </a:rPr>
            <a:t>100% inspection</a:t>
          </a:r>
          <a:endParaRPr lang="en-US" sz="2000">
            <a:solidFill>
              <a:schemeClr val="bg1"/>
            </a:solidFill>
            <a:effectLst/>
            <a:latin typeface="+mj-lt"/>
          </a:endParaRPr>
        </a:p>
      </xdr:txBody>
    </xdr:sp>
    <xdr:clientData/>
  </xdr:twoCellAnchor>
  <xdr:twoCellAnchor>
    <xdr:from>
      <xdr:col>32</xdr:col>
      <xdr:colOff>85624</xdr:colOff>
      <xdr:row>66</xdr:row>
      <xdr:rowOff>8858</xdr:rowOff>
    </xdr:from>
    <xdr:to>
      <xdr:col>40</xdr:col>
      <xdr:colOff>8996</xdr:colOff>
      <xdr:row>66</xdr:row>
      <xdr:rowOff>16186</xdr:rowOff>
    </xdr:to>
    <xdr:cxnSp macro="">
      <xdr:nvCxnSpPr>
        <xdr:cNvPr id="51" name="Gerade Verbindung mit Pfeil 50"/>
        <xdr:cNvCxnSpPr>
          <a:stCxn id="67" idx="1"/>
          <a:endCxn id="54" idx="3"/>
        </xdr:cNvCxnSpPr>
      </xdr:nvCxnSpPr>
      <xdr:spPr>
        <a:xfrm flipH="1" flipV="1">
          <a:off x="13261874" y="20566983"/>
          <a:ext cx="2463372" cy="732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321680</xdr:colOff>
      <xdr:row>66</xdr:row>
      <xdr:rowOff>8858</xdr:rowOff>
    </xdr:from>
    <xdr:to>
      <xdr:col>25</xdr:col>
      <xdr:colOff>124</xdr:colOff>
      <xdr:row>66</xdr:row>
      <xdr:rowOff>24739</xdr:rowOff>
    </xdr:to>
    <xdr:cxnSp macro="">
      <xdr:nvCxnSpPr>
        <xdr:cNvPr id="52" name="Gerade Verbindung mit Pfeil 51"/>
        <xdr:cNvCxnSpPr>
          <a:stCxn id="54" idx="1"/>
          <a:endCxn id="53" idx="3"/>
        </xdr:cNvCxnSpPr>
      </xdr:nvCxnSpPr>
      <xdr:spPr>
        <a:xfrm flipH="1">
          <a:off x="8989430" y="20566983"/>
          <a:ext cx="1456444" cy="1588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155774</xdr:colOff>
      <xdr:row>65</xdr:row>
      <xdr:rowOff>224102</xdr:rowOff>
    </xdr:from>
    <xdr:to>
      <xdr:col>21</xdr:col>
      <xdr:colOff>321680</xdr:colOff>
      <xdr:row>66</xdr:row>
      <xdr:rowOff>333375</xdr:rowOff>
    </xdr:to>
    <xdr:sp macro="" textlink="">
      <xdr:nvSpPr>
        <xdr:cNvPr id="53" name="TextBox 40"/>
        <xdr:cNvSpPr txBox="1"/>
      </xdr:nvSpPr>
      <xdr:spPr bwMode="auto">
        <a:xfrm>
          <a:off x="6601024" y="20274227"/>
          <a:ext cx="2388406" cy="617273"/>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Foaming</a:t>
          </a:r>
        </a:p>
      </xdr:txBody>
    </xdr:sp>
    <xdr:clientData/>
  </xdr:twoCellAnchor>
  <xdr:twoCellAnchor>
    <xdr:from>
      <xdr:col>25</xdr:col>
      <xdr:colOff>124</xdr:colOff>
      <xdr:row>65</xdr:row>
      <xdr:rowOff>224090</xdr:rowOff>
    </xdr:from>
    <xdr:to>
      <xdr:col>32</xdr:col>
      <xdr:colOff>85624</xdr:colOff>
      <xdr:row>66</xdr:row>
      <xdr:rowOff>301626</xdr:rowOff>
    </xdr:to>
    <xdr:sp macro="" textlink="">
      <xdr:nvSpPr>
        <xdr:cNvPr id="54" name="TextBox 40"/>
        <xdr:cNvSpPr txBox="1"/>
      </xdr:nvSpPr>
      <xdr:spPr bwMode="auto">
        <a:xfrm>
          <a:off x="10445874" y="20274215"/>
          <a:ext cx="2816000" cy="585536"/>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ETB</a:t>
          </a:r>
        </a:p>
      </xdr:txBody>
    </xdr:sp>
    <xdr:clientData/>
  </xdr:twoCellAnchor>
  <xdr:twoCellAnchor>
    <xdr:from>
      <xdr:col>3</xdr:col>
      <xdr:colOff>54475</xdr:colOff>
      <xdr:row>62</xdr:row>
      <xdr:rowOff>253163</xdr:rowOff>
    </xdr:from>
    <xdr:to>
      <xdr:col>6</xdr:col>
      <xdr:colOff>174611</xdr:colOff>
      <xdr:row>63</xdr:row>
      <xdr:rowOff>381000</xdr:rowOff>
    </xdr:to>
    <xdr:sp macro="" textlink="">
      <xdr:nvSpPr>
        <xdr:cNvPr id="56" name="TextBox 40"/>
        <xdr:cNvSpPr txBox="1"/>
      </xdr:nvSpPr>
      <xdr:spPr bwMode="auto">
        <a:xfrm>
          <a:off x="721225" y="18779288"/>
          <a:ext cx="1453636" cy="635837"/>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Cutting</a:t>
          </a:r>
        </a:p>
      </xdr:txBody>
    </xdr:sp>
    <xdr:clientData/>
  </xdr:twoCellAnchor>
  <xdr:twoCellAnchor>
    <xdr:from>
      <xdr:col>6</xdr:col>
      <xdr:colOff>174611</xdr:colOff>
      <xdr:row>63</xdr:row>
      <xdr:rowOff>55144</xdr:rowOff>
    </xdr:from>
    <xdr:to>
      <xdr:col>10</xdr:col>
      <xdr:colOff>340412</xdr:colOff>
      <xdr:row>63</xdr:row>
      <xdr:rowOff>63082</xdr:rowOff>
    </xdr:to>
    <xdr:cxnSp macro="">
      <xdr:nvCxnSpPr>
        <xdr:cNvPr id="57" name="Gerade Verbindung mit Pfeil 56"/>
        <xdr:cNvCxnSpPr>
          <a:stCxn id="56" idx="3"/>
          <a:endCxn id="58" idx="1"/>
        </xdr:cNvCxnSpPr>
      </xdr:nvCxnSpPr>
      <xdr:spPr>
        <a:xfrm flipV="1">
          <a:off x="2174861" y="19089269"/>
          <a:ext cx="1943801" cy="7938"/>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340412</xdr:colOff>
      <xdr:row>62</xdr:row>
      <xdr:rowOff>253162</xdr:rowOff>
    </xdr:from>
    <xdr:to>
      <xdr:col>16</xdr:col>
      <xdr:colOff>70453</xdr:colOff>
      <xdr:row>63</xdr:row>
      <xdr:rowOff>365125</xdr:rowOff>
    </xdr:to>
    <xdr:sp macro="" textlink="">
      <xdr:nvSpPr>
        <xdr:cNvPr id="58" name="TextBox 40"/>
        <xdr:cNvSpPr txBox="1"/>
      </xdr:nvSpPr>
      <xdr:spPr bwMode="auto">
        <a:xfrm>
          <a:off x="4118662" y="18779287"/>
          <a:ext cx="2397041" cy="619963"/>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VK</a:t>
          </a:r>
        </a:p>
      </xdr:txBody>
    </xdr:sp>
    <xdr:clientData/>
  </xdr:twoCellAnchor>
  <xdr:twoCellAnchor>
    <xdr:from>
      <xdr:col>16</xdr:col>
      <xdr:colOff>70453</xdr:colOff>
      <xdr:row>63</xdr:row>
      <xdr:rowOff>55144</xdr:rowOff>
    </xdr:from>
    <xdr:to>
      <xdr:col>19</xdr:col>
      <xdr:colOff>263468</xdr:colOff>
      <xdr:row>63</xdr:row>
      <xdr:rowOff>55145</xdr:rowOff>
    </xdr:to>
    <xdr:cxnSp macro="">
      <xdr:nvCxnSpPr>
        <xdr:cNvPr id="59" name="Gerade Verbindung mit Pfeil 58"/>
        <xdr:cNvCxnSpPr>
          <a:stCxn id="58" idx="3"/>
          <a:endCxn id="60" idx="1"/>
        </xdr:cNvCxnSpPr>
      </xdr:nvCxnSpPr>
      <xdr:spPr>
        <a:xfrm>
          <a:off x="6515703" y="19089269"/>
          <a:ext cx="1526515" cy="1"/>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263468</xdr:colOff>
      <xdr:row>62</xdr:row>
      <xdr:rowOff>253164</xdr:rowOff>
    </xdr:from>
    <xdr:to>
      <xdr:col>23</xdr:col>
      <xdr:colOff>185683</xdr:colOff>
      <xdr:row>63</xdr:row>
      <xdr:rowOff>365126</xdr:rowOff>
    </xdr:to>
    <xdr:sp macro="" textlink="">
      <xdr:nvSpPr>
        <xdr:cNvPr id="60" name="TextBox 40"/>
        <xdr:cNvSpPr txBox="1"/>
      </xdr:nvSpPr>
      <xdr:spPr bwMode="auto">
        <a:xfrm>
          <a:off x="8042218" y="18779289"/>
          <a:ext cx="1700215" cy="619962"/>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Storage</a:t>
          </a:r>
        </a:p>
      </xdr:txBody>
    </xdr:sp>
    <xdr:clientData/>
  </xdr:twoCellAnchor>
  <xdr:twoCellAnchor>
    <xdr:from>
      <xdr:col>23</xdr:col>
      <xdr:colOff>185683</xdr:colOff>
      <xdr:row>63</xdr:row>
      <xdr:rowOff>47705</xdr:rowOff>
    </xdr:from>
    <xdr:to>
      <xdr:col>27</xdr:col>
      <xdr:colOff>38519</xdr:colOff>
      <xdr:row>63</xdr:row>
      <xdr:rowOff>55145</xdr:rowOff>
    </xdr:to>
    <xdr:cxnSp macro="">
      <xdr:nvCxnSpPr>
        <xdr:cNvPr id="61" name="Gerade Verbindung mit Pfeil 60"/>
        <xdr:cNvCxnSpPr>
          <a:stCxn id="60" idx="3"/>
          <a:endCxn id="62" idx="1"/>
        </xdr:cNvCxnSpPr>
      </xdr:nvCxnSpPr>
      <xdr:spPr>
        <a:xfrm flipV="1">
          <a:off x="9742433" y="19081830"/>
          <a:ext cx="1630836" cy="744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27</xdr:col>
      <xdr:colOff>38519</xdr:colOff>
      <xdr:row>62</xdr:row>
      <xdr:rowOff>254159</xdr:rowOff>
    </xdr:from>
    <xdr:to>
      <xdr:col>35</xdr:col>
      <xdr:colOff>151525</xdr:colOff>
      <xdr:row>63</xdr:row>
      <xdr:rowOff>349251</xdr:rowOff>
    </xdr:to>
    <xdr:sp macro="" textlink="">
      <xdr:nvSpPr>
        <xdr:cNvPr id="62" name="TextBox 40"/>
        <xdr:cNvSpPr txBox="1"/>
      </xdr:nvSpPr>
      <xdr:spPr bwMode="auto">
        <a:xfrm>
          <a:off x="11373269" y="18780284"/>
          <a:ext cx="2907006" cy="603092"/>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Routing</a:t>
          </a:r>
        </a:p>
      </xdr:txBody>
    </xdr:sp>
    <xdr:clientData/>
  </xdr:twoCellAnchor>
  <xdr:twoCellAnchor>
    <xdr:from>
      <xdr:col>35</xdr:col>
      <xdr:colOff>151525</xdr:colOff>
      <xdr:row>63</xdr:row>
      <xdr:rowOff>47705</xdr:rowOff>
    </xdr:from>
    <xdr:to>
      <xdr:col>41</xdr:col>
      <xdr:colOff>140433</xdr:colOff>
      <xdr:row>63</xdr:row>
      <xdr:rowOff>54615</xdr:rowOff>
    </xdr:to>
    <xdr:cxnSp macro="">
      <xdr:nvCxnSpPr>
        <xdr:cNvPr id="63" name="Gerade Verbindung mit Pfeil 62"/>
        <xdr:cNvCxnSpPr>
          <a:stCxn id="62" idx="3"/>
          <a:endCxn id="68" idx="1"/>
        </xdr:cNvCxnSpPr>
      </xdr:nvCxnSpPr>
      <xdr:spPr>
        <a:xfrm>
          <a:off x="14280275" y="19081830"/>
          <a:ext cx="1893908" cy="6910"/>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50</xdr:col>
      <xdr:colOff>70069</xdr:colOff>
      <xdr:row>63</xdr:row>
      <xdr:rowOff>46552</xdr:rowOff>
    </xdr:from>
    <xdr:to>
      <xdr:col>56</xdr:col>
      <xdr:colOff>58975</xdr:colOff>
      <xdr:row>63</xdr:row>
      <xdr:rowOff>54615</xdr:rowOff>
    </xdr:to>
    <xdr:cxnSp macro="">
      <xdr:nvCxnSpPr>
        <xdr:cNvPr id="64" name="Gerade Verbindung mit Pfeil 63"/>
        <xdr:cNvCxnSpPr>
          <a:stCxn id="68" idx="3"/>
          <a:endCxn id="65" idx="1"/>
        </xdr:cNvCxnSpPr>
      </xdr:nvCxnSpPr>
      <xdr:spPr>
        <a:xfrm flipV="1">
          <a:off x="19850319" y="19080677"/>
          <a:ext cx="2655906" cy="806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56</xdr:col>
      <xdr:colOff>58975</xdr:colOff>
      <xdr:row>62</xdr:row>
      <xdr:rowOff>251853</xdr:rowOff>
    </xdr:from>
    <xdr:to>
      <xdr:col>66</xdr:col>
      <xdr:colOff>4424</xdr:colOff>
      <xdr:row>63</xdr:row>
      <xdr:rowOff>349250</xdr:rowOff>
    </xdr:to>
    <xdr:sp macro="" textlink="">
      <xdr:nvSpPr>
        <xdr:cNvPr id="65" name="TextBox 40"/>
        <xdr:cNvSpPr txBox="1"/>
      </xdr:nvSpPr>
      <xdr:spPr bwMode="auto">
        <a:xfrm>
          <a:off x="22506225" y="18777978"/>
          <a:ext cx="4390449" cy="605397"/>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Taping</a:t>
          </a:r>
        </a:p>
      </xdr:txBody>
    </xdr:sp>
    <xdr:clientData/>
  </xdr:twoCellAnchor>
  <xdr:twoCellAnchor>
    <xdr:from>
      <xdr:col>61</xdr:col>
      <xdr:colOff>31700</xdr:colOff>
      <xdr:row>63</xdr:row>
      <xdr:rowOff>349250</xdr:rowOff>
    </xdr:from>
    <xdr:to>
      <xdr:col>61</xdr:col>
      <xdr:colOff>33048</xdr:colOff>
      <xdr:row>65</xdr:row>
      <xdr:rowOff>223343</xdr:rowOff>
    </xdr:to>
    <xdr:cxnSp macro="">
      <xdr:nvCxnSpPr>
        <xdr:cNvPr id="66" name="Gerade Verbindung mit Pfeil 65"/>
        <xdr:cNvCxnSpPr>
          <a:stCxn id="65" idx="2"/>
          <a:endCxn id="50" idx="0"/>
        </xdr:cNvCxnSpPr>
      </xdr:nvCxnSpPr>
      <xdr:spPr>
        <a:xfrm>
          <a:off x="24701450" y="19383375"/>
          <a:ext cx="1348" cy="890093"/>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8996</xdr:colOff>
      <xdr:row>65</xdr:row>
      <xdr:rowOff>222872</xdr:rowOff>
    </xdr:from>
    <xdr:to>
      <xdr:col>48</xdr:col>
      <xdr:colOff>140338</xdr:colOff>
      <xdr:row>66</xdr:row>
      <xdr:rowOff>317500</xdr:rowOff>
    </xdr:to>
    <xdr:sp macro="" textlink="">
      <xdr:nvSpPr>
        <xdr:cNvPr id="67" name="TextBox 40"/>
        <xdr:cNvSpPr txBox="1"/>
      </xdr:nvSpPr>
      <xdr:spPr bwMode="auto">
        <a:xfrm>
          <a:off x="15725246" y="20272997"/>
          <a:ext cx="3433342" cy="602628"/>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Trolly</a:t>
          </a:r>
        </a:p>
      </xdr:txBody>
    </xdr:sp>
    <xdr:clientData/>
  </xdr:twoCellAnchor>
  <xdr:twoCellAnchor>
    <xdr:from>
      <xdr:col>41</xdr:col>
      <xdr:colOff>140433</xdr:colOff>
      <xdr:row>62</xdr:row>
      <xdr:rowOff>252104</xdr:rowOff>
    </xdr:from>
    <xdr:to>
      <xdr:col>50</xdr:col>
      <xdr:colOff>70069</xdr:colOff>
      <xdr:row>63</xdr:row>
      <xdr:rowOff>365126</xdr:rowOff>
    </xdr:to>
    <xdr:sp macro="" textlink="">
      <xdr:nvSpPr>
        <xdr:cNvPr id="68" name="TextBox 40"/>
        <xdr:cNvSpPr txBox="1"/>
      </xdr:nvSpPr>
      <xdr:spPr bwMode="auto">
        <a:xfrm>
          <a:off x="16174183" y="18778229"/>
          <a:ext cx="3676136" cy="621022"/>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Assembly</a:t>
          </a:r>
        </a:p>
      </xdr:txBody>
    </xdr:sp>
    <xdr:clientData/>
  </xdr:twoCellAnchor>
  <xdr:twoCellAnchor>
    <xdr:from>
      <xdr:col>11</xdr:col>
      <xdr:colOff>300438</xdr:colOff>
      <xdr:row>66</xdr:row>
      <xdr:rowOff>16292</xdr:rowOff>
    </xdr:from>
    <xdr:to>
      <xdr:col>16</xdr:col>
      <xdr:colOff>155774</xdr:colOff>
      <xdr:row>66</xdr:row>
      <xdr:rowOff>24739</xdr:rowOff>
    </xdr:to>
    <xdr:cxnSp macro="">
      <xdr:nvCxnSpPr>
        <xdr:cNvPr id="70" name="Gerade Verbindung mit Pfeil 69"/>
        <xdr:cNvCxnSpPr>
          <a:stCxn id="53" idx="1"/>
          <a:endCxn id="71" idx="3"/>
        </xdr:cNvCxnSpPr>
      </xdr:nvCxnSpPr>
      <xdr:spPr>
        <a:xfrm flipH="1" flipV="1">
          <a:off x="4523188" y="20574417"/>
          <a:ext cx="2077836" cy="8447"/>
        </a:xfrm>
        <a:prstGeom prst="straightConnector1">
          <a:avLst/>
        </a:prstGeom>
        <a:ln>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234</xdr:colOff>
      <xdr:row>65</xdr:row>
      <xdr:rowOff>223084</xdr:rowOff>
    </xdr:from>
    <xdr:to>
      <xdr:col>11</xdr:col>
      <xdr:colOff>300438</xdr:colOff>
      <xdr:row>66</xdr:row>
      <xdr:rowOff>317500</xdr:rowOff>
    </xdr:to>
    <xdr:sp macro="" textlink="">
      <xdr:nvSpPr>
        <xdr:cNvPr id="71" name="TextBox 40"/>
        <xdr:cNvSpPr txBox="1"/>
      </xdr:nvSpPr>
      <xdr:spPr bwMode="auto">
        <a:xfrm>
          <a:off x="2000484" y="20273209"/>
          <a:ext cx="2522704" cy="602416"/>
        </a:xfrm>
        <a:prstGeom prst="rect">
          <a:avLst/>
        </a:prstGeom>
        <a:solidFill>
          <a:srgbClr val="7030A0"/>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latin typeface="+mj-lt"/>
            </a:rPr>
            <a:t>Packing</a:t>
          </a:r>
        </a:p>
      </xdr:txBody>
    </xdr:sp>
    <xdr:clientData/>
  </xdr:twoCellAnchor>
  <xdr:twoCellAnchor>
    <xdr:from>
      <xdr:col>36</xdr:col>
      <xdr:colOff>140112</xdr:colOff>
      <xdr:row>63</xdr:row>
      <xdr:rowOff>481198</xdr:rowOff>
    </xdr:from>
    <xdr:to>
      <xdr:col>39</xdr:col>
      <xdr:colOff>293805</xdr:colOff>
      <xdr:row>65</xdr:row>
      <xdr:rowOff>87152</xdr:rowOff>
    </xdr:to>
    <xdr:sp macro="" textlink="">
      <xdr:nvSpPr>
        <xdr:cNvPr id="39" name="Explosion 1 38"/>
        <xdr:cNvSpPr/>
      </xdr:nvSpPr>
      <xdr:spPr>
        <a:xfrm>
          <a:off x="14980062" y="19797898"/>
          <a:ext cx="1125243" cy="634654"/>
        </a:xfrm>
        <a:prstGeom prst="irregularSeal1">
          <a:avLst/>
        </a:prstGeom>
        <a:solidFill>
          <a:srgbClr val="FFFFCC"/>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113615</xdr:colOff>
      <xdr:row>10</xdr:row>
      <xdr:rowOff>71426</xdr:rowOff>
    </xdr:from>
    <xdr:to>
      <xdr:col>6</xdr:col>
      <xdr:colOff>835593</xdr:colOff>
      <xdr:row>11</xdr:row>
      <xdr:rowOff>515937</xdr:rowOff>
    </xdr:to>
    <xdr:pic>
      <xdr:nvPicPr>
        <xdr:cNvPr id="6" name="Grafik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6990" y="2262176"/>
          <a:ext cx="1936416" cy="515949"/>
        </a:xfrm>
        <a:prstGeom prst="rect">
          <a:avLst/>
        </a:prstGeom>
      </xdr:spPr>
    </xdr:pic>
    <xdr:clientData/>
  </xdr:twoCellAnchor>
  <xdr:twoCellAnchor>
    <xdr:from>
      <xdr:col>19</xdr:col>
      <xdr:colOff>876300</xdr:colOff>
      <xdr:row>24</xdr:row>
      <xdr:rowOff>11907</xdr:rowOff>
    </xdr:from>
    <xdr:to>
      <xdr:col>24</xdr:col>
      <xdr:colOff>388144</xdr:colOff>
      <xdr:row>31</xdr:row>
      <xdr:rowOff>0</xdr:rowOff>
    </xdr:to>
    <xdr:sp macro="" textlink="'D1-D2-D3'!V48">
      <xdr:nvSpPr>
        <xdr:cNvPr id="93" name="Flussdiagramm: Prozess 92"/>
        <xdr:cNvSpPr/>
      </xdr:nvSpPr>
      <xdr:spPr>
        <a:xfrm>
          <a:off x="14077950" y="7574757"/>
          <a:ext cx="3245644" cy="1721643"/>
        </a:xfrm>
        <a:prstGeom prst="flowChartProcess">
          <a:avLst/>
        </a:prstGeom>
        <a:solidFill>
          <a:schemeClr val="bg1">
            <a:lumMod val="85000"/>
            <a:alpha val="50196"/>
          </a:schemeClr>
        </a:solid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5E6DB08-DE95-4C20-BEC0-36649714C714}" type="TxLink">
            <a:rPr lang="en-US" sz="2000" b="0" i="0" u="none" strike="noStrike">
              <a:solidFill>
                <a:srgbClr val="000000"/>
              </a:solidFill>
              <a:latin typeface="Tahoma"/>
              <a:ea typeface="Tahoma"/>
              <a:cs typeface="Tahoma"/>
            </a:rPr>
            <a:pPr algn="ctr"/>
            <a:t> </a:t>
          </a:fld>
          <a:endParaRPr lang="en-US" sz="2800" i="1">
            <a:solidFill>
              <a:srgbClr val="9A0000"/>
            </a:solidFill>
            <a:latin typeface="+mj-lt"/>
          </a:endParaRPr>
        </a:p>
      </xdr:txBody>
    </xdr:sp>
    <xdr:clientData/>
  </xdr:twoCellAnchor>
  <xdr:twoCellAnchor>
    <xdr:from>
      <xdr:col>12</xdr:col>
      <xdr:colOff>190500</xdr:colOff>
      <xdr:row>27</xdr:row>
      <xdr:rowOff>95250</xdr:rowOff>
    </xdr:from>
    <xdr:to>
      <xdr:col>19</xdr:col>
      <xdr:colOff>876300</xdr:colOff>
      <xdr:row>27</xdr:row>
      <xdr:rowOff>129779</xdr:rowOff>
    </xdr:to>
    <xdr:cxnSp macro="">
      <xdr:nvCxnSpPr>
        <xdr:cNvPr id="7" name="Gerader Verbinder 6"/>
        <xdr:cNvCxnSpPr>
          <a:endCxn id="93" idx="1"/>
        </xdr:cNvCxnSpPr>
      </xdr:nvCxnSpPr>
      <xdr:spPr>
        <a:xfrm>
          <a:off x="6800850" y="8401050"/>
          <a:ext cx="7277100" cy="34529"/>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23</xdr:row>
      <xdr:rowOff>19050</xdr:rowOff>
    </xdr:from>
    <xdr:to>
      <xdr:col>12</xdr:col>
      <xdr:colOff>190500</xdr:colOff>
      <xdr:row>27</xdr:row>
      <xdr:rowOff>95250</xdr:rowOff>
    </xdr:to>
    <xdr:cxnSp macro="">
      <xdr:nvCxnSpPr>
        <xdr:cNvPr id="20" name="Gerader Verbinder 19"/>
        <xdr:cNvCxnSpPr/>
      </xdr:nvCxnSpPr>
      <xdr:spPr>
        <a:xfrm>
          <a:off x="5886450" y="6667500"/>
          <a:ext cx="1295400" cy="114300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19050</xdr:colOff>
      <xdr:row>27</xdr:row>
      <xdr:rowOff>95250</xdr:rowOff>
    </xdr:from>
    <xdr:to>
      <xdr:col>12</xdr:col>
      <xdr:colOff>190500</xdr:colOff>
      <xdr:row>32</xdr:row>
      <xdr:rowOff>0</xdr:rowOff>
    </xdr:to>
    <xdr:cxnSp macro="">
      <xdr:nvCxnSpPr>
        <xdr:cNvPr id="22" name="Gerader Verbinder 21"/>
        <xdr:cNvCxnSpPr/>
      </xdr:nvCxnSpPr>
      <xdr:spPr>
        <a:xfrm flipV="1">
          <a:off x="5905500" y="7810500"/>
          <a:ext cx="1276350" cy="133350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400050</xdr:colOff>
      <xdr:row>27</xdr:row>
      <xdr:rowOff>152400</xdr:rowOff>
    </xdr:from>
    <xdr:to>
      <xdr:col>32</xdr:col>
      <xdr:colOff>666750</xdr:colOff>
      <xdr:row>27</xdr:row>
      <xdr:rowOff>152400</xdr:rowOff>
    </xdr:to>
    <xdr:cxnSp macro="">
      <xdr:nvCxnSpPr>
        <xdr:cNvPr id="34" name="Gerader Verbinder 33"/>
        <xdr:cNvCxnSpPr/>
      </xdr:nvCxnSpPr>
      <xdr:spPr>
        <a:xfrm>
          <a:off x="17983200" y="7867650"/>
          <a:ext cx="7315200" cy="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23</xdr:row>
      <xdr:rowOff>19050</xdr:rowOff>
    </xdr:from>
    <xdr:to>
      <xdr:col>17</xdr:col>
      <xdr:colOff>1181100</xdr:colOff>
      <xdr:row>27</xdr:row>
      <xdr:rowOff>95250</xdr:rowOff>
    </xdr:to>
    <xdr:cxnSp macro="">
      <xdr:nvCxnSpPr>
        <xdr:cNvPr id="36" name="Gerader Verbinder 35"/>
        <xdr:cNvCxnSpPr/>
      </xdr:nvCxnSpPr>
      <xdr:spPr>
        <a:xfrm>
          <a:off x="10953750" y="6667500"/>
          <a:ext cx="1295400" cy="114300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19050</xdr:colOff>
      <xdr:row>27</xdr:row>
      <xdr:rowOff>95250</xdr:rowOff>
    </xdr:from>
    <xdr:to>
      <xdr:col>17</xdr:col>
      <xdr:colOff>1181100</xdr:colOff>
      <xdr:row>32</xdr:row>
      <xdr:rowOff>0</xdr:rowOff>
    </xdr:to>
    <xdr:cxnSp macro="">
      <xdr:nvCxnSpPr>
        <xdr:cNvPr id="37" name="Gerader Verbinder 36"/>
        <xdr:cNvCxnSpPr/>
      </xdr:nvCxnSpPr>
      <xdr:spPr>
        <a:xfrm flipV="1">
          <a:off x="10972800" y="7810500"/>
          <a:ext cx="1276350" cy="133350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666750</xdr:colOff>
      <xdr:row>23</xdr:row>
      <xdr:rowOff>19050</xdr:rowOff>
    </xdr:from>
    <xdr:to>
      <xdr:col>35</xdr:col>
      <xdr:colOff>19050</xdr:colOff>
      <xdr:row>27</xdr:row>
      <xdr:rowOff>133350</xdr:rowOff>
    </xdr:to>
    <xdr:cxnSp macro="">
      <xdr:nvCxnSpPr>
        <xdr:cNvPr id="38" name="Gerader Verbinder 37"/>
        <xdr:cNvCxnSpPr/>
      </xdr:nvCxnSpPr>
      <xdr:spPr>
        <a:xfrm flipH="1">
          <a:off x="25298400" y="6667500"/>
          <a:ext cx="1447800" cy="118110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666750</xdr:colOff>
      <xdr:row>27</xdr:row>
      <xdr:rowOff>152400</xdr:rowOff>
    </xdr:from>
    <xdr:to>
      <xdr:col>35</xdr:col>
      <xdr:colOff>38100</xdr:colOff>
      <xdr:row>32</xdr:row>
      <xdr:rowOff>0</xdr:rowOff>
    </xdr:to>
    <xdr:cxnSp macro="">
      <xdr:nvCxnSpPr>
        <xdr:cNvPr id="39" name="Gerader Verbinder 38"/>
        <xdr:cNvCxnSpPr/>
      </xdr:nvCxnSpPr>
      <xdr:spPr>
        <a:xfrm flipH="1" flipV="1">
          <a:off x="25298400" y="7867650"/>
          <a:ext cx="1466850" cy="127635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666750</xdr:colOff>
      <xdr:row>23</xdr:row>
      <xdr:rowOff>19050</xdr:rowOff>
    </xdr:from>
    <xdr:to>
      <xdr:col>29</xdr:col>
      <xdr:colOff>19050</xdr:colOff>
      <xdr:row>27</xdr:row>
      <xdr:rowOff>133350</xdr:rowOff>
    </xdr:to>
    <xdr:cxnSp macro="">
      <xdr:nvCxnSpPr>
        <xdr:cNvPr id="40" name="Gerader Verbinder 39"/>
        <xdr:cNvCxnSpPr/>
      </xdr:nvCxnSpPr>
      <xdr:spPr>
        <a:xfrm flipH="1">
          <a:off x="20231100" y="6667500"/>
          <a:ext cx="1447800" cy="118110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666750</xdr:colOff>
      <xdr:row>27</xdr:row>
      <xdr:rowOff>152400</xdr:rowOff>
    </xdr:from>
    <xdr:to>
      <xdr:col>29</xdr:col>
      <xdr:colOff>38100</xdr:colOff>
      <xdr:row>32</xdr:row>
      <xdr:rowOff>0</xdr:rowOff>
    </xdr:to>
    <xdr:cxnSp macro="">
      <xdr:nvCxnSpPr>
        <xdr:cNvPr id="41" name="Gerader Verbinder 40"/>
        <xdr:cNvCxnSpPr/>
      </xdr:nvCxnSpPr>
      <xdr:spPr>
        <a:xfrm flipH="1" flipV="1">
          <a:off x="20231100" y="7867650"/>
          <a:ext cx="1466850" cy="1276350"/>
        </a:xfrm>
        <a:prstGeom prst="line">
          <a:avLst/>
        </a:prstGeom>
        <a:ln w="28575">
          <a:solidFill>
            <a:schemeClr val="bg1">
              <a:lumMod val="50000"/>
            </a:schemeClr>
          </a:solidFill>
        </a:ln>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24434</xdr:colOff>
      <xdr:row>2</xdr:row>
      <xdr:rowOff>47629</xdr:rowOff>
    </xdr:from>
    <xdr:to>
      <xdr:col>7</xdr:col>
      <xdr:colOff>452438</xdr:colOff>
      <xdr:row>2</xdr:row>
      <xdr:rowOff>474931</xdr:rowOff>
    </xdr:to>
    <xdr:pic>
      <xdr:nvPicPr>
        <xdr:cNvPr id="6" name="Grafik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684" y="119067"/>
          <a:ext cx="1392410" cy="427302"/>
        </a:xfrm>
        <a:prstGeom prst="rect">
          <a:avLst/>
        </a:prstGeom>
      </xdr:spPr>
    </xdr:pic>
    <xdr:clientData/>
  </xdr:twoCellAnchor>
  <xdr:twoCellAnchor>
    <xdr:from>
      <xdr:col>6</xdr:col>
      <xdr:colOff>130968</xdr:colOff>
      <xdr:row>6</xdr:row>
      <xdr:rowOff>130969</xdr:rowOff>
    </xdr:from>
    <xdr:to>
      <xdr:col>24</xdr:col>
      <xdr:colOff>148324</xdr:colOff>
      <xdr:row>13</xdr:row>
      <xdr:rowOff>9953</xdr:rowOff>
    </xdr:to>
    <xdr:grpSp>
      <xdr:nvGrpSpPr>
        <xdr:cNvPr id="256" name="Gruppieren 255"/>
        <xdr:cNvGrpSpPr/>
      </xdr:nvGrpSpPr>
      <xdr:grpSpPr>
        <a:xfrm>
          <a:off x="832008" y="1190149"/>
          <a:ext cx="10502476" cy="1319164"/>
          <a:chOff x="879259" y="1532136"/>
          <a:chExt cx="10185293" cy="1319639"/>
        </a:xfrm>
      </xdr:grpSpPr>
      <xdr:sp macro="" textlink="">
        <xdr:nvSpPr>
          <xdr:cNvPr id="257" name="Textfeld 5"/>
          <xdr:cNvSpPr txBox="1"/>
        </xdr:nvSpPr>
        <xdr:spPr>
          <a:xfrm>
            <a:off x="983432" y="1537047"/>
            <a:ext cx="4762774" cy="307777"/>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i="1">
                <a:solidFill>
                  <a:srgbClr val="7030A0"/>
                </a:solidFill>
                <a:latin typeface="Tahoma" panose="020B0604030504040204" pitchFamily="34" charset="0"/>
                <a:ea typeface="Tahoma" panose="020B0604030504040204" pitchFamily="34" charset="0"/>
                <a:cs typeface="Tahoma" panose="020B0604030504040204" pitchFamily="34" charset="0"/>
              </a:rPr>
              <a:t>Technical consideration</a:t>
            </a:r>
          </a:p>
        </xdr:txBody>
      </xdr:sp>
      <xdr:sp macro="" textlink="">
        <xdr:nvSpPr>
          <xdr:cNvPr id="258" name="Textfeld 6"/>
          <xdr:cNvSpPr txBox="1"/>
        </xdr:nvSpPr>
        <xdr:spPr>
          <a:xfrm>
            <a:off x="6264013" y="1532136"/>
            <a:ext cx="4714763" cy="307777"/>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1" i="1">
                <a:solidFill>
                  <a:srgbClr val="7030A0"/>
                </a:solidFill>
                <a:latin typeface="Tahoma" panose="020B0604030504040204" pitchFamily="34" charset="0"/>
                <a:ea typeface="Tahoma" panose="020B0604030504040204" pitchFamily="34" charset="0"/>
                <a:cs typeface="Tahoma" panose="020B0604030504040204" pitchFamily="34" charset="0"/>
              </a:rPr>
              <a:t>Systemic consideration</a:t>
            </a:r>
          </a:p>
        </xdr:txBody>
      </xdr:sp>
      <xdr:sp macro="" textlink="">
        <xdr:nvSpPr>
          <xdr:cNvPr id="259" name="Textfeld 7"/>
          <xdr:cNvSpPr txBox="1"/>
        </xdr:nvSpPr>
        <xdr:spPr>
          <a:xfrm>
            <a:off x="983432" y="1866310"/>
            <a:ext cx="1080120" cy="307777"/>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a:latin typeface="Tahoma" panose="020B0604030504040204" pitchFamily="34" charset="0"/>
                <a:ea typeface="Tahoma" panose="020B0604030504040204" pitchFamily="34" charset="0"/>
                <a:cs typeface="Tahoma" panose="020B0604030504040204" pitchFamily="34" charset="0"/>
              </a:rPr>
              <a:t>Problem</a:t>
            </a:r>
          </a:p>
        </xdr:txBody>
      </xdr:sp>
      <xdr:sp macro="" textlink="">
        <xdr:nvSpPr>
          <xdr:cNvPr id="260" name="Textfeld 8"/>
          <xdr:cNvSpPr txBox="1"/>
        </xdr:nvSpPr>
        <xdr:spPr>
          <a:xfrm>
            <a:off x="879259" y="2420888"/>
            <a:ext cx="1332148" cy="430887"/>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b="1" i="1">
                <a:latin typeface="Tahoma" panose="020B0604030504040204" pitchFamily="34" charset="0"/>
                <a:ea typeface="Tahoma" panose="020B0604030504040204" pitchFamily="34" charset="0"/>
                <a:cs typeface="Tahoma" panose="020B0604030504040204" pitchFamily="34" charset="0"/>
              </a:rPr>
              <a:t>Occurrence;</a:t>
            </a:r>
          </a:p>
          <a:p>
            <a:r>
              <a:rPr lang="en-US" sz="1050" b="1" i="1">
                <a:latin typeface="Tahoma" panose="020B0604030504040204" pitchFamily="34" charset="0"/>
                <a:ea typeface="Tahoma" panose="020B0604030504040204" pitchFamily="34" charset="0"/>
                <a:cs typeface="Tahoma" panose="020B0604030504040204" pitchFamily="34" charset="0"/>
              </a:rPr>
              <a:t>Non-detection</a:t>
            </a:r>
          </a:p>
        </xdr:txBody>
      </xdr:sp>
      <xdr:sp macro="" textlink="">
        <xdr:nvSpPr>
          <xdr:cNvPr id="261" name="Textfeld 11"/>
          <xdr:cNvSpPr txBox="1"/>
        </xdr:nvSpPr>
        <xdr:spPr>
          <a:xfrm>
            <a:off x="3191488" y="2310373"/>
            <a:ext cx="881504" cy="253916"/>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05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62" name="Textfeld 19"/>
          <xdr:cNvSpPr txBox="1"/>
        </xdr:nvSpPr>
        <xdr:spPr>
          <a:xfrm>
            <a:off x="4079776" y="2189829"/>
            <a:ext cx="876026" cy="230832"/>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latin typeface="Tahoma" panose="020B0604030504040204" pitchFamily="34" charset="0"/>
                <a:ea typeface="Tahoma" panose="020B0604030504040204" pitchFamily="34" charset="0"/>
                <a:cs typeface="Tahoma" panose="020B0604030504040204" pitchFamily="34" charset="0"/>
              </a:rPr>
              <a:t>Therefore</a:t>
            </a:r>
          </a:p>
        </xdr:txBody>
      </xdr:sp>
      <xdr:sp macro="" textlink="">
        <xdr:nvSpPr>
          <xdr:cNvPr id="263" name="Legende mit Pfeil nach unten 262"/>
          <xdr:cNvSpPr/>
        </xdr:nvSpPr>
        <xdr:spPr>
          <a:xfrm>
            <a:off x="4234038" y="1868004"/>
            <a:ext cx="1512168" cy="527138"/>
          </a:xfrm>
          <a:prstGeom prst="downArrowCallou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64" name="Textfeld 21"/>
          <xdr:cNvSpPr txBox="1"/>
        </xdr:nvSpPr>
        <xdr:spPr>
          <a:xfrm>
            <a:off x="4162030" y="1896160"/>
            <a:ext cx="1645938" cy="276999"/>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C00000"/>
                </a:solidFill>
                <a:latin typeface="Tahoma" panose="020B0604030504040204" pitchFamily="34" charset="0"/>
                <a:ea typeface="Tahoma" panose="020B0604030504040204" pitchFamily="34" charset="0"/>
                <a:cs typeface="Tahoma" panose="020B0604030504040204" pitchFamily="34" charset="0"/>
              </a:rPr>
              <a:t>Technical root cause</a:t>
            </a:r>
          </a:p>
        </xdr:txBody>
      </xdr:sp>
      <xdr:sp macro="" textlink="">
        <xdr:nvSpPr>
          <xdr:cNvPr id="265" name="Textfeld 35"/>
          <xdr:cNvSpPr txBox="1"/>
        </xdr:nvSpPr>
        <xdr:spPr>
          <a:xfrm>
            <a:off x="6264014" y="1837454"/>
            <a:ext cx="1093806" cy="369332"/>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a:latin typeface="Tahoma" panose="020B0604030504040204" pitchFamily="34" charset="0"/>
                <a:ea typeface="Tahoma" panose="020B0604030504040204" pitchFamily="34" charset="0"/>
                <a:cs typeface="Tahoma" panose="020B0604030504040204" pitchFamily="34" charset="0"/>
              </a:rPr>
              <a:t>Technical root cause</a:t>
            </a:r>
          </a:p>
        </xdr:txBody>
      </xdr:sp>
      <xdr:sp macro="" textlink="">
        <xdr:nvSpPr>
          <xdr:cNvPr id="266" name="Textfeld 47"/>
          <xdr:cNvSpPr txBox="1"/>
        </xdr:nvSpPr>
        <xdr:spPr>
          <a:xfrm>
            <a:off x="9418614" y="1873746"/>
            <a:ext cx="1645938" cy="276999"/>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a:solidFill>
                  <a:srgbClr val="C00000"/>
                </a:solidFill>
                <a:latin typeface="Tahoma" panose="020B0604030504040204" pitchFamily="34" charset="0"/>
                <a:ea typeface="Tahoma" panose="020B0604030504040204" pitchFamily="34" charset="0"/>
                <a:cs typeface="Tahoma" panose="020B0604030504040204" pitchFamily="34" charset="0"/>
              </a:rPr>
              <a:t>Systemic root cause</a:t>
            </a:r>
          </a:p>
        </xdr:txBody>
      </xdr:sp>
      <xdr:sp macro="" textlink="">
        <xdr:nvSpPr>
          <xdr:cNvPr id="267" name="Chevron 266"/>
          <xdr:cNvSpPr/>
        </xdr:nvSpPr>
        <xdr:spPr>
          <a:xfrm>
            <a:off x="5807968" y="1866311"/>
            <a:ext cx="432048" cy="338554"/>
          </a:xfrm>
          <a:prstGeom prst="chevron">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de-DE">
              <a:solidFill>
                <a:schemeClr val="tx1"/>
              </a:solidFill>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68" name="Textfeld 66"/>
          <xdr:cNvSpPr txBox="1"/>
        </xdr:nvSpPr>
        <xdr:spPr>
          <a:xfrm>
            <a:off x="1538575" y="2272031"/>
            <a:ext cx="587994" cy="246221"/>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latin typeface="Tahoma" panose="020B0604030504040204" pitchFamily="34" charset="0"/>
                <a:ea typeface="Tahoma" panose="020B0604030504040204" pitchFamily="34" charset="0"/>
                <a:cs typeface="Tahoma" panose="020B0604030504040204" pitchFamily="34" charset="0"/>
              </a:rPr>
              <a:t>Why?</a:t>
            </a:r>
          </a:p>
        </xdr:txBody>
      </xdr:sp>
      <xdr:sp macro="" textlink="">
        <xdr:nvSpPr>
          <xdr:cNvPr id="269" name="Textfeld 80"/>
          <xdr:cNvSpPr txBox="1"/>
        </xdr:nvSpPr>
        <xdr:spPr>
          <a:xfrm>
            <a:off x="2080606" y="2204864"/>
            <a:ext cx="881504" cy="253916"/>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05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70" name="Textfeld 29"/>
          <xdr:cNvSpPr txBox="1"/>
        </xdr:nvSpPr>
        <xdr:spPr>
          <a:xfrm>
            <a:off x="2600656" y="2483751"/>
            <a:ext cx="587994" cy="246221"/>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latin typeface="Tahoma" panose="020B0604030504040204" pitchFamily="34" charset="0"/>
                <a:ea typeface="Tahoma" panose="020B0604030504040204" pitchFamily="34" charset="0"/>
                <a:cs typeface="Tahoma" panose="020B0604030504040204" pitchFamily="34" charset="0"/>
              </a:rPr>
              <a:t>Why?</a:t>
            </a:r>
          </a:p>
        </xdr:txBody>
      </xdr:sp>
      <xdr:sp macro="" textlink="">
        <xdr:nvSpPr>
          <xdr:cNvPr id="271" name="Textfeld 31"/>
          <xdr:cNvSpPr txBox="1"/>
        </xdr:nvSpPr>
        <xdr:spPr>
          <a:xfrm>
            <a:off x="4324258" y="2437331"/>
            <a:ext cx="881504" cy="253916"/>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050">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272" name="Gewinkelter Verbinder 271"/>
          <xdr:cNvCxnSpPr>
            <a:stCxn id="259" idx="2"/>
          </xdr:cNvCxnSpPr>
        </xdr:nvCxnSpPr>
        <xdr:spPr>
          <a:xfrm rot="16200000" flipH="1">
            <a:off x="1724392" y="1973186"/>
            <a:ext cx="149800" cy="551601"/>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3" name="Gewinkelter Verbinder 272"/>
          <xdr:cNvCxnSpPr>
            <a:stCxn id="271" idx="0"/>
          </xdr:cNvCxnSpPr>
        </xdr:nvCxnSpPr>
        <xdr:spPr>
          <a:xfrm rot="16200000" flipV="1">
            <a:off x="4384053" y="2056374"/>
            <a:ext cx="69896" cy="692018"/>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4" name="Legende mit Pfeil nach unten 273"/>
          <xdr:cNvSpPr/>
        </xdr:nvSpPr>
        <xdr:spPr>
          <a:xfrm>
            <a:off x="9466609" y="1837454"/>
            <a:ext cx="1512168" cy="557688"/>
          </a:xfrm>
          <a:prstGeom prst="downArrowCallout">
            <a:avLst/>
          </a:prstGeom>
          <a:noFill/>
          <a:ln w="190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de-DE"/>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75" name="Textfeld 118"/>
          <xdr:cNvSpPr txBox="1"/>
        </xdr:nvSpPr>
        <xdr:spPr>
          <a:xfrm>
            <a:off x="2987726" y="2068707"/>
            <a:ext cx="876026" cy="230832"/>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latin typeface="Tahoma" panose="020B0604030504040204" pitchFamily="34" charset="0"/>
                <a:ea typeface="Tahoma" panose="020B0604030504040204" pitchFamily="34" charset="0"/>
                <a:cs typeface="Tahoma" panose="020B0604030504040204" pitchFamily="34" charset="0"/>
              </a:rPr>
              <a:t>Therefore</a:t>
            </a:r>
          </a:p>
        </xdr:txBody>
      </xdr:sp>
      <xdr:cxnSp macro="">
        <xdr:nvCxnSpPr>
          <xdr:cNvPr id="276" name="Gewinkelter Verbinder 275"/>
          <xdr:cNvCxnSpPr>
            <a:stCxn id="261" idx="0"/>
          </xdr:cNvCxnSpPr>
        </xdr:nvCxnSpPr>
        <xdr:spPr>
          <a:xfrm rot="16200000" flipV="1">
            <a:off x="3265006" y="1943138"/>
            <a:ext cx="62252" cy="672217"/>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7" name="Textfeld 120"/>
          <xdr:cNvSpPr txBox="1"/>
        </xdr:nvSpPr>
        <xdr:spPr>
          <a:xfrm>
            <a:off x="2060673" y="1835532"/>
            <a:ext cx="876026" cy="230832"/>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latin typeface="Tahoma" panose="020B0604030504040204" pitchFamily="34" charset="0"/>
                <a:ea typeface="Tahoma" panose="020B0604030504040204" pitchFamily="34" charset="0"/>
                <a:cs typeface="Tahoma" panose="020B0604030504040204" pitchFamily="34" charset="0"/>
              </a:rPr>
              <a:t>Therefore</a:t>
            </a:r>
          </a:p>
        </xdr:txBody>
      </xdr:sp>
      <xdr:cxnSp macro="">
        <xdr:nvCxnSpPr>
          <xdr:cNvPr id="278" name="Gewinkelter Verbinder 277"/>
          <xdr:cNvCxnSpPr>
            <a:stCxn id="269" idx="0"/>
            <a:endCxn id="259" idx="3"/>
          </xdr:cNvCxnSpPr>
        </xdr:nvCxnSpPr>
        <xdr:spPr>
          <a:xfrm rot="16200000" flipV="1">
            <a:off x="2200123" y="1883629"/>
            <a:ext cx="184665" cy="457806"/>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9" name="Gewinkelter Verbinder 278"/>
          <xdr:cNvCxnSpPr>
            <a:stCxn id="269" idx="2"/>
          </xdr:cNvCxnSpPr>
        </xdr:nvCxnSpPr>
        <xdr:spPr>
          <a:xfrm rot="16200000" flipH="1">
            <a:off x="2817091" y="2163047"/>
            <a:ext cx="72988" cy="66445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0" name="Textfeld 124"/>
          <xdr:cNvSpPr txBox="1"/>
        </xdr:nvSpPr>
        <xdr:spPr>
          <a:xfrm>
            <a:off x="3731423" y="2591333"/>
            <a:ext cx="587994" cy="246221"/>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latin typeface="Tahoma" panose="020B0604030504040204" pitchFamily="34" charset="0"/>
                <a:ea typeface="Tahoma" panose="020B0604030504040204" pitchFamily="34" charset="0"/>
                <a:cs typeface="Tahoma" panose="020B0604030504040204" pitchFamily="34" charset="0"/>
              </a:rPr>
              <a:t>Why?</a:t>
            </a:r>
          </a:p>
        </xdr:txBody>
      </xdr:sp>
      <xdr:cxnSp macro="">
        <xdr:nvCxnSpPr>
          <xdr:cNvPr id="281" name="Gewinkelter Verbinder 280"/>
          <xdr:cNvCxnSpPr>
            <a:stCxn id="261" idx="2"/>
          </xdr:cNvCxnSpPr>
        </xdr:nvCxnSpPr>
        <xdr:spPr>
          <a:xfrm rot="16200000" flipH="1">
            <a:off x="3936879" y="2259649"/>
            <a:ext cx="75060" cy="68433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2" name="Textfeld 130"/>
          <xdr:cNvSpPr txBox="1"/>
        </xdr:nvSpPr>
        <xdr:spPr>
          <a:xfrm>
            <a:off x="6161985" y="2420888"/>
            <a:ext cx="1332148" cy="430887"/>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50" b="1" i="1">
                <a:latin typeface="Tahoma" panose="020B0604030504040204" pitchFamily="34" charset="0"/>
                <a:ea typeface="Tahoma" panose="020B0604030504040204" pitchFamily="34" charset="0"/>
                <a:cs typeface="Tahoma" panose="020B0604030504040204" pitchFamily="34" charset="0"/>
              </a:rPr>
              <a:t>Occurrence;</a:t>
            </a:r>
          </a:p>
          <a:p>
            <a:r>
              <a:rPr lang="en-US" sz="1050" b="1" i="1">
                <a:latin typeface="Tahoma" panose="020B0604030504040204" pitchFamily="34" charset="0"/>
                <a:ea typeface="Tahoma" panose="020B0604030504040204" pitchFamily="34" charset="0"/>
                <a:cs typeface="Tahoma" panose="020B0604030504040204" pitchFamily="34" charset="0"/>
              </a:rPr>
              <a:t>Non-detection</a:t>
            </a:r>
          </a:p>
        </xdr:txBody>
      </xdr:sp>
      <xdr:sp macro="" textlink="">
        <xdr:nvSpPr>
          <xdr:cNvPr id="283" name="Textfeld 131"/>
          <xdr:cNvSpPr txBox="1"/>
        </xdr:nvSpPr>
        <xdr:spPr>
          <a:xfrm>
            <a:off x="8491638" y="2320537"/>
            <a:ext cx="881504" cy="253916"/>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05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84" name="Textfeld 132"/>
          <xdr:cNvSpPr txBox="1"/>
        </xdr:nvSpPr>
        <xdr:spPr>
          <a:xfrm>
            <a:off x="9396438" y="2199993"/>
            <a:ext cx="876026" cy="230832"/>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latin typeface="Tahoma" panose="020B0604030504040204" pitchFamily="34" charset="0"/>
                <a:ea typeface="Tahoma" panose="020B0604030504040204" pitchFamily="34" charset="0"/>
                <a:cs typeface="Tahoma" panose="020B0604030504040204" pitchFamily="34" charset="0"/>
              </a:rPr>
              <a:t>Therefore</a:t>
            </a:r>
          </a:p>
        </xdr:txBody>
      </xdr:sp>
      <xdr:sp macro="" textlink="">
        <xdr:nvSpPr>
          <xdr:cNvPr id="285" name="Textfeld 133"/>
          <xdr:cNvSpPr txBox="1"/>
        </xdr:nvSpPr>
        <xdr:spPr>
          <a:xfrm>
            <a:off x="6821301" y="2272031"/>
            <a:ext cx="587994" cy="246221"/>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latin typeface="Tahoma" panose="020B0604030504040204" pitchFamily="34" charset="0"/>
                <a:ea typeface="Tahoma" panose="020B0604030504040204" pitchFamily="34" charset="0"/>
                <a:cs typeface="Tahoma" panose="020B0604030504040204" pitchFamily="34" charset="0"/>
              </a:rPr>
              <a:t>Why?</a:t>
            </a:r>
          </a:p>
        </xdr:txBody>
      </xdr:sp>
      <xdr:sp macro="" textlink="">
        <xdr:nvSpPr>
          <xdr:cNvPr id="286" name="Textfeld 134"/>
          <xdr:cNvSpPr txBox="1"/>
        </xdr:nvSpPr>
        <xdr:spPr>
          <a:xfrm>
            <a:off x="7380756" y="2215028"/>
            <a:ext cx="881504" cy="253916"/>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050">
              <a:latin typeface="Tahoma" panose="020B0604030504040204" pitchFamily="34" charset="0"/>
              <a:ea typeface="Tahoma" panose="020B0604030504040204" pitchFamily="34" charset="0"/>
              <a:cs typeface="Tahoma" panose="020B0604030504040204" pitchFamily="34" charset="0"/>
            </a:endParaRPr>
          </a:p>
        </xdr:txBody>
      </xdr:sp>
      <xdr:sp macro="" textlink="">
        <xdr:nvSpPr>
          <xdr:cNvPr id="287" name="Textfeld 135"/>
          <xdr:cNvSpPr txBox="1"/>
        </xdr:nvSpPr>
        <xdr:spPr>
          <a:xfrm>
            <a:off x="7900806" y="2493915"/>
            <a:ext cx="587994" cy="246221"/>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latin typeface="Tahoma" panose="020B0604030504040204" pitchFamily="34" charset="0"/>
                <a:ea typeface="Tahoma" panose="020B0604030504040204" pitchFamily="34" charset="0"/>
                <a:cs typeface="Tahoma" panose="020B0604030504040204" pitchFamily="34" charset="0"/>
              </a:rPr>
              <a:t>Why?</a:t>
            </a:r>
          </a:p>
        </xdr:txBody>
      </xdr:sp>
      <xdr:sp macro="" textlink="">
        <xdr:nvSpPr>
          <xdr:cNvPr id="288" name="Textfeld 136"/>
          <xdr:cNvSpPr txBox="1"/>
        </xdr:nvSpPr>
        <xdr:spPr>
          <a:xfrm>
            <a:off x="9624408" y="2447495"/>
            <a:ext cx="881504" cy="253916"/>
          </a:xfrm>
          <a:prstGeom prst="rect">
            <a:avLst/>
          </a:prstGeom>
          <a:noFill/>
          <a:ln>
            <a:solidFill>
              <a:schemeClr val="tx1"/>
            </a:solidFill>
          </a:ln>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sz="1050">
              <a:latin typeface="Tahoma" panose="020B0604030504040204" pitchFamily="34" charset="0"/>
              <a:ea typeface="Tahoma" panose="020B0604030504040204" pitchFamily="34" charset="0"/>
              <a:cs typeface="Tahoma" panose="020B0604030504040204" pitchFamily="34" charset="0"/>
            </a:endParaRPr>
          </a:p>
        </xdr:txBody>
      </xdr:sp>
      <xdr:cxnSp macro="">
        <xdr:nvCxnSpPr>
          <xdr:cNvPr id="289" name="Gewinkelter Verbinder 288"/>
          <xdr:cNvCxnSpPr>
            <a:stCxn id="265" idx="2"/>
          </xdr:cNvCxnSpPr>
        </xdr:nvCxnSpPr>
        <xdr:spPr>
          <a:xfrm rot="16200000" flipH="1">
            <a:off x="7025818" y="1991884"/>
            <a:ext cx="117100" cy="546903"/>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0" name="Gewinkelter Verbinder 289"/>
          <xdr:cNvCxnSpPr>
            <a:stCxn id="288" idx="0"/>
          </xdr:cNvCxnSpPr>
        </xdr:nvCxnSpPr>
        <xdr:spPr>
          <a:xfrm rot="16200000" flipV="1">
            <a:off x="9684203" y="2066538"/>
            <a:ext cx="69896" cy="692018"/>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91" name="Textfeld 139"/>
          <xdr:cNvSpPr txBox="1"/>
        </xdr:nvSpPr>
        <xdr:spPr>
          <a:xfrm>
            <a:off x="8316318" y="2078871"/>
            <a:ext cx="876026" cy="230832"/>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latin typeface="Tahoma" panose="020B0604030504040204" pitchFamily="34" charset="0"/>
                <a:ea typeface="Tahoma" panose="020B0604030504040204" pitchFamily="34" charset="0"/>
                <a:cs typeface="Tahoma" panose="020B0604030504040204" pitchFamily="34" charset="0"/>
              </a:rPr>
              <a:t>Therefore</a:t>
            </a:r>
          </a:p>
        </xdr:txBody>
      </xdr:sp>
      <xdr:cxnSp macro="">
        <xdr:nvCxnSpPr>
          <xdr:cNvPr id="292" name="Gewinkelter Verbinder 291"/>
          <xdr:cNvCxnSpPr>
            <a:stCxn id="283" idx="0"/>
          </xdr:cNvCxnSpPr>
        </xdr:nvCxnSpPr>
        <xdr:spPr>
          <a:xfrm rot="16200000" flipV="1">
            <a:off x="8565156" y="1953302"/>
            <a:ext cx="62252" cy="672217"/>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93" name="Textfeld 141"/>
          <xdr:cNvSpPr txBox="1"/>
        </xdr:nvSpPr>
        <xdr:spPr>
          <a:xfrm>
            <a:off x="7343312" y="1842204"/>
            <a:ext cx="876026" cy="230832"/>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900">
                <a:latin typeface="Tahoma" panose="020B0604030504040204" pitchFamily="34" charset="0"/>
                <a:ea typeface="Tahoma" panose="020B0604030504040204" pitchFamily="34" charset="0"/>
                <a:cs typeface="Tahoma" panose="020B0604030504040204" pitchFamily="34" charset="0"/>
              </a:rPr>
              <a:t>Therefore</a:t>
            </a:r>
          </a:p>
        </xdr:txBody>
      </xdr:sp>
      <xdr:cxnSp macro="">
        <xdr:nvCxnSpPr>
          <xdr:cNvPr id="294" name="Gewinkelter Verbinder 293"/>
          <xdr:cNvCxnSpPr>
            <a:stCxn id="286" idx="0"/>
            <a:endCxn id="265" idx="3"/>
          </xdr:cNvCxnSpPr>
        </xdr:nvCxnSpPr>
        <xdr:spPr>
          <a:xfrm rot="16200000" flipV="1">
            <a:off x="7493210" y="1886730"/>
            <a:ext cx="192908" cy="463688"/>
          </a:xfrm>
          <a:prstGeom prst="bentConnector2">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95" name="Gewinkelter Verbinder 294"/>
          <xdr:cNvCxnSpPr>
            <a:stCxn id="286" idx="2"/>
          </xdr:cNvCxnSpPr>
        </xdr:nvCxnSpPr>
        <xdr:spPr>
          <a:xfrm rot="16200000" flipH="1">
            <a:off x="8117241" y="2173211"/>
            <a:ext cx="72988" cy="664454"/>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96" name="Textfeld 144"/>
          <xdr:cNvSpPr txBox="1"/>
        </xdr:nvSpPr>
        <xdr:spPr>
          <a:xfrm>
            <a:off x="9031573" y="2601497"/>
            <a:ext cx="587994" cy="246221"/>
          </a:xfrm>
          <a:prstGeom prst="rect">
            <a:avLst/>
          </a:prstGeom>
          <a:noFill/>
        </xdr:spPr>
        <xdr:txBody>
          <a:bodyPr wrap="square" rtlCol="0">
            <a:spAutoFit/>
          </a:bodyPr>
          <a:lstStyle>
            <a:defPPr>
              <a:defRPr lang="de-D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000">
                <a:latin typeface="Tahoma" panose="020B0604030504040204" pitchFamily="34" charset="0"/>
                <a:ea typeface="Tahoma" panose="020B0604030504040204" pitchFamily="34" charset="0"/>
                <a:cs typeface="Tahoma" panose="020B0604030504040204" pitchFamily="34" charset="0"/>
              </a:rPr>
              <a:t>Why?</a:t>
            </a:r>
          </a:p>
        </xdr:txBody>
      </xdr:sp>
      <xdr:cxnSp macro="">
        <xdr:nvCxnSpPr>
          <xdr:cNvPr id="297" name="Gewinkelter Verbinder 296"/>
          <xdr:cNvCxnSpPr>
            <a:stCxn id="283" idx="2"/>
          </xdr:cNvCxnSpPr>
        </xdr:nvCxnSpPr>
        <xdr:spPr>
          <a:xfrm rot="16200000" flipH="1">
            <a:off x="9237029" y="2269813"/>
            <a:ext cx="75060" cy="684339"/>
          </a:xfrm>
          <a:prstGeom prst="bentConnector2">
            <a:avLst/>
          </a:prstGeom>
          <a:ln>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61230</xdr:colOff>
      <xdr:row>1</xdr:row>
      <xdr:rowOff>47623</xdr:rowOff>
    </xdr:from>
    <xdr:to>
      <xdr:col>6</xdr:col>
      <xdr:colOff>47623</xdr:colOff>
      <xdr:row>1</xdr:row>
      <xdr:rowOff>607391</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5855" y="253998"/>
          <a:ext cx="2097768" cy="5597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85046</xdr:colOff>
      <xdr:row>1</xdr:row>
      <xdr:rowOff>34020</xdr:rowOff>
    </xdr:from>
    <xdr:to>
      <xdr:col>4</xdr:col>
      <xdr:colOff>666750</xdr:colOff>
      <xdr:row>1</xdr:row>
      <xdr:rowOff>593788</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725" y="238127"/>
          <a:ext cx="1602239" cy="5597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47626</xdr:colOff>
      <xdr:row>1</xdr:row>
      <xdr:rowOff>49067</xdr:rowOff>
    </xdr:from>
    <xdr:to>
      <xdr:col>16</xdr:col>
      <xdr:colOff>46489</xdr:colOff>
      <xdr:row>1</xdr:row>
      <xdr:rowOff>698501</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1" y="255442"/>
          <a:ext cx="2507113" cy="64943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116936</xdr:colOff>
          <xdr:row>37</xdr:row>
          <xdr:rowOff>1443</xdr:rowOff>
        </xdr:from>
        <xdr:to>
          <xdr:col>59</xdr:col>
          <xdr:colOff>42522</xdr:colOff>
          <xdr:row>42</xdr:row>
          <xdr:rowOff>449036</xdr:rowOff>
        </xdr:to>
        <xdr:pic>
          <xdr:nvPicPr>
            <xdr:cNvPr id="11" name="Picture 10"/>
            <xdr:cNvPicPr>
              <a:picLocks noChangeAspect="1" noChangeArrowheads="1"/>
              <a:extLst>
                <a:ext uri="{84589F7E-364E-4C9E-8A38-B11213B215E9}">
                  <a14:cameraTool cellRange="'D1-D2-D3'!$L$36" spid="_x0000_s318194"/>
                </a:ext>
              </a:extLst>
            </xdr:cNvPicPr>
          </xdr:nvPicPr>
          <xdr:blipFill>
            <a:blip xmlns:r="http://schemas.openxmlformats.org/officeDocument/2006/relationships" r:embed="rId2"/>
            <a:srcRect/>
            <a:stretch>
              <a:fillRect/>
            </a:stretch>
          </xdr:blipFill>
          <xdr:spPr bwMode="auto">
            <a:xfrm>
              <a:off x="1926686" y="9252599"/>
              <a:ext cx="7700367" cy="2888374"/>
            </a:xfrm>
            <a:prstGeom prst="rect">
              <a:avLst/>
            </a:prstGeom>
            <a:noFill/>
            <a:ln w="12700" cmpd="sng">
              <a:solidFill>
                <a:srgbClr val="FF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71</xdr:col>
          <xdr:colOff>25513</xdr:colOff>
          <xdr:row>36</xdr:row>
          <xdr:rowOff>79944</xdr:rowOff>
        </xdr:from>
        <xdr:to>
          <xdr:col>116</xdr:col>
          <xdr:colOff>404812</xdr:colOff>
          <xdr:row>43</xdr:row>
          <xdr:rowOff>0</xdr:rowOff>
        </xdr:to>
        <xdr:pic>
          <xdr:nvPicPr>
            <xdr:cNvPr id="12" name="Picture 11"/>
            <xdr:cNvPicPr>
              <a:picLocks noChangeAspect="1" noChangeArrowheads="1"/>
              <a:extLst>
                <a:ext uri="{84589F7E-364E-4C9E-8A38-B11213B215E9}">
                  <a14:cameraTool cellRange="'D1-D2-D3'!$BT$36" spid="_x0000_s318195"/>
                </a:ext>
              </a:extLst>
            </xdr:cNvPicPr>
          </xdr:nvPicPr>
          <xdr:blipFill>
            <a:blip xmlns:r="http://schemas.openxmlformats.org/officeDocument/2006/relationships" r:embed="rId3"/>
            <a:srcRect/>
            <a:stretch>
              <a:fillRect/>
            </a:stretch>
          </xdr:blipFill>
          <xdr:spPr bwMode="auto">
            <a:xfrm>
              <a:off x="11441906" y="9400837"/>
              <a:ext cx="8274844" cy="2940842"/>
            </a:xfrm>
            <a:prstGeom prst="rect">
              <a:avLst/>
            </a:prstGeom>
            <a:noFill/>
            <a:ln w="12700">
              <a:solidFill>
                <a:srgbClr val="00B050"/>
              </a:solidFill>
            </a:ln>
            <a:extLst>
              <a:ext uri="{909E8E84-426E-40DD-AFC4-6F175D3DCCD1}">
                <a14:hiddenFill>
                  <a:solidFill>
                    <a:srgbClr val="FFFFFF"/>
                  </a:solidFill>
                </a14:hiddenFill>
              </a:ext>
            </a:extLst>
          </xdr:spPr>
        </xdr:pic>
        <xdr:clientData/>
      </xdr:twoCellAnchor>
    </mc:Choice>
    <mc:Fallback/>
  </mc:AlternateContent>
  <xdr:twoCellAnchor>
    <xdr:from>
      <xdr:col>2</xdr:col>
      <xdr:colOff>27215</xdr:colOff>
      <xdr:row>76</xdr:row>
      <xdr:rowOff>27214</xdr:rowOff>
    </xdr:from>
    <xdr:to>
      <xdr:col>2</xdr:col>
      <xdr:colOff>40822</xdr:colOff>
      <xdr:row>85</xdr:row>
      <xdr:rowOff>0</xdr:rowOff>
    </xdr:to>
    <xdr:cxnSp macro="">
      <xdr:nvCxnSpPr>
        <xdr:cNvPr id="7" name="Gerade Verbindung mit Pfeil 10"/>
        <xdr:cNvCxnSpPr/>
      </xdr:nvCxnSpPr>
      <xdr:spPr>
        <a:xfrm>
          <a:off x="326572" y="24492857"/>
          <a:ext cx="13607" cy="3891643"/>
        </a:xfrm>
        <a:prstGeom prst="straightConnector1">
          <a:avLst/>
        </a:prstGeom>
        <a:ln w="57150">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6</xdr:col>
          <xdr:colOff>140153</xdr:colOff>
          <xdr:row>102</xdr:row>
          <xdr:rowOff>13607</xdr:rowOff>
        </xdr:from>
        <xdr:to>
          <xdr:col>122</xdr:col>
          <xdr:colOff>0</xdr:colOff>
          <xdr:row>106</xdr:row>
          <xdr:rowOff>11906</xdr:rowOff>
        </xdr:to>
        <xdr:pic>
          <xdr:nvPicPr>
            <xdr:cNvPr id="15" name="Picture 14"/>
            <xdr:cNvPicPr>
              <a:picLocks noChangeAspect="1" noChangeArrowheads="1"/>
              <a:extLst>
                <a:ext uri="{84589F7E-364E-4C9E-8A38-B11213B215E9}">
                  <a14:cameraTool cellRange="'D1-D2-D3'!$H$109" spid="_x0000_s318196"/>
                </a:ext>
              </a:extLst>
            </xdr:cNvPicPr>
          </xdr:nvPicPr>
          <xdr:blipFill>
            <a:blip xmlns:r="http://schemas.openxmlformats.org/officeDocument/2006/relationships" r:embed="rId4"/>
            <a:srcRect/>
            <a:stretch>
              <a:fillRect/>
            </a:stretch>
          </xdr:blipFill>
          <xdr:spPr bwMode="auto">
            <a:xfrm>
              <a:off x="1271247" y="32005701"/>
              <a:ext cx="19255128" cy="162945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181</xdr:row>
          <xdr:rowOff>19050</xdr:rowOff>
        </xdr:from>
        <xdr:to>
          <xdr:col>122</xdr:col>
          <xdr:colOff>0</xdr:colOff>
          <xdr:row>188</xdr:row>
          <xdr:rowOff>13606</xdr:rowOff>
        </xdr:to>
        <xdr:pic>
          <xdr:nvPicPr>
            <xdr:cNvPr id="16" name="Picture 14"/>
            <xdr:cNvPicPr>
              <a:picLocks noChangeAspect="1" noChangeArrowheads="1"/>
              <a:extLst>
                <a:ext uri="{84589F7E-364E-4C9E-8A38-B11213B215E9}">
                  <a14:cameraTool cellRange="'D6.Verification-D7-D8'!$J$11" spid="_x0000_s318197"/>
                </a:ext>
              </a:extLst>
            </xdr:cNvPicPr>
          </xdr:nvPicPr>
          <xdr:blipFill>
            <a:blip xmlns:r="http://schemas.openxmlformats.org/officeDocument/2006/relationships" r:embed="rId5"/>
            <a:srcRect/>
            <a:stretch>
              <a:fillRect/>
            </a:stretch>
          </xdr:blipFill>
          <xdr:spPr bwMode="auto">
            <a:xfrm>
              <a:off x="1273969" y="54144863"/>
              <a:ext cx="19252406" cy="266155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13606</xdr:colOff>
          <xdr:row>189</xdr:row>
          <xdr:rowOff>16330</xdr:rowOff>
        </xdr:from>
        <xdr:to>
          <xdr:col>122</xdr:col>
          <xdr:colOff>0</xdr:colOff>
          <xdr:row>196</xdr:row>
          <xdr:rowOff>13607</xdr:rowOff>
        </xdr:to>
        <xdr:pic>
          <xdr:nvPicPr>
            <xdr:cNvPr id="17" name="Picture 14"/>
            <xdr:cNvPicPr>
              <a:picLocks noChangeAspect="1" noChangeArrowheads="1"/>
              <a:extLst>
                <a:ext uri="{84589F7E-364E-4C9E-8A38-B11213B215E9}">
                  <a14:cameraTool cellRange="'D6.Verification-D7-D8'!$J$19" spid="_x0000_s318198"/>
                </a:ext>
              </a:extLst>
            </xdr:cNvPicPr>
          </xdr:nvPicPr>
          <xdr:blipFill>
            <a:blip xmlns:r="http://schemas.openxmlformats.org/officeDocument/2006/relationships" r:embed="rId6"/>
            <a:srcRect/>
            <a:stretch>
              <a:fillRect/>
            </a:stretch>
          </xdr:blipFill>
          <xdr:spPr bwMode="auto">
            <a:xfrm>
              <a:off x="1287575" y="56880580"/>
              <a:ext cx="19238800" cy="266427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11906</xdr:colOff>
          <xdr:row>136</xdr:row>
          <xdr:rowOff>11906</xdr:rowOff>
        </xdr:from>
        <xdr:to>
          <xdr:col>122</xdr:col>
          <xdr:colOff>14628</xdr:colOff>
          <xdr:row>139</xdr:row>
          <xdr:rowOff>11905</xdr:rowOff>
        </xdr:to>
        <xdr:pic>
          <xdr:nvPicPr>
            <xdr:cNvPr id="9" name="Picture 14"/>
            <xdr:cNvPicPr>
              <a:picLocks noChangeAspect="1" noChangeArrowheads="1"/>
              <a:extLst>
                <a:ext uri="{84589F7E-364E-4C9E-8A38-B11213B215E9}">
                  <a14:cameraTool cellRange="'D4.5Why''s-D5-D6'!H55:AJ59" spid="_x0000_s318199"/>
                </a:ext>
              </a:extLst>
            </xdr:cNvPicPr>
          </xdr:nvPicPr>
          <xdr:blipFill>
            <a:blip xmlns:r="http://schemas.openxmlformats.org/officeDocument/2006/relationships" r:embed="rId7"/>
            <a:srcRect/>
            <a:stretch>
              <a:fillRect/>
            </a:stretch>
          </xdr:blipFill>
          <xdr:spPr bwMode="auto">
            <a:xfrm>
              <a:off x="1285875" y="42612469"/>
              <a:ext cx="19255128" cy="142874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1</xdr:col>
      <xdr:colOff>47626</xdr:colOff>
      <xdr:row>1</xdr:row>
      <xdr:rowOff>49067</xdr:rowOff>
    </xdr:from>
    <xdr:to>
      <xdr:col>16</xdr:col>
      <xdr:colOff>46489</xdr:colOff>
      <xdr:row>1</xdr:row>
      <xdr:rowOff>698501</xdr:rowOff>
    </xdr:to>
    <xdr:pic>
      <xdr:nvPicPr>
        <xdr:cNvPr id="2" name="Grafik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501" y="125267"/>
          <a:ext cx="2522988" cy="649434"/>
        </a:xfrm>
        <a:prstGeom prst="rect">
          <a:avLst/>
        </a:prstGeom>
      </xdr:spPr>
    </xdr:pic>
    <xdr:clientData/>
  </xdr:twoCellAnchor>
  <xdr:twoCellAnchor>
    <xdr:from>
      <xdr:col>2</xdr:col>
      <xdr:colOff>27215</xdr:colOff>
      <xdr:row>76</xdr:row>
      <xdr:rowOff>27214</xdr:rowOff>
    </xdr:from>
    <xdr:to>
      <xdr:col>2</xdr:col>
      <xdr:colOff>40822</xdr:colOff>
      <xdr:row>85</xdr:row>
      <xdr:rowOff>0</xdr:rowOff>
    </xdr:to>
    <xdr:cxnSp macro="">
      <xdr:nvCxnSpPr>
        <xdr:cNvPr id="5" name="Gerade Verbindung mit Pfeil 10"/>
        <xdr:cNvCxnSpPr/>
      </xdr:nvCxnSpPr>
      <xdr:spPr>
        <a:xfrm>
          <a:off x="312965" y="24430264"/>
          <a:ext cx="13607" cy="3916136"/>
        </a:xfrm>
        <a:prstGeom prst="straightConnector1">
          <a:avLst/>
        </a:prstGeom>
        <a:ln w="57150">
          <a:solidFill>
            <a:sysClr val="windowText" lastClr="000000"/>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104775</xdr:colOff>
      <xdr:row>1</xdr:row>
      <xdr:rowOff>0</xdr:rowOff>
    </xdr:from>
    <xdr:to>
      <xdr:col>0</xdr:col>
      <xdr:colOff>394607</xdr:colOff>
      <xdr:row>4</xdr:row>
      <xdr:rowOff>47738</xdr:rowOff>
    </xdr:to>
    <xdr:pic>
      <xdr:nvPicPr>
        <xdr:cNvPr id="2" name="Picture 27" descr="Logo KSP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247650"/>
          <a:ext cx="22288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xdr:row>
      <xdr:rowOff>0</xdr:rowOff>
    </xdr:from>
    <xdr:to>
      <xdr:col>6</xdr:col>
      <xdr:colOff>0</xdr:colOff>
      <xdr:row>4</xdr:row>
      <xdr:rowOff>50006</xdr:rowOff>
    </xdr:to>
    <xdr:pic>
      <xdr:nvPicPr>
        <xdr:cNvPr id="4" name="Picture 27" descr="Logo KSPS"/>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 y="190500"/>
          <a:ext cx="2681288" cy="6215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local_stkan\INetCache\Content.Outlook\9B0FB7A9\0_Archive\20190220_4150300_Problemsolvingsheet-PSS-8D-Report_Draft_NEW%20Root%20Caus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S alt"/>
      <sheetName val="D0-D1-D2-D3 quer"/>
      <sheetName val="D0-D1-D2-D3"/>
      <sheetName val="Data analysis "/>
      <sheetName val="Ishikawa analysis "/>
      <sheetName val="Lessons Learned Card"/>
      <sheetName val="D4-D5-D6 Occurrence"/>
      <sheetName val="D4-D5-D6 Detection"/>
      <sheetName val="Pictures"/>
      <sheetName val="D7-D8"/>
      <sheetName val="8D-REPORT"/>
      <sheetName val="DropDown"/>
      <sheetName val="Amendments"/>
      <sheetName val="Fault catalogue"/>
      <sheetName val="CZECH"/>
      <sheetName val="DEUTSCH"/>
      <sheetName val="ENGLISH"/>
      <sheetName val="ESPANOL"/>
      <sheetName val="FRANÇAIS"/>
      <sheetName val="MAGYAR"/>
      <sheetName val="Македонски"/>
      <sheetName val="POLSKI"/>
      <sheetName val="PORTUGESE"/>
      <sheetName val="ROMANA"/>
      <sheetName val="Српски"/>
      <sheetName val="SLOVAK"/>
      <sheetName val="УКРАЇНСьКА"/>
      <sheetName val="中文"/>
    </sheetNames>
    <sheetDataSet>
      <sheetData sheetId="0"/>
      <sheetData sheetId="1"/>
      <sheetData sheetId="2"/>
      <sheetData sheetId="3"/>
      <sheetData sheetId="4"/>
      <sheetData sheetId="5"/>
      <sheetData sheetId="6"/>
      <sheetData sheetId="7"/>
      <sheetData sheetId="8"/>
      <sheetData sheetId="9"/>
      <sheetData sheetId="10"/>
      <sheetData sheetId="11">
        <row r="2">
          <cell r="A2" t="str">
            <v>A-Fault PA</v>
          </cell>
          <cell r="C2" t="str">
            <v>CZECH</v>
          </cell>
          <cell r="H2" t="str">
            <v>X</v>
          </cell>
        </row>
        <row r="3">
          <cell r="A3" t="str">
            <v>FPQ</v>
          </cell>
          <cell r="C3" t="str">
            <v>DEUTSCH</v>
          </cell>
        </row>
        <row r="4">
          <cell r="A4" t="str">
            <v>Hotline</v>
          </cell>
          <cell r="C4" t="str">
            <v>ENGLISH</v>
          </cell>
        </row>
        <row r="5">
          <cell r="A5" t="str">
            <v>Internal Fault</v>
          </cell>
          <cell r="C5" t="str">
            <v>ESPANOL</v>
          </cell>
        </row>
        <row r="6">
          <cell r="A6" t="str">
            <v>NFT</v>
          </cell>
          <cell r="C6" t="str">
            <v>FRANÇAIS</v>
          </cell>
        </row>
        <row r="7">
          <cell r="A7" t="str">
            <v>PPM-0km</v>
          </cell>
          <cell r="C7" t="str">
            <v>MAGYAR</v>
          </cell>
        </row>
        <row r="8">
          <cell r="A8" t="str">
            <v>Field Issue</v>
          </cell>
          <cell r="C8" t="str">
            <v>Македонски</v>
          </cell>
        </row>
        <row r="9">
          <cell r="A9" t="str">
            <v>RR</v>
          </cell>
          <cell r="C9" t="str">
            <v>POLSKI</v>
          </cell>
        </row>
        <row r="10">
          <cell r="A10" t="str">
            <v>Serial Fault</v>
          </cell>
          <cell r="C10" t="str">
            <v>PORTUGESE</v>
          </cell>
        </row>
        <row r="11">
          <cell r="A11" t="str">
            <v>System Audit</v>
          </cell>
          <cell r="C11" t="str">
            <v>ROMANA</v>
          </cell>
        </row>
        <row r="12">
          <cell r="A12" t="str">
            <v>TOP PA</v>
          </cell>
          <cell r="C12" t="str">
            <v>Српски</v>
          </cell>
        </row>
        <row r="13">
          <cell r="C13" t="str">
            <v>SLOVAK</v>
          </cell>
        </row>
        <row r="14">
          <cell r="C14" t="str">
            <v>УКРАЇНСьКА</v>
          </cell>
        </row>
        <row r="15">
          <cell r="C15" t="str">
            <v>中文</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Klassisch">
      <a:majorFont>
        <a:latin typeface="Arial"/>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Times New Roman"/>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mailto:pss@ksab.kroschu.com" TargetMode="External"/><Relationship Id="rId1" Type="http://schemas.openxmlformats.org/officeDocument/2006/relationships/printerSettings" Target="../printerSettings/printerSettings12.bin"/><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mailto:pss@ksab.kroschu.com" TargetMode="External"/><Relationship Id="rId1" Type="http://schemas.openxmlformats.org/officeDocument/2006/relationships/printerSettings" Target="../printerSettings/printerSettings14.bin"/><Relationship Id="rId6" Type="http://schemas.openxmlformats.org/officeDocument/2006/relationships/comments" Target="../comments8.xml"/><Relationship Id="rId5" Type="http://schemas.openxmlformats.org/officeDocument/2006/relationships/vmlDrawing" Target="../drawings/vmlDrawing8.vm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hyperlink" Target="mailto:pss@ksab.kroschu.com"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F1048575"/>
  <sheetViews>
    <sheetView showWhiteSpace="0" view="pageBreakPreview" topLeftCell="A97" zoomScale="55" zoomScaleNormal="60" zoomScaleSheetLayoutView="55" zoomScalePageLayoutView="40" workbookViewId="0">
      <selection activeCell="R2" sqref="R2:BM2"/>
    </sheetView>
  </sheetViews>
  <sheetFormatPr defaultColWidth="12.5546875" defaultRowHeight="22.2"/>
  <cols>
    <col min="1" max="1" width="2" style="24" customWidth="1"/>
    <col min="2" max="2" width="2.109375" style="36" customWidth="1"/>
    <col min="3" max="3" width="4" style="36" customWidth="1"/>
    <col min="4" max="4" width="5.109375" style="36" customWidth="1"/>
    <col min="5" max="21" width="2.109375" style="36" customWidth="1"/>
    <col min="22" max="22" width="5.33203125" style="36" customWidth="1"/>
    <col min="23" max="23" width="2.109375" style="36" customWidth="1"/>
    <col min="24" max="24" width="6.44140625" style="36" customWidth="1"/>
    <col min="25" max="57" width="2.109375" style="36" customWidth="1"/>
    <col min="58" max="58" width="1.109375" style="36" customWidth="1"/>
    <col min="59" max="59" width="2.109375" style="36" customWidth="1"/>
    <col min="60" max="60" width="3.109375" style="36" customWidth="1"/>
    <col min="61" max="64" width="2.109375" style="36" customWidth="1"/>
    <col min="65" max="65" width="0.88671875" style="36" customWidth="1"/>
    <col min="66" max="70" width="2.109375" style="36" customWidth="1"/>
    <col min="71" max="71" width="3.88671875" style="36" customWidth="1"/>
    <col min="72" max="87" width="2.109375" style="36" customWidth="1"/>
    <col min="88" max="88" width="4" style="36" customWidth="1"/>
    <col min="89" max="97" width="2.109375" style="36" customWidth="1"/>
    <col min="98" max="98" width="4" style="36" customWidth="1"/>
    <col min="99" max="114" width="2.109375" style="36" customWidth="1"/>
    <col min="115" max="115" width="3.44140625" style="36" customWidth="1"/>
    <col min="116" max="123" width="2.109375" style="36" customWidth="1"/>
    <col min="124" max="124" width="2" style="26" customWidth="1"/>
    <col min="125" max="125" width="6.6640625" style="26" hidden="1" customWidth="1"/>
    <col min="126" max="126" width="3.6640625" style="26" hidden="1" customWidth="1"/>
    <col min="127" max="127" width="36.33203125" style="26" hidden="1" customWidth="1"/>
    <col min="128" max="128" width="3" style="26" hidden="1" customWidth="1"/>
    <col min="129" max="129" width="8.109375" style="26" customWidth="1"/>
    <col min="130" max="131" width="6.6640625" style="26" customWidth="1"/>
    <col min="132" max="132" width="3.33203125" style="26" customWidth="1"/>
    <col min="133" max="133" width="13.109375" style="26" customWidth="1"/>
    <col min="134" max="134" width="3.33203125" style="26" customWidth="1"/>
    <col min="135" max="136" width="13.5546875" style="26" customWidth="1"/>
    <col min="137" max="137" width="3.109375" style="26" customWidth="1"/>
    <col min="138" max="138" width="6.6640625" style="26" customWidth="1"/>
    <col min="139" max="139" width="3.44140625" style="26" customWidth="1"/>
    <col min="140" max="141" width="6.6640625" style="26" customWidth="1"/>
    <col min="142" max="142" width="3.33203125" style="26" customWidth="1"/>
    <col min="143" max="143" width="6.6640625" style="26" customWidth="1"/>
    <col min="144" max="144" width="4.109375" style="26" customWidth="1"/>
    <col min="145" max="146" width="6.6640625" style="26" customWidth="1"/>
    <col min="147" max="147" width="3.44140625" style="26" customWidth="1"/>
    <col min="148" max="148" width="12.88671875" style="26" customWidth="1"/>
    <col min="149" max="149" width="3.33203125" style="26" customWidth="1"/>
    <col min="150" max="150" width="12.5546875" style="26" customWidth="1"/>
    <col min="151" max="151" width="13" style="26" customWidth="1"/>
    <col min="152" max="152" width="3.88671875" style="26" customWidth="1"/>
    <col min="153" max="153" width="5.44140625" style="26" customWidth="1"/>
    <col min="154" max="154" width="3.44140625" style="26" customWidth="1"/>
    <col min="155" max="155" width="5.6640625" style="26" customWidth="1"/>
    <col min="156" max="156" width="5.44140625" style="26" customWidth="1"/>
    <col min="157" max="343" width="10.33203125" style="26" customWidth="1"/>
    <col min="344" max="16384" width="12.5546875" style="26"/>
  </cols>
  <sheetData>
    <row r="1" spans="1:138" ht="9" customHeight="1" thickBot="1">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V1" s="27"/>
      <c r="DW1" s="27"/>
      <c r="DX1" s="27"/>
      <c r="DY1" s="27"/>
      <c r="DZ1" s="27"/>
      <c r="EA1" s="27"/>
      <c r="EB1" s="27"/>
      <c r="EC1" s="27"/>
      <c r="ED1" s="27"/>
      <c r="EE1" s="27"/>
      <c r="EF1" s="27"/>
      <c r="EG1" s="27"/>
      <c r="EH1" s="27"/>
    </row>
    <row r="2" spans="1:138" ht="71.25" customHeight="1" thickBot="1">
      <c r="B2" s="28"/>
      <c r="C2" s="29"/>
      <c r="D2" s="29"/>
      <c r="E2" s="29"/>
      <c r="F2" s="29"/>
      <c r="G2" s="29"/>
      <c r="H2" s="29"/>
      <c r="I2" s="29"/>
      <c r="J2" s="29"/>
      <c r="K2" s="29"/>
      <c r="L2" s="29"/>
      <c r="M2" s="29"/>
      <c r="N2" s="29"/>
      <c r="O2" s="29"/>
      <c r="P2" s="29"/>
      <c r="Q2" s="30"/>
      <c r="R2" s="1234" t="str">
        <f ca="1">INDIRECT($J$4&amp;"!C2")&amp;"
"&amp;INDIRECT($J$4&amp;"!C7")</f>
        <v>PROBLEM SOLVING SHEET
Basic Data-Team-Problem Description-Immediate Action(s)</v>
      </c>
      <c r="S2" s="1235"/>
      <c r="T2" s="1235"/>
      <c r="U2" s="1235"/>
      <c r="V2" s="1235"/>
      <c r="W2" s="1235"/>
      <c r="X2" s="1235"/>
      <c r="Y2" s="1235"/>
      <c r="Z2" s="1235"/>
      <c r="AA2" s="1235"/>
      <c r="AB2" s="1235"/>
      <c r="AC2" s="1235"/>
      <c r="AD2" s="1235"/>
      <c r="AE2" s="1235"/>
      <c r="AF2" s="1235"/>
      <c r="AG2" s="1235"/>
      <c r="AH2" s="1235"/>
      <c r="AI2" s="1235"/>
      <c r="AJ2" s="1235"/>
      <c r="AK2" s="1235"/>
      <c r="AL2" s="1235"/>
      <c r="AM2" s="1235"/>
      <c r="AN2" s="1235"/>
      <c r="AO2" s="1235"/>
      <c r="AP2" s="1235"/>
      <c r="AQ2" s="1235"/>
      <c r="AR2" s="1235"/>
      <c r="AS2" s="1235"/>
      <c r="AT2" s="1235"/>
      <c r="AU2" s="1235"/>
      <c r="AV2" s="1235"/>
      <c r="AW2" s="1235"/>
      <c r="AX2" s="1235"/>
      <c r="AY2" s="1235"/>
      <c r="AZ2" s="1235"/>
      <c r="BA2" s="1235"/>
      <c r="BB2" s="1235"/>
      <c r="BC2" s="1235"/>
      <c r="BD2" s="1235"/>
      <c r="BE2" s="1235"/>
      <c r="BF2" s="1235"/>
      <c r="BG2" s="1235"/>
      <c r="BH2" s="1235"/>
      <c r="BI2" s="1235"/>
      <c r="BJ2" s="1235"/>
      <c r="BK2" s="1235"/>
      <c r="BL2" s="1235"/>
      <c r="BM2" s="1236"/>
      <c r="BN2" s="1230" t="str">
        <f ca="1">INDIRECT($J$4&amp;"!C3")</f>
        <v>PSS No.</v>
      </c>
      <c r="BO2" s="1231"/>
      <c r="BP2" s="1231"/>
      <c r="BQ2" s="1231"/>
      <c r="BR2" s="1231"/>
      <c r="BS2" s="1231"/>
      <c r="BT2" s="1231"/>
      <c r="BU2" s="1231"/>
      <c r="BV2" s="1231"/>
      <c r="BW2" s="822">
        <f>AI4</f>
        <v>0</v>
      </c>
      <c r="BX2" s="823"/>
      <c r="BY2" s="823"/>
      <c r="BZ2" s="823"/>
      <c r="CA2" s="823"/>
      <c r="CB2" s="823"/>
      <c r="CC2" s="823"/>
      <c r="CD2" s="823"/>
      <c r="CE2" s="823"/>
      <c r="CF2" s="824"/>
      <c r="CG2" s="1221" t="s">
        <v>454</v>
      </c>
      <c r="CH2" s="1222"/>
      <c r="CI2" s="1222"/>
      <c r="CJ2" s="1222"/>
      <c r="CK2" s="1222"/>
      <c r="CL2" s="1222"/>
      <c r="CM2" s="1222"/>
      <c r="CN2" s="1222"/>
      <c r="CO2" s="1222"/>
      <c r="CP2" s="1222"/>
      <c r="CQ2" s="1222"/>
      <c r="CR2" s="1222"/>
      <c r="CS2" s="1222"/>
      <c r="CT2" s="1222"/>
      <c r="CU2" s="1222"/>
      <c r="CV2" s="1222"/>
      <c r="CW2" s="1222"/>
      <c r="CX2" s="1223"/>
      <c r="CY2" s="1224" t="str">
        <f ca="1">INDIRECT($J$4&amp;"!C4")</f>
        <v>Page 1: D0-D1-D2-D3</v>
      </c>
      <c r="CZ2" s="1225"/>
      <c r="DA2" s="1225"/>
      <c r="DB2" s="1225"/>
      <c r="DC2" s="1225"/>
      <c r="DD2" s="1225"/>
      <c r="DE2" s="1225"/>
      <c r="DF2" s="1225"/>
      <c r="DG2" s="1225"/>
      <c r="DH2" s="1225"/>
      <c r="DI2" s="1225"/>
      <c r="DJ2" s="1225"/>
      <c r="DK2" s="1225"/>
      <c r="DL2" s="1225"/>
      <c r="DM2" s="1225"/>
      <c r="DN2" s="1225"/>
      <c r="DO2" s="1225"/>
      <c r="DP2" s="1225"/>
      <c r="DQ2" s="1225"/>
      <c r="DR2" s="1225"/>
      <c r="DS2" s="1226"/>
      <c r="DT2" s="31"/>
      <c r="DU2" s="31"/>
      <c r="DV2" s="31"/>
      <c r="DW2" s="31"/>
      <c r="DX2" s="31"/>
      <c r="DY2" s="1220"/>
      <c r="DZ2" s="1220"/>
      <c r="EA2" s="1220"/>
      <c r="EB2" s="1220"/>
      <c r="EC2" s="1220"/>
      <c r="ED2" s="1220"/>
      <c r="EE2" s="1220"/>
      <c r="EF2" s="1220"/>
      <c r="EG2" s="1220"/>
      <c r="EH2" s="32"/>
    </row>
    <row r="3" spans="1:138" ht="5.25" customHeight="1">
      <c r="B3" s="33"/>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34"/>
      <c r="DV3" s="35"/>
      <c r="DW3" s="35"/>
      <c r="DX3" s="35"/>
      <c r="DY3" s="32"/>
      <c r="DZ3" s="32"/>
      <c r="EA3" s="32"/>
      <c r="EB3" s="32"/>
      <c r="EC3" s="32"/>
      <c r="ED3" s="32"/>
      <c r="EE3" s="32"/>
      <c r="EF3" s="32"/>
      <c r="EG3" s="32"/>
      <c r="EH3" s="32"/>
    </row>
    <row r="4" spans="1:138" s="365" customFormat="1" ht="30" customHeight="1">
      <c r="A4" s="363"/>
      <c r="B4" s="364"/>
      <c r="C4" s="1177" t="str">
        <f ca="1">INDIRECT($J$4&amp;"!C5")</f>
        <v>Language</v>
      </c>
      <c r="D4" s="1177"/>
      <c r="E4" s="1177"/>
      <c r="F4" s="1177"/>
      <c r="G4" s="1177"/>
      <c r="H4" s="1177"/>
      <c r="I4" s="1178"/>
      <c r="J4" s="1184" t="s">
        <v>59</v>
      </c>
      <c r="K4" s="1185"/>
      <c r="L4" s="1185"/>
      <c r="M4" s="1185"/>
      <c r="N4" s="1185"/>
      <c r="O4" s="1185"/>
      <c r="P4" s="1185"/>
      <c r="Q4" s="1185"/>
      <c r="R4" s="1185"/>
      <c r="S4" s="1185"/>
      <c r="T4" s="1185"/>
      <c r="U4" s="1185"/>
      <c r="V4" s="1186"/>
      <c r="Z4" s="366"/>
      <c r="AA4" s="1179" t="str">
        <f ca="1">INDIRECT($J$4&amp;"!C3")</f>
        <v>PSS No.</v>
      </c>
      <c r="AB4" s="1179"/>
      <c r="AC4" s="1179"/>
      <c r="AD4" s="1179"/>
      <c r="AE4" s="1179"/>
      <c r="AF4" s="1179"/>
      <c r="AG4" s="1179"/>
      <c r="AH4" s="1180"/>
      <c r="AI4" s="1227"/>
      <c r="AJ4" s="1228"/>
      <c r="AK4" s="1228"/>
      <c r="AL4" s="1228"/>
      <c r="AM4" s="1228"/>
      <c r="AN4" s="1228"/>
      <c r="AO4" s="1228"/>
      <c r="AP4" s="1228"/>
      <c r="AQ4" s="1228"/>
      <c r="AR4" s="1228"/>
      <c r="AS4" s="1228"/>
      <c r="AT4" s="1228"/>
      <c r="AU4" s="1229"/>
      <c r="AY4" s="366"/>
      <c r="AZ4" s="1179" t="str">
        <f ca="1">INDIRECT($J$4&amp;"!C6")</f>
        <v>Fault type</v>
      </c>
      <c r="BA4" s="1179"/>
      <c r="BB4" s="1179"/>
      <c r="BC4" s="1179"/>
      <c r="BD4" s="1179"/>
      <c r="BE4" s="1179"/>
      <c r="BF4" s="1179"/>
      <c r="BG4" s="1179"/>
      <c r="BH4" s="1179"/>
      <c r="BI4" s="1180"/>
      <c r="BJ4" s="1184"/>
      <c r="BK4" s="1185"/>
      <c r="BL4" s="1185"/>
      <c r="BM4" s="1185"/>
      <c r="BN4" s="1185"/>
      <c r="BO4" s="1185"/>
      <c r="BP4" s="1185"/>
      <c r="BQ4" s="1185"/>
      <c r="BR4" s="1185"/>
      <c r="BS4" s="1185"/>
      <c r="BT4" s="1185"/>
      <c r="BU4" s="1185"/>
      <c r="BV4" s="1186"/>
      <c r="BW4" s="366"/>
      <c r="DS4" s="367"/>
      <c r="DV4" s="368"/>
      <c r="DW4" s="368"/>
      <c r="DX4" s="368"/>
      <c r="DY4" s="368"/>
      <c r="DZ4" s="368"/>
      <c r="EA4" s="368"/>
      <c r="EB4" s="368"/>
      <c r="EC4" s="368"/>
      <c r="ED4" s="368"/>
      <c r="EE4" s="368"/>
      <c r="EF4" s="368"/>
      <c r="EG4" s="368"/>
      <c r="EH4" s="369"/>
    </row>
    <row r="5" spans="1:138" s="365" customFormat="1" ht="5.25" customHeight="1">
      <c r="A5" s="363"/>
      <c r="B5" s="370"/>
      <c r="DS5" s="371"/>
      <c r="DV5" s="372"/>
      <c r="DW5" s="372"/>
      <c r="DX5" s="372"/>
      <c r="DY5" s="373"/>
      <c r="DZ5" s="373"/>
      <c r="EA5" s="373"/>
      <c r="EB5" s="373"/>
      <c r="EC5" s="373"/>
      <c r="ED5" s="373"/>
      <c r="EE5" s="373"/>
      <c r="EF5" s="373"/>
      <c r="EG5" s="373"/>
      <c r="EH5" s="373"/>
    </row>
    <row r="6" spans="1:138" s="365" customFormat="1" ht="5.25" customHeight="1">
      <c r="A6" s="363"/>
      <c r="B6" s="374"/>
      <c r="C6" s="375"/>
      <c r="D6" s="375"/>
      <c r="E6" s="375"/>
      <c r="F6" s="375"/>
      <c r="G6" s="375"/>
      <c r="H6" s="375"/>
      <c r="I6" s="375"/>
      <c r="J6" s="375"/>
      <c r="K6" s="375"/>
      <c r="L6" s="375"/>
      <c r="M6" s="375"/>
      <c r="N6" s="375"/>
      <c r="O6" s="375"/>
      <c r="P6" s="375"/>
      <c r="Q6" s="375"/>
      <c r="R6" s="375"/>
      <c r="S6" s="375"/>
      <c r="T6" s="375"/>
      <c r="U6" s="375"/>
      <c r="V6" s="375"/>
      <c r="W6" s="375"/>
      <c r="X6" s="375"/>
      <c r="Y6" s="375"/>
      <c r="Z6" s="375"/>
      <c r="AA6" s="375"/>
      <c r="AB6" s="375"/>
      <c r="AC6" s="375"/>
      <c r="AD6" s="375"/>
      <c r="AE6" s="375"/>
      <c r="AF6" s="375"/>
      <c r="AG6" s="375"/>
      <c r="AH6" s="375"/>
      <c r="AI6" s="375"/>
      <c r="AJ6" s="375"/>
      <c r="AK6" s="375"/>
      <c r="AL6" s="375"/>
      <c r="AM6" s="375"/>
      <c r="AN6" s="375"/>
      <c r="AO6" s="375"/>
      <c r="AP6" s="375"/>
      <c r="AQ6" s="375"/>
      <c r="AR6" s="375"/>
      <c r="AS6" s="375"/>
      <c r="AT6" s="375"/>
      <c r="AU6" s="375"/>
      <c r="AV6" s="375"/>
      <c r="AW6" s="375"/>
      <c r="AX6" s="375"/>
      <c r="AY6" s="375"/>
      <c r="AZ6" s="375"/>
      <c r="BA6" s="375"/>
      <c r="BB6" s="375"/>
      <c r="BC6" s="375"/>
      <c r="BD6" s="375"/>
      <c r="BE6" s="375"/>
      <c r="BF6" s="375"/>
      <c r="BG6" s="375"/>
      <c r="BH6" s="375"/>
      <c r="BI6" s="375"/>
      <c r="BJ6" s="375"/>
      <c r="BK6" s="375"/>
      <c r="BL6" s="375"/>
      <c r="BM6" s="375"/>
      <c r="BN6" s="375"/>
      <c r="BO6" s="375"/>
      <c r="BP6" s="375"/>
      <c r="BQ6" s="375"/>
      <c r="BR6" s="375"/>
      <c r="BS6" s="375"/>
      <c r="BT6" s="375"/>
      <c r="BU6" s="375"/>
      <c r="BV6" s="375"/>
      <c r="BW6" s="375"/>
      <c r="BX6" s="375"/>
      <c r="BY6" s="375"/>
      <c r="BZ6" s="375"/>
      <c r="CA6" s="375"/>
      <c r="CB6" s="375"/>
      <c r="CC6" s="375"/>
      <c r="CD6" s="375"/>
      <c r="CE6" s="375"/>
      <c r="CF6" s="375"/>
      <c r="CG6" s="375"/>
      <c r="CH6" s="375"/>
      <c r="CI6" s="375"/>
      <c r="CJ6" s="375"/>
      <c r="CK6" s="375"/>
      <c r="CL6" s="375"/>
      <c r="CM6" s="375"/>
      <c r="CN6" s="375"/>
      <c r="CO6" s="375"/>
      <c r="CP6" s="375"/>
      <c r="CQ6" s="375"/>
      <c r="CR6" s="375"/>
      <c r="CS6" s="375"/>
      <c r="CT6" s="375"/>
      <c r="CU6" s="375"/>
      <c r="CV6" s="375"/>
      <c r="CW6" s="375"/>
      <c r="CX6" s="375"/>
      <c r="CY6" s="375"/>
      <c r="CZ6" s="375"/>
      <c r="DA6" s="375"/>
      <c r="DB6" s="375"/>
      <c r="DC6" s="375"/>
      <c r="DD6" s="375"/>
      <c r="DE6" s="375"/>
      <c r="DF6" s="375"/>
      <c r="DG6" s="375"/>
      <c r="DH6" s="375"/>
      <c r="DI6" s="375"/>
      <c r="DJ6" s="375"/>
      <c r="DK6" s="375"/>
      <c r="DL6" s="375"/>
      <c r="DM6" s="375"/>
      <c r="DN6" s="375"/>
      <c r="DO6" s="375"/>
      <c r="DP6" s="375"/>
      <c r="DQ6" s="375"/>
      <c r="DR6" s="375"/>
      <c r="DS6" s="376"/>
      <c r="DV6" s="372"/>
      <c r="DW6" s="372"/>
      <c r="DX6" s="372"/>
      <c r="DY6" s="373"/>
      <c r="DZ6" s="373"/>
      <c r="EA6" s="373"/>
      <c r="EB6" s="373"/>
      <c r="EC6" s="373"/>
      <c r="ED6" s="373"/>
      <c r="EE6" s="373"/>
      <c r="EF6" s="373"/>
      <c r="EG6" s="373"/>
      <c r="EH6" s="373"/>
    </row>
    <row r="7" spans="1:138" s="365" customFormat="1" ht="30" customHeight="1">
      <c r="A7" s="363"/>
      <c r="B7" s="377"/>
      <c r="C7" s="1190" t="str">
        <f ca="1">INDIRECT($J$4&amp;"!C8")</f>
        <v>Kroschu plant</v>
      </c>
      <c r="D7" s="1190"/>
      <c r="E7" s="1190"/>
      <c r="F7" s="1190"/>
      <c r="G7" s="1190"/>
      <c r="H7" s="1190"/>
      <c r="I7" s="1190"/>
      <c r="J7" s="1190"/>
      <c r="K7" s="1190"/>
      <c r="L7" s="1190"/>
      <c r="M7" s="1191"/>
      <c r="N7" s="1187"/>
      <c r="O7" s="1188"/>
      <c r="P7" s="1188"/>
      <c r="Q7" s="1188"/>
      <c r="R7" s="1188"/>
      <c r="S7" s="1188"/>
      <c r="T7" s="1188"/>
      <c r="U7" s="1188"/>
      <c r="V7" s="1188"/>
      <c r="W7" s="1188"/>
      <c r="X7" s="1188"/>
      <c r="Y7" s="1188"/>
      <c r="Z7" s="1189"/>
      <c r="AD7" s="378"/>
      <c r="AE7" s="378"/>
      <c r="AF7" s="1237" t="str">
        <f ca="1">INDIRECT($J$4&amp;"!C9")</f>
        <v>Opening date</v>
      </c>
      <c r="AG7" s="1237"/>
      <c r="AH7" s="1237"/>
      <c r="AI7" s="1237"/>
      <c r="AJ7" s="1237"/>
      <c r="AK7" s="1237"/>
      <c r="AL7" s="1237"/>
      <c r="AM7" s="1237"/>
      <c r="AN7" s="1237"/>
      <c r="AO7" s="1237"/>
      <c r="AP7" s="1237"/>
      <c r="AQ7" s="1238"/>
      <c r="AR7" s="1239"/>
      <c r="AS7" s="1240"/>
      <c r="AT7" s="1240"/>
      <c r="AU7" s="1240"/>
      <c r="AV7" s="1240"/>
      <c r="AW7" s="1240"/>
      <c r="AX7" s="1240"/>
      <c r="AY7" s="1240"/>
      <c r="AZ7" s="1240"/>
      <c r="BA7" s="1240"/>
      <c r="BB7" s="1240"/>
      <c r="BC7" s="1240"/>
      <c r="BD7" s="1241"/>
      <c r="BU7" s="1232" t="s">
        <v>938</v>
      </c>
      <c r="BV7" s="1232"/>
      <c r="BW7" s="1232"/>
      <c r="BX7" s="1232"/>
      <c r="BY7" s="1232"/>
      <c r="BZ7" s="1232"/>
      <c r="CA7" s="1232"/>
      <c r="CB7" s="1232"/>
      <c r="CC7" s="1232"/>
      <c r="CD7" s="1232"/>
      <c r="CE7" s="1232"/>
      <c r="CF7" s="1232"/>
      <c r="CG7" s="1232"/>
      <c r="CH7" s="1232"/>
      <c r="CI7" s="1232"/>
      <c r="CJ7" s="1232"/>
      <c r="CK7" s="1233"/>
      <c r="CL7" s="1233"/>
      <c r="CM7" s="1233"/>
      <c r="CN7" s="1233"/>
      <c r="CO7" s="1233"/>
      <c r="CP7" s="1233"/>
      <c r="CQ7" s="1233"/>
      <c r="CR7" s="1233"/>
      <c r="CS7" s="1233"/>
      <c r="CT7" s="1233"/>
      <c r="CU7" s="1233"/>
      <c r="CV7" s="1233"/>
      <c r="CW7" s="1233"/>
      <c r="CX7" s="1233"/>
      <c r="CY7" s="1233"/>
      <c r="CZ7" s="1233"/>
      <c r="DA7" s="1233"/>
      <c r="DB7" s="1233"/>
      <c r="DC7" s="1233"/>
      <c r="DD7" s="1233"/>
      <c r="DE7" s="1233"/>
      <c r="DF7" s="1233"/>
      <c r="DG7" s="1233"/>
      <c r="DH7" s="1233"/>
      <c r="DI7" s="1233"/>
      <c r="DJ7" s="1233"/>
      <c r="DK7" s="1233"/>
      <c r="DL7" s="1233"/>
      <c r="DM7" s="1233"/>
      <c r="DN7" s="1233"/>
      <c r="DO7" s="1233"/>
      <c r="DP7" s="1233"/>
      <c r="DQ7" s="1233"/>
      <c r="DR7" s="1233"/>
      <c r="DS7" s="371"/>
      <c r="DU7" s="365">
        <v>1</v>
      </c>
      <c r="DV7" s="379">
        <f ca="1">IF(DW7="","",MAX($DV$6:DV6)+1)</f>
        <v>1</v>
      </c>
      <c r="DW7" s="380" t="str">
        <f ca="1">IF($D14=DropDown!$N$8,DropDown!N5,"")</f>
        <v>Int. KSK-No.</v>
      </c>
      <c r="DX7" s="380" t="str">
        <f ca="1">VLOOKUP(DU7,$DV$7:$DW$9,2,FALSE)</f>
        <v>Int. KSK-No.</v>
      </c>
      <c r="DY7" s="550"/>
      <c r="DZ7" s="368"/>
      <c r="EA7" s="368"/>
      <c r="EB7" s="368"/>
      <c r="EC7" s="368"/>
      <c r="ED7" s="368"/>
      <c r="EE7" s="368"/>
      <c r="EF7" s="368"/>
      <c r="EG7" s="368"/>
      <c r="EH7" s="369"/>
    </row>
    <row r="8" spans="1:138" s="365" customFormat="1" ht="30" customHeight="1">
      <c r="A8" s="363"/>
      <c r="B8" s="377"/>
      <c r="C8" s="381" t="str">
        <f ca="1">INDIRECT($J$4&amp;"!C10")</f>
        <v>Customer</v>
      </c>
      <c r="D8" s="381"/>
      <c r="E8" s="381"/>
      <c r="F8" s="381"/>
      <c r="G8" s="381"/>
      <c r="H8" s="381"/>
      <c r="I8" s="381"/>
      <c r="J8" s="381"/>
      <c r="K8" s="381"/>
      <c r="L8" s="381"/>
      <c r="M8" s="382"/>
      <c r="N8" s="1192"/>
      <c r="O8" s="1193"/>
      <c r="P8" s="1193"/>
      <c r="Q8" s="1193"/>
      <c r="R8" s="1193"/>
      <c r="S8" s="1193"/>
      <c r="T8" s="1193"/>
      <c r="U8" s="1193"/>
      <c r="V8" s="1193"/>
      <c r="W8" s="1193"/>
      <c r="X8" s="1193"/>
      <c r="Y8" s="1193"/>
      <c r="Z8" s="1194"/>
      <c r="AF8" s="1190" t="str">
        <f ca="1">INDIRECT($J$4&amp;"!C11")</f>
        <v>Project</v>
      </c>
      <c r="AG8" s="1190"/>
      <c r="AH8" s="1190"/>
      <c r="AI8" s="1190"/>
      <c r="AJ8" s="1190"/>
      <c r="AK8" s="1190"/>
      <c r="AL8" s="1190"/>
      <c r="AM8" s="1190"/>
      <c r="AN8" s="1190"/>
      <c r="AO8" s="1190"/>
      <c r="AP8" s="1190"/>
      <c r="AQ8" s="1191"/>
      <c r="AR8" s="1192"/>
      <c r="AS8" s="1193"/>
      <c r="AT8" s="1193"/>
      <c r="AU8" s="1193"/>
      <c r="AV8" s="1193"/>
      <c r="AW8" s="1193"/>
      <c r="AX8" s="1193"/>
      <c r="AY8" s="1193"/>
      <c r="AZ8" s="1193"/>
      <c r="BA8" s="1193"/>
      <c r="BB8" s="1193"/>
      <c r="BC8" s="1193"/>
      <c r="BD8" s="1194"/>
      <c r="BM8" s="368"/>
      <c r="BN8" s="368"/>
      <c r="BO8" s="368"/>
      <c r="BP8" s="368"/>
      <c r="BQ8" s="368"/>
      <c r="BR8" s="368"/>
      <c r="BS8" s="368"/>
      <c r="BT8" s="368"/>
      <c r="BU8" s="1190" t="str">
        <f ca="1">INDIRECT($J$4&amp;"!C12")</f>
        <v>Customer complaint No.</v>
      </c>
      <c r="BV8" s="1190"/>
      <c r="BW8" s="1190"/>
      <c r="BX8" s="1190"/>
      <c r="BY8" s="1190"/>
      <c r="BZ8" s="1190"/>
      <c r="CA8" s="1190"/>
      <c r="CB8" s="1190"/>
      <c r="CC8" s="1190"/>
      <c r="CD8" s="1190"/>
      <c r="CE8" s="1190"/>
      <c r="CF8" s="1190"/>
      <c r="CG8" s="1190"/>
      <c r="CH8" s="1190"/>
      <c r="CI8" s="1190"/>
      <c r="CJ8" s="1191"/>
      <c r="CK8" s="1195"/>
      <c r="CL8" s="1196"/>
      <c r="CM8" s="1196"/>
      <c r="CN8" s="1196"/>
      <c r="CO8" s="1196"/>
      <c r="CP8" s="1196"/>
      <c r="CQ8" s="1196"/>
      <c r="CR8" s="1196"/>
      <c r="CS8" s="1196"/>
      <c r="CT8" s="1196"/>
      <c r="CU8" s="1196"/>
      <c r="CV8" s="1196"/>
      <c r="CW8" s="1196"/>
      <c r="CX8" s="1196"/>
      <c r="CY8" s="1196"/>
      <c r="CZ8" s="1196"/>
      <c r="DA8" s="1196"/>
      <c r="DB8" s="1196"/>
      <c r="DC8" s="1196"/>
      <c r="DD8" s="1196"/>
      <c r="DE8" s="1196"/>
      <c r="DF8" s="1196"/>
      <c r="DG8" s="1196"/>
      <c r="DH8" s="1196"/>
      <c r="DI8" s="1196"/>
      <c r="DJ8" s="1196"/>
      <c r="DK8" s="1196"/>
      <c r="DL8" s="1196"/>
      <c r="DM8" s="1196"/>
      <c r="DN8" s="1196"/>
      <c r="DO8" s="1196"/>
      <c r="DP8" s="1196"/>
      <c r="DQ8" s="1196"/>
      <c r="DR8" s="1197"/>
      <c r="DS8" s="383"/>
      <c r="DU8" s="365">
        <v>2</v>
      </c>
      <c r="DV8" s="379" t="str">
        <f>IF(DW8="","",MAX($DV$6:DV7)+1)</f>
        <v/>
      </c>
      <c r="DW8" s="380" t="str">
        <f>IF($D14=DropDown!$N$9,DropDown!N6,"")</f>
        <v/>
      </c>
      <c r="DX8" s="380"/>
      <c r="DY8" s="368"/>
      <c r="DZ8" s="368"/>
      <c r="EA8" s="368"/>
      <c r="EB8" s="368"/>
      <c r="EC8" s="368"/>
      <c r="ED8" s="368"/>
      <c r="EE8" s="368"/>
      <c r="EF8" s="368"/>
      <c r="EG8" s="368"/>
      <c r="EH8" s="369"/>
    </row>
    <row r="9" spans="1:138" ht="5.25" customHeight="1">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2"/>
      <c r="DU9" s="365">
        <v>3</v>
      </c>
      <c r="DV9" s="379" t="str">
        <f>IF(DW9="","",MAX($DV$6:DV8)+1)</f>
        <v/>
      </c>
      <c r="DW9" s="380" t="str">
        <f>IF($D14=DropDown!$N$10,DropDown!N7,"")</f>
        <v/>
      </c>
      <c r="DX9" s="380"/>
      <c r="DY9" s="32"/>
      <c r="DZ9" s="32"/>
      <c r="EA9" s="32"/>
      <c r="EB9" s="32"/>
      <c r="EC9" s="32"/>
      <c r="ED9" s="32"/>
      <c r="EE9" s="32"/>
      <c r="EF9" s="32"/>
      <c r="EG9" s="32"/>
      <c r="EH9" s="32"/>
    </row>
    <row r="10" spans="1:138" ht="5.25" customHeight="1" thickBot="1">
      <c r="B10" s="33"/>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34"/>
      <c r="DV10" s="35"/>
      <c r="DW10" s="35"/>
      <c r="DX10" s="35"/>
      <c r="DY10" s="32"/>
      <c r="DZ10" s="32"/>
      <c r="EA10" s="32"/>
      <c r="EB10" s="32"/>
      <c r="EC10" s="32"/>
      <c r="ED10" s="32"/>
      <c r="EE10" s="32"/>
      <c r="EF10" s="32"/>
      <c r="EG10" s="32"/>
      <c r="EH10" s="32"/>
    </row>
    <row r="11" spans="1:138" ht="11.25" customHeight="1">
      <c r="B11" s="1107" t="str">
        <f ca="1">INDIRECT($J$4&amp;"!C13")</f>
        <v>Basic Data</v>
      </c>
      <c r="C11" s="1108"/>
      <c r="D11" s="1108"/>
      <c r="E11" s="1108"/>
      <c r="F11" s="1108"/>
      <c r="G11" s="1108"/>
      <c r="H11" s="1108"/>
      <c r="I11" s="1108"/>
      <c r="J11" s="1108"/>
      <c r="K11" s="1108"/>
      <c r="L11" s="1108"/>
      <c r="M11" s="1108"/>
      <c r="N11" s="1108"/>
      <c r="O11" s="1108"/>
      <c r="P11" s="1108"/>
      <c r="Q11" s="1108"/>
      <c r="R11" s="1108"/>
      <c r="S11" s="1108"/>
      <c r="T11" s="1108"/>
      <c r="U11" s="1108"/>
      <c r="V11" s="1108"/>
      <c r="W11" s="1108"/>
      <c r="X11" s="1108"/>
      <c r="Y11" s="1108"/>
      <c r="Z11" s="1108"/>
      <c r="AA11" s="1108"/>
      <c r="AB11" s="1108"/>
      <c r="AC11" s="1108"/>
      <c r="AD11" s="1108"/>
      <c r="AE11" s="1108"/>
      <c r="AF11" s="1108"/>
      <c r="AG11" s="1108"/>
      <c r="AH11" s="1108"/>
      <c r="AI11" s="1108"/>
      <c r="AJ11" s="1108"/>
      <c r="AK11" s="1108"/>
      <c r="AL11" s="1108"/>
      <c r="AM11" s="1108"/>
      <c r="AN11" s="1108"/>
      <c r="AO11" s="1108"/>
      <c r="AP11" s="1108"/>
      <c r="AQ11" s="1108"/>
      <c r="AR11" s="1108"/>
      <c r="AS11" s="43"/>
      <c r="AT11" s="43"/>
      <c r="AU11" s="43"/>
      <c r="AV11" s="43"/>
      <c r="AW11" s="43"/>
      <c r="AX11" s="43"/>
      <c r="AY11" s="43"/>
      <c r="AZ11" s="43"/>
      <c r="BA11" s="43"/>
      <c r="BB11" s="43"/>
      <c r="BC11" s="43"/>
      <c r="BD11" s="43"/>
      <c r="BE11" s="43"/>
      <c r="BF11" s="43"/>
      <c r="BG11" s="43"/>
      <c r="BH11" s="43"/>
      <c r="BI11" s="43"/>
      <c r="BJ11" s="43"/>
      <c r="BK11" s="43"/>
      <c r="BL11" s="43"/>
      <c r="BM11" s="43"/>
      <c r="BN11" s="43"/>
      <c r="BO11" s="44"/>
      <c r="BP11" s="44"/>
      <c r="BQ11" s="44"/>
      <c r="BR11" s="44"/>
      <c r="BS11" s="44"/>
      <c r="BT11" s="44"/>
      <c r="BU11" s="44"/>
      <c r="BV11" s="44"/>
      <c r="BW11" s="44"/>
      <c r="BX11" s="44"/>
      <c r="BY11" s="44"/>
      <c r="BZ11" s="44"/>
      <c r="CA11" s="44"/>
      <c r="CB11" s="44"/>
      <c r="CC11" s="44"/>
      <c r="CD11" s="44"/>
      <c r="CE11" s="44"/>
      <c r="CF11" s="44"/>
      <c r="CG11" s="44"/>
      <c r="CH11" s="44"/>
      <c r="CI11" s="44"/>
      <c r="CJ11" s="44"/>
      <c r="CK11" s="44"/>
      <c r="CL11" s="44"/>
      <c r="CM11" s="44"/>
      <c r="CN11" s="44"/>
      <c r="CO11" s="44"/>
      <c r="CP11" s="44"/>
      <c r="CQ11" s="44"/>
      <c r="CR11" s="44"/>
      <c r="CS11" s="44"/>
      <c r="CT11" s="44"/>
      <c r="CU11" s="44"/>
      <c r="CV11" s="44"/>
      <c r="CW11" s="44"/>
      <c r="CX11" s="44"/>
      <c r="CY11" s="44"/>
      <c r="CZ11" s="44"/>
      <c r="DA11" s="44"/>
      <c r="DB11" s="44"/>
      <c r="DC11" s="44"/>
      <c r="DD11" s="44"/>
      <c r="DE11" s="44"/>
      <c r="DF11" s="44"/>
      <c r="DG11" s="44"/>
      <c r="DH11" s="44"/>
      <c r="DI11" s="44"/>
      <c r="DJ11" s="44"/>
      <c r="DK11" s="44"/>
      <c r="DL11" s="44"/>
      <c r="DM11" s="44"/>
      <c r="DN11" s="44"/>
      <c r="DO11" s="44"/>
      <c r="DP11" s="44"/>
      <c r="DQ11" s="44"/>
      <c r="DR11" s="44"/>
      <c r="DS11" s="45"/>
      <c r="DV11" s="31"/>
      <c r="DW11" s="31"/>
      <c r="DX11" s="31"/>
      <c r="DY11" s="46"/>
      <c r="DZ11" s="46"/>
      <c r="EA11" s="46"/>
      <c r="EB11" s="573"/>
      <c r="EC11" s="46"/>
      <c r="ED11" s="46"/>
      <c r="EE11" s="46"/>
      <c r="EF11" s="46"/>
      <c r="EG11" s="46"/>
      <c r="EH11" s="32"/>
    </row>
    <row r="12" spans="1:138" ht="30" customHeight="1">
      <c r="B12" s="1109"/>
      <c r="C12" s="1110"/>
      <c r="D12" s="1110"/>
      <c r="E12" s="1110"/>
      <c r="F12" s="1110"/>
      <c r="G12" s="1110"/>
      <c r="H12" s="1110"/>
      <c r="I12" s="1110"/>
      <c r="J12" s="1110"/>
      <c r="K12" s="1110"/>
      <c r="L12" s="1110"/>
      <c r="M12" s="1110"/>
      <c r="N12" s="1110"/>
      <c r="O12" s="1110"/>
      <c r="P12" s="1110"/>
      <c r="Q12" s="1110"/>
      <c r="R12" s="1110"/>
      <c r="S12" s="1110"/>
      <c r="T12" s="1110"/>
      <c r="U12" s="1110"/>
      <c r="V12" s="1110"/>
      <c r="W12" s="1110"/>
      <c r="X12" s="1110"/>
      <c r="Y12" s="1110"/>
      <c r="Z12" s="1110"/>
      <c r="AA12" s="1110"/>
      <c r="AB12" s="1110"/>
      <c r="AC12" s="1110"/>
      <c r="AD12" s="1110"/>
      <c r="AE12" s="1110"/>
      <c r="AF12" s="1110"/>
      <c r="AG12" s="1110"/>
      <c r="AH12" s="1110"/>
      <c r="AI12" s="1110"/>
      <c r="AJ12" s="1110"/>
      <c r="AK12" s="1110"/>
      <c r="AL12" s="1110"/>
      <c r="AM12" s="1110"/>
      <c r="AN12" s="1110"/>
      <c r="AO12" s="1110"/>
      <c r="AP12" s="1110"/>
      <c r="AQ12" s="1110"/>
      <c r="AR12" s="1110"/>
      <c r="AS12" s="47"/>
      <c r="AT12" s="47"/>
      <c r="AU12" s="47"/>
      <c r="AV12" s="47"/>
      <c r="AW12" s="47"/>
      <c r="AX12" s="47"/>
      <c r="AY12" s="47"/>
      <c r="AZ12" s="47"/>
      <c r="BA12" s="47"/>
      <c r="BB12" s="47"/>
      <c r="BC12" s="47"/>
      <c r="BD12" s="47"/>
      <c r="BE12" s="47"/>
      <c r="BF12" s="47"/>
      <c r="BG12" s="47"/>
      <c r="BH12" s="47"/>
      <c r="BI12" s="47"/>
      <c r="BJ12" s="47"/>
      <c r="BK12" s="47"/>
      <c r="BL12" s="47"/>
      <c r="BM12" s="47"/>
      <c r="BN12" s="47"/>
      <c r="BO12" s="48"/>
      <c r="BP12" s="49"/>
      <c r="BQ12" s="49"/>
      <c r="BR12" s="49"/>
      <c r="BS12" s="49"/>
      <c r="BT12" s="49"/>
      <c r="BU12" s="49"/>
      <c r="BV12" s="49"/>
      <c r="BW12" s="49"/>
      <c r="BX12" s="49"/>
      <c r="BY12" s="49"/>
      <c r="BZ12" s="49"/>
      <c r="CA12" s="49"/>
      <c r="CB12" s="49"/>
      <c r="CC12" s="49"/>
      <c r="CD12" s="49"/>
      <c r="CE12" s="49"/>
      <c r="CF12" s="49"/>
      <c r="CG12" s="49"/>
      <c r="CH12" s="49"/>
      <c r="CI12" s="49"/>
      <c r="CJ12" s="49"/>
      <c r="CK12" s="49"/>
      <c r="CL12" s="49"/>
      <c r="CM12" s="49"/>
      <c r="CN12" s="49"/>
      <c r="CO12" s="49"/>
      <c r="CP12" s="49"/>
      <c r="CQ12" s="49"/>
      <c r="CR12" s="49"/>
      <c r="CS12" s="49"/>
      <c r="CT12" s="49"/>
      <c r="CU12" s="49"/>
      <c r="CV12" s="49"/>
      <c r="CW12" s="49"/>
      <c r="CX12" s="49"/>
      <c r="CY12" s="49"/>
      <c r="CZ12" s="49"/>
      <c r="DA12" s="49"/>
      <c r="DB12" s="49"/>
      <c r="DC12" s="49"/>
      <c r="DD12" s="49"/>
      <c r="DE12" s="49"/>
      <c r="DF12" s="49"/>
      <c r="DG12" s="49"/>
      <c r="DH12" s="49"/>
      <c r="DI12" s="49"/>
      <c r="DJ12" s="49"/>
      <c r="DK12" s="49"/>
      <c r="DL12" s="49"/>
      <c r="DM12" s="49"/>
      <c r="DN12" s="49"/>
      <c r="DO12" s="49"/>
      <c r="DP12" s="49"/>
      <c r="DQ12" s="49"/>
      <c r="DR12" s="49"/>
      <c r="DS12" s="50"/>
      <c r="DT12" s="37"/>
      <c r="DU12" s="37"/>
      <c r="DV12" s="51"/>
      <c r="DW12" s="51"/>
      <c r="DX12" s="51"/>
      <c r="DY12" s="52"/>
      <c r="DZ12" s="51"/>
      <c r="EA12" s="51"/>
      <c r="EB12" s="51"/>
      <c r="EC12" s="51"/>
      <c r="ED12" s="51"/>
      <c r="EE12" s="51"/>
      <c r="EF12" s="51"/>
      <c r="EG12" s="51"/>
      <c r="EH12" s="53"/>
    </row>
    <row r="13" spans="1:138" ht="5.25" customHeight="1">
      <c r="B13" s="54"/>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5"/>
      <c r="BQ13" s="55"/>
      <c r="BR13" s="55"/>
      <c r="BS13" s="55"/>
      <c r="BT13" s="55"/>
      <c r="BU13" s="55"/>
      <c r="BV13" s="55"/>
      <c r="BW13" s="55"/>
      <c r="BX13" s="55"/>
      <c r="BY13" s="55"/>
      <c r="BZ13" s="55"/>
      <c r="CA13" s="55"/>
      <c r="CB13" s="55"/>
      <c r="CC13" s="55"/>
      <c r="CD13" s="55"/>
      <c r="CE13" s="55"/>
      <c r="CF13" s="55"/>
      <c r="CG13" s="55"/>
      <c r="CH13" s="55"/>
      <c r="CI13" s="55"/>
      <c r="CJ13" s="55"/>
      <c r="CK13" s="55"/>
      <c r="CL13" s="55"/>
      <c r="CM13" s="55"/>
      <c r="CN13" s="55"/>
      <c r="CO13" s="55"/>
      <c r="CP13" s="55"/>
      <c r="CQ13" s="55"/>
      <c r="CR13" s="55"/>
      <c r="CS13" s="55"/>
      <c r="CT13" s="55"/>
      <c r="CU13" s="55"/>
      <c r="CV13" s="55"/>
      <c r="CW13" s="55"/>
      <c r="CX13" s="55"/>
      <c r="CY13" s="55"/>
      <c r="CZ13" s="55"/>
      <c r="DA13" s="55"/>
      <c r="DB13" s="55"/>
      <c r="DC13" s="55"/>
      <c r="DD13" s="55"/>
      <c r="DE13" s="55"/>
      <c r="DF13" s="55"/>
      <c r="DG13" s="55"/>
      <c r="DH13" s="55"/>
      <c r="DI13" s="55"/>
      <c r="DJ13" s="55"/>
      <c r="DK13" s="55"/>
      <c r="DL13" s="55"/>
      <c r="DM13" s="55"/>
      <c r="DN13" s="55"/>
      <c r="DO13" s="55"/>
      <c r="DP13" s="55"/>
      <c r="DQ13" s="55"/>
      <c r="DR13" s="55"/>
      <c r="DS13" s="50"/>
      <c r="DT13" s="37"/>
      <c r="DU13" s="37"/>
      <c r="DV13" s="51"/>
      <c r="DW13" s="51"/>
      <c r="DX13" s="51"/>
      <c r="DY13" s="51"/>
      <c r="DZ13" s="51"/>
      <c r="EA13" s="51"/>
      <c r="EB13" s="51"/>
      <c r="EC13" s="51"/>
      <c r="ED13" s="51"/>
      <c r="EE13" s="51"/>
      <c r="EF13" s="51"/>
      <c r="EG13" s="51"/>
      <c r="EH13" s="53"/>
    </row>
    <row r="14" spans="1:138" s="365" customFormat="1" ht="30" customHeight="1">
      <c r="A14" s="363"/>
      <c r="B14" s="384"/>
      <c r="C14" s="190"/>
      <c r="D14" s="1200" t="s">
        <v>900</v>
      </c>
      <c r="E14" s="1200"/>
      <c r="F14" s="1200"/>
      <c r="G14" s="1200"/>
      <c r="H14" s="1200"/>
      <c r="I14" s="1200"/>
      <c r="J14" s="1200"/>
      <c r="K14" s="1200"/>
      <c r="L14" s="1200"/>
      <c r="M14" s="1201"/>
      <c r="N14" s="1202"/>
      <c r="O14" s="1203"/>
      <c r="P14" s="1203"/>
      <c r="Q14" s="1203"/>
      <c r="R14" s="1203"/>
      <c r="S14" s="1203"/>
      <c r="T14" s="1203"/>
      <c r="U14" s="1203"/>
      <c r="V14" s="1203"/>
      <c r="W14" s="1203"/>
      <c r="X14" s="1203"/>
      <c r="Y14" s="1203"/>
      <c r="Z14" s="1203"/>
      <c r="AA14" s="1203"/>
      <c r="AB14" s="1203"/>
      <c r="AC14" s="1203"/>
      <c r="AD14" s="1203"/>
      <c r="AE14" s="1203"/>
      <c r="AF14" s="1203"/>
      <c r="AG14" s="1203"/>
      <c r="AH14" s="1204"/>
      <c r="AI14" s="405"/>
      <c r="AM14" s="1198" t="str">
        <f ca="1">DX7</f>
        <v>Int. KSK-No.</v>
      </c>
      <c r="AN14" s="1198"/>
      <c r="AO14" s="1198"/>
      <c r="AP14" s="1198"/>
      <c r="AQ14" s="1198"/>
      <c r="AR14" s="1198"/>
      <c r="AS14" s="1198"/>
      <c r="AT14" s="1198"/>
      <c r="AU14" s="1198"/>
      <c r="AV14" s="1198"/>
      <c r="AW14" s="1198"/>
      <c r="AX14" s="1198"/>
      <c r="AY14" s="1198"/>
      <c r="AZ14" s="1198"/>
      <c r="BA14" s="1198"/>
      <c r="BB14" s="1199"/>
      <c r="BC14" s="1205"/>
      <c r="BD14" s="1206"/>
      <c r="BE14" s="1206"/>
      <c r="BF14" s="1206"/>
      <c r="BG14" s="1206"/>
      <c r="BH14" s="1206"/>
      <c r="BI14" s="1206"/>
      <c r="BJ14" s="1206"/>
      <c r="BK14" s="1206"/>
      <c r="BL14" s="1206"/>
      <c r="BM14" s="1206"/>
      <c r="BN14" s="1206"/>
      <c r="BO14" s="1206"/>
      <c r="BP14" s="1206"/>
      <c r="BQ14" s="1206"/>
      <c r="BR14" s="1206"/>
      <c r="BS14" s="1206"/>
      <c r="BT14" s="1206"/>
      <c r="BU14" s="1207"/>
      <c r="CB14" s="378"/>
      <c r="CC14" s="805" t="str">
        <f ca="1">INDIRECT($J$4&amp;"!C21")</f>
        <v>Production date/time</v>
      </c>
      <c r="CD14" s="378"/>
      <c r="CG14" s="378"/>
      <c r="CH14" s="378"/>
      <c r="CI14" s="190"/>
      <c r="CJ14" s="190"/>
      <c r="CK14" s="190"/>
      <c r="CL14" s="190"/>
      <c r="CM14" s="190"/>
      <c r="CN14" s="190"/>
      <c r="CO14" s="190"/>
      <c r="CP14" s="190"/>
      <c r="CQ14" s="190"/>
      <c r="CR14" s="190"/>
      <c r="CS14" s="190"/>
      <c r="CT14" s="190"/>
      <c r="CU14" s="190"/>
      <c r="CV14" s="190"/>
      <c r="CW14" s="190"/>
      <c r="CX14" s="190"/>
      <c r="CY14" s="190"/>
      <c r="CZ14" s="190"/>
      <c r="DA14" s="190"/>
      <c r="DB14" s="190"/>
      <c r="DC14" s="190"/>
      <c r="DD14" s="1212"/>
      <c r="DE14" s="1213"/>
      <c r="DF14" s="1213"/>
      <c r="DG14" s="1213"/>
      <c r="DH14" s="1213"/>
      <c r="DI14" s="1213"/>
      <c r="DJ14" s="1213"/>
      <c r="DK14" s="1213"/>
      <c r="DL14" s="1213"/>
      <c r="DM14" s="1213"/>
      <c r="DN14" s="1213"/>
      <c r="DO14" s="1213"/>
      <c r="DP14" s="1213"/>
      <c r="DQ14" s="1214"/>
      <c r="DR14" s="191"/>
      <c r="DS14" s="386"/>
      <c r="DT14" s="378"/>
      <c r="DU14" s="378"/>
      <c r="DV14" s="387"/>
      <c r="DW14" s="387"/>
      <c r="DX14" s="387"/>
      <c r="DY14" s="51"/>
      <c r="DZ14" s="51"/>
      <c r="EA14" s="387"/>
      <c r="EB14" s="387"/>
      <c r="EC14" s="387"/>
      <c r="ED14" s="387"/>
      <c r="EE14" s="387"/>
      <c r="EF14" s="387"/>
      <c r="EG14" s="387"/>
      <c r="EH14" s="187"/>
    </row>
    <row r="15" spans="1:138" s="365" customFormat="1" ht="30" customHeight="1">
      <c r="A15" s="363"/>
      <c r="B15" s="384"/>
      <c r="C15" s="190"/>
      <c r="BC15" s="389"/>
      <c r="BD15" s="389"/>
      <c r="BE15" s="389"/>
      <c r="BF15" s="389"/>
      <c r="BG15" s="389"/>
      <c r="BH15" s="389"/>
      <c r="BI15" s="389"/>
      <c r="BJ15" s="389"/>
      <c r="BK15" s="389"/>
      <c r="BL15" s="389"/>
      <c r="BM15" s="389"/>
      <c r="BN15" s="389"/>
      <c r="BO15" s="389"/>
      <c r="BP15" s="389"/>
      <c r="BQ15" s="389"/>
      <c r="BR15" s="389"/>
      <c r="BS15" s="389"/>
      <c r="BT15" s="389"/>
      <c r="BU15" s="389"/>
      <c r="CB15" s="378"/>
      <c r="CD15" s="378"/>
      <c r="CG15" s="378"/>
      <c r="CH15" s="378"/>
      <c r="CI15" s="190"/>
      <c r="CJ15" s="190"/>
      <c r="CK15" s="190"/>
      <c r="CL15" s="190"/>
      <c r="CM15" s="190"/>
      <c r="CN15" s="190"/>
      <c r="CO15" s="190"/>
      <c r="CP15" s="190"/>
      <c r="CQ15" s="190"/>
      <c r="CR15" s="190"/>
      <c r="CS15" s="190"/>
      <c r="CT15" s="190"/>
      <c r="CU15" s="190"/>
      <c r="CV15" s="190"/>
      <c r="CW15" s="190"/>
      <c r="CX15" s="190"/>
      <c r="CY15" s="190"/>
      <c r="CZ15" s="190"/>
      <c r="DA15" s="190"/>
      <c r="DB15" s="190"/>
      <c r="DC15" s="190"/>
      <c r="DR15" s="191"/>
      <c r="DS15" s="386"/>
      <c r="DT15" s="378"/>
      <c r="DU15" s="365">
        <v>1</v>
      </c>
      <c r="DV15" s="984">
        <f ca="1">IF(DW15="","",MAX(DV14:DV14)+1)</f>
        <v>1</v>
      </c>
      <c r="DW15" s="380" t="str">
        <f ca="1">IF($CC16=DropDown!$L$15,DropDown!L18,"")</f>
        <v>PSC</v>
      </c>
      <c r="DX15" s="380" t="str">
        <f ca="1">VLOOKUP(DU15,DV15:DW16,2,FALSE)</f>
        <v>PSC</v>
      </c>
      <c r="DY15" s="550"/>
      <c r="DZ15" s="51"/>
      <c r="EA15" s="387"/>
      <c r="EB15" s="387"/>
      <c r="EC15" s="387"/>
      <c r="ED15" s="387"/>
      <c r="EE15" s="387"/>
      <c r="EF15" s="387"/>
      <c r="EG15" s="387"/>
      <c r="EH15" s="127"/>
    </row>
    <row r="16" spans="1:138" s="365" customFormat="1" ht="30" customHeight="1">
      <c r="A16" s="363"/>
      <c r="B16" s="384"/>
      <c r="C16" s="190"/>
      <c r="D16" s="1210" t="str">
        <f ca="1">INDIRECT($J$4&amp;"!C17")</f>
        <v>Index</v>
      </c>
      <c r="E16" s="1210"/>
      <c r="F16" s="1210"/>
      <c r="G16" s="1210"/>
      <c r="H16" s="1210"/>
      <c r="I16" s="1210"/>
      <c r="J16" s="1210"/>
      <c r="K16" s="1210"/>
      <c r="L16" s="1210"/>
      <c r="M16" s="1211"/>
      <c r="N16" s="1181"/>
      <c r="O16" s="1182"/>
      <c r="P16" s="1182"/>
      <c r="Q16" s="1182"/>
      <c r="R16" s="1182"/>
      <c r="S16" s="1182"/>
      <c r="T16" s="1182"/>
      <c r="U16" s="1182"/>
      <c r="V16" s="1182"/>
      <c r="W16" s="1182"/>
      <c r="X16" s="1182"/>
      <c r="Y16" s="1182"/>
      <c r="Z16" s="1182"/>
      <c r="AA16" s="1182"/>
      <c r="AB16" s="1182"/>
      <c r="AC16" s="1182"/>
      <c r="AD16" s="1182"/>
      <c r="AE16" s="1182"/>
      <c r="AF16" s="1182"/>
      <c r="AG16" s="1182"/>
      <c r="AH16" s="1183"/>
      <c r="AM16" s="1208" t="str">
        <f ca="1">INDIRECT($J$4&amp;"!C16")</f>
        <v>Lfd./Serial</v>
      </c>
      <c r="AN16" s="1208"/>
      <c r="AO16" s="1208"/>
      <c r="AP16" s="1208"/>
      <c r="AQ16" s="1208"/>
      <c r="AR16" s="1208"/>
      <c r="AS16" s="1208"/>
      <c r="AT16" s="1208"/>
      <c r="AU16" s="1208"/>
      <c r="AV16" s="1208"/>
      <c r="AW16" s="1208"/>
      <c r="AX16" s="1208"/>
      <c r="AY16" s="1208"/>
      <c r="AZ16" s="1208"/>
      <c r="BA16" s="1208"/>
      <c r="BB16" s="1209"/>
      <c r="BC16" s="1087"/>
      <c r="BD16" s="1088"/>
      <c r="BE16" s="1088"/>
      <c r="BF16" s="1088"/>
      <c r="BG16" s="1088"/>
      <c r="BH16" s="1088"/>
      <c r="BI16" s="1088"/>
      <c r="BJ16" s="1088"/>
      <c r="BK16" s="1088"/>
      <c r="BL16" s="1088"/>
      <c r="BM16" s="1088"/>
      <c r="BN16" s="1088"/>
      <c r="BO16" s="1088"/>
      <c r="BP16" s="1088"/>
      <c r="BQ16" s="1088"/>
      <c r="BR16" s="1088"/>
      <c r="BS16" s="1088"/>
      <c r="BT16" s="1088"/>
      <c r="BU16" s="1089"/>
      <c r="CB16" s="378"/>
      <c r="CC16" s="1218" t="s">
        <v>124</v>
      </c>
      <c r="CD16" s="1218"/>
      <c r="CE16" s="1218"/>
      <c r="CF16" s="1218"/>
      <c r="CG16" s="1218"/>
      <c r="CH16" s="1218"/>
      <c r="CI16" s="1218"/>
      <c r="CJ16" s="1218"/>
      <c r="CK16" s="1218"/>
      <c r="CL16" s="1218"/>
      <c r="CM16" s="1218"/>
      <c r="CN16" s="1218"/>
      <c r="CO16" s="1218"/>
      <c r="CP16" s="1218"/>
      <c r="CQ16" s="1218"/>
      <c r="CR16" s="1218"/>
      <c r="CS16" s="1218"/>
      <c r="CT16" s="1218"/>
      <c r="CU16" s="1218"/>
      <c r="CV16" s="1218"/>
      <c r="CW16" s="1218"/>
      <c r="CX16" s="1218"/>
      <c r="CY16" s="1218"/>
      <c r="CZ16" s="1218"/>
      <c r="DA16" s="1218"/>
      <c r="DB16" s="1218"/>
      <c r="DC16" s="1219"/>
      <c r="DD16" s="1215"/>
      <c r="DE16" s="1216"/>
      <c r="DF16" s="1216"/>
      <c r="DG16" s="1216"/>
      <c r="DH16" s="1216"/>
      <c r="DI16" s="1216"/>
      <c r="DJ16" s="1216"/>
      <c r="DK16" s="1216"/>
      <c r="DL16" s="1216"/>
      <c r="DM16" s="1216"/>
      <c r="DN16" s="1216"/>
      <c r="DO16" s="1216"/>
      <c r="DP16" s="1216"/>
      <c r="DQ16" s="1217"/>
      <c r="DR16" s="825"/>
      <c r="DS16" s="386"/>
      <c r="DT16" s="378"/>
      <c r="DU16" s="365">
        <v>2</v>
      </c>
      <c r="DV16" s="984" t="str">
        <f ca="1">IF(DW16="","",MAX($DV$14:DV15)+1)</f>
        <v/>
      </c>
      <c r="DW16" s="380" t="str">
        <f ca="1">IF($CC16=DropDown!$L$16,DropDown!L19,"")</f>
        <v/>
      </c>
      <c r="DX16" s="380"/>
      <c r="DY16" s="368"/>
      <c r="DZ16" s="551"/>
      <c r="EA16" s="387"/>
      <c r="EB16" s="387"/>
      <c r="EC16" s="387"/>
      <c r="ED16" s="387"/>
      <c r="EE16" s="387"/>
      <c r="EF16" s="387"/>
      <c r="EG16" s="387"/>
      <c r="EH16" s="127"/>
    </row>
    <row r="17" spans="1:193" ht="5.25" customHeight="1" thickBot="1">
      <c r="B17" s="54"/>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49"/>
      <c r="CL17" s="49"/>
      <c r="CM17" s="49"/>
      <c r="CN17" s="49"/>
      <c r="CO17" s="49"/>
      <c r="CP17" s="49"/>
      <c r="CQ17" s="49"/>
      <c r="CR17" s="49"/>
      <c r="CS17" s="49"/>
      <c r="CT17" s="49"/>
      <c r="CU17" s="49"/>
      <c r="CV17" s="49"/>
      <c r="CW17" s="49"/>
      <c r="CX17" s="49"/>
      <c r="CY17" s="49"/>
      <c r="CZ17" s="49"/>
      <c r="DA17" s="49"/>
      <c r="DB17" s="49"/>
      <c r="DC17" s="49"/>
      <c r="DD17" s="49"/>
      <c r="DE17" s="49"/>
      <c r="DF17" s="49"/>
      <c r="DG17" s="49"/>
      <c r="DH17" s="49"/>
      <c r="DI17" s="49"/>
      <c r="DJ17" s="49"/>
      <c r="DK17" s="49"/>
      <c r="DL17" s="49"/>
      <c r="DM17" s="49"/>
      <c r="DN17" s="49"/>
      <c r="DO17" s="49"/>
      <c r="DP17" s="49"/>
      <c r="DQ17" s="49"/>
      <c r="DR17" s="49"/>
      <c r="DS17" s="50"/>
      <c r="DT17" s="37"/>
      <c r="DU17" s="365">
        <v>3</v>
      </c>
      <c r="DV17" s="984"/>
      <c r="DW17" s="380"/>
      <c r="DX17" s="380"/>
      <c r="DY17" s="51"/>
      <c r="DZ17" s="51"/>
      <c r="EA17" s="51"/>
      <c r="EB17" s="51"/>
      <c r="EC17" s="51"/>
      <c r="ED17" s="51"/>
      <c r="EE17" s="51"/>
      <c r="EF17" s="51"/>
      <c r="EG17" s="51"/>
      <c r="EH17" s="59"/>
    </row>
    <row r="18" spans="1:193" ht="11.25" customHeight="1">
      <c r="B18" s="1107" t="str">
        <f ca="1">INDIRECT($J$4&amp;"!C22")</f>
        <v>D1 - Team</v>
      </c>
      <c r="C18" s="1108"/>
      <c r="D18" s="1108"/>
      <c r="E18" s="1108"/>
      <c r="F18" s="1108"/>
      <c r="G18" s="1108"/>
      <c r="H18" s="1108"/>
      <c r="I18" s="1108"/>
      <c r="J18" s="1108"/>
      <c r="K18" s="1108"/>
      <c r="L18" s="1108"/>
      <c r="M18" s="1108"/>
      <c r="N18" s="1108"/>
      <c r="O18" s="1108"/>
      <c r="P18" s="1108"/>
      <c r="Q18" s="1108"/>
      <c r="R18" s="1108"/>
      <c r="S18" s="1108"/>
      <c r="T18" s="1108"/>
      <c r="U18" s="1108"/>
      <c r="V18" s="1108"/>
      <c r="W18" s="1108"/>
      <c r="X18" s="1108"/>
      <c r="Y18" s="1108"/>
      <c r="Z18" s="1108"/>
      <c r="AA18" s="1108"/>
      <c r="AB18" s="1108"/>
      <c r="AC18" s="1108"/>
      <c r="AD18" s="1108"/>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c r="BN18" s="44"/>
      <c r="BO18" s="44"/>
      <c r="BP18" s="44"/>
      <c r="BQ18" s="44"/>
      <c r="BR18" s="44"/>
      <c r="BS18" s="44"/>
      <c r="BT18" s="44"/>
      <c r="BU18" s="44"/>
      <c r="BV18" s="44"/>
      <c r="BW18" s="44"/>
      <c r="BX18" s="44"/>
      <c r="BY18" s="44"/>
      <c r="BZ18" s="44"/>
      <c r="CA18" s="44"/>
      <c r="CB18" s="44"/>
      <c r="CC18" s="44"/>
      <c r="CD18" s="44"/>
      <c r="CE18" s="44"/>
      <c r="CF18" s="44"/>
      <c r="CG18" s="44"/>
      <c r="CH18" s="44"/>
      <c r="CI18" s="44"/>
      <c r="CJ18" s="44"/>
      <c r="CK18" s="44"/>
      <c r="CL18" s="44"/>
      <c r="CM18" s="44"/>
      <c r="CN18" s="44"/>
      <c r="CO18" s="44"/>
      <c r="CP18" s="44"/>
      <c r="CQ18" s="44"/>
      <c r="CR18" s="44"/>
      <c r="CS18" s="44"/>
      <c r="CT18" s="44"/>
      <c r="CU18" s="44"/>
      <c r="CV18" s="44"/>
      <c r="CW18" s="44"/>
      <c r="CX18" s="44"/>
      <c r="CY18" s="44"/>
      <c r="CZ18" s="44"/>
      <c r="DA18" s="44"/>
      <c r="DB18" s="44"/>
      <c r="DC18" s="44"/>
      <c r="DD18" s="44"/>
      <c r="DE18" s="44"/>
      <c r="DF18" s="44"/>
      <c r="DG18" s="44"/>
      <c r="DH18" s="44"/>
      <c r="DI18" s="44"/>
      <c r="DJ18" s="44"/>
      <c r="DK18" s="44"/>
      <c r="DL18" s="44"/>
      <c r="DM18" s="44"/>
      <c r="DN18" s="44"/>
      <c r="DO18" s="44"/>
      <c r="DP18" s="44"/>
      <c r="DQ18" s="44"/>
      <c r="DR18" s="44"/>
      <c r="DS18" s="45"/>
      <c r="DV18" s="31"/>
      <c r="DW18" s="31"/>
      <c r="DX18" s="31"/>
      <c r="DY18" s="46"/>
      <c r="DZ18" s="46"/>
      <c r="EA18" s="46"/>
      <c r="EB18" s="573"/>
      <c r="EC18" s="46"/>
      <c r="ED18" s="46"/>
      <c r="EE18" s="46"/>
      <c r="EF18" s="46"/>
      <c r="EG18" s="46"/>
      <c r="EH18" s="32"/>
    </row>
    <row r="19" spans="1:193" ht="30" customHeight="1">
      <c r="B19" s="1109"/>
      <c r="C19" s="1110"/>
      <c r="D19" s="1110"/>
      <c r="E19" s="1110"/>
      <c r="F19" s="1110"/>
      <c r="G19" s="1110"/>
      <c r="H19" s="1110"/>
      <c r="I19" s="1110"/>
      <c r="J19" s="1110"/>
      <c r="K19" s="1110"/>
      <c r="L19" s="1110"/>
      <c r="M19" s="1110"/>
      <c r="N19" s="1110"/>
      <c r="O19" s="1110"/>
      <c r="P19" s="1110"/>
      <c r="Q19" s="1110"/>
      <c r="R19" s="1110"/>
      <c r="S19" s="1110"/>
      <c r="T19" s="1110"/>
      <c r="U19" s="1110"/>
      <c r="V19" s="1110"/>
      <c r="W19" s="1110"/>
      <c r="X19" s="1110"/>
      <c r="Y19" s="1110"/>
      <c r="Z19" s="1110"/>
      <c r="AA19" s="1110"/>
      <c r="AB19" s="1110"/>
      <c r="AC19" s="1110"/>
      <c r="AD19" s="1110"/>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49"/>
      <c r="CA19" s="49"/>
      <c r="CB19" s="49"/>
      <c r="CC19" s="49"/>
      <c r="CD19" s="49"/>
      <c r="CE19" s="49"/>
      <c r="CF19" s="49"/>
      <c r="CG19" s="49"/>
      <c r="CH19" s="49"/>
      <c r="CI19" s="49"/>
      <c r="CJ19" s="49"/>
      <c r="CK19" s="49"/>
      <c r="CL19" s="49"/>
      <c r="CM19" s="49"/>
      <c r="CN19" s="49"/>
      <c r="CO19" s="49"/>
      <c r="CP19" s="49"/>
      <c r="CQ19" s="49"/>
      <c r="CR19" s="49"/>
      <c r="CS19" s="49"/>
      <c r="CT19" s="49"/>
      <c r="CU19" s="49"/>
      <c r="CV19" s="49"/>
      <c r="CW19" s="49"/>
      <c r="CX19" s="49"/>
      <c r="CY19" s="49"/>
      <c r="CZ19" s="49"/>
      <c r="DA19" s="49"/>
      <c r="DB19" s="49"/>
      <c r="DC19" s="49"/>
      <c r="DD19" s="49"/>
      <c r="DE19" s="49"/>
      <c r="DF19" s="49"/>
      <c r="DG19" s="49"/>
      <c r="DH19" s="49"/>
      <c r="DI19" s="49"/>
      <c r="DJ19" s="49"/>
      <c r="DK19" s="49"/>
      <c r="DL19" s="49"/>
      <c r="DM19" s="49"/>
      <c r="DN19" s="49"/>
      <c r="DO19" s="49"/>
      <c r="DP19" s="49"/>
      <c r="DQ19" s="49"/>
      <c r="DR19" s="49"/>
      <c r="DS19" s="50"/>
      <c r="DT19" s="37"/>
      <c r="DU19" s="37"/>
      <c r="DV19" s="51"/>
      <c r="DW19" s="51"/>
      <c r="DX19" s="51"/>
      <c r="DY19" s="51"/>
      <c r="DZ19" s="51"/>
      <c r="EA19" s="51"/>
      <c r="EB19" s="51"/>
      <c r="EC19" s="51"/>
      <c r="ED19" s="51"/>
      <c r="EE19" s="51"/>
      <c r="EF19" s="51"/>
      <c r="EG19" s="51"/>
      <c r="EH19" s="53"/>
    </row>
    <row r="20" spans="1:193" ht="30" customHeight="1">
      <c r="B20" s="54"/>
      <c r="C20" s="55"/>
      <c r="D20" s="1278" t="str">
        <f ca="1">INDIRECT($J$4&amp;"!C23")</f>
        <v>Coordinator (/Champion)</v>
      </c>
      <c r="E20" s="1278"/>
      <c r="F20" s="1278"/>
      <c r="G20" s="1278"/>
      <c r="H20" s="1278"/>
      <c r="I20" s="1278"/>
      <c r="J20" s="1278"/>
      <c r="K20" s="1278"/>
      <c r="L20" s="1278"/>
      <c r="M20" s="1278"/>
      <c r="N20" s="1278"/>
      <c r="O20" s="1278"/>
      <c r="P20" s="1278"/>
      <c r="Q20" s="1278"/>
      <c r="R20" s="1278"/>
      <c r="S20" s="1278"/>
      <c r="T20" s="1278"/>
      <c r="U20" s="1278"/>
      <c r="V20" s="1278"/>
      <c r="W20" s="1278"/>
      <c r="X20" s="1278"/>
      <c r="Y20" s="1278"/>
      <c r="Z20" s="1278"/>
      <c r="AA20" s="1278"/>
      <c r="AB20" s="1278"/>
      <c r="AC20" s="1278"/>
      <c r="AD20" s="1278"/>
      <c r="AE20" s="1278"/>
      <c r="AF20" s="1278"/>
      <c r="AG20" s="1278"/>
      <c r="AH20" s="1278"/>
      <c r="AI20" s="1278"/>
      <c r="AJ20" s="1278"/>
      <c r="AK20" s="1278"/>
      <c r="AL20" s="1278"/>
      <c r="AM20" s="1278"/>
      <c r="AN20" s="1278"/>
      <c r="AO20" s="1278"/>
      <c r="AP20" s="1278"/>
      <c r="AQ20" s="1278"/>
      <c r="AR20" s="1278"/>
      <c r="AS20" s="1278"/>
      <c r="AT20" s="1278"/>
      <c r="AU20" s="1278"/>
      <c r="AV20" s="1278"/>
      <c r="AW20" s="1278"/>
      <c r="AX20" s="1278"/>
      <c r="AY20" s="1278"/>
      <c r="AZ20" s="1278"/>
      <c r="BA20" s="1278"/>
      <c r="BB20" s="1278"/>
      <c r="BC20" s="1278"/>
      <c r="BD20" s="1278"/>
      <c r="BE20" s="1278"/>
      <c r="BF20" s="1278"/>
      <c r="BG20" s="1278"/>
      <c r="BH20" s="1278"/>
      <c r="BI20" s="55"/>
      <c r="BJ20" s="55"/>
      <c r="BL20" s="1278" t="str">
        <f ca="1">INDIRECT($J$4&amp;"!C26")</f>
        <v>Sponsor</v>
      </c>
      <c r="BM20" s="1278"/>
      <c r="BN20" s="1278"/>
      <c r="BO20" s="1278"/>
      <c r="BP20" s="1278"/>
      <c r="BQ20" s="1278"/>
      <c r="BR20" s="1278"/>
      <c r="BS20" s="1278"/>
      <c r="BT20" s="1278"/>
      <c r="BU20" s="1278"/>
      <c r="BV20" s="1278"/>
      <c r="BW20" s="1278"/>
      <c r="BX20" s="1278"/>
      <c r="BY20" s="1278"/>
      <c r="BZ20" s="1278"/>
      <c r="CA20" s="1278"/>
      <c r="CB20" s="1278"/>
      <c r="CC20" s="1278"/>
      <c r="CD20" s="1278"/>
      <c r="CE20" s="1278"/>
      <c r="CF20" s="1278"/>
      <c r="CG20" s="1278"/>
      <c r="CH20" s="1278"/>
      <c r="CI20" s="1278"/>
      <c r="CJ20" s="1278"/>
      <c r="CK20" s="1278"/>
      <c r="CL20" s="1278"/>
      <c r="CM20" s="1278"/>
      <c r="CN20" s="1278"/>
      <c r="CO20" s="1278"/>
      <c r="CP20" s="1278"/>
      <c r="CQ20" s="1278"/>
      <c r="CR20" s="1278"/>
      <c r="CS20" s="1278"/>
      <c r="CT20" s="1278"/>
      <c r="CU20" s="1278"/>
      <c r="CV20" s="1278"/>
      <c r="CW20" s="1278"/>
      <c r="CX20" s="1278"/>
      <c r="CY20" s="1278"/>
      <c r="CZ20" s="1278"/>
      <c r="DA20" s="1278"/>
      <c r="DB20" s="1278"/>
      <c r="DC20" s="1278"/>
      <c r="DD20" s="1278"/>
      <c r="DE20" s="1278"/>
      <c r="DF20" s="1278"/>
      <c r="DG20" s="1278"/>
      <c r="DH20" s="1278"/>
      <c r="DI20" s="1278"/>
      <c r="DJ20" s="1278"/>
      <c r="DK20" s="1278"/>
      <c r="DL20" s="1278"/>
      <c r="DM20" s="1278"/>
      <c r="DN20" s="1278"/>
      <c r="DO20" s="1278"/>
      <c r="DP20" s="1278"/>
      <c r="DQ20" s="55"/>
      <c r="DR20" s="55"/>
      <c r="DS20" s="50"/>
      <c r="DT20" s="37"/>
      <c r="DU20" s="37"/>
      <c r="DV20" s="51"/>
      <c r="DW20" s="51"/>
      <c r="DX20" s="51"/>
      <c r="DY20" s="51"/>
      <c r="DZ20" s="51"/>
      <c r="EA20" s="51"/>
      <c r="EB20" s="51"/>
      <c r="EC20" s="51"/>
      <c r="ED20" s="51"/>
      <c r="EE20" s="51"/>
      <c r="EF20" s="51"/>
      <c r="EG20" s="51"/>
      <c r="EH20" s="59"/>
    </row>
    <row r="21" spans="1:193" s="365" customFormat="1" ht="27.9" customHeight="1">
      <c r="A21" s="363"/>
      <c r="B21" s="384"/>
      <c r="C21" s="190"/>
      <c r="D21" s="1210" t="str">
        <f ca="1">INDIRECT($J$4&amp;"!C24")</f>
        <v>Name, prename</v>
      </c>
      <c r="E21" s="1210"/>
      <c r="F21" s="1210"/>
      <c r="G21" s="1210"/>
      <c r="H21" s="1210"/>
      <c r="I21" s="1210"/>
      <c r="J21" s="1210"/>
      <c r="K21" s="1210"/>
      <c r="L21" s="1210"/>
      <c r="M21" s="1210"/>
      <c r="N21" s="1210"/>
      <c r="O21" s="1210"/>
      <c r="P21" s="1210"/>
      <c r="Q21" s="1210"/>
      <c r="R21" s="1210"/>
      <c r="S21" s="869"/>
      <c r="T21" s="1279" t="str">
        <f ca="1">INDIRECT($J$4&amp;"!C25")</f>
        <v>Department/function   Contact data</v>
      </c>
      <c r="U21" s="1279"/>
      <c r="V21" s="1279"/>
      <c r="W21" s="1279"/>
      <c r="X21" s="1279"/>
      <c r="Y21" s="1279"/>
      <c r="Z21" s="1279"/>
      <c r="AA21" s="1279"/>
      <c r="AB21" s="1279"/>
      <c r="AC21" s="1279"/>
      <c r="AD21" s="1279"/>
      <c r="AE21" s="1279"/>
      <c r="AF21" s="1279"/>
      <c r="AG21" s="1279"/>
      <c r="AH21" s="1279"/>
      <c r="AI21" s="1279"/>
      <c r="AJ21" s="1279"/>
      <c r="AK21" s="1279"/>
      <c r="AL21" s="1279"/>
      <c r="AM21" s="1279"/>
      <c r="AN21" s="1279"/>
      <c r="AO21" s="1279"/>
      <c r="AP21" s="1279"/>
      <c r="AQ21" s="1279"/>
      <c r="AR21" s="1279"/>
      <c r="AS21" s="1279"/>
      <c r="AT21" s="1279"/>
      <c r="AU21" s="1279"/>
      <c r="AV21" s="1279"/>
      <c r="AW21" s="863"/>
      <c r="AX21" s="863"/>
      <c r="AY21" s="863"/>
      <c r="AZ21" s="863"/>
      <c r="BA21" s="863"/>
      <c r="BB21" s="863"/>
      <c r="BC21" s="863"/>
      <c r="BD21" s="863"/>
      <c r="BE21" s="863"/>
      <c r="BF21" s="863"/>
      <c r="BG21" s="863"/>
      <c r="BH21" s="863"/>
      <c r="BI21" s="677"/>
      <c r="BJ21" s="677"/>
      <c r="BK21" s="1210" t="str">
        <f ca="1">INDIRECT($J$4&amp;"!C24")</f>
        <v>Name, prename</v>
      </c>
      <c r="BL21" s="1210"/>
      <c r="BM21" s="1210"/>
      <c r="BN21" s="1210"/>
      <c r="BO21" s="1210"/>
      <c r="BP21" s="1210"/>
      <c r="BQ21" s="1210"/>
      <c r="BR21" s="1210"/>
      <c r="BS21" s="1210"/>
      <c r="BT21" s="1210"/>
      <c r="BU21" s="1210"/>
      <c r="BV21" s="1210"/>
      <c r="BW21" s="1210"/>
      <c r="BX21" s="1210"/>
      <c r="BY21" s="1210"/>
      <c r="BZ21" s="866"/>
      <c r="CA21" s="867"/>
      <c r="CB21" s="867"/>
      <c r="CC21" s="867"/>
      <c r="CD21" s="924" t="str">
        <f ca="1">INDIRECT($J$4&amp;"!C25")</f>
        <v>Department/function   Contact data</v>
      </c>
      <c r="CE21" s="867"/>
      <c r="CF21" s="868"/>
      <c r="CG21" s="868"/>
      <c r="CH21" s="868"/>
      <c r="CI21" s="868"/>
      <c r="CJ21" s="868"/>
      <c r="CK21" s="868"/>
      <c r="CL21" s="868"/>
      <c r="CM21" s="868"/>
      <c r="CN21" s="868"/>
      <c r="CO21" s="868"/>
      <c r="CP21" s="868"/>
      <c r="CQ21" s="868"/>
      <c r="CR21" s="868"/>
      <c r="CS21" s="868"/>
      <c r="CT21" s="868"/>
      <c r="CU21" s="868"/>
      <c r="CV21" s="868"/>
      <c r="CW21" s="868"/>
      <c r="CX21" s="868"/>
      <c r="CY21" s="868"/>
      <c r="CZ21" s="863"/>
      <c r="DA21" s="863"/>
      <c r="DB21" s="863"/>
      <c r="DC21" s="863"/>
      <c r="DD21" s="863"/>
      <c r="DE21" s="863"/>
      <c r="DF21" s="863"/>
      <c r="DG21" s="863"/>
      <c r="DH21" s="863"/>
      <c r="DI21" s="863"/>
      <c r="DJ21" s="863"/>
      <c r="DK21" s="863"/>
      <c r="DL21" s="863"/>
      <c r="DM21" s="863"/>
      <c r="DN21" s="863"/>
      <c r="DO21" s="863"/>
      <c r="DS21" s="386"/>
      <c r="DT21" s="378"/>
      <c r="DU21" s="378"/>
      <c r="DV21" s="387"/>
      <c r="DW21" s="387"/>
      <c r="DX21" s="387"/>
      <c r="DY21" s="387"/>
      <c r="DZ21" s="387"/>
      <c r="EA21" s="387"/>
      <c r="EB21" s="387"/>
      <c r="EC21" s="1140"/>
      <c r="ED21" s="1140"/>
      <c r="EE21" s="1140"/>
      <c r="EF21" s="410"/>
      <c r="EG21" s="1131"/>
      <c r="EH21" s="1131"/>
      <c r="EI21" s="1131"/>
      <c r="EJ21" s="1131"/>
      <c r="EK21" s="1131"/>
      <c r="EL21" s="1131"/>
      <c r="EM21" s="1131"/>
      <c r="EN21" s="1131"/>
      <c r="EO21" s="1131"/>
      <c r="EP21" s="1131"/>
      <c r="EQ21" s="1131"/>
      <c r="ER21" s="1131"/>
      <c r="ES21" s="1131"/>
      <c r="ET21" s="1131"/>
      <c r="EU21" s="1131"/>
      <c r="EV21" s="1131"/>
      <c r="EW21" s="1131"/>
      <c r="EX21" s="1131"/>
      <c r="EY21" s="1131"/>
      <c r="EZ21" s="1131"/>
      <c r="FA21" s="1131"/>
      <c r="FB21" s="1131"/>
      <c r="FC21" s="1131"/>
      <c r="FD21" s="1131"/>
      <c r="FE21" s="1131"/>
      <c r="FF21" s="1131"/>
      <c r="FG21" s="1131"/>
      <c r="FH21" s="1131"/>
      <c r="FI21" s="1131"/>
      <c r="FJ21" s="1131"/>
      <c r="FK21" s="1131"/>
      <c r="FL21" s="1045"/>
      <c r="FM21" s="1045"/>
      <c r="FN21" s="1045"/>
      <c r="FO21" s="1045"/>
      <c r="FP21" s="1045"/>
      <c r="FQ21" s="1045"/>
      <c r="FR21" s="1045"/>
      <c r="FS21" s="1045"/>
      <c r="FT21" s="1045"/>
      <c r="FU21" s="1045"/>
      <c r="FV21" s="1045"/>
      <c r="FW21" s="1045"/>
      <c r="FX21" s="1045"/>
      <c r="FY21" s="1045"/>
      <c r="FZ21" s="1045"/>
      <c r="GA21" s="1045"/>
      <c r="GB21" s="1045"/>
      <c r="GC21" s="1045"/>
      <c r="GD21" s="1045"/>
      <c r="GE21" s="1045"/>
      <c r="GF21" s="1045"/>
      <c r="GG21" s="1045"/>
      <c r="GH21" s="1045"/>
      <c r="GI21" s="1045"/>
      <c r="GJ21" s="1045"/>
      <c r="GK21" s="1045"/>
    </row>
    <row r="22" spans="1:193" s="365" customFormat="1" ht="35.25" customHeight="1">
      <c r="A22" s="363"/>
      <c r="B22" s="384"/>
      <c r="C22" s="378"/>
      <c r="D22" s="1057"/>
      <c r="E22" s="1058"/>
      <c r="F22" s="1058"/>
      <c r="G22" s="1058"/>
      <c r="H22" s="1058"/>
      <c r="I22" s="1058"/>
      <c r="J22" s="1058"/>
      <c r="K22" s="1058"/>
      <c r="L22" s="1058"/>
      <c r="M22" s="1058"/>
      <c r="N22" s="1058"/>
      <c r="O22" s="1058"/>
      <c r="P22" s="1058"/>
      <c r="Q22" s="1058"/>
      <c r="R22" s="1059"/>
      <c r="S22" s="1057"/>
      <c r="T22" s="1058"/>
      <c r="U22" s="1058"/>
      <c r="V22" s="1058"/>
      <c r="W22" s="1058"/>
      <c r="X22" s="1058"/>
      <c r="Y22" s="1058"/>
      <c r="Z22" s="1058"/>
      <c r="AA22" s="1058"/>
      <c r="AB22" s="1058"/>
      <c r="AC22" s="1058"/>
      <c r="AD22" s="1058"/>
      <c r="AE22" s="1058"/>
      <c r="AF22" s="1058"/>
      <c r="AG22" s="1058"/>
      <c r="AH22" s="1059"/>
      <c r="AI22" s="1060"/>
      <c r="AJ22" s="1061"/>
      <c r="AK22" s="1061"/>
      <c r="AL22" s="1061"/>
      <c r="AM22" s="1061"/>
      <c r="AN22" s="1061"/>
      <c r="AO22" s="1061"/>
      <c r="AP22" s="1061"/>
      <c r="AQ22" s="1061"/>
      <c r="AR22" s="1061"/>
      <c r="AS22" s="1061"/>
      <c r="AT22" s="1061"/>
      <c r="AU22" s="1061"/>
      <c r="AV22" s="1061"/>
      <c r="AW22" s="1061"/>
      <c r="AX22" s="1061"/>
      <c r="AY22" s="1061"/>
      <c r="AZ22" s="1061"/>
      <c r="BA22" s="1061"/>
      <c r="BB22" s="1061"/>
      <c r="BC22" s="1061"/>
      <c r="BD22" s="1061"/>
      <c r="BE22" s="1061"/>
      <c r="BF22" s="1061"/>
      <c r="BG22" s="1061"/>
      <c r="BH22" s="1062"/>
      <c r="BI22" s="398"/>
      <c r="BL22" s="1057"/>
      <c r="BM22" s="1058"/>
      <c r="BN22" s="1058"/>
      <c r="BO22" s="1058"/>
      <c r="BP22" s="1058"/>
      <c r="BQ22" s="1058"/>
      <c r="BR22" s="1058"/>
      <c r="BS22" s="1058"/>
      <c r="BT22" s="1058"/>
      <c r="BU22" s="1058"/>
      <c r="BV22" s="1058"/>
      <c r="BW22" s="1058"/>
      <c r="BX22" s="1058"/>
      <c r="BY22" s="1058"/>
      <c r="BZ22" s="1059"/>
      <c r="CA22" s="1054"/>
      <c r="CB22" s="1055"/>
      <c r="CC22" s="1055"/>
      <c r="CD22" s="1055"/>
      <c r="CE22" s="1055"/>
      <c r="CF22" s="1055"/>
      <c r="CG22" s="1055"/>
      <c r="CH22" s="1055"/>
      <c r="CI22" s="1055"/>
      <c r="CJ22" s="1055"/>
      <c r="CK22" s="1055"/>
      <c r="CL22" s="1055"/>
      <c r="CM22" s="1055"/>
      <c r="CN22" s="1055"/>
      <c r="CO22" s="1055"/>
      <c r="CP22" s="1056"/>
      <c r="CQ22" s="1132"/>
      <c r="CR22" s="1133"/>
      <c r="CS22" s="1133"/>
      <c r="CT22" s="1133"/>
      <c r="CU22" s="1133"/>
      <c r="CV22" s="1133"/>
      <c r="CW22" s="1133"/>
      <c r="CX22" s="1133"/>
      <c r="CY22" s="1133"/>
      <c r="CZ22" s="1133"/>
      <c r="DA22" s="1133"/>
      <c r="DB22" s="1133"/>
      <c r="DC22" s="1133"/>
      <c r="DD22" s="1133"/>
      <c r="DE22" s="1133"/>
      <c r="DF22" s="1133"/>
      <c r="DG22" s="1133"/>
      <c r="DH22" s="1133"/>
      <c r="DI22" s="1133"/>
      <c r="DJ22" s="1133"/>
      <c r="DK22" s="1133"/>
      <c r="DL22" s="1133"/>
      <c r="DM22" s="1133"/>
      <c r="DN22" s="1133"/>
      <c r="DO22" s="1133"/>
      <c r="DP22" s="1133"/>
      <c r="DQ22" s="1134"/>
      <c r="DS22" s="386"/>
      <c r="DT22" s="378"/>
      <c r="DU22" s="378"/>
      <c r="DV22" s="387"/>
      <c r="DW22" s="387"/>
      <c r="DX22" s="387"/>
      <c r="DY22" s="387"/>
      <c r="DZ22" s="387"/>
      <c r="EA22" s="387"/>
      <c r="EB22" s="387"/>
      <c r="EC22" s="1140"/>
      <c r="ED22" s="1140"/>
      <c r="EE22" s="1140"/>
      <c r="EF22" s="378"/>
      <c r="EG22" s="190"/>
      <c r="EH22" s="190"/>
      <c r="EI22" s="190"/>
      <c r="EJ22" s="190"/>
      <c r="EK22" s="190"/>
      <c r="EL22" s="190"/>
      <c r="EM22" s="190"/>
      <c r="EN22" s="190"/>
      <c r="EO22" s="190"/>
      <c r="EP22" s="190"/>
      <c r="EQ22" s="190"/>
      <c r="ER22" s="190"/>
      <c r="ES22" s="190"/>
      <c r="ET22" s="190"/>
      <c r="EU22" s="190"/>
      <c r="EV22" s="190"/>
      <c r="EW22" s="190"/>
      <c r="EX22" s="190"/>
      <c r="EY22" s="190"/>
      <c r="EZ22" s="190"/>
      <c r="FA22" s="190"/>
      <c r="FB22" s="190"/>
      <c r="FC22" s="190"/>
      <c r="FD22" s="190"/>
      <c r="FE22" s="190"/>
      <c r="FF22" s="190"/>
      <c r="FG22" s="190"/>
      <c r="FH22" s="190"/>
      <c r="FI22" s="190"/>
      <c r="FJ22" s="190"/>
      <c r="FK22" s="190"/>
      <c r="FL22" s="190"/>
      <c r="FM22" s="190"/>
      <c r="FN22" s="190"/>
      <c r="FO22" s="190"/>
      <c r="FP22" s="190"/>
      <c r="FQ22" s="190"/>
      <c r="FR22" s="190"/>
      <c r="FV22" s="190"/>
      <c r="FW22" s="549"/>
      <c r="FX22" s="549"/>
      <c r="FY22" s="549"/>
      <c r="FZ22" s="549"/>
      <c r="GA22" s="549"/>
      <c r="GB22" s="549"/>
      <c r="GC22" s="549"/>
      <c r="GD22" s="549"/>
      <c r="GE22" s="549"/>
      <c r="GF22" s="549"/>
      <c r="GG22" s="549"/>
      <c r="GH22" s="549"/>
      <c r="GI22" s="549"/>
      <c r="GJ22" s="549"/>
      <c r="GK22" s="549"/>
    </row>
    <row r="23" spans="1:193" s="365" customFormat="1" ht="5.25" customHeight="1">
      <c r="A23" s="363"/>
      <c r="B23" s="384"/>
      <c r="C23" s="190"/>
      <c r="BI23" s="398"/>
      <c r="DS23" s="386"/>
      <c r="DT23" s="378"/>
      <c r="DU23" s="378"/>
      <c r="DV23" s="387"/>
      <c r="DW23" s="387"/>
      <c r="DX23" s="387"/>
      <c r="DY23" s="387"/>
      <c r="DZ23" s="387"/>
      <c r="EA23" s="387"/>
      <c r="EB23" s="387"/>
      <c r="EC23" s="1140"/>
      <c r="ED23" s="1140"/>
      <c r="EE23" s="1140"/>
      <c r="EF23" s="549"/>
      <c r="EG23" s="1063"/>
      <c r="EH23" s="1063"/>
      <c r="EI23" s="1063"/>
      <c r="EJ23" s="1063"/>
      <c r="EK23" s="1063"/>
      <c r="EL23" s="1063"/>
      <c r="EM23" s="1063"/>
      <c r="EN23" s="1063"/>
      <c r="EO23" s="1063"/>
      <c r="EP23" s="1063"/>
      <c r="EQ23" s="1063"/>
      <c r="ER23" s="1063"/>
      <c r="ES23" s="1063"/>
      <c r="ET23" s="1063"/>
      <c r="EU23" s="1063"/>
      <c r="EV23" s="1063"/>
      <c r="EW23" s="1063"/>
      <c r="EX23" s="1063"/>
      <c r="EY23" s="1063"/>
      <c r="EZ23" s="1063"/>
      <c r="FA23" s="1063"/>
      <c r="FB23" s="1063"/>
      <c r="FC23" s="1063"/>
      <c r="FD23" s="1063"/>
      <c r="FE23" s="1063"/>
      <c r="FF23" s="1063"/>
      <c r="FG23" s="1063"/>
      <c r="FH23" s="1063"/>
      <c r="FI23" s="1063"/>
      <c r="FJ23" s="1063"/>
      <c r="FK23" s="1063"/>
      <c r="FL23" s="1064"/>
      <c r="FM23" s="1064"/>
      <c r="FN23" s="1064"/>
      <c r="FO23" s="1064"/>
      <c r="FP23" s="1064"/>
      <c r="FQ23" s="1064"/>
      <c r="FR23" s="1064"/>
      <c r="FS23" s="1064"/>
      <c r="FT23" s="1064"/>
      <c r="FU23" s="1064"/>
      <c r="FV23" s="1064"/>
      <c r="FW23" s="1064"/>
      <c r="FX23" s="1064"/>
      <c r="FY23" s="1064"/>
      <c r="FZ23" s="1064"/>
      <c r="GA23" s="1064"/>
      <c r="GB23" s="1064"/>
      <c r="GC23" s="1064"/>
      <c r="GD23" s="1064"/>
      <c r="GE23" s="1064"/>
      <c r="GF23" s="1064"/>
      <c r="GG23" s="1064"/>
      <c r="GH23" s="1064"/>
      <c r="GI23" s="1064"/>
      <c r="GJ23" s="1064"/>
      <c r="GK23" s="1064"/>
    </row>
    <row r="24" spans="1:193" s="365" customFormat="1" ht="30" customHeight="1">
      <c r="A24" s="363"/>
      <c r="B24" s="384"/>
      <c r="C24" s="390"/>
      <c r="D24" s="1105" t="str">
        <f ca="1">INDIRECT($J$4&amp;"!C27")</f>
        <v>Members</v>
      </c>
      <c r="E24" s="1105"/>
      <c r="F24" s="1105"/>
      <c r="G24" s="1105"/>
      <c r="H24" s="1105"/>
      <c r="I24" s="1105"/>
      <c r="J24" s="1105"/>
      <c r="K24" s="1105"/>
      <c r="L24" s="1105"/>
      <c r="M24" s="1105"/>
      <c r="N24" s="1105"/>
      <c r="O24" s="1105"/>
      <c r="P24" s="1105"/>
      <c r="Q24" s="1105"/>
      <c r="R24" s="1105"/>
      <c r="S24" s="1105"/>
      <c r="T24" s="1105"/>
      <c r="U24" s="1105"/>
      <c r="V24" s="1105"/>
      <c r="W24" s="1105"/>
      <c r="X24" s="1105"/>
      <c r="Y24" s="1105"/>
      <c r="Z24" s="1105"/>
      <c r="AA24" s="1105"/>
      <c r="AB24" s="1105"/>
      <c r="AC24" s="1105"/>
      <c r="AD24" s="1105"/>
      <c r="AE24" s="1105"/>
      <c r="AF24" s="1105"/>
      <c r="AG24" s="1105"/>
      <c r="AH24" s="1105"/>
      <c r="AI24" s="1105"/>
      <c r="AJ24" s="1105"/>
      <c r="AK24" s="1105"/>
      <c r="AL24" s="1105"/>
      <c r="AM24" s="1105"/>
      <c r="AN24" s="1105"/>
      <c r="AO24" s="1105"/>
      <c r="AP24" s="1105"/>
      <c r="AQ24" s="1105"/>
      <c r="AR24" s="1105"/>
      <c r="AS24" s="1105"/>
      <c r="AT24" s="1105"/>
      <c r="AU24" s="1105"/>
      <c r="AV24" s="1105"/>
      <c r="AW24" s="1105"/>
      <c r="AX24" s="1105"/>
      <c r="AY24" s="1105"/>
      <c r="AZ24" s="1105"/>
      <c r="BA24" s="1105"/>
      <c r="BB24" s="1105"/>
      <c r="BC24" s="1105"/>
      <c r="BD24" s="1105"/>
      <c r="BE24" s="1105"/>
      <c r="BF24" s="1105"/>
      <c r="BG24" s="1105"/>
      <c r="BH24" s="1105"/>
      <c r="BI24" s="1105"/>
      <c r="BJ24" s="1105"/>
      <c r="BK24" s="1105"/>
      <c r="BL24" s="1105"/>
      <c r="BM24" s="1105"/>
      <c r="BN24" s="1105"/>
      <c r="BO24" s="1105"/>
      <c r="BP24" s="1105"/>
      <c r="BQ24" s="1105"/>
      <c r="BR24" s="1105"/>
      <c r="BS24" s="1105"/>
      <c r="BT24" s="1105"/>
      <c r="BU24" s="1105"/>
      <c r="BV24" s="1105"/>
      <c r="BW24" s="1105"/>
      <c r="BX24" s="1105"/>
      <c r="BY24" s="1105"/>
      <c r="BZ24" s="1105"/>
      <c r="CA24" s="1105"/>
      <c r="CB24" s="1105"/>
      <c r="CC24" s="1105"/>
      <c r="CD24" s="1105"/>
      <c r="CE24" s="1105"/>
      <c r="CF24" s="1105"/>
      <c r="CG24" s="1105"/>
      <c r="CH24" s="1105"/>
      <c r="CI24" s="1105"/>
      <c r="CJ24" s="1105"/>
      <c r="CK24" s="1105"/>
      <c r="CL24" s="1105"/>
      <c r="CM24" s="1105"/>
      <c r="CN24" s="1105"/>
      <c r="CO24" s="1105"/>
      <c r="CP24" s="1105"/>
      <c r="CQ24" s="1105"/>
      <c r="CR24" s="1105"/>
      <c r="CS24" s="1105"/>
      <c r="CT24" s="1105"/>
      <c r="CU24" s="1105"/>
      <c r="CV24" s="1105"/>
      <c r="CW24" s="1105"/>
      <c r="CX24" s="1105"/>
      <c r="CY24" s="1105"/>
      <c r="CZ24" s="1105"/>
      <c r="DA24" s="1105"/>
      <c r="DB24" s="1105"/>
      <c r="DC24" s="1105"/>
      <c r="DD24" s="1105"/>
      <c r="DE24" s="1105"/>
      <c r="DF24" s="1105"/>
      <c r="DG24" s="1105"/>
      <c r="DH24" s="1105"/>
      <c r="DI24" s="1105"/>
      <c r="DJ24" s="1105"/>
      <c r="DK24" s="1105"/>
      <c r="DL24" s="1105"/>
      <c r="DM24" s="1105"/>
      <c r="DN24" s="1105"/>
      <c r="DO24" s="1105"/>
      <c r="DP24" s="1105"/>
      <c r="DQ24" s="408"/>
      <c r="DR24" s="408"/>
      <c r="DS24" s="386"/>
      <c r="DT24" s="378"/>
      <c r="DU24" s="378"/>
      <c r="DV24" s="387"/>
      <c r="DW24" s="387"/>
      <c r="DX24" s="387"/>
      <c r="DY24" s="387"/>
      <c r="DZ24" s="387"/>
      <c r="EA24" s="387"/>
      <c r="EB24" s="387"/>
      <c r="EC24" s="1140"/>
      <c r="ED24" s="1140"/>
      <c r="EE24" s="1140"/>
      <c r="EF24" s="549"/>
      <c r="EG24" s="1063"/>
      <c r="EH24" s="1063"/>
      <c r="EI24" s="1063"/>
      <c r="EJ24" s="1063"/>
      <c r="EK24" s="1063"/>
      <c r="EL24" s="1063"/>
      <c r="EM24" s="1063"/>
      <c r="EN24" s="1063"/>
      <c r="EO24" s="1063"/>
      <c r="EP24" s="1063"/>
      <c r="EQ24" s="1063"/>
      <c r="ER24" s="1063"/>
      <c r="ES24" s="1063"/>
      <c r="ET24" s="1063"/>
      <c r="EU24" s="1063"/>
      <c r="EV24" s="1063"/>
      <c r="EW24" s="1063"/>
      <c r="EX24" s="1063"/>
      <c r="EY24" s="1063"/>
      <c r="EZ24" s="1063"/>
      <c r="FA24" s="1063"/>
      <c r="FB24" s="1063"/>
      <c r="FC24" s="1063"/>
      <c r="FD24" s="1063"/>
      <c r="FE24" s="1063"/>
      <c r="FF24" s="1063"/>
      <c r="FG24" s="1063"/>
      <c r="FH24" s="1063"/>
      <c r="FI24" s="1063"/>
      <c r="FJ24" s="1063"/>
      <c r="FK24" s="1063"/>
      <c r="FL24" s="1064"/>
      <c r="FM24" s="1064"/>
      <c r="FN24" s="1064"/>
      <c r="FO24" s="1064"/>
      <c r="FP24" s="1064"/>
      <c r="FQ24" s="1064"/>
      <c r="FR24" s="1064"/>
      <c r="FS24" s="1064"/>
      <c r="FT24" s="1064"/>
      <c r="FU24" s="1064"/>
      <c r="FV24" s="1064"/>
      <c r="FW24" s="1064"/>
      <c r="FX24" s="1064"/>
      <c r="FY24" s="1064"/>
      <c r="FZ24" s="1064"/>
      <c r="GA24" s="1064"/>
      <c r="GB24" s="1064"/>
      <c r="GC24" s="1064"/>
      <c r="GD24" s="1064"/>
      <c r="GE24" s="1064"/>
      <c r="GF24" s="1064"/>
      <c r="GG24" s="1064"/>
      <c r="GH24" s="1064"/>
      <c r="GI24" s="1064"/>
      <c r="GJ24" s="1064"/>
      <c r="GK24" s="1064"/>
    </row>
    <row r="25" spans="1:193" s="365" customFormat="1" ht="5.25" customHeight="1">
      <c r="A25" s="363"/>
      <c r="B25" s="384"/>
      <c r="C25" s="190"/>
      <c r="D25" s="191"/>
      <c r="E25" s="191"/>
      <c r="F25" s="191"/>
      <c r="G25" s="191"/>
      <c r="H25" s="191"/>
      <c r="I25" s="191"/>
      <c r="J25" s="191"/>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0"/>
      <c r="AS25" s="190"/>
      <c r="AT25" s="398"/>
      <c r="AU25" s="398"/>
      <c r="AV25" s="398"/>
      <c r="AW25" s="398"/>
      <c r="AX25" s="398"/>
      <c r="AY25" s="398"/>
      <c r="AZ25" s="398"/>
      <c r="BA25" s="398"/>
      <c r="BB25" s="398"/>
      <c r="BC25" s="398"/>
      <c r="BD25" s="398"/>
      <c r="BE25" s="398"/>
      <c r="BF25" s="398"/>
      <c r="BG25" s="398"/>
      <c r="BH25" s="398"/>
      <c r="BI25" s="398"/>
      <c r="DS25" s="386"/>
      <c r="DT25" s="378"/>
      <c r="DU25" s="378"/>
      <c r="DV25" s="387"/>
      <c r="DW25" s="387"/>
      <c r="DX25" s="387"/>
      <c r="DY25" s="387"/>
      <c r="DZ25" s="387"/>
      <c r="EA25" s="387"/>
      <c r="EB25" s="387"/>
      <c r="EC25" s="1140"/>
      <c r="ED25" s="1140"/>
      <c r="EE25" s="1140"/>
      <c r="EF25" s="549"/>
      <c r="EG25" s="398"/>
      <c r="EH25" s="398"/>
      <c r="EI25" s="398"/>
      <c r="EJ25" s="398"/>
      <c r="EK25" s="398"/>
      <c r="EL25" s="398"/>
      <c r="EM25" s="398"/>
      <c r="EN25" s="398"/>
      <c r="EO25" s="398"/>
      <c r="EP25" s="398"/>
      <c r="EQ25" s="398"/>
      <c r="ER25" s="398"/>
      <c r="ES25" s="398"/>
      <c r="ET25" s="398"/>
      <c r="EU25" s="398"/>
      <c r="EV25" s="398"/>
      <c r="EW25" s="398"/>
      <c r="EX25" s="398"/>
      <c r="EY25" s="398"/>
      <c r="EZ25" s="398"/>
      <c r="FA25" s="398"/>
      <c r="FB25" s="398"/>
      <c r="FC25" s="398"/>
      <c r="FD25" s="398"/>
      <c r="FE25" s="398"/>
      <c r="FF25" s="398"/>
      <c r="FG25" s="398"/>
      <c r="FH25" s="398"/>
      <c r="FI25" s="398"/>
      <c r="FJ25" s="398"/>
      <c r="FK25" s="398"/>
      <c r="FL25" s="398"/>
      <c r="FM25" s="398"/>
      <c r="FN25" s="398"/>
      <c r="FO25" s="398"/>
      <c r="FP25" s="398"/>
      <c r="FQ25" s="398"/>
      <c r="FR25" s="398"/>
      <c r="FS25" s="398"/>
      <c r="FT25" s="398"/>
      <c r="FU25" s="398"/>
      <c r="FV25" s="398"/>
      <c r="FW25" s="398"/>
      <c r="FX25" s="398"/>
      <c r="FY25" s="398"/>
      <c r="FZ25" s="398"/>
      <c r="GA25" s="398"/>
      <c r="GB25" s="398"/>
      <c r="GC25" s="398"/>
      <c r="GD25" s="398"/>
      <c r="GE25" s="398"/>
      <c r="GF25" s="398"/>
      <c r="GG25" s="398"/>
      <c r="GH25" s="398"/>
      <c r="GI25" s="398"/>
      <c r="GJ25" s="398"/>
      <c r="GK25" s="398"/>
    </row>
    <row r="26" spans="1:193" s="365" customFormat="1" ht="35.25" customHeight="1">
      <c r="A26" s="363"/>
      <c r="B26" s="384"/>
      <c r="C26" s="405"/>
      <c r="D26" s="1057"/>
      <c r="E26" s="1058"/>
      <c r="F26" s="1058"/>
      <c r="G26" s="1058"/>
      <c r="H26" s="1058"/>
      <c r="I26" s="1058"/>
      <c r="J26" s="1058"/>
      <c r="K26" s="1058"/>
      <c r="L26" s="1058"/>
      <c r="M26" s="1058"/>
      <c r="N26" s="1058"/>
      <c r="O26" s="1058"/>
      <c r="P26" s="1058"/>
      <c r="Q26" s="1058"/>
      <c r="R26" s="1059"/>
      <c r="S26" s="1057"/>
      <c r="T26" s="1058"/>
      <c r="U26" s="1058"/>
      <c r="V26" s="1058"/>
      <c r="W26" s="1058"/>
      <c r="X26" s="1058"/>
      <c r="Y26" s="1058"/>
      <c r="Z26" s="1058"/>
      <c r="AA26" s="1058"/>
      <c r="AB26" s="1058"/>
      <c r="AC26" s="1058"/>
      <c r="AD26" s="1058"/>
      <c r="AE26" s="1058"/>
      <c r="AF26" s="1058"/>
      <c r="AG26" s="1058"/>
      <c r="AH26" s="1059"/>
      <c r="AI26" s="1060"/>
      <c r="AJ26" s="1061"/>
      <c r="AK26" s="1061"/>
      <c r="AL26" s="1061"/>
      <c r="AM26" s="1061"/>
      <c r="AN26" s="1061"/>
      <c r="AO26" s="1061"/>
      <c r="AP26" s="1061"/>
      <c r="AQ26" s="1061"/>
      <c r="AR26" s="1061"/>
      <c r="AS26" s="1061"/>
      <c r="AT26" s="1061"/>
      <c r="AU26" s="1061"/>
      <c r="AV26" s="1061"/>
      <c r="AW26" s="1061"/>
      <c r="AX26" s="1061"/>
      <c r="AY26" s="1061"/>
      <c r="AZ26" s="1061"/>
      <c r="BA26" s="1061"/>
      <c r="BB26" s="1061"/>
      <c r="BC26" s="1061"/>
      <c r="BD26" s="1061"/>
      <c r="BE26" s="1061"/>
      <c r="BF26" s="1061"/>
      <c r="BG26" s="1061"/>
      <c r="BH26" s="1062"/>
      <c r="BL26" s="1057"/>
      <c r="BM26" s="1058"/>
      <c r="BN26" s="1058"/>
      <c r="BO26" s="1058"/>
      <c r="BP26" s="1058"/>
      <c r="BQ26" s="1058"/>
      <c r="BR26" s="1058"/>
      <c r="BS26" s="1058"/>
      <c r="BT26" s="1058"/>
      <c r="BU26" s="1058"/>
      <c r="BV26" s="1058"/>
      <c r="BW26" s="1058"/>
      <c r="BX26" s="1058"/>
      <c r="BY26" s="1058"/>
      <c r="BZ26" s="1059"/>
      <c r="CA26" s="1057"/>
      <c r="CB26" s="1058"/>
      <c r="CC26" s="1058"/>
      <c r="CD26" s="1058"/>
      <c r="CE26" s="1058"/>
      <c r="CF26" s="1058"/>
      <c r="CG26" s="1058"/>
      <c r="CH26" s="1058"/>
      <c r="CI26" s="1058"/>
      <c r="CJ26" s="1058"/>
      <c r="CK26" s="1058"/>
      <c r="CL26" s="1058"/>
      <c r="CM26" s="1058"/>
      <c r="CN26" s="1058"/>
      <c r="CO26" s="1058"/>
      <c r="CP26" s="1059"/>
      <c r="CQ26" s="1139"/>
      <c r="CR26" s="1139"/>
      <c r="CS26" s="1139"/>
      <c r="CT26" s="1139"/>
      <c r="CU26" s="1139"/>
      <c r="CV26" s="1139"/>
      <c r="CW26" s="1139"/>
      <c r="CX26" s="1139"/>
      <c r="CY26" s="1139"/>
      <c r="CZ26" s="1139"/>
      <c r="DA26" s="1139"/>
      <c r="DB26" s="1139"/>
      <c r="DC26" s="1139"/>
      <c r="DD26" s="1139"/>
      <c r="DE26" s="1139"/>
      <c r="DF26" s="1139"/>
      <c r="DG26" s="1139"/>
      <c r="DH26" s="1139"/>
      <c r="DI26" s="1139"/>
      <c r="DJ26" s="1139"/>
      <c r="DK26" s="1139"/>
      <c r="DL26" s="1139"/>
      <c r="DM26" s="1139"/>
      <c r="DN26" s="1139"/>
      <c r="DO26" s="1139"/>
      <c r="DP26" s="1139"/>
      <c r="DQ26" s="1139"/>
      <c r="DR26" s="676"/>
      <c r="DS26" s="386"/>
      <c r="DT26" s="378"/>
      <c r="DU26" s="378"/>
      <c r="DV26" s="387"/>
      <c r="DW26" s="387"/>
      <c r="DX26" s="387"/>
      <c r="DY26" s="387"/>
      <c r="DZ26" s="387"/>
      <c r="EA26" s="387"/>
      <c r="EB26" s="387"/>
      <c r="EC26" s="1140"/>
      <c r="ED26" s="1140"/>
      <c r="EE26" s="1140"/>
      <c r="EF26" s="549"/>
      <c r="EG26" s="1063"/>
      <c r="EH26" s="1063"/>
      <c r="EI26" s="1063"/>
      <c r="EJ26" s="1063"/>
      <c r="EK26" s="1063"/>
      <c r="EL26" s="1063"/>
      <c r="EM26" s="1063"/>
      <c r="EN26" s="1063"/>
      <c r="EO26" s="1063"/>
      <c r="EP26" s="1063"/>
      <c r="EQ26" s="1063"/>
      <c r="ER26" s="1063"/>
      <c r="ES26" s="1063"/>
      <c r="ET26" s="1063"/>
      <c r="EU26" s="1063"/>
      <c r="EV26" s="1063"/>
      <c r="EW26" s="1063"/>
      <c r="EX26" s="1063"/>
      <c r="EY26" s="1063"/>
      <c r="EZ26" s="1063"/>
      <c r="FA26" s="1063"/>
      <c r="FB26" s="1063"/>
      <c r="FC26" s="1063"/>
      <c r="FD26" s="1063"/>
      <c r="FE26" s="1063"/>
      <c r="FF26" s="1063"/>
      <c r="FG26" s="1063"/>
      <c r="FH26" s="1063"/>
      <c r="FI26" s="1063"/>
      <c r="FJ26" s="1063"/>
      <c r="FK26" s="1063"/>
      <c r="FL26" s="1064"/>
      <c r="FM26" s="1064"/>
      <c r="FN26" s="1064"/>
      <c r="FO26" s="1064"/>
      <c r="FP26" s="1064"/>
      <c r="FQ26" s="1064"/>
      <c r="FR26" s="1064"/>
      <c r="FS26" s="1064"/>
      <c r="FT26" s="1064"/>
      <c r="FU26" s="1064"/>
      <c r="FV26" s="1064"/>
      <c r="FW26" s="1064"/>
      <c r="FX26" s="1064"/>
      <c r="FY26" s="1064"/>
      <c r="FZ26" s="1064"/>
      <c r="GA26" s="1064"/>
      <c r="GB26" s="1064"/>
      <c r="GC26" s="1064"/>
      <c r="GD26" s="1064"/>
      <c r="GE26" s="1064"/>
      <c r="GF26" s="1064"/>
      <c r="GG26" s="1064"/>
      <c r="GH26" s="1064"/>
      <c r="GI26" s="1064"/>
      <c r="GJ26" s="1064"/>
      <c r="GK26" s="1064"/>
    </row>
    <row r="27" spans="1:193" s="365" customFormat="1" ht="35.25" customHeight="1">
      <c r="A27" s="363"/>
      <c r="B27" s="384"/>
      <c r="C27" s="190"/>
      <c r="D27" s="1057"/>
      <c r="E27" s="1058"/>
      <c r="F27" s="1058"/>
      <c r="G27" s="1058"/>
      <c r="H27" s="1058"/>
      <c r="I27" s="1058"/>
      <c r="J27" s="1058"/>
      <c r="K27" s="1058"/>
      <c r="L27" s="1058"/>
      <c r="M27" s="1058"/>
      <c r="N27" s="1058"/>
      <c r="O27" s="1058"/>
      <c r="P27" s="1058"/>
      <c r="Q27" s="1058"/>
      <c r="R27" s="1059"/>
      <c r="S27" s="1057"/>
      <c r="T27" s="1058"/>
      <c r="U27" s="1058"/>
      <c r="V27" s="1058"/>
      <c r="W27" s="1058"/>
      <c r="X27" s="1058"/>
      <c r="Y27" s="1058"/>
      <c r="Z27" s="1058"/>
      <c r="AA27" s="1058"/>
      <c r="AB27" s="1058"/>
      <c r="AC27" s="1058"/>
      <c r="AD27" s="1058"/>
      <c r="AE27" s="1058"/>
      <c r="AF27" s="1058"/>
      <c r="AG27" s="1058"/>
      <c r="AH27" s="1059"/>
      <c r="AI27" s="1060"/>
      <c r="AJ27" s="1061"/>
      <c r="AK27" s="1061"/>
      <c r="AL27" s="1061"/>
      <c r="AM27" s="1061"/>
      <c r="AN27" s="1061"/>
      <c r="AO27" s="1061"/>
      <c r="AP27" s="1061"/>
      <c r="AQ27" s="1061"/>
      <c r="AR27" s="1061"/>
      <c r="AS27" s="1061"/>
      <c r="AT27" s="1061"/>
      <c r="AU27" s="1061"/>
      <c r="AV27" s="1061"/>
      <c r="AW27" s="1061"/>
      <c r="AX27" s="1061"/>
      <c r="AY27" s="1061"/>
      <c r="AZ27" s="1061"/>
      <c r="BA27" s="1061"/>
      <c r="BB27" s="1061"/>
      <c r="BC27" s="1061"/>
      <c r="BD27" s="1061"/>
      <c r="BE27" s="1061"/>
      <c r="BF27" s="1061"/>
      <c r="BG27" s="1061"/>
      <c r="BH27" s="1062"/>
      <c r="BI27" s="398"/>
      <c r="BL27" s="1057"/>
      <c r="BM27" s="1058"/>
      <c r="BN27" s="1058"/>
      <c r="BO27" s="1058"/>
      <c r="BP27" s="1058"/>
      <c r="BQ27" s="1058"/>
      <c r="BR27" s="1058"/>
      <c r="BS27" s="1058"/>
      <c r="BT27" s="1058"/>
      <c r="BU27" s="1058"/>
      <c r="BV27" s="1058"/>
      <c r="BW27" s="1058"/>
      <c r="BX27" s="1058"/>
      <c r="BY27" s="1058"/>
      <c r="BZ27" s="1059"/>
      <c r="CA27" s="1057"/>
      <c r="CB27" s="1058"/>
      <c r="CC27" s="1058"/>
      <c r="CD27" s="1058"/>
      <c r="CE27" s="1058"/>
      <c r="CF27" s="1058"/>
      <c r="CG27" s="1058"/>
      <c r="CH27" s="1058"/>
      <c r="CI27" s="1058"/>
      <c r="CJ27" s="1058"/>
      <c r="CK27" s="1058"/>
      <c r="CL27" s="1058"/>
      <c r="CM27" s="1058"/>
      <c r="CN27" s="1058"/>
      <c r="CO27" s="1058"/>
      <c r="CP27" s="1059"/>
      <c r="CQ27" s="1139"/>
      <c r="CR27" s="1139"/>
      <c r="CS27" s="1139"/>
      <c r="CT27" s="1139"/>
      <c r="CU27" s="1139"/>
      <c r="CV27" s="1139"/>
      <c r="CW27" s="1139"/>
      <c r="CX27" s="1139"/>
      <c r="CY27" s="1139"/>
      <c r="CZ27" s="1139"/>
      <c r="DA27" s="1139"/>
      <c r="DB27" s="1139"/>
      <c r="DC27" s="1139"/>
      <c r="DD27" s="1139"/>
      <c r="DE27" s="1139"/>
      <c r="DF27" s="1139"/>
      <c r="DG27" s="1139"/>
      <c r="DH27" s="1139"/>
      <c r="DI27" s="1139"/>
      <c r="DJ27" s="1139"/>
      <c r="DK27" s="1139"/>
      <c r="DL27" s="1139"/>
      <c r="DM27" s="1139"/>
      <c r="DN27" s="1139"/>
      <c r="DO27" s="1139"/>
      <c r="DP27" s="1139"/>
      <c r="DQ27" s="1139"/>
      <c r="DS27" s="386"/>
      <c r="DT27" s="378"/>
      <c r="DU27" s="378"/>
      <c r="DV27" s="387"/>
      <c r="DW27" s="387"/>
      <c r="DX27" s="387"/>
      <c r="DY27" s="387"/>
      <c r="DZ27" s="387"/>
      <c r="EA27" s="387"/>
      <c r="EB27" s="387"/>
      <c r="EC27" s="1140"/>
      <c r="ED27" s="1140"/>
      <c r="EE27" s="1140"/>
      <c r="EF27" s="549"/>
      <c r="EG27" s="674"/>
      <c r="EH27" s="674"/>
      <c r="EI27" s="674"/>
      <c r="EJ27" s="674"/>
      <c r="EK27" s="674"/>
      <c r="EL27" s="674"/>
      <c r="EM27" s="674"/>
      <c r="EN27" s="674"/>
      <c r="EO27" s="674"/>
      <c r="EP27" s="674"/>
      <c r="EQ27" s="674"/>
      <c r="ER27" s="674"/>
      <c r="ES27" s="674"/>
      <c r="ET27" s="674"/>
      <c r="EU27" s="674"/>
      <c r="EV27" s="674"/>
      <c r="EW27" s="674"/>
      <c r="EX27" s="674"/>
      <c r="EY27" s="674"/>
      <c r="EZ27" s="674"/>
      <c r="FA27" s="674"/>
      <c r="FB27" s="674"/>
      <c r="FC27" s="674"/>
      <c r="FD27" s="674"/>
      <c r="FE27" s="674"/>
      <c r="FF27" s="674"/>
      <c r="FG27" s="674"/>
      <c r="FH27" s="674"/>
      <c r="FI27" s="674"/>
      <c r="FJ27" s="674"/>
      <c r="FK27" s="674"/>
      <c r="FL27" s="675"/>
      <c r="FM27" s="675"/>
      <c r="FN27" s="675"/>
      <c r="FO27" s="675"/>
      <c r="FP27" s="675"/>
      <c r="FQ27" s="675"/>
      <c r="FR27" s="675"/>
      <c r="FS27" s="675"/>
      <c r="FT27" s="675"/>
      <c r="FU27" s="675"/>
      <c r="FV27" s="675"/>
      <c r="FW27" s="675"/>
      <c r="FX27" s="675"/>
      <c r="FY27" s="675"/>
      <c r="FZ27" s="675"/>
      <c r="GA27" s="675"/>
      <c r="GB27" s="675"/>
      <c r="GC27" s="675"/>
      <c r="GD27" s="675"/>
      <c r="GE27" s="675"/>
      <c r="GF27" s="675"/>
      <c r="GG27" s="675"/>
      <c r="GH27" s="675"/>
      <c r="GI27" s="675"/>
      <c r="GJ27" s="675"/>
      <c r="GK27" s="675"/>
    </row>
    <row r="28" spans="1:193" s="365" customFormat="1" ht="35.25" customHeight="1">
      <c r="A28" s="363"/>
      <c r="B28" s="384"/>
      <c r="C28" s="190"/>
      <c r="D28" s="1057"/>
      <c r="E28" s="1058"/>
      <c r="F28" s="1058"/>
      <c r="G28" s="1058"/>
      <c r="H28" s="1058"/>
      <c r="I28" s="1058"/>
      <c r="J28" s="1058"/>
      <c r="K28" s="1058"/>
      <c r="L28" s="1058"/>
      <c r="M28" s="1058"/>
      <c r="N28" s="1058"/>
      <c r="O28" s="1058"/>
      <c r="P28" s="1058"/>
      <c r="Q28" s="1058"/>
      <c r="R28" s="1059"/>
      <c r="S28" s="1057"/>
      <c r="T28" s="1058"/>
      <c r="U28" s="1058"/>
      <c r="V28" s="1058"/>
      <c r="W28" s="1058"/>
      <c r="X28" s="1058"/>
      <c r="Y28" s="1058"/>
      <c r="Z28" s="1058"/>
      <c r="AA28" s="1058"/>
      <c r="AB28" s="1058"/>
      <c r="AC28" s="1058"/>
      <c r="AD28" s="1058"/>
      <c r="AE28" s="1058"/>
      <c r="AF28" s="1058"/>
      <c r="AG28" s="1058"/>
      <c r="AH28" s="1059"/>
      <c r="AI28" s="1060"/>
      <c r="AJ28" s="1061"/>
      <c r="AK28" s="1061"/>
      <c r="AL28" s="1061"/>
      <c r="AM28" s="1061"/>
      <c r="AN28" s="1061"/>
      <c r="AO28" s="1061"/>
      <c r="AP28" s="1061"/>
      <c r="AQ28" s="1061"/>
      <c r="AR28" s="1061"/>
      <c r="AS28" s="1061"/>
      <c r="AT28" s="1061"/>
      <c r="AU28" s="1061"/>
      <c r="AV28" s="1061"/>
      <c r="AW28" s="1061"/>
      <c r="AX28" s="1061"/>
      <c r="AY28" s="1061"/>
      <c r="AZ28" s="1061"/>
      <c r="BA28" s="1061"/>
      <c r="BB28" s="1061"/>
      <c r="BC28" s="1061"/>
      <c r="BD28" s="1061"/>
      <c r="BE28" s="1061"/>
      <c r="BF28" s="1061"/>
      <c r="BG28" s="1061"/>
      <c r="BH28" s="1062"/>
      <c r="BI28" s="398"/>
      <c r="BL28" s="1057"/>
      <c r="BM28" s="1058"/>
      <c r="BN28" s="1058"/>
      <c r="BO28" s="1058"/>
      <c r="BP28" s="1058"/>
      <c r="BQ28" s="1058"/>
      <c r="BR28" s="1058"/>
      <c r="BS28" s="1058"/>
      <c r="BT28" s="1058"/>
      <c r="BU28" s="1058"/>
      <c r="BV28" s="1058"/>
      <c r="BW28" s="1058"/>
      <c r="BX28" s="1058"/>
      <c r="BY28" s="1058"/>
      <c r="BZ28" s="1059"/>
      <c r="CA28" s="1057"/>
      <c r="CB28" s="1058"/>
      <c r="CC28" s="1058"/>
      <c r="CD28" s="1058"/>
      <c r="CE28" s="1058"/>
      <c r="CF28" s="1058"/>
      <c r="CG28" s="1058"/>
      <c r="CH28" s="1058"/>
      <c r="CI28" s="1058"/>
      <c r="CJ28" s="1058"/>
      <c r="CK28" s="1058"/>
      <c r="CL28" s="1058"/>
      <c r="CM28" s="1058"/>
      <c r="CN28" s="1058"/>
      <c r="CO28" s="1058"/>
      <c r="CP28" s="1059"/>
      <c r="CQ28" s="1139"/>
      <c r="CR28" s="1139"/>
      <c r="CS28" s="1139"/>
      <c r="CT28" s="1139"/>
      <c r="CU28" s="1139"/>
      <c r="CV28" s="1139"/>
      <c r="CW28" s="1139"/>
      <c r="CX28" s="1139"/>
      <c r="CY28" s="1139"/>
      <c r="CZ28" s="1139"/>
      <c r="DA28" s="1139"/>
      <c r="DB28" s="1139"/>
      <c r="DC28" s="1139"/>
      <c r="DD28" s="1139"/>
      <c r="DE28" s="1139"/>
      <c r="DF28" s="1139"/>
      <c r="DG28" s="1139"/>
      <c r="DH28" s="1139"/>
      <c r="DI28" s="1139"/>
      <c r="DJ28" s="1139"/>
      <c r="DK28" s="1139"/>
      <c r="DL28" s="1139"/>
      <c r="DM28" s="1139"/>
      <c r="DN28" s="1139"/>
      <c r="DO28" s="1139"/>
      <c r="DP28" s="1139"/>
      <c r="DQ28" s="1139"/>
      <c r="DS28" s="386"/>
      <c r="DT28" s="378"/>
      <c r="DU28" s="378"/>
      <c r="DV28" s="387"/>
      <c r="DW28" s="387"/>
      <c r="DX28" s="387"/>
      <c r="DY28" s="387"/>
      <c r="DZ28" s="387"/>
      <c r="EA28" s="387"/>
      <c r="EB28" s="387"/>
      <c r="EC28" s="1140"/>
      <c r="ED28" s="1140"/>
      <c r="EE28" s="1140"/>
      <c r="EF28" s="549"/>
      <c r="EG28" s="674"/>
      <c r="EH28" s="674"/>
      <c r="EI28" s="674"/>
      <c r="EJ28" s="674"/>
      <c r="EK28" s="674"/>
      <c r="EL28" s="674"/>
      <c r="EM28" s="674"/>
      <c r="EN28" s="674"/>
      <c r="EO28" s="674"/>
      <c r="EP28" s="674"/>
      <c r="EQ28" s="674"/>
      <c r="ER28" s="674"/>
      <c r="ES28" s="674"/>
      <c r="ET28" s="674"/>
      <c r="EU28" s="674"/>
      <c r="EV28" s="674"/>
      <c r="EW28" s="674"/>
      <c r="EX28" s="674"/>
      <c r="EY28" s="674"/>
      <c r="EZ28" s="674"/>
      <c r="FA28" s="674"/>
      <c r="FB28" s="674"/>
      <c r="FC28" s="674"/>
      <c r="FD28" s="674"/>
      <c r="FE28" s="674"/>
      <c r="FF28" s="674"/>
      <c r="FG28" s="674"/>
      <c r="FH28" s="674"/>
      <c r="FI28" s="674"/>
      <c r="FJ28" s="674"/>
      <c r="FK28" s="674"/>
      <c r="FL28" s="675"/>
      <c r="FM28" s="675"/>
      <c r="FN28" s="675"/>
      <c r="FO28" s="675"/>
      <c r="FP28" s="675"/>
      <c r="FQ28" s="675"/>
      <c r="FR28" s="675"/>
      <c r="FS28" s="675"/>
      <c r="FT28" s="675"/>
      <c r="FU28" s="675"/>
      <c r="FV28" s="675"/>
      <c r="FW28" s="675"/>
      <c r="FX28" s="675"/>
      <c r="FY28" s="675"/>
      <c r="FZ28" s="675"/>
      <c r="GA28" s="675"/>
      <c r="GB28" s="675"/>
      <c r="GC28" s="675"/>
      <c r="GD28" s="675"/>
      <c r="GE28" s="675"/>
      <c r="GF28" s="675"/>
      <c r="GG28" s="675"/>
      <c r="GH28" s="675"/>
      <c r="GI28" s="675"/>
      <c r="GJ28" s="675"/>
      <c r="GK28" s="675"/>
    </row>
    <row r="29" spans="1:193" s="365" customFormat="1" ht="35.25" customHeight="1">
      <c r="A29" s="363"/>
      <c r="B29" s="384"/>
      <c r="C29" s="190"/>
      <c r="D29" s="1057"/>
      <c r="E29" s="1058"/>
      <c r="F29" s="1058"/>
      <c r="G29" s="1058"/>
      <c r="H29" s="1058"/>
      <c r="I29" s="1058"/>
      <c r="J29" s="1058"/>
      <c r="K29" s="1058"/>
      <c r="L29" s="1058"/>
      <c r="M29" s="1058"/>
      <c r="N29" s="1058"/>
      <c r="O29" s="1058"/>
      <c r="P29" s="1058"/>
      <c r="Q29" s="1058"/>
      <c r="R29" s="1059"/>
      <c r="S29" s="1057"/>
      <c r="T29" s="1058"/>
      <c r="U29" s="1058"/>
      <c r="V29" s="1058"/>
      <c r="W29" s="1058"/>
      <c r="X29" s="1058"/>
      <c r="Y29" s="1058"/>
      <c r="Z29" s="1058"/>
      <c r="AA29" s="1058"/>
      <c r="AB29" s="1058"/>
      <c r="AC29" s="1058"/>
      <c r="AD29" s="1058"/>
      <c r="AE29" s="1058"/>
      <c r="AF29" s="1058"/>
      <c r="AG29" s="1058"/>
      <c r="AH29" s="1059"/>
      <c r="AI29" s="1060"/>
      <c r="AJ29" s="1061"/>
      <c r="AK29" s="1061"/>
      <c r="AL29" s="1061"/>
      <c r="AM29" s="1061"/>
      <c r="AN29" s="1061"/>
      <c r="AO29" s="1061"/>
      <c r="AP29" s="1061"/>
      <c r="AQ29" s="1061"/>
      <c r="AR29" s="1061"/>
      <c r="AS29" s="1061"/>
      <c r="AT29" s="1061"/>
      <c r="AU29" s="1061"/>
      <c r="AV29" s="1061"/>
      <c r="AW29" s="1061"/>
      <c r="AX29" s="1061"/>
      <c r="AY29" s="1061"/>
      <c r="AZ29" s="1061"/>
      <c r="BA29" s="1061"/>
      <c r="BB29" s="1061"/>
      <c r="BC29" s="1061"/>
      <c r="BD29" s="1061"/>
      <c r="BE29" s="1061"/>
      <c r="BF29" s="1061"/>
      <c r="BG29" s="1061"/>
      <c r="BH29" s="1062"/>
      <c r="BI29" s="398"/>
      <c r="BL29" s="1057"/>
      <c r="BM29" s="1058"/>
      <c r="BN29" s="1058"/>
      <c r="BO29" s="1058"/>
      <c r="BP29" s="1058"/>
      <c r="BQ29" s="1058"/>
      <c r="BR29" s="1058"/>
      <c r="BS29" s="1058"/>
      <c r="BT29" s="1058"/>
      <c r="BU29" s="1058"/>
      <c r="BV29" s="1058"/>
      <c r="BW29" s="1058"/>
      <c r="BX29" s="1058"/>
      <c r="BY29" s="1058"/>
      <c r="BZ29" s="1059"/>
      <c r="CA29" s="1057"/>
      <c r="CB29" s="1058"/>
      <c r="CC29" s="1058"/>
      <c r="CD29" s="1058"/>
      <c r="CE29" s="1058"/>
      <c r="CF29" s="1058"/>
      <c r="CG29" s="1058"/>
      <c r="CH29" s="1058"/>
      <c r="CI29" s="1058"/>
      <c r="CJ29" s="1058"/>
      <c r="CK29" s="1058"/>
      <c r="CL29" s="1058"/>
      <c r="CM29" s="1058"/>
      <c r="CN29" s="1058"/>
      <c r="CO29" s="1058"/>
      <c r="CP29" s="1059"/>
      <c r="CQ29" s="1139"/>
      <c r="CR29" s="1139"/>
      <c r="CS29" s="1139"/>
      <c r="CT29" s="1139"/>
      <c r="CU29" s="1139"/>
      <c r="CV29" s="1139"/>
      <c r="CW29" s="1139"/>
      <c r="CX29" s="1139"/>
      <c r="CY29" s="1139"/>
      <c r="CZ29" s="1139"/>
      <c r="DA29" s="1139"/>
      <c r="DB29" s="1139"/>
      <c r="DC29" s="1139"/>
      <c r="DD29" s="1139"/>
      <c r="DE29" s="1139"/>
      <c r="DF29" s="1139"/>
      <c r="DG29" s="1139"/>
      <c r="DH29" s="1139"/>
      <c r="DI29" s="1139"/>
      <c r="DJ29" s="1139"/>
      <c r="DK29" s="1139"/>
      <c r="DL29" s="1139"/>
      <c r="DM29" s="1139"/>
      <c r="DN29" s="1139"/>
      <c r="DO29" s="1139"/>
      <c r="DP29" s="1139"/>
      <c r="DQ29" s="1139"/>
      <c r="DS29" s="386"/>
      <c r="DT29" s="378"/>
      <c r="DU29" s="378"/>
      <c r="DV29" s="387"/>
      <c r="DW29" s="387"/>
      <c r="DX29" s="387"/>
      <c r="DY29" s="387"/>
      <c r="DZ29" s="387"/>
      <c r="EA29" s="387"/>
      <c r="EB29" s="387"/>
      <c r="EC29" s="1140"/>
      <c r="ED29" s="1140"/>
      <c r="EE29" s="1140"/>
      <c r="EF29" s="549"/>
      <c r="EG29" s="398"/>
      <c r="EH29" s="398"/>
      <c r="EI29" s="398"/>
      <c r="EJ29" s="398"/>
      <c r="EK29" s="398"/>
      <c r="EL29" s="398"/>
      <c r="EM29" s="398"/>
      <c r="EN29" s="398"/>
      <c r="EO29" s="398"/>
      <c r="EP29" s="398"/>
      <c r="EQ29" s="398"/>
      <c r="ER29" s="398"/>
      <c r="ES29" s="398"/>
      <c r="ET29" s="398"/>
      <c r="EU29" s="398"/>
      <c r="EV29" s="398"/>
      <c r="EW29" s="398"/>
      <c r="EX29" s="398"/>
      <c r="EY29" s="398"/>
      <c r="EZ29" s="398"/>
      <c r="FA29" s="398"/>
      <c r="FB29" s="398"/>
      <c r="FC29" s="398"/>
      <c r="FD29" s="398"/>
      <c r="FE29" s="398"/>
      <c r="FF29" s="398"/>
      <c r="FG29" s="398"/>
      <c r="FH29" s="398"/>
      <c r="FI29" s="398"/>
      <c r="FJ29" s="398"/>
      <c r="FK29" s="398"/>
      <c r="FL29" s="398"/>
      <c r="FM29" s="398"/>
      <c r="FN29" s="398"/>
      <c r="FO29" s="398"/>
      <c r="FP29" s="398"/>
      <c r="FQ29" s="398"/>
      <c r="FR29" s="398"/>
      <c r="FS29" s="398"/>
      <c r="FT29" s="398"/>
      <c r="FU29" s="398"/>
      <c r="FV29" s="398"/>
      <c r="FW29" s="398"/>
      <c r="FX29" s="398"/>
      <c r="FY29" s="398"/>
      <c r="FZ29" s="398"/>
      <c r="GA29" s="398"/>
      <c r="GB29" s="398"/>
      <c r="GC29" s="398"/>
      <c r="GD29" s="398"/>
      <c r="GE29" s="398"/>
      <c r="GF29" s="398"/>
      <c r="GG29" s="398"/>
      <c r="GH29" s="398"/>
      <c r="GI29" s="398"/>
      <c r="GJ29" s="398"/>
      <c r="GK29" s="398"/>
    </row>
    <row r="30" spans="1:193" s="365" customFormat="1" ht="35.25" customHeight="1">
      <c r="A30" s="363"/>
      <c r="B30" s="384"/>
      <c r="C30" s="190"/>
      <c r="D30" s="1057"/>
      <c r="E30" s="1058"/>
      <c r="F30" s="1058"/>
      <c r="G30" s="1058"/>
      <c r="H30" s="1058"/>
      <c r="I30" s="1058"/>
      <c r="J30" s="1058"/>
      <c r="K30" s="1058"/>
      <c r="L30" s="1058"/>
      <c r="M30" s="1058"/>
      <c r="N30" s="1058"/>
      <c r="O30" s="1058"/>
      <c r="P30" s="1058"/>
      <c r="Q30" s="1058"/>
      <c r="R30" s="1059"/>
      <c r="S30" s="1057"/>
      <c r="T30" s="1058"/>
      <c r="U30" s="1058"/>
      <c r="V30" s="1058"/>
      <c r="W30" s="1058"/>
      <c r="X30" s="1058"/>
      <c r="Y30" s="1058"/>
      <c r="Z30" s="1058"/>
      <c r="AA30" s="1058"/>
      <c r="AB30" s="1058"/>
      <c r="AC30" s="1058"/>
      <c r="AD30" s="1058"/>
      <c r="AE30" s="1058"/>
      <c r="AF30" s="1058"/>
      <c r="AG30" s="1058"/>
      <c r="AH30" s="1059"/>
      <c r="AI30" s="1060"/>
      <c r="AJ30" s="1061"/>
      <c r="AK30" s="1061"/>
      <c r="AL30" s="1061"/>
      <c r="AM30" s="1061"/>
      <c r="AN30" s="1061"/>
      <c r="AO30" s="1061"/>
      <c r="AP30" s="1061"/>
      <c r="AQ30" s="1061"/>
      <c r="AR30" s="1061"/>
      <c r="AS30" s="1061"/>
      <c r="AT30" s="1061"/>
      <c r="AU30" s="1061"/>
      <c r="AV30" s="1061"/>
      <c r="AW30" s="1061"/>
      <c r="AX30" s="1061"/>
      <c r="AY30" s="1061"/>
      <c r="AZ30" s="1061"/>
      <c r="BA30" s="1061"/>
      <c r="BB30" s="1061"/>
      <c r="BC30" s="1061"/>
      <c r="BD30" s="1061"/>
      <c r="BE30" s="1061"/>
      <c r="BF30" s="1061"/>
      <c r="BG30" s="1061"/>
      <c r="BH30" s="1062"/>
      <c r="BI30" s="398"/>
      <c r="BL30" s="1057"/>
      <c r="BM30" s="1058"/>
      <c r="BN30" s="1058"/>
      <c r="BO30" s="1058"/>
      <c r="BP30" s="1058"/>
      <c r="BQ30" s="1058"/>
      <c r="BR30" s="1058"/>
      <c r="BS30" s="1058"/>
      <c r="BT30" s="1058"/>
      <c r="BU30" s="1058"/>
      <c r="BV30" s="1058"/>
      <c r="BW30" s="1058"/>
      <c r="BX30" s="1058"/>
      <c r="BY30" s="1058"/>
      <c r="BZ30" s="1059"/>
      <c r="CA30" s="1057"/>
      <c r="CB30" s="1058"/>
      <c r="CC30" s="1058"/>
      <c r="CD30" s="1058"/>
      <c r="CE30" s="1058"/>
      <c r="CF30" s="1058"/>
      <c r="CG30" s="1058"/>
      <c r="CH30" s="1058"/>
      <c r="CI30" s="1058"/>
      <c r="CJ30" s="1058"/>
      <c r="CK30" s="1058"/>
      <c r="CL30" s="1058"/>
      <c r="CM30" s="1058"/>
      <c r="CN30" s="1058"/>
      <c r="CO30" s="1058"/>
      <c r="CP30" s="1059"/>
      <c r="CQ30" s="1139"/>
      <c r="CR30" s="1139"/>
      <c r="CS30" s="1139"/>
      <c r="CT30" s="1139"/>
      <c r="CU30" s="1139"/>
      <c r="CV30" s="1139"/>
      <c r="CW30" s="1139"/>
      <c r="CX30" s="1139"/>
      <c r="CY30" s="1139"/>
      <c r="CZ30" s="1139"/>
      <c r="DA30" s="1139"/>
      <c r="DB30" s="1139"/>
      <c r="DC30" s="1139"/>
      <c r="DD30" s="1139"/>
      <c r="DE30" s="1139"/>
      <c r="DF30" s="1139"/>
      <c r="DG30" s="1139"/>
      <c r="DH30" s="1139"/>
      <c r="DI30" s="1139"/>
      <c r="DJ30" s="1139"/>
      <c r="DK30" s="1139"/>
      <c r="DL30" s="1139"/>
      <c r="DM30" s="1139"/>
      <c r="DN30" s="1139"/>
      <c r="DO30" s="1139"/>
      <c r="DP30" s="1139"/>
      <c r="DQ30" s="1139"/>
      <c r="DS30" s="386"/>
      <c r="DT30" s="378"/>
      <c r="DU30" s="378"/>
      <c r="DV30" s="387"/>
      <c r="DW30" s="387"/>
      <c r="DX30" s="387"/>
      <c r="DY30" s="387"/>
      <c r="DZ30" s="387"/>
      <c r="EA30" s="387"/>
      <c r="EB30" s="387"/>
      <c r="EC30" s="1140"/>
      <c r="ED30" s="1140"/>
      <c r="EE30" s="1140"/>
      <c r="EF30" s="549"/>
      <c r="EG30" s="398"/>
      <c r="EH30" s="398"/>
      <c r="EI30" s="398"/>
      <c r="EJ30" s="398"/>
      <c r="EK30" s="398"/>
      <c r="EL30" s="398"/>
      <c r="EM30" s="398"/>
      <c r="EN30" s="398"/>
      <c r="EO30" s="398"/>
      <c r="EP30" s="398"/>
      <c r="EQ30" s="398"/>
      <c r="ER30" s="398"/>
      <c r="ES30" s="398"/>
      <c r="ET30" s="398"/>
      <c r="EU30" s="398"/>
      <c r="EV30" s="398"/>
      <c r="EW30" s="398"/>
      <c r="EX30" s="398"/>
      <c r="EY30" s="398"/>
      <c r="EZ30" s="398"/>
      <c r="FA30" s="398"/>
      <c r="FB30" s="398"/>
      <c r="FC30" s="398"/>
      <c r="FD30" s="398"/>
      <c r="FE30" s="398"/>
      <c r="FF30" s="398"/>
      <c r="FG30" s="398"/>
      <c r="FH30" s="398"/>
      <c r="FI30" s="398"/>
      <c r="FJ30" s="398"/>
      <c r="FK30" s="398"/>
      <c r="FL30" s="398"/>
      <c r="FM30" s="398"/>
      <c r="FN30" s="398"/>
      <c r="FO30" s="398"/>
      <c r="FP30" s="398"/>
      <c r="FQ30" s="398"/>
      <c r="FR30" s="398"/>
      <c r="FS30" s="398"/>
      <c r="FT30" s="398"/>
      <c r="FU30" s="398"/>
      <c r="FV30" s="398"/>
      <c r="FW30" s="398"/>
      <c r="FX30" s="398"/>
      <c r="FY30" s="398"/>
      <c r="FZ30" s="398"/>
      <c r="GA30" s="398"/>
      <c r="GB30" s="398"/>
      <c r="GC30" s="398"/>
      <c r="GD30" s="398"/>
      <c r="GE30" s="398"/>
      <c r="GF30" s="398"/>
      <c r="GG30" s="398"/>
      <c r="GH30" s="398"/>
      <c r="GI30" s="398"/>
      <c r="GJ30" s="398"/>
      <c r="GK30" s="398"/>
    </row>
    <row r="31" spans="1:193" s="365" customFormat="1" ht="5.25" customHeight="1">
      <c r="A31" s="363"/>
      <c r="B31" s="384"/>
      <c r="C31" s="190"/>
      <c r="BI31" s="398"/>
      <c r="DS31" s="386"/>
      <c r="DT31" s="378"/>
      <c r="DU31" s="378"/>
      <c r="DV31" s="387"/>
      <c r="DW31" s="387"/>
      <c r="DX31" s="387"/>
      <c r="DY31" s="387"/>
      <c r="DZ31" s="387"/>
      <c r="EA31" s="387"/>
      <c r="EB31" s="387"/>
      <c r="EC31" s="1140"/>
      <c r="ED31" s="1140"/>
      <c r="EE31" s="1140"/>
      <c r="EF31" s="549"/>
      <c r="EG31" s="1063"/>
      <c r="EH31" s="1063"/>
      <c r="EI31" s="1063"/>
      <c r="EJ31" s="1063"/>
      <c r="EK31" s="1063"/>
      <c r="EL31" s="1063"/>
      <c r="EM31" s="1063"/>
      <c r="EN31" s="1063"/>
      <c r="EO31" s="1063"/>
      <c r="EP31" s="1063"/>
      <c r="EQ31" s="1063"/>
      <c r="ER31" s="1063"/>
      <c r="ES31" s="1063"/>
      <c r="ET31" s="1063"/>
      <c r="EU31" s="1063"/>
      <c r="EV31" s="1063"/>
      <c r="EW31" s="1063"/>
      <c r="EX31" s="1063"/>
      <c r="EY31" s="1063"/>
      <c r="EZ31" s="1063"/>
      <c r="FA31" s="1063"/>
      <c r="FB31" s="1063"/>
      <c r="FC31" s="1063"/>
      <c r="FD31" s="1063"/>
      <c r="FE31" s="1063"/>
      <c r="FF31" s="1063"/>
      <c r="FG31" s="1063"/>
      <c r="FH31" s="1063"/>
      <c r="FI31" s="1063"/>
      <c r="FJ31" s="1063"/>
      <c r="FK31" s="1063"/>
      <c r="FL31" s="1064"/>
      <c r="FM31" s="1064"/>
      <c r="FN31" s="1064"/>
      <c r="FO31" s="1064"/>
      <c r="FP31" s="1064"/>
      <c r="FQ31" s="1064"/>
      <c r="FR31" s="1064"/>
      <c r="FS31" s="1064"/>
      <c r="FT31" s="1064"/>
      <c r="FU31" s="1064"/>
      <c r="FV31" s="1064"/>
      <c r="FW31" s="1064"/>
      <c r="FX31" s="1064"/>
      <c r="FY31" s="1064"/>
      <c r="FZ31" s="1064"/>
      <c r="GA31" s="1064"/>
      <c r="GB31" s="1064"/>
      <c r="GC31" s="1064"/>
      <c r="GD31" s="1064"/>
      <c r="GE31" s="1064"/>
      <c r="GF31" s="1064"/>
      <c r="GG31" s="1064"/>
      <c r="GH31" s="1064"/>
      <c r="GI31" s="1064"/>
      <c r="GJ31" s="1064"/>
      <c r="GK31" s="1064"/>
    </row>
    <row r="32" spans="1:193" ht="5.25" customHeight="1" thickBot="1">
      <c r="B32" s="60"/>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2"/>
      <c r="DT32" s="37"/>
      <c r="DU32" s="37"/>
      <c r="DV32" s="51"/>
      <c r="DW32" s="51"/>
      <c r="DX32" s="51"/>
      <c r="DY32" s="51"/>
      <c r="DZ32" s="51"/>
      <c r="EA32" s="51"/>
      <c r="EB32" s="51"/>
      <c r="EC32" s="51"/>
      <c r="ED32" s="51"/>
      <c r="EE32" s="51"/>
      <c r="EF32" s="51"/>
      <c r="EG32" s="51"/>
      <c r="EH32" s="59"/>
    </row>
    <row r="33" spans="1:188" ht="11.25" customHeight="1">
      <c r="B33" s="1107" t="str">
        <f ca="1">INDIRECT($J$4&amp;"!C28")</f>
        <v>D2 - Problem description</v>
      </c>
      <c r="C33" s="1108"/>
      <c r="D33" s="1108"/>
      <c r="E33" s="1108"/>
      <c r="F33" s="1108"/>
      <c r="G33" s="1108"/>
      <c r="H33" s="1108"/>
      <c r="I33" s="1108"/>
      <c r="J33" s="1108"/>
      <c r="K33" s="1108"/>
      <c r="L33" s="1108"/>
      <c r="M33" s="1108"/>
      <c r="N33" s="1108"/>
      <c r="O33" s="1108"/>
      <c r="P33" s="1108"/>
      <c r="Q33" s="1108"/>
      <c r="R33" s="1108"/>
      <c r="S33" s="1108"/>
      <c r="T33" s="1108"/>
      <c r="U33" s="1108"/>
      <c r="V33" s="1108"/>
      <c r="W33" s="1108"/>
      <c r="X33" s="1108"/>
      <c r="Y33" s="1108"/>
      <c r="Z33" s="1108"/>
      <c r="AA33" s="1108"/>
      <c r="AB33" s="1108"/>
      <c r="AC33" s="1108"/>
      <c r="AD33" s="1108"/>
      <c r="AE33" s="1108"/>
      <c r="AF33" s="1108"/>
      <c r="AG33" s="1108"/>
      <c r="AH33" s="1108"/>
      <c r="AI33" s="1108"/>
      <c r="AJ33" s="1108"/>
      <c r="AK33" s="1108"/>
      <c r="AL33" s="1108"/>
      <c r="AM33" s="1108"/>
      <c r="AN33" s="1108"/>
      <c r="AO33" s="1108"/>
      <c r="AP33" s="1108"/>
      <c r="AQ33" s="1108"/>
      <c r="AR33" s="1108"/>
      <c r="AS33" s="44"/>
      <c r="AT33" s="44"/>
      <c r="AU33" s="44"/>
      <c r="AV33" s="44"/>
      <c r="AW33" s="44"/>
      <c r="AX33" s="44"/>
      <c r="AY33" s="44"/>
      <c r="AZ33" s="44"/>
      <c r="BA33" s="44"/>
      <c r="BB33" s="44"/>
      <c r="BC33" s="44"/>
      <c r="BD33" s="44"/>
      <c r="BE33" s="44"/>
      <c r="BF33" s="44"/>
      <c r="BG33" s="44"/>
      <c r="BH33" s="44"/>
      <c r="BI33" s="44"/>
      <c r="BJ33" s="44"/>
      <c r="BK33" s="44"/>
      <c r="BL33" s="44"/>
      <c r="BM33" s="44"/>
      <c r="BN33" s="44"/>
      <c r="BO33" s="44"/>
      <c r="BP33" s="44"/>
      <c r="BQ33" s="44"/>
      <c r="BR33" s="44"/>
      <c r="BS33" s="44"/>
      <c r="BT33" s="44"/>
      <c r="BU33" s="44"/>
      <c r="BV33" s="44"/>
      <c r="BW33" s="44"/>
      <c r="BX33" s="44"/>
      <c r="BY33" s="44"/>
      <c r="BZ33" s="44"/>
      <c r="CA33" s="44"/>
      <c r="CB33" s="44"/>
      <c r="CC33" s="44"/>
      <c r="CD33" s="44"/>
      <c r="CE33" s="44"/>
      <c r="CF33" s="44"/>
      <c r="CG33" s="44"/>
      <c r="CH33" s="44"/>
      <c r="CI33" s="44"/>
      <c r="CJ33" s="44"/>
      <c r="CK33" s="44"/>
      <c r="CL33" s="44"/>
      <c r="CM33" s="44"/>
      <c r="CN33" s="44"/>
      <c r="CO33" s="44"/>
      <c r="CP33" s="44"/>
      <c r="CQ33" s="44"/>
      <c r="CR33" s="44"/>
      <c r="CS33" s="44"/>
      <c r="CT33" s="44"/>
      <c r="CU33" s="44"/>
      <c r="CV33" s="44"/>
      <c r="CW33" s="44"/>
      <c r="CX33" s="44"/>
      <c r="CY33" s="44"/>
      <c r="CZ33" s="44"/>
      <c r="DA33" s="44"/>
      <c r="DB33" s="44"/>
      <c r="DC33" s="44"/>
      <c r="DD33" s="44"/>
      <c r="DE33" s="44"/>
      <c r="DF33" s="44"/>
      <c r="DG33" s="44"/>
      <c r="DH33" s="44"/>
      <c r="DI33" s="44"/>
      <c r="DJ33" s="44"/>
      <c r="DK33" s="44"/>
      <c r="DL33" s="44"/>
      <c r="DM33" s="44"/>
      <c r="DN33" s="44"/>
      <c r="DO33" s="44"/>
      <c r="DP33" s="44"/>
      <c r="DQ33" s="44"/>
      <c r="DR33" s="44"/>
      <c r="DS33" s="45"/>
      <c r="DV33" s="31"/>
      <c r="DW33" s="31"/>
      <c r="DX33" s="31"/>
      <c r="DY33" s="46"/>
      <c r="DZ33" s="46"/>
      <c r="EA33" s="46"/>
      <c r="EB33" s="573"/>
      <c r="EC33" s="46"/>
      <c r="ED33" s="46"/>
      <c r="EE33" s="46"/>
      <c r="EF33" s="46"/>
      <c r="EG33" s="46"/>
      <c r="EH33" s="32"/>
    </row>
    <row r="34" spans="1:188" s="365" customFormat="1" ht="30" customHeight="1">
      <c r="A34" s="363"/>
      <c r="B34" s="1109"/>
      <c r="C34" s="1110"/>
      <c r="D34" s="1110"/>
      <c r="E34" s="1110"/>
      <c r="F34" s="1110"/>
      <c r="G34" s="1110"/>
      <c r="H34" s="1110"/>
      <c r="I34" s="1110"/>
      <c r="J34" s="1110"/>
      <c r="K34" s="1110"/>
      <c r="L34" s="1110"/>
      <c r="M34" s="1110"/>
      <c r="N34" s="1110"/>
      <c r="O34" s="1110"/>
      <c r="P34" s="1110"/>
      <c r="Q34" s="1110"/>
      <c r="R34" s="1110"/>
      <c r="S34" s="1110"/>
      <c r="T34" s="1110"/>
      <c r="U34" s="1110"/>
      <c r="V34" s="1110"/>
      <c r="W34" s="1110"/>
      <c r="X34" s="1110"/>
      <c r="Y34" s="1110"/>
      <c r="Z34" s="1110"/>
      <c r="AA34" s="1110"/>
      <c r="AB34" s="1110"/>
      <c r="AC34" s="1110"/>
      <c r="AD34" s="1110"/>
      <c r="AE34" s="1110"/>
      <c r="AF34" s="1110"/>
      <c r="AG34" s="1110"/>
      <c r="AH34" s="1110"/>
      <c r="AI34" s="1110"/>
      <c r="AJ34" s="1110"/>
      <c r="AK34" s="1110"/>
      <c r="AL34" s="1110"/>
      <c r="AM34" s="1110"/>
      <c r="AN34" s="1110"/>
      <c r="AO34" s="1110"/>
      <c r="AP34" s="1110"/>
      <c r="AQ34" s="1110"/>
      <c r="AR34" s="1110"/>
      <c r="AS34" s="390"/>
      <c r="AT34" s="390"/>
      <c r="AU34" s="390"/>
      <c r="AV34" s="390"/>
      <c r="AW34" s="390"/>
      <c r="AX34" s="390"/>
      <c r="AY34" s="390"/>
      <c r="AZ34" s="390"/>
      <c r="BA34" s="390"/>
      <c r="BB34" s="390"/>
      <c r="BC34" s="390"/>
      <c r="BD34" s="390"/>
      <c r="BE34" s="390"/>
      <c r="BF34" s="390"/>
      <c r="BG34" s="390"/>
      <c r="BH34" s="390"/>
      <c r="BI34" s="390"/>
      <c r="BJ34" s="390"/>
      <c r="BK34" s="390"/>
      <c r="BL34" s="390"/>
      <c r="BM34" s="390"/>
      <c r="BN34" s="390"/>
      <c r="BO34" s="390"/>
      <c r="BP34" s="390"/>
      <c r="BQ34" s="390"/>
      <c r="BR34" s="390"/>
      <c r="BS34" s="390"/>
      <c r="BT34" s="390"/>
      <c r="BU34" s="390"/>
      <c r="BV34" s="390"/>
      <c r="BW34" s="390"/>
      <c r="BX34" s="390"/>
      <c r="BY34" s="390"/>
      <c r="BZ34" s="390"/>
      <c r="CA34" s="390"/>
      <c r="CB34" s="390"/>
      <c r="CC34" s="390"/>
      <c r="CD34" s="390"/>
      <c r="CE34" s="390"/>
      <c r="CF34" s="390"/>
      <c r="CG34" s="390"/>
      <c r="CH34" s="390"/>
      <c r="CI34" s="390"/>
      <c r="CJ34" s="390"/>
      <c r="CK34" s="390"/>
      <c r="CL34" s="390"/>
      <c r="CM34" s="390"/>
      <c r="CN34" s="390"/>
      <c r="CO34" s="390"/>
      <c r="CP34" s="390"/>
      <c r="CQ34" s="390"/>
      <c r="CR34" s="390"/>
      <c r="CS34" s="390"/>
      <c r="CT34" s="390"/>
      <c r="CU34" s="390"/>
      <c r="CV34" s="390"/>
      <c r="CW34" s="390"/>
      <c r="CX34" s="390"/>
      <c r="CY34" s="390"/>
      <c r="CZ34" s="390"/>
      <c r="DA34" s="390"/>
      <c r="DB34" s="390"/>
      <c r="DC34" s="390"/>
      <c r="DD34" s="390"/>
      <c r="DE34" s="390"/>
      <c r="DF34" s="390"/>
      <c r="DG34" s="390"/>
      <c r="DH34" s="390"/>
      <c r="DI34" s="390"/>
      <c r="DJ34" s="390"/>
      <c r="DK34" s="390"/>
      <c r="DL34" s="390"/>
      <c r="DM34" s="390"/>
      <c r="DN34" s="390"/>
      <c r="DO34" s="390"/>
      <c r="DP34" s="390"/>
      <c r="DQ34" s="390"/>
      <c r="DR34" s="390"/>
      <c r="DS34" s="386"/>
      <c r="DT34" s="378"/>
      <c r="DU34" s="378"/>
      <c r="DV34" s="387"/>
      <c r="DW34" s="387"/>
      <c r="DX34" s="387"/>
      <c r="DY34" s="387"/>
      <c r="DZ34" s="387"/>
      <c r="EA34" s="387"/>
      <c r="EB34" s="387"/>
      <c r="EC34" s="387"/>
      <c r="ED34" s="387"/>
      <c r="EE34" s="387"/>
      <c r="EF34" s="387"/>
      <c r="EG34" s="387"/>
      <c r="EH34" s="187"/>
    </row>
    <row r="35" spans="1:188" ht="5.25" customHeight="1" thickBot="1">
      <c r="B35" s="54"/>
      <c r="C35" s="55"/>
      <c r="D35" s="55"/>
      <c r="E35" s="55"/>
      <c r="F35" s="55"/>
      <c r="G35" s="55"/>
      <c r="H35" s="55"/>
      <c r="I35" s="55"/>
      <c r="J35" s="55"/>
      <c r="K35" s="55"/>
      <c r="L35" s="55"/>
      <c r="M35" s="55"/>
      <c r="N35" s="55"/>
      <c r="O35" s="55"/>
      <c r="P35" s="55"/>
      <c r="Q35" s="55"/>
      <c r="R35" s="55"/>
      <c r="S35" s="55"/>
      <c r="T35" s="55"/>
      <c r="U35" s="55"/>
      <c r="V35" s="55"/>
      <c r="W35" s="55"/>
      <c r="X35" s="55"/>
      <c r="Y35" s="55"/>
      <c r="Z35" s="55"/>
      <c r="AA35" s="55"/>
      <c r="AB35" s="55"/>
      <c r="AC35" s="55"/>
      <c r="AD35" s="55"/>
      <c r="AE35" s="55"/>
      <c r="AF35" s="55"/>
      <c r="AG35" s="55"/>
      <c r="AH35" s="55"/>
      <c r="AI35" s="55"/>
      <c r="AJ35" s="55"/>
      <c r="AK35" s="55"/>
      <c r="AL35" s="55"/>
      <c r="AM35" s="55"/>
      <c r="AN35" s="55"/>
      <c r="AO35" s="55"/>
      <c r="AP35" s="55"/>
      <c r="AQ35" s="55"/>
      <c r="AR35" s="55"/>
      <c r="AS35" s="55"/>
      <c r="AT35" s="55"/>
      <c r="AU35" s="55"/>
      <c r="AV35" s="55"/>
      <c r="AW35" s="55"/>
      <c r="AX35" s="55"/>
      <c r="AY35" s="55"/>
      <c r="AZ35" s="55"/>
      <c r="BA35" s="55"/>
      <c r="BB35" s="55"/>
      <c r="BC35" s="55"/>
      <c r="BD35" s="55"/>
      <c r="BE35" s="55"/>
      <c r="BF35" s="55"/>
      <c r="BG35" s="55"/>
      <c r="BH35" s="55"/>
      <c r="BI35" s="55"/>
      <c r="BJ35" s="55"/>
      <c r="BK35" s="55"/>
      <c r="BL35" s="55"/>
      <c r="BM35" s="55"/>
      <c r="BN35" s="55"/>
      <c r="BO35" s="55"/>
      <c r="BP35" s="55"/>
      <c r="BQ35" s="55"/>
      <c r="BR35" s="55"/>
      <c r="BS35" s="55"/>
      <c r="BT35" s="793"/>
      <c r="BU35" s="793"/>
      <c r="BV35" s="793"/>
      <c r="BW35" s="793"/>
      <c r="BX35" s="793"/>
      <c r="BY35" s="793"/>
      <c r="BZ35" s="793"/>
      <c r="CA35" s="793"/>
      <c r="CB35" s="793"/>
      <c r="CC35" s="793"/>
      <c r="CD35" s="793"/>
      <c r="CE35" s="793"/>
      <c r="CF35" s="793"/>
      <c r="CG35" s="793"/>
      <c r="CH35" s="793"/>
      <c r="CI35" s="793"/>
      <c r="CJ35" s="793"/>
      <c r="CK35" s="793"/>
      <c r="CL35" s="793"/>
      <c r="CM35" s="793"/>
      <c r="CN35" s="793"/>
      <c r="CO35" s="793"/>
      <c r="CP35" s="793"/>
      <c r="CQ35" s="793"/>
      <c r="CR35" s="793"/>
      <c r="CS35" s="793"/>
      <c r="CT35" s="793"/>
      <c r="CU35" s="793"/>
      <c r="CV35" s="793"/>
      <c r="CW35" s="793"/>
      <c r="CX35" s="793"/>
      <c r="CY35" s="793"/>
      <c r="CZ35" s="793"/>
      <c r="DA35" s="793"/>
      <c r="DB35" s="793"/>
      <c r="DC35" s="793"/>
      <c r="DD35" s="793"/>
      <c r="DE35" s="793"/>
      <c r="DF35" s="793"/>
      <c r="DG35" s="793"/>
      <c r="DH35" s="793"/>
      <c r="DI35" s="793"/>
      <c r="DJ35" s="793"/>
      <c r="DK35" s="793"/>
      <c r="DL35" s="793"/>
      <c r="DM35" s="793"/>
      <c r="DN35" s="793"/>
      <c r="DO35" s="793"/>
      <c r="DP35" s="793"/>
      <c r="DQ35" s="793"/>
      <c r="DR35" s="55"/>
      <c r="DS35" s="50"/>
      <c r="DT35" s="37"/>
      <c r="DU35" s="37"/>
      <c r="DV35" s="51"/>
      <c r="DW35" s="51"/>
      <c r="DX35" s="51"/>
      <c r="DY35" s="51"/>
      <c r="DZ35" s="51"/>
      <c r="EA35" s="51"/>
      <c r="EB35" s="51"/>
      <c r="EC35" s="51"/>
      <c r="ED35" s="51"/>
      <c r="EE35" s="51"/>
      <c r="EF35" s="51"/>
      <c r="EG35" s="51"/>
      <c r="EH35" s="59"/>
    </row>
    <row r="36" spans="1:188" s="365" customFormat="1" ht="30" customHeight="1">
      <c r="A36" s="363"/>
      <c r="B36" s="384"/>
      <c r="C36" s="190"/>
      <c r="D36" s="1176" t="str">
        <f ca="1">INDIRECT($J$4&amp;"!C29")</f>
        <v xml:space="preserve">NOK PART </v>
      </c>
      <c r="E36" s="1176"/>
      <c r="F36" s="1176"/>
      <c r="G36" s="1176"/>
      <c r="H36" s="1176"/>
      <c r="I36" s="1176"/>
      <c r="J36" s="1176"/>
      <c r="K36" s="1176"/>
      <c r="L36" s="1150"/>
      <c r="M36" s="1151"/>
      <c r="N36" s="1151"/>
      <c r="O36" s="1151"/>
      <c r="P36" s="1151"/>
      <c r="Q36" s="1151"/>
      <c r="R36" s="1151"/>
      <c r="S36" s="1151"/>
      <c r="T36" s="1151"/>
      <c r="U36" s="1151"/>
      <c r="V36" s="1151"/>
      <c r="W36" s="1151"/>
      <c r="X36" s="1151"/>
      <c r="Y36" s="1151"/>
      <c r="Z36" s="1151"/>
      <c r="AA36" s="1151"/>
      <c r="AB36" s="1151"/>
      <c r="AC36" s="1151"/>
      <c r="AD36" s="1151"/>
      <c r="AE36" s="1151"/>
      <c r="AF36" s="1151"/>
      <c r="AG36" s="1151"/>
      <c r="AH36" s="1151"/>
      <c r="AI36" s="1151"/>
      <c r="AJ36" s="1151"/>
      <c r="AK36" s="1151"/>
      <c r="AL36" s="1151"/>
      <c r="AM36" s="1151"/>
      <c r="AN36" s="1151"/>
      <c r="AO36" s="1151"/>
      <c r="AP36" s="1151"/>
      <c r="AQ36" s="1151"/>
      <c r="AR36" s="1151"/>
      <c r="AS36" s="1151"/>
      <c r="AT36" s="1151"/>
      <c r="AU36" s="1151"/>
      <c r="AV36" s="1151"/>
      <c r="AW36" s="1151"/>
      <c r="AX36" s="1151"/>
      <c r="AY36" s="1151"/>
      <c r="AZ36" s="1151"/>
      <c r="BA36" s="1151"/>
      <c r="BB36" s="1151"/>
      <c r="BC36" s="1151"/>
      <c r="BD36" s="1151"/>
      <c r="BE36" s="1151"/>
      <c r="BF36" s="1151"/>
      <c r="BG36" s="1151"/>
      <c r="BH36" s="1151"/>
      <c r="BI36" s="1151"/>
      <c r="BJ36" s="1152"/>
      <c r="BK36" s="391"/>
      <c r="BL36" s="1284" t="str">
        <f ca="1">INDIRECT($J$4&amp;"!C30")</f>
        <v>OK PART</v>
      </c>
      <c r="BM36" s="1284"/>
      <c r="BN36" s="1284"/>
      <c r="BO36" s="1284"/>
      <c r="BP36" s="1284"/>
      <c r="BQ36" s="1284"/>
      <c r="BR36" s="1284"/>
      <c r="BS36" s="1285"/>
      <c r="BT36" s="1135"/>
      <c r="BU36" s="1135"/>
      <c r="BV36" s="1135"/>
      <c r="BW36" s="1135"/>
      <c r="BX36" s="1135"/>
      <c r="BY36" s="1135"/>
      <c r="BZ36" s="1135"/>
      <c r="CA36" s="1135"/>
      <c r="CB36" s="1135"/>
      <c r="CC36" s="1135"/>
      <c r="CD36" s="1135"/>
      <c r="CE36" s="1135"/>
      <c r="CF36" s="1135"/>
      <c r="CG36" s="1135"/>
      <c r="CH36" s="1135"/>
      <c r="CI36" s="1135"/>
      <c r="CJ36" s="1135"/>
      <c r="CK36" s="1135"/>
      <c r="CL36" s="1135"/>
      <c r="CM36" s="1135"/>
      <c r="CN36" s="1135"/>
      <c r="CO36" s="1135"/>
      <c r="CP36" s="1135"/>
      <c r="CQ36" s="1135"/>
      <c r="CR36" s="1135"/>
      <c r="CS36" s="1135"/>
      <c r="CT36" s="1135"/>
      <c r="CU36" s="1135"/>
      <c r="CV36" s="1135"/>
      <c r="CW36" s="1135"/>
      <c r="CX36" s="1135"/>
      <c r="CY36" s="1135"/>
      <c r="CZ36" s="1135"/>
      <c r="DA36" s="1135"/>
      <c r="DB36" s="1135"/>
      <c r="DC36" s="1135"/>
      <c r="DD36" s="1135"/>
      <c r="DE36" s="1135"/>
      <c r="DF36" s="1135"/>
      <c r="DG36" s="1135"/>
      <c r="DH36" s="1135"/>
      <c r="DI36" s="1135"/>
      <c r="DJ36" s="1135"/>
      <c r="DK36" s="1135"/>
      <c r="DL36" s="1135"/>
      <c r="DM36" s="1135"/>
      <c r="DN36" s="1135"/>
      <c r="DO36" s="1135"/>
      <c r="DP36" s="1135"/>
      <c r="DQ36" s="1136"/>
      <c r="DR36" s="190"/>
      <c r="DS36" s="392"/>
      <c r="DT36" s="805"/>
      <c r="DU36" s="385"/>
      <c r="DV36" s="387"/>
      <c r="DW36" s="387"/>
      <c r="DX36" s="387"/>
      <c r="DY36" s="387"/>
      <c r="DZ36" s="387"/>
      <c r="EA36" s="387"/>
      <c r="EB36" s="387"/>
      <c r="EC36" s="387"/>
      <c r="ED36" s="387"/>
      <c r="EE36" s="387"/>
      <c r="EF36" s="387"/>
      <c r="EG36" s="387"/>
      <c r="EH36" s="127"/>
    </row>
    <row r="37" spans="1:188" s="365" customFormat="1" ht="30" customHeight="1">
      <c r="A37" s="363"/>
      <c r="B37" s="384"/>
      <c r="C37" s="190"/>
      <c r="D37" s="1176"/>
      <c r="E37" s="1176"/>
      <c r="F37" s="1176"/>
      <c r="G37" s="1176"/>
      <c r="H37" s="1176"/>
      <c r="I37" s="1176"/>
      <c r="J37" s="1176"/>
      <c r="K37" s="1176"/>
      <c r="L37" s="1153"/>
      <c r="M37" s="1135"/>
      <c r="N37" s="1135"/>
      <c r="O37" s="1135"/>
      <c r="P37" s="1135"/>
      <c r="Q37" s="1135"/>
      <c r="R37" s="1135"/>
      <c r="S37" s="1135"/>
      <c r="T37" s="1135"/>
      <c r="U37" s="1135"/>
      <c r="V37" s="1135"/>
      <c r="W37" s="1135"/>
      <c r="X37" s="1135"/>
      <c r="Y37" s="1135"/>
      <c r="Z37" s="1135"/>
      <c r="AA37" s="1135"/>
      <c r="AB37" s="1135"/>
      <c r="AC37" s="1135"/>
      <c r="AD37" s="1135"/>
      <c r="AE37" s="1135"/>
      <c r="AF37" s="1135"/>
      <c r="AG37" s="1135"/>
      <c r="AH37" s="1135"/>
      <c r="AI37" s="1135"/>
      <c r="AJ37" s="1135"/>
      <c r="AK37" s="1135"/>
      <c r="AL37" s="1135"/>
      <c r="AM37" s="1135"/>
      <c r="AN37" s="1135"/>
      <c r="AO37" s="1135"/>
      <c r="AP37" s="1135"/>
      <c r="AQ37" s="1135"/>
      <c r="AR37" s="1135"/>
      <c r="AS37" s="1135"/>
      <c r="AT37" s="1135"/>
      <c r="AU37" s="1135"/>
      <c r="AV37" s="1135"/>
      <c r="AW37" s="1135"/>
      <c r="AX37" s="1135"/>
      <c r="AY37" s="1135"/>
      <c r="AZ37" s="1135"/>
      <c r="BA37" s="1135"/>
      <c r="BB37" s="1135"/>
      <c r="BC37" s="1135"/>
      <c r="BD37" s="1135"/>
      <c r="BE37" s="1135"/>
      <c r="BF37" s="1135"/>
      <c r="BG37" s="1135"/>
      <c r="BH37" s="1135"/>
      <c r="BI37" s="1135"/>
      <c r="BJ37" s="1154"/>
      <c r="BK37" s="391"/>
      <c r="BL37" s="1284"/>
      <c r="BM37" s="1284"/>
      <c r="BN37" s="1284"/>
      <c r="BO37" s="1284"/>
      <c r="BP37" s="1284"/>
      <c r="BQ37" s="1284"/>
      <c r="BR37" s="1284"/>
      <c r="BS37" s="1285"/>
      <c r="BT37" s="1135"/>
      <c r="BU37" s="1135"/>
      <c r="BV37" s="1135"/>
      <c r="BW37" s="1135"/>
      <c r="BX37" s="1135"/>
      <c r="BY37" s="1135"/>
      <c r="BZ37" s="1135"/>
      <c r="CA37" s="1135"/>
      <c r="CB37" s="1135"/>
      <c r="CC37" s="1135"/>
      <c r="CD37" s="1135"/>
      <c r="CE37" s="1135"/>
      <c r="CF37" s="1135"/>
      <c r="CG37" s="1135"/>
      <c r="CH37" s="1135"/>
      <c r="CI37" s="1135"/>
      <c r="CJ37" s="1135"/>
      <c r="CK37" s="1135"/>
      <c r="CL37" s="1135"/>
      <c r="CM37" s="1135"/>
      <c r="CN37" s="1135"/>
      <c r="CO37" s="1135"/>
      <c r="CP37" s="1135"/>
      <c r="CQ37" s="1135"/>
      <c r="CR37" s="1135"/>
      <c r="CS37" s="1135"/>
      <c r="CT37" s="1135"/>
      <c r="CU37" s="1135"/>
      <c r="CV37" s="1135"/>
      <c r="CW37" s="1135"/>
      <c r="CX37" s="1135"/>
      <c r="CY37" s="1135"/>
      <c r="CZ37" s="1135"/>
      <c r="DA37" s="1135"/>
      <c r="DB37" s="1135"/>
      <c r="DC37" s="1135"/>
      <c r="DD37" s="1135"/>
      <c r="DE37" s="1135"/>
      <c r="DF37" s="1135"/>
      <c r="DG37" s="1135"/>
      <c r="DH37" s="1135"/>
      <c r="DI37" s="1135"/>
      <c r="DJ37" s="1135"/>
      <c r="DK37" s="1135"/>
      <c r="DL37" s="1135"/>
      <c r="DM37" s="1135"/>
      <c r="DN37" s="1135"/>
      <c r="DO37" s="1135"/>
      <c r="DP37" s="1135"/>
      <c r="DQ37" s="1136"/>
      <c r="DR37" s="190"/>
      <c r="DS37" s="392"/>
      <c r="DT37" s="805"/>
      <c r="DU37" s="385"/>
      <c r="DV37" s="387"/>
      <c r="DW37" s="387"/>
      <c r="DX37" s="387"/>
      <c r="DY37" s="387"/>
      <c r="DZ37" s="387"/>
      <c r="EA37" s="387"/>
      <c r="EB37" s="387"/>
      <c r="EC37" s="387"/>
      <c r="ED37" s="387"/>
      <c r="EE37" s="387"/>
      <c r="EF37" s="387"/>
      <c r="EG37" s="387"/>
      <c r="EH37" s="127"/>
    </row>
    <row r="38" spans="1:188" s="365" customFormat="1" ht="30" customHeight="1">
      <c r="A38" s="363"/>
      <c r="B38" s="384"/>
      <c r="C38" s="190"/>
      <c r="D38" s="1176"/>
      <c r="E38" s="1176"/>
      <c r="F38" s="1176"/>
      <c r="G38" s="1176"/>
      <c r="H38" s="1176"/>
      <c r="I38" s="1176"/>
      <c r="J38" s="1176"/>
      <c r="K38" s="1176"/>
      <c r="L38" s="1153"/>
      <c r="M38" s="1135"/>
      <c r="N38" s="1135"/>
      <c r="O38" s="1135"/>
      <c r="P38" s="1135"/>
      <c r="Q38" s="1135"/>
      <c r="R38" s="1135"/>
      <c r="S38" s="1135"/>
      <c r="T38" s="1135"/>
      <c r="U38" s="1135"/>
      <c r="V38" s="1135"/>
      <c r="W38" s="1135"/>
      <c r="X38" s="1135"/>
      <c r="Y38" s="1135"/>
      <c r="Z38" s="1135"/>
      <c r="AA38" s="1135"/>
      <c r="AB38" s="1135"/>
      <c r="AC38" s="1135"/>
      <c r="AD38" s="1135"/>
      <c r="AE38" s="1135"/>
      <c r="AF38" s="1135"/>
      <c r="AG38" s="1135"/>
      <c r="AH38" s="1135"/>
      <c r="AI38" s="1135"/>
      <c r="AJ38" s="1135"/>
      <c r="AK38" s="1135"/>
      <c r="AL38" s="1135"/>
      <c r="AM38" s="1135"/>
      <c r="AN38" s="1135"/>
      <c r="AO38" s="1135"/>
      <c r="AP38" s="1135"/>
      <c r="AQ38" s="1135"/>
      <c r="AR38" s="1135"/>
      <c r="AS38" s="1135"/>
      <c r="AT38" s="1135"/>
      <c r="AU38" s="1135"/>
      <c r="AV38" s="1135"/>
      <c r="AW38" s="1135"/>
      <c r="AX38" s="1135"/>
      <c r="AY38" s="1135"/>
      <c r="AZ38" s="1135"/>
      <c r="BA38" s="1135"/>
      <c r="BB38" s="1135"/>
      <c r="BC38" s="1135"/>
      <c r="BD38" s="1135"/>
      <c r="BE38" s="1135"/>
      <c r="BF38" s="1135"/>
      <c r="BG38" s="1135"/>
      <c r="BH38" s="1135"/>
      <c r="BI38" s="1135"/>
      <c r="BJ38" s="1154"/>
      <c r="BK38" s="391"/>
      <c r="BL38" s="1284"/>
      <c r="BM38" s="1284"/>
      <c r="BN38" s="1284"/>
      <c r="BO38" s="1284"/>
      <c r="BP38" s="1284"/>
      <c r="BQ38" s="1284"/>
      <c r="BR38" s="1284"/>
      <c r="BS38" s="1285"/>
      <c r="BT38" s="1135"/>
      <c r="BU38" s="1135"/>
      <c r="BV38" s="1135"/>
      <c r="BW38" s="1135"/>
      <c r="BX38" s="1135"/>
      <c r="BY38" s="1135"/>
      <c r="BZ38" s="1135"/>
      <c r="CA38" s="1135"/>
      <c r="CB38" s="1135"/>
      <c r="CC38" s="1135"/>
      <c r="CD38" s="1135"/>
      <c r="CE38" s="1135"/>
      <c r="CF38" s="1135"/>
      <c r="CG38" s="1135"/>
      <c r="CH38" s="1135"/>
      <c r="CI38" s="1135"/>
      <c r="CJ38" s="1135"/>
      <c r="CK38" s="1135"/>
      <c r="CL38" s="1135"/>
      <c r="CM38" s="1135"/>
      <c r="CN38" s="1135"/>
      <c r="CO38" s="1135"/>
      <c r="CP38" s="1135"/>
      <c r="CQ38" s="1135"/>
      <c r="CR38" s="1135"/>
      <c r="CS38" s="1135"/>
      <c r="CT38" s="1135"/>
      <c r="CU38" s="1135"/>
      <c r="CV38" s="1135"/>
      <c r="CW38" s="1135"/>
      <c r="CX38" s="1135"/>
      <c r="CY38" s="1135"/>
      <c r="CZ38" s="1135"/>
      <c r="DA38" s="1135"/>
      <c r="DB38" s="1135"/>
      <c r="DC38" s="1135"/>
      <c r="DD38" s="1135"/>
      <c r="DE38" s="1135"/>
      <c r="DF38" s="1135"/>
      <c r="DG38" s="1135"/>
      <c r="DH38" s="1135"/>
      <c r="DI38" s="1135"/>
      <c r="DJ38" s="1135"/>
      <c r="DK38" s="1135"/>
      <c r="DL38" s="1135"/>
      <c r="DM38" s="1135"/>
      <c r="DN38" s="1135"/>
      <c r="DO38" s="1135"/>
      <c r="DP38" s="1135"/>
      <c r="DQ38" s="1136"/>
      <c r="DR38" s="190"/>
      <c r="DS38" s="392"/>
      <c r="DT38" s="805"/>
      <c r="DU38" s="385"/>
      <c r="DV38" s="387"/>
      <c r="DW38" s="387"/>
      <c r="DX38" s="387"/>
      <c r="DY38" s="387"/>
      <c r="DZ38" s="387"/>
      <c r="EA38" s="387"/>
      <c r="EB38" s="387"/>
      <c r="EC38" s="387"/>
      <c r="ED38" s="387"/>
      <c r="EE38" s="387"/>
      <c r="EF38" s="387"/>
      <c r="EG38" s="387"/>
      <c r="EH38" s="127"/>
    </row>
    <row r="39" spans="1:188" s="365" customFormat="1" ht="30" customHeight="1">
      <c r="A39" s="363"/>
      <c r="B39" s="384"/>
      <c r="C39" s="190"/>
      <c r="D39" s="1176"/>
      <c r="E39" s="1176"/>
      <c r="F39" s="1176"/>
      <c r="G39" s="1176"/>
      <c r="H39" s="1176"/>
      <c r="I39" s="1176"/>
      <c r="J39" s="1176"/>
      <c r="K39" s="1176"/>
      <c r="L39" s="1153"/>
      <c r="M39" s="1135"/>
      <c r="N39" s="1135"/>
      <c r="O39" s="1135"/>
      <c r="P39" s="1135"/>
      <c r="Q39" s="1135"/>
      <c r="R39" s="1135"/>
      <c r="S39" s="1135"/>
      <c r="T39" s="1135"/>
      <c r="U39" s="1135"/>
      <c r="V39" s="1135"/>
      <c r="W39" s="1135"/>
      <c r="X39" s="1135"/>
      <c r="Y39" s="1135"/>
      <c r="Z39" s="1135"/>
      <c r="AA39" s="1135"/>
      <c r="AB39" s="1135"/>
      <c r="AC39" s="1135"/>
      <c r="AD39" s="1135"/>
      <c r="AE39" s="1135"/>
      <c r="AF39" s="1135"/>
      <c r="AG39" s="1135"/>
      <c r="AH39" s="1135"/>
      <c r="AI39" s="1135"/>
      <c r="AJ39" s="1135"/>
      <c r="AK39" s="1135"/>
      <c r="AL39" s="1135"/>
      <c r="AM39" s="1135"/>
      <c r="AN39" s="1135"/>
      <c r="AO39" s="1135"/>
      <c r="AP39" s="1135"/>
      <c r="AQ39" s="1135"/>
      <c r="AR39" s="1135"/>
      <c r="AS39" s="1135"/>
      <c r="AT39" s="1135"/>
      <c r="AU39" s="1135"/>
      <c r="AV39" s="1135"/>
      <c r="AW39" s="1135"/>
      <c r="AX39" s="1135"/>
      <c r="AY39" s="1135"/>
      <c r="AZ39" s="1135"/>
      <c r="BA39" s="1135"/>
      <c r="BB39" s="1135"/>
      <c r="BC39" s="1135"/>
      <c r="BD39" s="1135"/>
      <c r="BE39" s="1135"/>
      <c r="BF39" s="1135"/>
      <c r="BG39" s="1135"/>
      <c r="BH39" s="1135"/>
      <c r="BI39" s="1135"/>
      <c r="BJ39" s="1154"/>
      <c r="BK39" s="391"/>
      <c r="BL39" s="1284"/>
      <c r="BM39" s="1284"/>
      <c r="BN39" s="1284"/>
      <c r="BO39" s="1284"/>
      <c r="BP39" s="1284"/>
      <c r="BQ39" s="1284"/>
      <c r="BR39" s="1284"/>
      <c r="BS39" s="1285"/>
      <c r="BT39" s="1135"/>
      <c r="BU39" s="1135"/>
      <c r="BV39" s="1135"/>
      <c r="BW39" s="1135"/>
      <c r="BX39" s="1135"/>
      <c r="BY39" s="1135"/>
      <c r="BZ39" s="1135"/>
      <c r="CA39" s="1135"/>
      <c r="CB39" s="1135"/>
      <c r="CC39" s="1135"/>
      <c r="CD39" s="1135"/>
      <c r="CE39" s="1135"/>
      <c r="CF39" s="1135"/>
      <c r="CG39" s="1135"/>
      <c r="CH39" s="1135"/>
      <c r="CI39" s="1135"/>
      <c r="CJ39" s="1135"/>
      <c r="CK39" s="1135"/>
      <c r="CL39" s="1135"/>
      <c r="CM39" s="1135"/>
      <c r="CN39" s="1135"/>
      <c r="CO39" s="1135"/>
      <c r="CP39" s="1135"/>
      <c r="CQ39" s="1135"/>
      <c r="CR39" s="1135"/>
      <c r="CS39" s="1135"/>
      <c r="CT39" s="1135"/>
      <c r="CU39" s="1135"/>
      <c r="CV39" s="1135"/>
      <c r="CW39" s="1135"/>
      <c r="CX39" s="1135"/>
      <c r="CY39" s="1135"/>
      <c r="CZ39" s="1135"/>
      <c r="DA39" s="1135"/>
      <c r="DB39" s="1135"/>
      <c r="DC39" s="1135"/>
      <c r="DD39" s="1135"/>
      <c r="DE39" s="1135"/>
      <c r="DF39" s="1135"/>
      <c r="DG39" s="1135"/>
      <c r="DH39" s="1135"/>
      <c r="DI39" s="1135"/>
      <c r="DJ39" s="1135"/>
      <c r="DK39" s="1135"/>
      <c r="DL39" s="1135"/>
      <c r="DM39" s="1135"/>
      <c r="DN39" s="1135"/>
      <c r="DO39" s="1135"/>
      <c r="DP39" s="1135"/>
      <c r="DQ39" s="1136"/>
      <c r="DR39" s="190"/>
      <c r="DS39" s="392"/>
      <c r="DT39" s="805"/>
      <c r="DU39" s="385"/>
      <c r="DV39" s="387"/>
      <c r="DW39" s="387"/>
      <c r="DX39" s="387"/>
      <c r="DY39" s="387"/>
      <c r="DZ39" s="387"/>
      <c r="EA39" s="387"/>
      <c r="EB39" s="387"/>
      <c r="EC39" s="387"/>
      <c r="ED39" s="387"/>
      <c r="EE39" s="387"/>
      <c r="EF39" s="387"/>
      <c r="EG39" s="387"/>
      <c r="EH39" s="127"/>
    </row>
    <row r="40" spans="1:188" s="365" customFormat="1" ht="30" customHeight="1">
      <c r="A40" s="363"/>
      <c r="B40" s="384"/>
      <c r="C40" s="190"/>
      <c r="D40" s="1176"/>
      <c r="E40" s="1176"/>
      <c r="F40" s="1176"/>
      <c r="G40" s="1176"/>
      <c r="H40" s="1176"/>
      <c r="I40" s="1176"/>
      <c r="J40" s="1176"/>
      <c r="K40" s="1176"/>
      <c r="L40" s="1153"/>
      <c r="M40" s="1135"/>
      <c r="N40" s="1135"/>
      <c r="O40" s="1135"/>
      <c r="P40" s="1135"/>
      <c r="Q40" s="1135"/>
      <c r="R40" s="1135"/>
      <c r="S40" s="1135"/>
      <c r="T40" s="1135"/>
      <c r="U40" s="1135"/>
      <c r="V40" s="1135"/>
      <c r="W40" s="1135"/>
      <c r="X40" s="1135"/>
      <c r="Y40" s="1135"/>
      <c r="Z40" s="1135"/>
      <c r="AA40" s="1135"/>
      <c r="AB40" s="1135"/>
      <c r="AC40" s="1135"/>
      <c r="AD40" s="1135"/>
      <c r="AE40" s="1135"/>
      <c r="AF40" s="1135"/>
      <c r="AG40" s="1135"/>
      <c r="AH40" s="1135"/>
      <c r="AI40" s="1135"/>
      <c r="AJ40" s="1135"/>
      <c r="AK40" s="1135"/>
      <c r="AL40" s="1135"/>
      <c r="AM40" s="1135"/>
      <c r="AN40" s="1135"/>
      <c r="AO40" s="1135"/>
      <c r="AP40" s="1135"/>
      <c r="AQ40" s="1135"/>
      <c r="AR40" s="1135"/>
      <c r="AS40" s="1135"/>
      <c r="AT40" s="1135"/>
      <c r="AU40" s="1135"/>
      <c r="AV40" s="1135"/>
      <c r="AW40" s="1135"/>
      <c r="AX40" s="1135"/>
      <c r="AY40" s="1135"/>
      <c r="AZ40" s="1135"/>
      <c r="BA40" s="1135"/>
      <c r="BB40" s="1135"/>
      <c r="BC40" s="1135"/>
      <c r="BD40" s="1135"/>
      <c r="BE40" s="1135"/>
      <c r="BF40" s="1135"/>
      <c r="BG40" s="1135"/>
      <c r="BH40" s="1135"/>
      <c r="BI40" s="1135"/>
      <c r="BJ40" s="1154"/>
      <c r="BK40" s="391"/>
      <c r="BL40" s="1284"/>
      <c r="BM40" s="1284"/>
      <c r="BN40" s="1284"/>
      <c r="BO40" s="1284"/>
      <c r="BP40" s="1284"/>
      <c r="BQ40" s="1284"/>
      <c r="BR40" s="1284"/>
      <c r="BS40" s="1285"/>
      <c r="BT40" s="1135"/>
      <c r="BU40" s="1135"/>
      <c r="BV40" s="1135"/>
      <c r="BW40" s="1135"/>
      <c r="BX40" s="1135"/>
      <c r="BY40" s="1135"/>
      <c r="BZ40" s="1135"/>
      <c r="CA40" s="1135"/>
      <c r="CB40" s="1135"/>
      <c r="CC40" s="1135"/>
      <c r="CD40" s="1135"/>
      <c r="CE40" s="1135"/>
      <c r="CF40" s="1135"/>
      <c r="CG40" s="1135"/>
      <c r="CH40" s="1135"/>
      <c r="CI40" s="1135"/>
      <c r="CJ40" s="1135"/>
      <c r="CK40" s="1135"/>
      <c r="CL40" s="1135"/>
      <c r="CM40" s="1135"/>
      <c r="CN40" s="1135"/>
      <c r="CO40" s="1135"/>
      <c r="CP40" s="1135"/>
      <c r="CQ40" s="1135"/>
      <c r="CR40" s="1135"/>
      <c r="CS40" s="1135"/>
      <c r="CT40" s="1135"/>
      <c r="CU40" s="1135"/>
      <c r="CV40" s="1135"/>
      <c r="CW40" s="1135"/>
      <c r="CX40" s="1135"/>
      <c r="CY40" s="1135"/>
      <c r="CZ40" s="1135"/>
      <c r="DA40" s="1135"/>
      <c r="DB40" s="1135"/>
      <c r="DC40" s="1135"/>
      <c r="DD40" s="1135"/>
      <c r="DE40" s="1135"/>
      <c r="DF40" s="1135"/>
      <c r="DG40" s="1135"/>
      <c r="DH40" s="1135"/>
      <c r="DI40" s="1135"/>
      <c r="DJ40" s="1135"/>
      <c r="DK40" s="1135"/>
      <c r="DL40" s="1135"/>
      <c r="DM40" s="1135"/>
      <c r="DN40" s="1135"/>
      <c r="DO40" s="1135"/>
      <c r="DP40" s="1135"/>
      <c r="DQ40" s="1136"/>
      <c r="DR40" s="190"/>
      <c r="DS40" s="392"/>
      <c r="DT40" s="805"/>
      <c r="DU40" s="385"/>
      <c r="DV40" s="387"/>
      <c r="DW40" s="387"/>
      <c r="DX40" s="387"/>
      <c r="DY40" s="387"/>
      <c r="DZ40" s="387"/>
      <c r="EA40" s="387"/>
      <c r="EB40" s="387"/>
      <c r="EC40" s="387"/>
      <c r="ED40" s="387"/>
      <c r="EE40" s="387"/>
      <c r="EF40" s="387"/>
      <c r="EG40" s="387"/>
      <c r="EH40" s="127"/>
    </row>
    <row r="41" spans="1:188" s="365" customFormat="1" ht="30" customHeight="1">
      <c r="A41" s="363"/>
      <c r="B41" s="384"/>
      <c r="C41" s="190"/>
      <c r="D41" s="1176"/>
      <c r="E41" s="1176"/>
      <c r="F41" s="1176"/>
      <c r="G41" s="1176"/>
      <c r="H41" s="1176"/>
      <c r="I41" s="1176"/>
      <c r="J41" s="1176"/>
      <c r="K41" s="1176"/>
      <c r="L41" s="1153"/>
      <c r="M41" s="1135"/>
      <c r="N41" s="1135"/>
      <c r="O41" s="1135"/>
      <c r="P41" s="1135"/>
      <c r="Q41" s="1135"/>
      <c r="R41" s="1135"/>
      <c r="S41" s="1135"/>
      <c r="T41" s="1135"/>
      <c r="U41" s="1135"/>
      <c r="V41" s="1135"/>
      <c r="W41" s="1135"/>
      <c r="X41" s="1135"/>
      <c r="Y41" s="1135"/>
      <c r="Z41" s="1135"/>
      <c r="AA41" s="1135"/>
      <c r="AB41" s="1135"/>
      <c r="AC41" s="1135"/>
      <c r="AD41" s="1135"/>
      <c r="AE41" s="1135"/>
      <c r="AF41" s="1135"/>
      <c r="AG41" s="1135"/>
      <c r="AH41" s="1135"/>
      <c r="AI41" s="1135"/>
      <c r="AJ41" s="1135"/>
      <c r="AK41" s="1135"/>
      <c r="AL41" s="1135"/>
      <c r="AM41" s="1135"/>
      <c r="AN41" s="1135"/>
      <c r="AO41" s="1135"/>
      <c r="AP41" s="1135"/>
      <c r="AQ41" s="1135"/>
      <c r="AR41" s="1135"/>
      <c r="AS41" s="1135"/>
      <c r="AT41" s="1135"/>
      <c r="AU41" s="1135"/>
      <c r="AV41" s="1135"/>
      <c r="AW41" s="1135"/>
      <c r="AX41" s="1135"/>
      <c r="AY41" s="1135"/>
      <c r="AZ41" s="1135"/>
      <c r="BA41" s="1135"/>
      <c r="BB41" s="1135"/>
      <c r="BC41" s="1135"/>
      <c r="BD41" s="1135"/>
      <c r="BE41" s="1135"/>
      <c r="BF41" s="1135"/>
      <c r="BG41" s="1135"/>
      <c r="BH41" s="1135"/>
      <c r="BI41" s="1135"/>
      <c r="BJ41" s="1154"/>
      <c r="BK41" s="391"/>
      <c r="BL41" s="1284"/>
      <c r="BM41" s="1284"/>
      <c r="BN41" s="1284"/>
      <c r="BO41" s="1284"/>
      <c r="BP41" s="1284"/>
      <c r="BQ41" s="1284"/>
      <c r="BR41" s="1284"/>
      <c r="BS41" s="1285"/>
      <c r="BT41" s="1135"/>
      <c r="BU41" s="1135"/>
      <c r="BV41" s="1135"/>
      <c r="BW41" s="1135"/>
      <c r="BX41" s="1135"/>
      <c r="BY41" s="1135"/>
      <c r="BZ41" s="1135"/>
      <c r="CA41" s="1135"/>
      <c r="CB41" s="1135"/>
      <c r="CC41" s="1135"/>
      <c r="CD41" s="1135"/>
      <c r="CE41" s="1135"/>
      <c r="CF41" s="1135"/>
      <c r="CG41" s="1135"/>
      <c r="CH41" s="1135"/>
      <c r="CI41" s="1135"/>
      <c r="CJ41" s="1135"/>
      <c r="CK41" s="1135"/>
      <c r="CL41" s="1135"/>
      <c r="CM41" s="1135"/>
      <c r="CN41" s="1135"/>
      <c r="CO41" s="1135"/>
      <c r="CP41" s="1135"/>
      <c r="CQ41" s="1135"/>
      <c r="CR41" s="1135"/>
      <c r="CS41" s="1135"/>
      <c r="CT41" s="1135"/>
      <c r="CU41" s="1135"/>
      <c r="CV41" s="1135"/>
      <c r="CW41" s="1135"/>
      <c r="CX41" s="1135"/>
      <c r="CY41" s="1135"/>
      <c r="CZ41" s="1135"/>
      <c r="DA41" s="1135"/>
      <c r="DB41" s="1135"/>
      <c r="DC41" s="1135"/>
      <c r="DD41" s="1135"/>
      <c r="DE41" s="1135"/>
      <c r="DF41" s="1135"/>
      <c r="DG41" s="1135"/>
      <c r="DH41" s="1135"/>
      <c r="DI41" s="1135"/>
      <c r="DJ41" s="1135"/>
      <c r="DK41" s="1135"/>
      <c r="DL41" s="1135"/>
      <c r="DM41" s="1135"/>
      <c r="DN41" s="1135"/>
      <c r="DO41" s="1135"/>
      <c r="DP41" s="1135"/>
      <c r="DQ41" s="1136"/>
      <c r="DR41" s="190"/>
      <c r="DS41" s="392"/>
      <c r="DT41" s="805"/>
      <c r="DU41" s="385"/>
      <c r="DV41" s="387"/>
      <c r="DW41" s="387"/>
      <c r="DX41" s="387"/>
      <c r="DY41" s="387"/>
      <c r="DZ41" s="387"/>
      <c r="EA41" s="387"/>
      <c r="EB41" s="387"/>
      <c r="EC41" s="387"/>
      <c r="ED41" s="387"/>
      <c r="EE41" s="387"/>
      <c r="EF41" s="387"/>
      <c r="EG41" s="387"/>
      <c r="EH41" s="127"/>
    </row>
    <row r="42" spans="1:188" s="365" customFormat="1" ht="30" customHeight="1">
      <c r="A42" s="363"/>
      <c r="B42" s="384"/>
      <c r="C42" s="190"/>
      <c r="D42" s="1176"/>
      <c r="E42" s="1176"/>
      <c r="F42" s="1176"/>
      <c r="G42" s="1176"/>
      <c r="H42" s="1176"/>
      <c r="I42" s="1176"/>
      <c r="J42" s="1176"/>
      <c r="K42" s="1176"/>
      <c r="L42" s="1153"/>
      <c r="M42" s="1135"/>
      <c r="N42" s="1135"/>
      <c r="O42" s="1135"/>
      <c r="P42" s="1135"/>
      <c r="Q42" s="1135"/>
      <c r="R42" s="1135"/>
      <c r="S42" s="1135"/>
      <c r="T42" s="1135"/>
      <c r="U42" s="1135"/>
      <c r="V42" s="1135"/>
      <c r="W42" s="1135"/>
      <c r="X42" s="1135"/>
      <c r="Y42" s="1135"/>
      <c r="Z42" s="1135"/>
      <c r="AA42" s="1135"/>
      <c r="AB42" s="1135"/>
      <c r="AC42" s="1135"/>
      <c r="AD42" s="1135"/>
      <c r="AE42" s="1135"/>
      <c r="AF42" s="1135"/>
      <c r="AG42" s="1135"/>
      <c r="AH42" s="1135"/>
      <c r="AI42" s="1135"/>
      <c r="AJ42" s="1135"/>
      <c r="AK42" s="1135"/>
      <c r="AL42" s="1135"/>
      <c r="AM42" s="1135"/>
      <c r="AN42" s="1135"/>
      <c r="AO42" s="1135"/>
      <c r="AP42" s="1135"/>
      <c r="AQ42" s="1135"/>
      <c r="AR42" s="1135"/>
      <c r="AS42" s="1135"/>
      <c r="AT42" s="1135"/>
      <c r="AU42" s="1135"/>
      <c r="AV42" s="1135"/>
      <c r="AW42" s="1135"/>
      <c r="AX42" s="1135"/>
      <c r="AY42" s="1135"/>
      <c r="AZ42" s="1135"/>
      <c r="BA42" s="1135"/>
      <c r="BB42" s="1135"/>
      <c r="BC42" s="1135"/>
      <c r="BD42" s="1135"/>
      <c r="BE42" s="1135"/>
      <c r="BF42" s="1135"/>
      <c r="BG42" s="1135"/>
      <c r="BH42" s="1135"/>
      <c r="BI42" s="1135"/>
      <c r="BJ42" s="1154"/>
      <c r="BK42" s="391"/>
      <c r="BL42" s="1284"/>
      <c r="BM42" s="1284"/>
      <c r="BN42" s="1284"/>
      <c r="BO42" s="1284"/>
      <c r="BP42" s="1284"/>
      <c r="BQ42" s="1284"/>
      <c r="BR42" s="1284"/>
      <c r="BS42" s="1285"/>
      <c r="BT42" s="1135"/>
      <c r="BU42" s="1135"/>
      <c r="BV42" s="1135"/>
      <c r="BW42" s="1135"/>
      <c r="BX42" s="1135"/>
      <c r="BY42" s="1135"/>
      <c r="BZ42" s="1135"/>
      <c r="CA42" s="1135"/>
      <c r="CB42" s="1135"/>
      <c r="CC42" s="1135"/>
      <c r="CD42" s="1135"/>
      <c r="CE42" s="1135"/>
      <c r="CF42" s="1135"/>
      <c r="CG42" s="1135"/>
      <c r="CH42" s="1135"/>
      <c r="CI42" s="1135"/>
      <c r="CJ42" s="1135"/>
      <c r="CK42" s="1135"/>
      <c r="CL42" s="1135"/>
      <c r="CM42" s="1135"/>
      <c r="CN42" s="1135"/>
      <c r="CO42" s="1135"/>
      <c r="CP42" s="1135"/>
      <c r="CQ42" s="1135"/>
      <c r="CR42" s="1135"/>
      <c r="CS42" s="1135"/>
      <c r="CT42" s="1135"/>
      <c r="CU42" s="1135"/>
      <c r="CV42" s="1135"/>
      <c r="CW42" s="1135"/>
      <c r="CX42" s="1135"/>
      <c r="CY42" s="1135"/>
      <c r="CZ42" s="1135"/>
      <c r="DA42" s="1135"/>
      <c r="DB42" s="1135"/>
      <c r="DC42" s="1135"/>
      <c r="DD42" s="1135"/>
      <c r="DE42" s="1135"/>
      <c r="DF42" s="1135"/>
      <c r="DG42" s="1135"/>
      <c r="DH42" s="1135"/>
      <c r="DI42" s="1135"/>
      <c r="DJ42" s="1135"/>
      <c r="DK42" s="1135"/>
      <c r="DL42" s="1135"/>
      <c r="DM42" s="1135"/>
      <c r="DN42" s="1135"/>
      <c r="DO42" s="1135"/>
      <c r="DP42" s="1135"/>
      <c r="DQ42" s="1136"/>
      <c r="DR42" s="190"/>
      <c r="DS42" s="392"/>
      <c r="DT42" s="805"/>
      <c r="DU42" s="385"/>
      <c r="DV42" s="387"/>
      <c r="DW42" s="387"/>
      <c r="DX42" s="387"/>
      <c r="DY42" s="387"/>
      <c r="DZ42" s="387"/>
      <c r="EA42" s="387"/>
      <c r="EB42" s="387"/>
      <c r="EC42" s="387"/>
      <c r="ED42" s="387"/>
      <c r="EE42" s="387"/>
      <c r="EF42" s="387"/>
      <c r="EG42" s="387"/>
      <c r="EH42" s="127"/>
    </row>
    <row r="43" spans="1:188" s="365" customFormat="1" ht="30" customHeight="1">
      <c r="A43" s="363"/>
      <c r="B43" s="384"/>
      <c r="C43" s="190"/>
      <c r="D43" s="1176"/>
      <c r="E43" s="1176"/>
      <c r="F43" s="1176"/>
      <c r="G43" s="1176"/>
      <c r="H43" s="1176"/>
      <c r="I43" s="1176"/>
      <c r="J43" s="1176"/>
      <c r="K43" s="1176"/>
      <c r="L43" s="1153"/>
      <c r="M43" s="1135"/>
      <c r="N43" s="1135"/>
      <c r="O43" s="1135"/>
      <c r="P43" s="1135"/>
      <c r="Q43" s="1135"/>
      <c r="R43" s="1135"/>
      <c r="S43" s="1135"/>
      <c r="T43" s="1135"/>
      <c r="U43" s="1135"/>
      <c r="V43" s="1135"/>
      <c r="W43" s="1135"/>
      <c r="X43" s="1135"/>
      <c r="Y43" s="1135"/>
      <c r="Z43" s="1135"/>
      <c r="AA43" s="1135"/>
      <c r="AB43" s="1135"/>
      <c r="AC43" s="1135"/>
      <c r="AD43" s="1135"/>
      <c r="AE43" s="1135"/>
      <c r="AF43" s="1135"/>
      <c r="AG43" s="1135"/>
      <c r="AH43" s="1135"/>
      <c r="AI43" s="1135"/>
      <c r="AJ43" s="1135"/>
      <c r="AK43" s="1135"/>
      <c r="AL43" s="1135"/>
      <c r="AM43" s="1135"/>
      <c r="AN43" s="1135"/>
      <c r="AO43" s="1135"/>
      <c r="AP43" s="1135"/>
      <c r="AQ43" s="1135"/>
      <c r="AR43" s="1135"/>
      <c r="AS43" s="1135"/>
      <c r="AT43" s="1135"/>
      <c r="AU43" s="1135"/>
      <c r="AV43" s="1135"/>
      <c r="AW43" s="1135"/>
      <c r="AX43" s="1135"/>
      <c r="AY43" s="1135"/>
      <c r="AZ43" s="1135"/>
      <c r="BA43" s="1135"/>
      <c r="BB43" s="1135"/>
      <c r="BC43" s="1135"/>
      <c r="BD43" s="1135"/>
      <c r="BE43" s="1135"/>
      <c r="BF43" s="1135"/>
      <c r="BG43" s="1135"/>
      <c r="BH43" s="1135"/>
      <c r="BI43" s="1135"/>
      <c r="BJ43" s="1154"/>
      <c r="BK43" s="391"/>
      <c r="BL43" s="1284"/>
      <c r="BM43" s="1284"/>
      <c r="BN43" s="1284"/>
      <c r="BO43" s="1284"/>
      <c r="BP43" s="1284"/>
      <c r="BQ43" s="1284"/>
      <c r="BR43" s="1284"/>
      <c r="BS43" s="1285"/>
      <c r="BT43" s="1135"/>
      <c r="BU43" s="1135"/>
      <c r="BV43" s="1135"/>
      <c r="BW43" s="1135"/>
      <c r="BX43" s="1135"/>
      <c r="BY43" s="1135"/>
      <c r="BZ43" s="1135"/>
      <c r="CA43" s="1135"/>
      <c r="CB43" s="1135"/>
      <c r="CC43" s="1135"/>
      <c r="CD43" s="1135"/>
      <c r="CE43" s="1135"/>
      <c r="CF43" s="1135"/>
      <c r="CG43" s="1135"/>
      <c r="CH43" s="1135"/>
      <c r="CI43" s="1135"/>
      <c r="CJ43" s="1135"/>
      <c r="CK43" s="1135"/>
      <c r="CL43" s="1135"/>
      <c r="CM43" s="1135"/>
      <c r="CN43" s="1135"/>
      <c r="CO43" s="1135"/>
      <c r="CP43" s="1135"/>
      <c r="CQ43" s="1135"/>
      <c r="CR43" s="1135"/>
      <c r="CS43" s="1135"/>
      <c r="CT43" s="1135"/>
      <c r="CU43" s="1135"/>
      <c r="CV43" s="1135"/>
      <c r="CW43" s="1135"/>
      <c r="CX43" s="1135"/>
      <c r="CY43" s="1135"/>
      <c r="CZ43" s="1135"/>
      <c r="DA43" s="1135"/>
      <c r="DB43" s="1135"/>
      <c r="DC43" s="1135"/>
      <c r="DD43" s="1135"/>
      <c r="DE43" s="1135"/>
      <c r="DF43" s="1135"/>
      <c r="DG43" s="1135"/>
      <c r="DH43" s="1135"/>
      <c r="DI43" s="1135"/>
      <c r="DJ43" s="1135"/>
      <c r="DK43" s="1135"/>
      <c r="DL43" s="1135"/>
      <c r="DM43" s="1135"/>
      <c r="DN43" s="1135"/>
      <c r="DO43" s="1135"/>
      <c r="DP43" s="1135"/>
      <c r="DQ43" s="1136"/>
      <c r="DR43" s="190"/>
      <c r="DS43" s="392"/>
      <c r="DT43" s="805"/>
      <c r="DU43" s="385"/>
      <c r="DV43" s="387"/>
      <c r="DW43" s="387"/>
      <c r="DX43" s="387"/>
      <c r="DY43" s="387"/>
      <c r="DZ43" s="387"/>
      <c r="EA43" s="387"/>
      <c r="EB43" s="387"/>
      <c r="EC43" s="387"/>
      <c r="ED43" s="387"/>
      <c r="EE43" s="387"/>
      <c r="EF43" s="387"/>
      <c r="EG43" s="387"/>
      <c r="EH43" s="127"/>
    </row>
    <row r="44" spans="1:188" s="365" customFormat="1" ht="30" customHeight="1" thickBot="1">
      <c r="A44" s="363"/>
      <c r="B44" s="384"/>
      <c r="C44" s="190"/>
      <c r="D44" s="1176"/>
      <c r="E44" s="1176"/>
      <c r="F44" s="1176"/>
      <c r="G44" s="1176"/>
      <c r="H44" s="1176"/>
      <c r="I44" s="1176"/>
      <c r="J44" s="1176"/>
      <c r="K44" s="1176"/>
      <c r="L44" s="1155"/>
      <c r="M44" s="1156"/>
      <c r="N44" s="1156"/>
      <c r="O44" s="1156"/>
      <c r="P44" s="1156"/>
      <c r="Q44" s="1156"/>
      <c r="R44" s="1156"/>
      <c r="S44" s="1156"/>
      <c r="T44" s="1156"/>
      <c r="U44" s="1156"/>
      <c r="V44" s="1156"/>
      <c r="W44" s="1156"/>
      <c r="X44" s="1156"/>
      <c r="Y44" s="1156"/>
      <c r="Z44" s="1156"/>
      <c r="AA44" s="1156"/>
      <c r="AB44" s="1156"/>
      <c r="AC44" s="1156"/>
      <c r="AD44" s="1156"/>
      <c r="AE44" s="1156"/>
      <c r="AF44" s="1156"/>
      <c r="AG44" s="1156"/>
      <c r="AH44" s="1156"/>
      <c r="AI44" s="1156"/>
      <c r="AJ44" s="1156"/>
      <c r="AK44" s="1156"/>
      <c r="AL44" s="1156"/>
      <c r="AM44" s="1156"/>
      <c r="AN44" s="1156"/>
      <c r="AO44" s="1156"/>
      <c r="AP44" s="1156"/>
      <c r="AQ44" s="1156"/>
      <c r="AR44" s="1156"/>
      <c r="AS44" s="1156"/>
      <c r="AT44" s="1156"/>
      <c r="AU44" s="1156"/>
      <c r="AV44" s="1156"/>
      <c r="AW44" s="1156"/>
      <c r="AX44" s="1156"/>
      <c r="AY44" s="1156"/>
      <c r="AZ44" s="1156"/>
      <c r="BA44" s="1156"/>
      <c r="BB44" s="1156"/>
      <c r="BC44" s="1156"/>
      <c r="BD44" s="1156"/>
      <c r="BE44" s="1156"/>
      <c r="BF44" s="1156"/>
      <c r="BG44" s="1156"/>
      <c r="BH44" s="1156"/>
      <c r="BI44" s="1156"/>
      <c r="BJ44" s="1157"/>
      <c r="BK44" s="391"/>
      <c r="BL44" s="1284"/>
      <c r="BM44" s="1284"/>
      <c r="BN44" s="1284"/>
      <c r="BO44" s="1284"/>
      <c r="BP44" s="1284"/>
      <c r="BQ44" s="1284"/>
      <c r="BR44" s="1284"/>
      <c r="BS44" s="1285"/>
      <c r="BT44" s="1137"/>
      <c r="BU44" s="1137"/>
      <c r="BV44" s="1137"/>
      <c r="BW44" s="1137"/>
      <c r="BX44" s="1137"/>
      <c r="BY44" s="1137"/>
      <c r="BZ44" s="1137"/>
      <c r="CA44" s="1137"/>
      <c r="CB44" s="1137"/>
      <c r="CC44" s="1137"/>
      <c r="CD44" s="1137"/>
      <c r="CE44" s="1137"/>
      <c r="CF44" s="1137"/>
      <c r="CG44" s="1137"/>
      <c r="CH44" s="1137"/>
      <c r="CI44" s="1137"/>
      <c r="CJ44" s="1137"/>
      <c r="CK44" s="1137"/>
      <c r="CL44" s="1137"/>
      <c r="CM44" s="1137"/>
      <c r="CN44" s="1137"/>
      <c r="CO44" s="1137"/>
      <c r="CP44" s="1137"/>
      <c r="CQ44" s="1137"/>
      <c r="CR44" s="1137"/>
      <c r="CS44" s="1137"/>
      <c r="CT44" s="1137"/>
      <c r="CU44" s="1137"/>
      <c r="CV44" s="1137"/>
      <c r="CW44" s="1137"/>
      <c r="CX44" s="1137"/>
      <c r="CY44" s="1137"/>
      <c r="CZ44" s="1137"/>
      <c r="DA44" s="1137"/>
      <c r="DB44" s="1137"/>
      <c r="DC44" s="1137"/>
      <c r="DD44" s="1137"/>
      <c r="DE44" s="1137"/>
      <c r="DF44" s="1137"/>
      <c r="DG44" s="1137"/>
      <c r="DH44" s="1137"/>
      <c r="DI44" s="1137"/>
      <c r="DJ44" s="1137"/>
      <c r="DK44" s="1137"/>
      <c r="DL44" s="1137"/>
      <c r="DM44" s="1137"/>
      <c r="DN44" s="1137"/>
      <c r="DO44" s="1137"/>
      <c r="DP44" s="1137"/>
      <c r="DQ44" s="1138"/>
      <c r="DR44" s="190"/>
      <c r="DS44" s="392"/>
      <c r="DT44" s="805"/>
      <c r="DU44" s="385"/>
      <c r="DV44" s="387"/>
      <c r="DW44" s="387"/>
      <c r="DX44" s="387"/>
      <c r="DY44" s="387"/>
      <c r="DZ44" s="387"/>
      <c r="EA44" s="387"/>
      <c r="EB44" s="387"/>
      <c r="EC44" s="387"/>
      <c r="ED44" s="387"/>
      <c r="EE44" s="387"/>
      <c r="EF44" s="387"/>
      <c r="EG44" s="387"/>
      <c r="EH44" s="127"/>
    </row>
    <row r="45" spans="1:188" ht="5.25" customHeight="1">
      <c r="B45" s="54"/>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c r="CX45" s="55"/>
      <c r="CY45" s="55"/>
      <c r="CZ45" s="55"/>
      <c r="DA45" s="55"/>
      <c r="DB45" s="55"/>
      <c r="DC45" s="55"/>
      <c r="DD45" s="55"/>
      <c r="DE45" s="55"/>
      <c r="DF45" s="55"/>
      <c r="DG45" s="55"/>
      <c r="DH45" s="55"/>
      <c r="DI45" s="55"/>
      <c r="DJ45" s="55"/>
      <c r="DK45" s="55"/>
      <c r="DL45" s="55"/>
      <c r="DM45" s="55"/>
      <c r="DN45" s="55"/>
      <c r="DO45" s="55"/>
      <c r="DP45" s="55"/>
      <c r="DQ45" s="55"/>
      <c r="DR45" s="55"/>
      <c r="DS45" s="50"/>
      <c r="DT45" s="37"/>
      <c r="DU45" s="37"/>
      <c r="DV45" s="64"/>
      <c r="DW45" s="64"/>
      <c r="DX45" s="64"/>
      <c r="DY45" s="65"/>
      <c r="DZ45" s="65"/>
      <c r="EA45" s="65"/>
      <c r="EB45" s="65"/>
      <c r="EC45" s="65"/>
      <c r="ED45" s="65"/>
      <c r="EE45" s="65"/>
      <c r="EF45" s="65"/>
      <c r="EG45" s="65"/>
      <c r="EH45" s="65"/>
      <c r="EI45" s="65"/>
      <c r="EJ45" s="65"/>
      <c r="EK45" s="65"/>
      <c r="EL45" s="65"/>
      <c r="EM45" s="65"/>
      <c r="EN45" s="65"/>
      <c r="EO45" s="65"/>
      <c r="EP45" s="65"/>
      <c r="EQ45" s="65"/>
      <c r="ER45" s="65"/>
      <c r="ES45" s="65"/>
      <c r="ET45" s="65"/>
      <c r="EU45" s="64"/>
      <c r="EV45" s="64"/>
      <c r="EW45" s="65"/>
      <c r="EX45" s="65"/>
      <c r="EY45" s="65"/>
      <c r="EZ45" s="65"/>
      <c r="FA45" s="65"/>
      <c r="FB45" s="65"/>
      <c r="FC45" s="66"/>
      <c r="FD45" s="66"/>
      <c r="FE45" s="66"/>
      <c r="FF45" s="66"/>
      <c r="FG45" s="66"/>
      <c r="FH45" s="66"/>
      <c r="FI45" s="66"/>
      <c r="FJ45" s="66"/>
      <c r="FK45" s="66"/>
      <c r="FL45" s="66"/>
      <c r="FM45" s="66"/>
      <c r="FN45" s="66"/>
      <c r="FO45" s="66"/>
      <c r="FP45" s="66"/>
      <c r="FQ45" s="66"/>
      <c r="FR45" s="66"/>
      <c r="FS45" s="66"/>
      <c r="FT45" s="66"/>
      <c r="FU45" s="66"/>
      <c r="FV45" s="66"/>
      <c r="FW45" s="66"/>
      <c r="FX45" s="66"/>
      <c r="FY45" s="66"/>
      <c r="FZ45" s="66"/>
      <c r="GA45" s="66"/>
      <c r="GB45" s="66"/>
      <c r="GC45" s="66"/>
      <c r="GD45" s="66"/>
      <c r="GE45" s="66"/>
      <c r="GF45" s="66"/>
    </row>
    <row r="46" spans="1:188" s="365" customFormat="1" ht="34.5" customHeight="1">
      <c r="A46" s="363"/>
      <c r="B46" s="384"/>
      <c r="C46" s="190"/>
      <c r="D46" s="1286" t="str">
        <f ca="1">INDIRECT($J$4&amp;"!C65")</f>
        <v>Symptom description</v>
      </c>
      <c r="E46" s="1286"/>
      <c r="F46" s="1286"/>
      <c r="G46" s="1286"/>
      <c r="H46" s="1286"/>
      <c r="I46" s="1286"/>
      <c r="J46" s="1286"/>
      <c r="K46" s="1286"/>
      <c r="L46" s="1286"/>
      <c r="M46" s="1286"/>
      <c r="N46" s="1286"/>
      <c r="O46" s="1286"/>
      <c r="P46" s="1286"/>
      <c r="Q46" s="1286"/>
      <c r="R46" s="1286"/>
      <c r="S46" s="1286"/>
      <c r="T46" s="1286"/>
      <c r="U46" s="1287"/>
      <c r="V46" s="1264"/>
      <c r="W46" s="1265"/>
      <c r="X46" s="1265"/>
      <c r="Y46" s="1265"/>
      <c r="Z46" s="1265"/>
      <c r="AA46" s="1265"/>
      <c r="AB46" s="1265"/>
      <c r="AC46" s="1265"/>
      <c r="AD46" s="1265"/>
      <c r="AE46" s="1265"/>
      <c r="AF46" s="1265"/>
      <c r="AG46" s="1265"/>
      <c r="AH46" s="1265"/>
      <c r="AI46" s="1265"/>
      <c r="AJ46" s="1265"/>
      <c r="AK46" s="1265"/>
      <c r="AL46" s="1265"/>
      <c r="AM46" s="1265"/>
      <c r="AN46" s="1265"/>
      <c r="AO46" s="1266"/>
      <c r="AP46" s="190"/>
      <c r="AQ46" s="190"/>
      <c r="AR46" s="393"/>
      <c r="AS46" s="394"/>
      <c r="AT46" s="395"/>
      <c r="AU46" s="1167" t="str">
        <f ca="1">INDIRECT($J$4&amp;"!C43")</f>
        <v>IS</v>
      </c>
      <c r="AV46" s="1168"/>
      <c r="AW46" s="1168"/>
      <c r="AX46" s="1168"/>
      <c r="AY46" s="1168"/>
      <c r="AZ46" s="1168"/>
      <c r="BA46" s="1168"/>
      <c r="BB46" s="1168"/>
      <c r="BC46" s="1168"/>
      <c r="BD46" s="1168"/>
      <c r="BE46" s="1168"/>
      <c r="BF46" s="1168"/>
      <c r="BG46" s="1168"/>
      <c r="BH46" s="1168"/>
      <c r="BI46" s="1168"/>
      <c r="BJ46" s="1168"/>
      <c r="BK46" s="1168"/>
      <c r="BL46" s="1168"/>
      <c r="BM46" s="1168"/>
      <c r="BN46" s="1168"/>
      <c r="BO46" s="1168"/>
      <c r="BP46" s="1168"/>
      <c r="BQ46" s="1168"/>
      <c r="BR46" s="1168"/>
      <c r="BS46" s="1168"/>
      <c r="BT46" s="1168"/>
      <c r="BU46" s="1168"/>
      <c r="BV46" s="1168"/>
      <c r="BW46" s="1168"/>
      <c r="BX46" s="1168"/>
      <c r="BY46" s="1168"/>
      <c r="BZ46" s="1168"/>
      <c r="CA46" s="1168"/>
      <c r="CB46" s="1168"/>
      <c r="CC46" s="1168"/>
      <c r="CD46" s="1168"/>
      <c r="CE46" s="1168"/>
      <c r="CF46" s="1142"/>
      <c r="CG46" s="1142" t="str">
        <f ca="1">INDIRECT($J$4&amp;"!C44")</f>
        <v>IS NOT</v>
      </c>
      <c r="CH46" s="1143"/>
      <c r="CI46" s="1143"/>
      <c r="CJ46" s="1143"/>
      <c r="CK46" s="1143"/>
      <c r="CL46" s="1143"/>
      <c r="CM46" s="1143"/>
      <c r="CN46" s="1143"/>
      <c r="CO46" s="1143"/>
      <c r="CP46" s="1143"/>
      <c r="CQ46" s="1143"/>
      <c r="CR46" s="1143"/>
      <c r="CS46" s="1143"/>
      <c r="CT46" s="1143"/>
      <c r="CU46" s="1143"/>
      <c r="CV46" s="1143"/>
      <c r="CW46" s="1143"/>
      <c r="CX46" s="1143"/>
      <c r="CY46" s="1143"/>
      <c r="CZ46" s="1143"/>
      <c r="DA46" s="1143"/>
      <c r="DB46" s="1143"/>
      <c r="DC46" s="1143"/>
      <c r="DD46" s="1143"/>
      <c r="DE46" s="1143"/>
      <c r="DF46" s="1143"/>
      <c r="DG46" s="1143"/>
      <c r="DH46" s="1143"/>
      <c r="DI46" s="1143"/>
      <c r="DJ46" s="1143"/>
      <c r="DK46" s="1143"/>
      <c r="DL46" s="1143"/>
      <c r="DM46" s="1143"/>
      <c r="DN46" s="1143"/>
      <c r="DO46" s="1143"/>
      <c r="DP46" s="1143"/>
      <c r="DQ46" s="1143"/>
      <c r="DR46" s="190"/>
      <c r="DS46" s="386"/>
      <c r="DT46" s="378"/>
      <c r="DU46" s="378"/>
      <c r="EV46" s="385"/>
      <c r="EW46" s="128"/>
      <c r="EX46" s="128"/>
      <c r="EY46" s="128"/>
      <c r="EZ46" s="128"/>
      <c r="FA46" s="128"/>
      <c r="FB46" s="128"/>
      <c r="FC46" s="128"/>
      <c r="FD46" s="128"/>
      <c r="FE46" s="128"/>
      <c r="FF46" s="128"/>
      <c r="FG46" s="128"/>
      <c r="FH46" s="128"/>
      <c r="FI46" s="128"/>
      <c r="FJ46" s="128"/>
      <c r="FK46" s="128"/>
      <c r="FL46" s="128"/>
      <c r="FM46" s="128"/>
      <c r="FN46" s="128"/>
      <c r="FO46" s="128"/>
      <c r="FP46" s="128"/>
      <c r="FQ46" s="128"/>
      <c r="FR46" s="128"/>
      <c r="FS46" s="128"/>
      <c r="FT46" s="128"/>
      <c r="FU46" s="128"/>
      <c r="FV46" s="128"/>
      <c r="FW46" s="128"/>
      <c r="FX46" s="128"/>
      <c r="FY46" s="128"/>
      <c r="FZ46" s="128"/>
      <c r="GA46" s="128"/>
      <c r="GB46" s="128"/>
      <c r="GC46" s="128"/>
      <c r="GD46" s="128"/>
      <c r="GE46" s="128"/>
      <c r="GF46" s="128"/>
    </row>
    <row r="47" spans="1:188" s="365" customFormat="1" ht="34.5" customHeight="1">
      <c r="A47" s="363"/>
      <c r="B47" s="384"/>
      <c r="C47" s="190"/>
      <c r="D47" s="1286"/>
      <c r="E47" s="1286"/>
      <c r="F47" s="1286"/>
      <c r="G47" s="1286"/>
      <c r="H47" s="1286"/>
      <c r="I47" s="1286"/>
      <c r="J47" s="1286"/>
      <c r="K47" s="1286"/>
      <c r="L47" s="1286"/>
      <c r="M47" s="1286"/>
      <c r="N47" s="1286"/>
      <c r="O47" s="1286"/>
      <c r="P47" s="1286"/>
      <c r="Q47" s="1286"/>
      <c r="R47" s="1286"/>
      <c r="S47" s="1286"/>
      <c r="T47" s="1286"/>
      <c r="U47" s="1287"/>
      <c r="V47" s="1267"/>
      <c r="W47" s="1268"/>
      <c r="X47" s="1268"/>
      <c r="Y47" s="1268"/>
      <c r="Z47" s="1268"/>
      <c r="AA47" s="1268"/>
      <c r="AB47" s="1268"/>
      <c r="AC47" s="1268"/>
      <c r="AD47" s="1268"/>
      <c r="AE47" s="1268"/>
      <c r="AF47" s="1268"/>
      <c r="AG47" s="1268"/>
      <c r="AH47" s="1268"/>
      <c r="AI47" s="1268"/>
      <c r="AJ47" s="1268"/>
      <c r="AK47" s="1268"/>
      <c r="AL47" s="1268"/>
      <c r="AM47" s="1268"/>
      <c r="AN47" s="1268"/>
      <c r="AO47" s="1269"/>
      <c r="AP47" s="805"/>
      <c r="AQ47" s="805"/>
      <c r="AR47" s="1170" t="str">
        <f ca="1">INDIRECT($J$4&amp;"!C45")</f>
        <v>What</v>
      </c>
      <c r="AS47" s="1170"/>
      <c r="AT47" s="1170"/>
      <c r="AU47" s="1288" t="str">
        <f ca="1">INDIRECT($J$4&amp;"!C49")</f>
        <v xml:space="preserve">Which product/process does the problem concern ? </v>
      </c>
      <c r="AV47" s="1288"/>
      <c r="AW47" s="1288"/>
      <c r="AX47" s="1288"/>
      <c r="AY47" s="1288"/>
      <c r="AZ47" s="1288"/>
      <c r="BA47" s="1288"/>
      <c r="BB47" s="1288"/>
      <c r="BC47" s="1288"/>
      <c r="BD47" s="1288"/>
      <c r="BE47" s="1288"/>
      <c r="BF47" s="1288"/>
      <c r="BG47" s="1288"/>
      <c r="BH47" s="1288"/>
      <c r="BI47" s="1288"/>
      <c r="BJ47" s="1288"/>
      <c r="BK47" s="1288"/>
      <c r="BL47" s="1288"/>
      <c r="BM47" s="1288"/>
      <c r="BN47" s="1288"/>
      <c r="BO47" s="1288"/>
      <c r="BP47" s="1288"/>
      <c r="BQ47" s="1288"/>
      <c r="BR47" s="1288"/>
      <c r="BS47" s="1288"/>
      <c r="BT47" s="1288"/>
      <c r="BU47" s="1288"/>
      <c r="BV47" s="1288"/>
      <c r="BW47" s="1288"/>
      <c r="BX47" s="1288"/>
      <c r="BY47" s="1288"/>
      <c r="BZ47" s="1288"/>
      <c r="CA47" s="1288"/>
      <c r="CB47" s="1288"/>
      <c r="CC47" s="1288"/>
      <c r="CD47" s="1288"/>
      <c r="CE47" s="1288"/>
      <c r="CF47" s="1288"/>
      <c r="CG47" s="1112" t="str">
        <f ca="1">INDIRECT($J$4&amp;"!C57")</f>
        <v>Are there comparable products/processes where the problem did not occur ?</v>
      </c>
      <c r="CH47" s="1112"/>
      <c r="CI47" s="1112"/>
      <c r="CJ47" s="1112"/>
      <c r="CK47" s="1112"/>
      <c r="CL47" s="1112"/>
      <c r="CM47" s="1112"/>
      <c r="CN47" s="1112"/>
      <c r="CO47" s="1112"/>
      <c r="CP47" s="1112"/>
      <c r="CQ47" s="1112"/>
      <c r="CR47" s="1112"/>
      <c r="CS47" s="1112"/>
      <c r="CT47" s="1112"/>
      <c r="CU47" s="1112"/>
      <c r="CV47" s="1112"/>
      <c r="CW47" s="1112"/>
      <c r="CX47" s="1112"/>
      <c r="CY47" s="1112"/>
      <c r="CZ47" s="1112"/>
      <c r="DA47" s="1112"/>
      <c r="DB47" s="1112"/>
      <c r="DC47" s="1112"/>
      <c r="DD47" s="1112"/>
      <c r="DE47" s="1112"/>
      <c r="DF47" s="1112"/>
      <c r="DG47" s="1112"/>
      <c r="DH47" s="1112"/>
      <c r="DI47" s="1112"/>
      <c r="DJ47" s="1112"/>
      <c r="DK47" s="1112"/>
      <c r="DL47" s="1112"/>
      <c r="DM47" s="1112"/>
      <c r="DN47" s="1112"/>
      <c r="DO47" s="1112"/>
      <c r="DP47" s="1112"/>
      <c r="DQ47" s="1112"/>
      <c r="DR47" s="190"/>
      <c r="DS47" s="386"/>
      <c r="DT47" s="378"/>
      <c r="DU47" s="378"/>
    </row>
    <row r="48" spans="1:188" s="365" customFormat="1" ht="34.5" customHeight="1">
      <c r="A48" s="363"/>
      <c r="B48" s="384"/>
      <c r="D48" s="1286" t="str">
        <f ca="1">INDIRECT($J$4&amp;"!C66")</f>
        <v>Problem description</v>
      </c>
      <c r="E48" s="1286"/>
      <c r="F48" s="1286"/>
      <c r="G48" s="1286"/>
      <c r="H48" s="1286"/>
      <c r="I48" s="1286"/>
      <c r="J48" s="1286"/>
      <c r="K48" s="1286"/>
      <c r="L48" s="1286"/>
      <c r="M48" s="1286"/>
      <c r="N48" s="1286"/>
      <c r="O48" s="1286"/>
      <c r="P48" s="1286"/>
      <c r="Q48" s="1286"/>
      <c r="R48" s="1286"/>
      <c r="S48" s="1286"/>
      <c r="T48" s="1286"/>
      <c r="U48" s="1287"/>
      <c r="V48" s="1264"/>
      <c r="W48" s="1265"/>
      <c r="X48" s="1265"/>
      <c r="Y48" s="1265"/>
      <c r="Z48" s="1265"/>
      <c r="AA48" s="1265"/>
      <c r="AB48" s="1265"/>
      <c r="AC48" s="1265"/>
      <c r="AD48" s="1265"/>
      <c r="AE48" s="1265"/>
      <c r="AF48" s="1265"/>
      <c r="AG48" s="1265"/>
      <c r="AH48" s="1265"/>
      <c r="AI48" s="1265"/>
      <c r="AJ48" s="1265"/>
      <c r="AK48" s="1265"/>
      <c r="AL48" s="1265"/>
      <c r="AM48" s="1265"/>
      <c r="AN48" s="1265"/>
      <c r="AO48" s="1266"/>
      <c r="AP48" s="805"/>
      <c r="AQ48" s="396"/>
      <c r="AR48" s="1129"/>
      <c r="AS48" s="1129"/>
      <c r="AT48" s="1129"/>
      <c r="AU48" s="1115"/>
      <c r="AV48" s="1115"/>
      <c r="AW48" s="1115"/>
      <c r="AX48" s="1115"/>
      <c r="AY48" s="1115"/>
      <c r="AZ48" s="1115"/>
      <c r="BA48" s="1115"/>
      <c r="BB48" s="1115"/>
      <c r="BC48" s="1115"/>
      <c r="BD48" s="1115"/>
      <c r="BE48" s="1115"/>
      <c r="BF48" s="1115"/>
      <c r="BG48" s="1115"/>
      <c r="BH48" s="1115"/>
      <c r="BI48" s="1115"/>
      <c r="BJ48" s="1115"/>
      <c r="BK48" s="1115"/>
      <c r="BL48" s="1115"/>
      <c r="BM48" s="1115"/>
      <c r="BN48" s="1115"/>
      <c r="BO48" s="1115"/>
      <c r="BP48" s="1115"/>
      <c r="BQ48" s="1115"/>
      <c r="BR48" s="1115"/>
      <c r="BS48" s="1115"/>
      <c r="BT48" s="1115"/>
      <c r="BU48" s="1115"/>
      <c r="BV48" s="1115"/>
      <c r="BW48" s="1115"/>
      <c r="BX48" s="1115"/>
      <c r="BY48" s="1115"/>
      <c r="BZ48" s="1115"/>
      <c r="CA48" s="1115"/>
      <c r="CB48" s="1115"/>
      <c r="CC48" s="1115"/>
      <c r="CD48" s="1115"/>
      <c r="CE48" s="1115"/>
      <c r="CF48" s="1115"/>
      <c r="CG48" s="1113"/>
      <c r="CH48" s="1113"/>
      <c r="CI48" s="1113"/>
      <c r="CJ48" s="1113"/>
      <c r="CK48" s="1113"/>
      <c r="CL48" s="1113"/>
      <c r="CM48" s="1113"/>
      <c r="CN48" s="1113"/>
      <c r="CO48" s="1113"/>
      <c r="CP48" s="1113"/>
      <c r="CQ48" s="1113"/>
      <c r="CR48" s="1113"/>
      <c r="CS48" s="1113"/>
      <c r="CT48" s="1113"/>
      <c r="CU48" s="1113"/>
      <c r="CV48" s="1113"/>
      <c r="CW48" s="1113"/>
      <c r="CX48" s="1113"/>
      <c r="CY48" s="1113"/>
      <c r="CZ48" s="1113"/>
      <c r="DA48" s="1113"/>
      <c r="DB48" s="1113"/>
      <c r="DC48" s="1113"/>
      <c r="DD48" s="1113"/>
      <c r="DE48" s="1113"/>
      <c r="DF48" s="1113"/>
      <c r="DG48" s="1113"/>
      <c r="DH48" s="1113"/>
      <c r="DI48" s="1113"/>
      <c r="DJ48" s="1113"/>
      <c r="DK48" s="1113"/>
      <c r="DL48" s="1113"/>
      <c r="DM48" s="1113"/>
      <c r="DN48" s="1113"/>
      <c r="DO48" s="1113"/>
      <c r="DP48" s="1113"/>
      <c r="DQ48" s="1113"/>
      <c r="DR48" s="190"/>
      <c r="DS48" s="386"/>
      <c r="DT48" s="378"/>
      <c r="DU48" s="378"/>
      <c r="DV48" s="1141"/>
      <c r="DW48" s="1141"/>
      <c r="DX48" s="1119"/>
      <c r="DY48" s="1119"/>
      <c r="DZ48" s="1119"/>
      <c r="EA48" s="1119"/>
      <c r="EB48" s="1119"/>
      <c r="EC48" s="1119"/>
      <c r="ED48" s="1119"/>
      <c r="EE48" s="1119"/>
      <c r="EF48" s="1119"/>
      <c r="EG48" s="1119"/>
      <c r="EH48" s="1119"/>
      <c r="EI48" s="1119"/>
      <c r="EJ48" s="1119"/>
      <c r="EK48" s="1119"/>
      <c r="EL48" s="1119"/>
      <c r="EM48" s="1119"/>
      <c r="EN48" s="1119"/>
      <c r="EO48" s="1119"/>
      <c r="EP48" s="1119"/>
      <c r="EQ48" s="1119"/>
      <c r="ER48" s="1119"/>
      <c r="ES48" s="1119"/>
      <c r="ET48" s="1119"/>
      <c r="EU48" s="1119"/>
      <c r="EV48" s="1119"/>
      <c r="EW48" s="1119"/>
      <c r="EX48" s="1119"/>
    </row>
    <row r="49" spans="1:240" s="365" customFormat="1" ht="34.5" customHeight="1">
      <c r="A49" s="363"/>
      <c r="B49" s="384"/>
      <c r="D49" s="1286"/>
      <c r="E49" s="1286"/>
      <c r="F49" s="1286"/>
      <c r="G49" s="1286"/>
      <c r="H49" s="1286"/>
      <c r="I49" s="1286"/>
      <c r="J49" s="1286"/>
      <c r="K49" s="1286"/>
      <c r="L49" s="1286"/>
      <c r="M49" s="1286"/>
      <c r="N49" s="1286"/>
      <c r="O49" s="1286"/>
      <c r="P49" s="1286"/>
      <c r="Q49" s="1286"/>
      <c r="R49" s="1286"/>
      <c r="S49" s="1286"/>
      <c r="T49" s="1286"/>
      <c r="U49" s="1287"/>
      <c r="V49" s="1267"/>
      <c r="W49" s="1268"/>
      <c r="X49" s="1268"/>
      <c r="Y49" s="1268"/>
      <c r="Z49" s="1268"/>
      <c r="AA49" s="1268"/>
      <c r="AB49" s="1268"/>
      <c r="AC49" s="1268"/>
      <c r="AD49" s="1268"/>
      <c r="AE49" s="1268"/>
      <c r="AF49" s="1268"/>
      <c r="AG49" s="1268"/>
      <c r="AH49" s="1268"/>
      <c r="AI49" s="1268"/>
      <c r="AJ49" s="1268"/>
      <c r="AK49" s="1268"/>
      <c r="AL49" s="1268"/>
      <c r="AM49" s="1268"/>
      <c r="AN49" s="1268"/>
      <c r="AO49" s="1269"/>
      <c r="AP49" s="191"/>
      <c r="AQ49" s="191"/>
      <c r="AR49" s="1129"/>
      <c r="AS49" s="1129"/>
      <c r="AT49" s="1129"/>
      <c r="AU49" s="1112" t="str">
        <f ca="1">INDIRECT($J$4&amp;"!C50")</f>
        <v>What is the deviation ?</v>
      </c>
      <c r="AV49" s="1112"/>
      <c r="AW49" s="1112"/>
      <c r="AX49" s="1112"/>
      <c r="AY49" s="1112"/>
      <c r="AZ49" s="1112"/>
      <c r="BA49" s="1112"/>
      <c r="BB49" s="1112"/>
      <c r="BC49" s="1112"/>
      <c r="BD49" s="1112"/>
      <c r="BE49" s="1112"/>
      <c r="BF49" s="1112"/>
      <c r="BG49" s="1112"/>
      <c r="BH49" s="1112"/>
      <c r="BI49" s="1112"/>
      <c r="BJ49" s="1112"/>
      <c r="BK49" s="1112"/>
      <c r="BL49" s="1112"/>
      <c r="BM49" s="1112"/>
      <c r="BN49" s="1112"/>
      <c r="BO49" s="1112"/>
      <c r="BP49" s="1112"/>
      <c r="BQ49" s="1112"/>
      <c r="BR49" s="1112"/>
      <c r="BS49" s="1112"/>
      <c r="BT49" s="1112"/>
      <c r="BU49" s="1112"/>
      <c r="BV49" s="1112"/>
      <c r="BW49" s="1112"/>
      <c r="BX49" s="1112"/>
      <c r="BY49" s="1112"/>
      <c r="BZ49" s="1112"/>
      <c r="CA49" s="1112"/>
      <c r="CB49" s="1112"/>
      <c r="CC49" s="1112"/>
      <c r="CD49" s="1112"/>
      <c r="CE49" s="1112"/>
      <c r="CF49" s="1112"/>
      <c r="CG49" s="1112" t="str">
        <f ca="1">INDIRECT($J$4&amp;"!C58")</f>
        <v>Are additional deviations of the affected product/process expected ?</v>
      </c>
      <c r="CH49" s="1112"/>
      <c r="CI49" s="1112"/>
      <c r="CJ49" s="1112"/>
      <c r="CK49" s="1112"/>
      <c r="CL49" s="1112"/>
      <c r="CM49" s="1112"/>
      <c r="CN49" s="1112"/>
      <c r="CO49" s="1112"/>
      <c r="CP49" s="1112"/>
      <c r="CQ49" s="1112"/>
      <c r="CR49" s="1112"/>
      <c r="CS49" s="1112"/>
      <c r="CT49" s="1112"/>
      <c r="CU49" s="1112"/>
      <c r="CV49" s="1112"/>
      <c r="CW49" s="1112"/>
      <c r="CX49" s="1112"/>
      <c r="CY49" s="1112"/>
      <c r="CZ49" s="1112"/>
      <c r="DA49" s="1112"/>
      <c r="DB49" s="1112"/>
      <c r="DC49" s="1112"/>
      <c r="DD49" s="1112"/>
      <c r="DE49" s="1112"/>
      <c r="DF49" s="1112"/>
      <c r="DG49" s="1112"/>
      <c r="DH49" s="1112"/>
      <c r="DI49" s="1112"/>
      <c r="DJ49" s="1112"/>
      <c r="DK49" s="1112"/>
      <c r="DL49" s="1112"/>
      <c r="DM49" s="1112"/>
      <c r="DN49" s="1112"/>
      <c r="DO49" s="1112"/>
      <c r="DP49" s="1112"/>
      <c r="DQ49" s="1112"/>
      <c r="DR49" s="190"/>
      <c r="DS49" s="386"/>
      <c r="DT49" s="378"/>
      <c r="DU49" s="378"/>
      <c r="DV49" s="1141"/>
      <c r="DW49" s="1141"/>
      <c r="DX49" s="1119"/>
      <c r="DY49" s="1119"/>
      <c r="DZ49" s="1119"/>
      <c r="EA49" s="1119"/>
      <c r="EB49" s="1119"/>
      <c r="EC49" s="1119"/>
      <c r="ED49" s="1119"/>
      <c r="EE49" s="1119"/>
      <c r="EF49" s="1119"/>
      <c r="EG49" s="1119"/>
      <c r="EH49" s="1119"/>
      <c r="EI49" s="1119"/>
      <c r="EJ49" s="1119"/>
      <c r="EK49" s="1119"/>
      <c r="EL49" s="1119"/>
      <c r="EM49" s="1119"/>
      <c r="EN49" s="1119"/>
      <c r="EO49" s="1119"/>
      <c r="EP49" s="1119"/>
      <c r="EQ49" s="1119"/>
      <c r="ER49" s="1119"/>
      <c r="ES49" s="1119"/>
      <c r="ET49" s="1119"/>
      <c r="EU49" s="1119"/>
      <c r="EV49" s="1119"/>
      <c r="EW49" s="1119"/>
      <c r="EX49" s="1119"/>
      <c r="EY49" s="397"/>
      <c r="EZ49" s="397"/>
      <c r="FA49" s="397"/>
      <c r="FB49" s="397"/>
      <c r="FC49" s="397"/>
      <c r="FD49" s="397"/>
      <c r="FE49" s="397"/>
      <c r="FF49" s="397"/>
      <c r="FG49" s="397"/>
      <c r="FH49" s="397"/>
      <c r="FI49" s="397"/>
      <c r="FJ49" s="397"/>
      <c r="FK49" s="397"/>
      <c r="FL49" s="397"/>
      <c r="FM49" s="397"/>
      <c r="FN49" s="397"/>
      <c r="FO49" s="397"/>
      <c r="FP49" s="397"/>
      <c r="FQ49" s="397"/>
      <c r="FR49" s="397"/>
      <c r="FS49" s="397"/>
      <c r="FT49" s="397"/>
      <c r="FU49" s="397"/>
      <c r="FV49" s="397"/>
      <c r="FW49" s="397"/>
      <c r="FX49" s="1065"/>
      <c r="FY49" s="1065"/>
      <c r="FZ49" s="1065"/>
      <c r="GA49" s="1065"/>
      <c r="GB49" s="1065"/>
      <c r="GC49" s="1065"/>
      <c r="GD49" s="1065"/>
      <c r="GE49" s="1065"/>
      <c r="GF49" s="1065"/>
      <c r="GG49" s="1065"/>
      <c r="GH49" s="1065"/>
      <c r="GI49" s="1065"/>
      <c r="GJ49" s="1065"/>
      <c r="GK49" s="1065"/>
      <c r="GL49" s="1065"/>
      <c r="GM49" s="1065"/>
      <c r="GN49" s="1065"/>
      <c r="GO49" s="1065"/>
      <c r="GP49" s="1065"/>
      <c r="GQ49" s="1065"/>
      <c r="GR49" s="1065"/>
      <c r="GS49" s="1065"/>
      <c r="GT49" s="1065"/>
      <c r="GU49" s="1065"/>
      <c r="GV49" s="1065"/>
    </row>
    <row r="50" spans="1:240" s="365" customFormat="1" ht="34.5" customHeight="1">
      <c r="A50" s="363"/>
      <c r="B50" s="384"/>
      <c r="AQ50" s="190"/>
      <c r="AR50" s="1129"/>
      <c r="AS50" s="1129"/>
      <c r="AT50" s="1129"/>
      <c r="AU50" s="1115"/>
      <c r="AV50" s="1115"/>
      <c r="AW50" s="1115"/>
      <c r="AX50" s="1115"/>
      <c r="AY50" s="1115"/>
      <c r="AZ50" s="1115"/>
      <c r="BA50" s="1115"/>
      <c r="BB50" s="1115"/>
      <c r="BC50" s="1115"/>
      <c r="BD50" s="1115"/>
      <c r="BE50" s="1115"/>
      <c r="BF50" s="1115"/>
      <c r="BG50" s="1115"/>
      <c r="BH50" s="1115"/>
      <c r="BI50" s="1115"/>
      <c r="BJ50" s="1115"/>
      <c r="BK50" s="1115"/>
      <c r="BL50" s="1115"/>
      <c r="BM50" s="1115"/>
      <c r="BN50" s="1115"/>
      <c r="BO50" s="1115"/>
      <c r="BP50" s="1115"/>
      <c r="BQ50" s="1115"/>
      <c r="BR50" s="1115"/>
      <c r="BS50" s="1115"/>
      <c r="BT50" s="1115"/>
      <c r="BU50" s="1115"/>
      <c r="BV50" s="1115"/>
      <c r="BW50" s="1115"/>
      <c r="BX50" s="1115"/>
      <c r="BY50" s="1115"/>
      <c r="BZ50" s="1115"/>
      <c r="CA50" s="1115"/>
      <c r="CB50" s="1115"/>
      <c r="CC50" s="1115"/>
      <c r="CD50" s="1115"/>
      <c r="CE50" s="1115"/>
      <c r="CF50" s="1115"/>
      <c r="CG50" s="1115"/>
      <c r="CH50" s="1115"/>
      <c r="CI50" s="1115"/>
      <c r="CJ50" s="1115"/>
      <c r="CK50" s="1115"/>
      <c r="CL50" s="1115"/>
      <c r="CM50" s="1115"/>
      <c r="CN50" s="1115"/>
      <c r="CO50" s="1115"/>
      <c r="CP50" s="1115"/>
      <c r="CQ50" s="1115"/>
      <c r="CR50" s="1115"/>
      <c r="CS50" s="1115"/>
      <c r="CT50" s="1115"/>
      <c r="CU50" s="1115"/>
      <c r="CV50" s="1115"/>
      <c r="CW50" s="1115"/>
      <c r="CX50" s="1115"/>
      <c r="CY50" s="1115"/>
      <c r="CZ50" s="1115"/>
      <c r="DA50" s="1115"/>
      <c r="DB50" s="1115"/>
      <c r="DC50" s="1115"/>
      <c r="DD50" s="1115"/>
      <c r="DE50" s="1115"/>
      <c r="DF50" s="1115"/>
      <c r="DG50" s="1115"/>
      <c r="DH50" s="1115"/>
      <c r="DI50" s="1115"/>
      <c r="DJ50" s="1115"/>
      <c r="DK50" s="1115"/>
      <c r="DL50" s="1115"/>
      <c r="DM50" s="1115"/>
      <c r="DN50" s="1115"/>
      <c r="DO50" s="1115"/>
      <c r="DP50" s="1115"/>
      <c r="DQ50" s="1115"/>
      <c r="DR50" s="190"/>
      <c r="DS50" s="386"/>
      <c r="DT50" s="378"/>
      <c r="DU50" s="378"/>
      <c r="DV50" s="1141"/>
      <c r="DW50" s="1141"/>
      <c r="DX50" s="1069"/>
      <c r="DY50" s="1069"/>
      <c r="DZ50" s="1069"/>
      <c r="EA50" s="1069"/>
      <c r="EB50" s="1069"/>
      <c r="EC50" s="1069"/>
      <c r="ED50" s="1069"/>
      <c r="EE50" s="1069"/>
      <c r="EF50" s="1069"/>
      <c r="EG50" s="1069"/>
      <c r="EH50" s="1069"/>
      <c r="EI50" s="1069"/>
      <c r="EJ50" s="1069"/>
      <c r="EK50" s="1069"/>
      <c r="EL50" s="1069"/>
      <c r="EM50" s="1069"/>
      <c r="EN50" s="1069"/>
      <c r="EO50" s="1069"/>
      <c r="EP50" s="1069"/>
      <c r="EQ50" s="1069"/>
      <c r="ER50" s="1069"/>
      <c r="ES50" s="1069"/>
      <c r="ET50" s="1069"/>
      <c r="EU50" s="1069"/>
      <c r="EV50" s="1069"/>
      <c r="EW50" s="1069"/>
      <c r="EX50" s="1069"/>
    </row>
    <row r="51" spans="1:240" s="365" customFormat="1" ht="34.5" customHeight="1">
      <c r="A51" s="363"/>
      <c r="B51" s="384"/>
      <c r="D51" s="1280" t="str">
        <f ca="1">INDIRECT($J$4&amp;"!C31")&amp;" &amp; "&amp;INDIRECT($J$4&amp;"!C32")</f>
        <v>Fault code &amp; Fault description</v>
      </c>
      <c r="E51" s="1280"/>
      <c r="F51" s="1280"/>
      <c r="G51" s="1280"/>
      <c r="H51" s="1280"/>
      <c r="I51" s="1280"/>
      <c r="J51" s="1280"/>
      <c r="K51" s="1280"/>
      <c r="L51" s="1280"/>
      <c r="M51" s="1280"/>
      <c r="N51" s="1280"/>
      <c r="O51" s="1280"/>
      <c r="P51" s="1280"/>
      <c r="Q51" s="1280"/>
      <c r="R51" s="1280"/>
      <c r="S51" s="1280"/>
      <c r="T51" s="1280"/>
      <c r="U51" s="1280"/>
      <c r="V51" s="1280"/>
      <c r="W51" s="1280"/>
      <c r="X51" s="190"/>
      <c r="Y51" s="190"/>
      <c r="Z51" s="190"/>
      <c r="AA51" s="190"/>
      <c r="AB51" s="190"/>
      <c r="AC51" s="190"/>
      <c r="AD51" s="190"/>
      <c r="AE51" s="190"/>
      <c r="AF51" s="190"/>
      <c r="AG51" s="190"/>
      <c r="AH51" s="1281"/>
      <c r="AI51" s="1282"/>
      <c r="AJ51" s="1282"/>
      <c r="AK51" s="1282"/>
      <c r="AL51" s="1282"/>
      <c r="AM51" s="1282"/>
      <c r="AN51" s="1282"/>
      <c r="AO51" s="1283"/>
      <c r="AP51" s="398"/>
      <c r="AQ51" s="398"/>
      <c r="AR51" s="1129" t="str">
        <f ca="1">INDIRECT($J$4&amp;"!C46")</f>
        <v>Where</v>
      </c>
      <c r="AS51" s="1129"/>
      <c r="AT51" s="1129"/>
      <c r="AU51" s="1112" t="str">
        <f ca="1">INDIRECT($J$4&amp;"!C51")</f>
        <v>Where was the product/process when the deviation first occurred ?</v>
      </c>
      <c r="AV51" s="1112"/>
      <c r="AW51" s="1112"/>
      <c r="AX51" s="1112"/>
      <c r="AY51" s="1112"/>
      <c r="AZ51" s="1112"/>
      <c r="BA51" s="1112"/>
      <c r="BB51" s="1112"/>
      <c r="BC51" s="1112"/>
      <c r="BD51" s="1112"/>
      <c r="BE51" s="1112"/>
      <c r="BF51" s="1112"/>
      <c r="BG51" s="1112"/>
      <c r="BH51" s="1112"/>
      <c r="BI51" s="1112"/>
      <c r="BJ51" s="1112"/>
      <c r="BK51" s="1112"/>
      <c r="BL51" s="1112"/>
      <c r="BM51" s="1112"/>
      <c r="BN51" s="1112"/>
      <c r="BO51" s="1112"/>
      <c r="BP51" s="1112"/>
      <c r="BQ51" s="1112"/>
      <c r="BR51" s="1112"/>
      <c r="BS51" s="1112"/>
      <c r="BT51" s="1112"/>
      <c r="BU51" s="1112"/>
      <c r="BV51" s="1112"/>
      <c r="BW51" s="1112"/>
      <c r="BX51" s="1112"/>
      <c r="BY51" s="1112"/>
      <c r="BZ51" s="1112"/>
      <c r="CA51" s="1112"/>
      <c r="CB51" s="1112"/>
      <c r="CC51" s="1112"/>
      <c r="CD51" s="1112"/>
      <c r="CE51" s="1112"/>
      <c r="CF51" s="1112"/>
      <c r="CG51" s="1112" t="str">
        <f ca="1">INDIRECT($J$4&amp;"!C59")</f>
        <v>Where else could the deviation occur ?</v>
      </c>
      <c r="CH51" s="1112"/>
      <c r="CI51" s="1112"/>
      <c r="CJ51" s="1112"/>
      <c r="CK51" s="1112"/>
      <c r="CL51" s="1112"/>
      <c r="CM51" s="1112"/>
      <c r="CN51" s="1112"/>
      <c r="CO51" s="1112"/>
      <c r="CP51" s="1112"/>
      <c r="CQ51" s="1112"/>
      <c r="CR51" s="1112"/>
      <c r="CS51" s="1112"/>
      <c r="CT51" s="1112"/>
      <c r="CU51" s="1112"/>
      <c r="CV51" s="1112"/>
      <c r="CW51" s="1112"/>
      <c r="CX51" s="1112"/>
      <c r="CY51" s="1112"/>
      <c r="CZ51" s="1112"/>
      <c r="DA51" s="1112"/>
      <c r="DB51" s="1112"/>
      <c r="DC51" s="1112"/>
      <c r="DD51" s="1112"/>
      <c r="DE51" s="1112"/>
      <c r="DF51" s="1112"/>
      <c r="DG51" s="1112"/>
      <c r="DH51" s="1112"/>
      <c r="DI51" s="1112"/>
      <c r="DJ51" s="1112"/>
      <c r="DK51" s="1112"/>
      <c r="DL51" s="1112"/>
      <c r="DM51" s="1112"/>
      <c r="DN51" s="1112"/>
      <c r="DO51" s="1112"/>
      <c r="DP51" s="1112"/>
      <c r="DQ51" s="1112"/>
      <c r="DR51" s="190"/>
      <c r="DS51" s="386"/>
      <c r="DT51" s="378"/>
      <c r="DU51" s="378"/>
      <c r="DV51" s="1141"/>
      <c r="DW51" s="1141"/>
      <c r="DX51" s="1069"/>
      <c r="DY51" s="1069"/>
      <c r="DZ51" s="1069"/>
      <c r="EA51" s="1069"/>
      <c r="EB51" s="1069"/>
      <c r="EC51" s="1069"/>
      <c r="ED51" s="1069"/>
      <c r="EE51" s="1069"/>
      <c r="EF51" s="1069"/>
      <c r="EG51" s="1069"/>
      <c r="EH51" s="1069"/>
      <c r="EI51" s="1069"/>
      <c r="EJ51" s="1069"/>
      <c r="EK51" s="1069"/>
      <c r="EL51" s="1069"/>
      <c r="EM51" s="1069"/>
      <c r="EN51" s="1069"/>
      <c r="EO51" s="1069"/>
      <c r="EP51" s="1069"/>
      <c r="EQ51" s="1069"/>
      <c r="ER51" s="1069"/>
      <c r="ES51" s="1069"/>
      <c r="ET51" s="1069"/>
      <c r="EU51" s="1069"/>
      <c r="EV51" s="1069"/>
      <c r="EW51" s="1069"/>
      <c r="EX51" s="399"/>
    </row>
    <row r="52" spans="1:240" s="365" customFormat="1" ht="34.5" customHeight="1">
      <c r="A52" s="363"/>
      <c r="B52" s="384"/>
      <c r="D52" s="1172" t="e">
        <f>VLOOKUP(AH51,'Fault catalogue'!A2:C574,3,0)</f>
        <v>#N/A</v>
      </c>
      <c r="E52" s="1173"/>
      <c r="F52" s="1173"/>
      <c r="G52" s="1173"/>
      <c r="H52" s="1173"/>
      <c r="I52" s="1173"/>
      <c r="J52" s="1173"/>
      <c r="K52" s="1173"/>
      <c r="L52" s="1173"/>
      <c r="M52" s="1173"/>
      <c r="N52" s="1173"/>
      <c r="O52" s="1173"/>
      <c r="P52" s="1173"/>
      <c r="Q52" s="1173"/>
      <c r="R52" s="1173"/>
      <c r="S52" s="1173"/>
      <c r="T52" s="1173"/>
      <c r="U52" s="1173"/>
      <c r="V52" s="1173"/>
      <c r="W52" s="1173"/>
      <c r="X52" s="1173"/>
      <c r="Y52" s="1173"/>
      <c r="Z52" s="1173"/>
      <c r="AA52" s="1173"/>
      <c r="AB52" s="1173"/>
      <c r="AC52" s="1173"/>
      <c r="AD52" s="1173"/>
      <c r="AE52" s="1173"/>
      <c r="AF52" s="1173"/>
      <c r="AG52" s="1173"/>
      <c r="AH52" s="1173"/>
      <c r="AI52" s="1173"/>
      <c r="AJ52" s="1173"/>
      <c r="AK52" s="1173"/>
      <c r="AL52" s="1173"/>
      <c r="AM52" s="1173"/>
      <c r="AN52" s="1173"/>
      <c r="AO52" s="1174"/>
      <c r="AP52" s="366"/>
      <c r="AQ52" s="190"/>
      <c r="AR52" s="1129"/>
      <c r="AS52" s="1129"/>
      <c r="AT52" s="1129"/>
      <c r="AU52" s="1115"/>
      <c r="AV52" s="1115"/>
      <c r="AW52" s="1115"/>
      <c r="AX52" s="1115"/>
      <c r="AY52" s="1115"/>
      <c r="AZ52" s="1115"/>
      <c r="BA52" s="1115"/>
      <c r="BB52" s="1115"/>
      <c r="BC52" s="1115"/>
      <c r="BD52" s="1115"/>
      <c r="BE52" s="1115"/>
      <c r="BF52" s="1115"/>
      <c r="BG52" s="1115"/>
      <c r="BH52" s="1115"/>
      <c r="BI52" s="1115"/>
      <c r="BJ52" s="1115"/>
      <c r="BK52" s="1115"/>
      <c r="BL52" s="1115"/>
      <c r="BM52" s="1115"/>
      <c r="BN52" s="1115"/>
      <c r="BO52" s="1115"/>
      <c r="BP52" s="1115"/>
      <c r="BQ52" s="1115"/>
      <c r="BR52" s="1115"/>
      <c r="BS52" s="1115"/>
      <c r="BT52" s="1115"/>
      <c r="BU52" s="1115"/>
      <c r="BV52" s="1115"/>
      <c r="BW52" s="1115"/>
      <c r="BX52" s="1115"/>
      <c r="BY52" s="1115"/>
      <c r="BZ52" s="1115"/>
      <c r="CA52" s="1115"/>
      <c r="CB52" s="1115"/>
      <c r="CC52" s="1115"/>
      <c r="CD52" s="1115"/>
      <c r="CE52" s="1115"/>
      <c r="CF52" s="1115"/>
      <c r="CG52" s="1115"/>
      <c r="CH52" s="1115"/>
      <c r="CI52" s="1115"/>
      <c r="CJ52" s="1115"/>
      <c r="CK52" s="1115"/>
      <c r="CL52" s="1115"/>
      <c r="CM52" s="1115"/>
      <c r="CN52" s="1115"/>
      <c r="CO52" s="1115"/>
      <c r="CP52" s="1115"/>
      <c r="CQ52" s="1115"/>
      <c r="CR52" s="1115"/>
      <c r="CS52" s="1115"/>
      <c r="CT52" s="1115"/>
      <c r="CU52" s="1115"/>
      <c r="CV52" s="1115"/>
      <c r="CW52" s="1115"/>
      <c r="CX52" s="1115"/>
      <c r="CY52" s="1115"/>
      <c r="CZ52" s="1115"/>
      <c r="DA52" s="1115"/>
      <c r="DB52" s="1115"/>
      <c r="DC52" s="1115"/>
      <c r="DD52" s="1115"/>
      <c r="DE52" s="1115"/>
      <c r="DF52" s="1115"/>
      <c r="DG52" s="1115"/>
      <c r="DH52" s="1115"/>
      <c r="DI52" s="1115"/>
      <c r="DJ52" s="1115"/>
      <c r="DK52" s="1115"/>
      <c r="DL52" s="1115"/>
      <c r="DM52" s="1115"/>
      <c r="DN52" s="1115"/>
      <c r="DO52" s="1115"/>
      <c r="DP52" s="1115"/>
      <c r="DQ52" s="1115"/>
      <c r="DR52" s="190"/>
      <c r="DS52" s="386"/>
      <c r="DT52" s="378"/>
      <c r="DU52" s="378"/>
      <c r="DV52" s="1141"/>
      <c r="DW52" s="1141"/>
      <c r="DX52" s="1119"/>
      <c r="DY52" s="1119"/>
      <c r="DZ52" s="1119"/>
      <c r="EA52" s="1119"/>
      <c r="EB52" s="1119"/>
      <c r="EC52" s="1119"/>
      <c r="ED52" s="1119"/>
      <c r="EE52" s="1119"/>
      <c r="EF52" s="1119"/>
      <c r="EG52" s="1119"/>
      <c r="EH52" s="1119"/>
      <c r="EI52" s="1119"/>
      <c r="EJ52" s="1119"/>
      <c r="EK52" s="1119"/>
      <c r="EL52" s="1119"/>
      <c r="EM52" s="1119"/>
      <c r="EN52" s="1119"/>
      <c r="EO52" s="1119"/>
      <c r="EP52" s="1119"/>
      <c r="EQ52" s="1119"/>
      <c r="ER52" s="1119"/>
      <c r="ES52" s="1119"/>
      <c r="ET52" s="1119"/>
      <c r="EU52" s="1119"/>
      <c r="EV52" s="1119"/>
      <c r="EW52" s="1119"/>
      <c r="EX52" s="1119"/>
    </row>
    <row r="53" spans="1:240" s="365" customFormat="1" ht="34.5" customHeight="1">
      <c r="A53" s="363"/>
      <c r="B53" s="384"/>
      <c r="AQ53" s="190"/>
      <c r="AR53" s="1129"/>
      <c r="AS53" s="1129"/>
      <c r="AT53" s="1129"/>
      <c r="AU53" s="1112" t="str">
        <f ca="1">INDIRECT($J$4&amp;"!C52")</f>
        <v>Where in the product/process did the deviation occur ?</v>
      </c>
      <c r="AV53" s="1112"/>
      <c r="AW53" s="1112"/>
      <c r="AX53" s="1112"/>
      <c r="AY53" s="1112"/>
      <c r="AZ53" s="1112"/>
      <c r="BA53" s="1112"/>
      <c r="BB53" s="1112"/>
      <c r="BC53" s="1112"/>
      <c r="BD53" s="1112"/>
      <c r="BE53" s="1112"/>
      <c r="BF53" s="1112"/>
      <c r="BG53" s="1112"/>
      <c r="BH53" s="1112"/>
      <c r="BI53" s="1112"/>
      <c r="BJ53" s="1112"/>
      <c r="BK53" s="1112"/>
      <c r="BL53" s="1112"/>
      <c r="BM53" s="1112"/>
      <c r="BN53" s="1112"/>
      <c r="BO53" s="1112"/>
      <c r="BP53" s="1112"/>
      <c r="BQ53" s="1112"/>
      <c r="BR53" s="1112"/>
      <c r="BS53" s="1112"/>
      <c r="BT53" s="1112"/>
      <c r="BU53" s="1112"/>
      <c r="BV53" s="1112"/>
      <c r="BW53" s="1112"/>
      <c r="BX53" s="1112"/>
      <c r="BY53" s="1112"/>
      <c r="BZ53" s="1112"/>
      <c r="CA53" s="1112"/>
      <c r="CB53" s="1112"/>
      <c r="CC53" s="1112"/>
      <c r="CD53" s="1112"/>
      <c r="CE53" s="1112"/>
      <c r="CF53" s="1112"/>
      <c r="CG53" s="1112" t="str">
        <f ca="1">INDIRECT($J$4&amp;"!C60")</f>
        <v>What are the names of the neighbouring products/processes and which of them are not affected by the deviation ?</v>
      </c>
      <c r="CH53" s="1112"/>
      <c r="CI53" s="1112"/>
      <c r="CJ53" s="1112"/>
      <c r="CK53" s="1112"/>
      <c r="CL53" s="1112"/>
      <c r="CM53" s="1112"/>
      <c r="CN53" s="1112"/>
      <c r="CO53" s="1112"/>
      <c r="CP53" s="1112"/>
      <c r="CQ53" s="1112"/>
      <c r="CR53" s="1112"/>
      <c r="CS53" s="1112"/>
      <c r="CT53" s="1112"/>
      <c r="CU53" s="1112"/>
      <c r="CV53" s="1112"/>
      <c r="CW53" s="1112"/>
      <c r="CX53" s="1112"/>
      <c r="CY53" s="1112"/>
      <c r="CZ53" s="1112"/>
      <c r="DA53" s="1112"/>
      <c r="DB53" s="1112"/>
      <c r="DC53" s="1112"/>
      <c r="DD53" s="1112"/>
      <c r="DE53" s="1112"/>
      <c r="DF53" s="1112"/>
      <c r="DG53" s="1112"/>
      <c r="DH53" s="1112"/>
      <c r="DI53" s="1112"/>
      <c r="DJ53" s="1112"/>
      <c r="DK53" s="1112"/>
      <c r="DL53" s="1112"/>
      <c r="DM53" s="1112"/>
      <c r="DN53" s="1112"/>
      <c r="DO53" s="1112"/>
      <c r="DP53" s="1112"/>
      <c r="DQ53" s="1112"/>
      <c r="DR53" s="190"/>
      <c r="DS53" s="386"/>
      <c r="DT53" s="378"/>
      <c r="DU53" s="378"/>
      <c r="DV53" s="1141"/>
      <c r="DW53" s="1141"/>
      <c r="DX53" s="1118"/>
      <c r="DY53" s="1118"/>
      <c r="DZ53" s="1118"/>
      <c r="EA53" s="1118"/>
      <c r="EB53" s="1118"/>
      <c r="EC53" s="1118"/>
      <c r="ED53" s="1118"/>
      <c r="EE53" s="1118"/>
      <c r="EF53" s="1118"/>
      <c r="EG53" s="1118"/>
      <c r="EH53" s="1118"/>
      <c r="EI53" s="1118"/>
      <c r="EJ53" s="1118"/>
      <c r="EK53" s="1118"/>
      <c r="EL53" s="1118"/>
      <c r="EM53" s="1118"/>
      <c r="EN53" s="1118"/>
      <c r="EO53" s="1118"/>
      <c r="EP53" s="1118"/>
      <c r="EQ53" s="1118"/>
      <c r="ER53" s="1118"/>
      <c r="ES53" s="1118"/>
      <c r="ET53" s="1118"/>
      <c r="EU53" s="1118"/>
      <c r="EV53" s="1118"/>
      <c r="EW53" s="1118"/>
      <c r="EX53" s="1118"/>
      <c r="EY53" s="401"/>
      <c r="EZ53" s="401"/>
      <c r="FA53" s="401"/>
      <c r="FB53" s="401"/>
      <c r="FC53" s="401"/>
      <c r="FD53" s="401"/>
      <c r="FE53" s="401"/>
      <c r="FF53" s="401"/>
      <c r="FG53" s="401"/>
      <c r="FH53" s="401"/>
      <c r="FI53" s="401"/>
      <c r="FJ53" s="401"/>
      <c r="FK53" s="401"/>
      <c r="FL53" s="401"/>
      <c r="FM53" s="401"/>
      <c r="FN53" s="401"/>
      <c r="FO53" s="401"/>
      <c r="FP53" s="401"/>
      <c r="FQ53" s="401"/>
      <c r="FR53" s="401"/>
      <c r="FS53" s="401"/>
      <c r="FT53" s="401"/>
      <c r="FU53" s="401"/>
      <c r="FV53" s="190"/>
      <c r="FW53" s="190"/>
      <c r="FX53" s="190"/>
      <c r="FY53" s="190"/>
      <c r="FZ53" s="190"/>
      <c r="GA53" s="190"/>
      <c r="GB53" s="402"/>
      <c r="GC53" s="402"/>
      <c r="GD53" s="402"/>
      <c r="GE53" s="402"/>
      <c r="GF53" s="402"/>
      <c r="GG53" s="402"/>
      <c r="GH53" s="402"/>
      <c r="GI53" s="402"/>
      <c r="GJ53" s="402"/>
      <c r="GK53" s="402"/>
      <c r="GL53" s="402"/>
      <c r="GM53" s="402"/>
      <c r="GN53" s="402"/>
      <c r="GO53" s="402"/>
      <c r="GP53" s="402"/>
      <c r="GQ53" s="402"/>
      <c r="GR53" s="402"/>
      <c r="GS53" s="402"/>
      <c r="GT53" s="402"/>
      <c r="GU53" s="402"/>
      <c r="GV53" s="402"/>
      <c r="GW53" s="402"/>
      <c r="GX53" s="402"/>
      <c r="GY53" s="402"/>
      <c r="GZ53" s="402"/>
      <c r="HA53" s="402"/>
      <c r="HB53" s="402"/>
      <c r="HC53" s="402"/>
      <c r="HD53" s="402"/>
      <c r="HE53" s="402"/>
      <c r="HF53" s="402"/>
      <c r="HG53" s="402"/>
      <c r="HH53" s="1100"/>
      <c r="HI53" s="1100"/>
      <c r="HJ53" s="1100"/>
      <c r="HK53" s="1100"/>
      <c r="HL53" s="1100"/>
      <c r="HM53" s="1100"/>
      <c r="HN53" s="1100"/>
      <c r="HO53" s="1100"/>
      <c r="HP53" s="1100"/>
      <c r="HQ53" s="1100"/>
      <c r="HR53" s="1100"/>
      <c r="HS53" s="1100"/>
      <c r="HT53" s="1100"/>
      <c r="HU53" s="1100"/>
      <c r="HV53" s="1100"/>
      <c r="HW53" s="1100"/>
      <c r="HX53" s="1100"/>
      <c r="HY53" s="1100"/>
      <c r="HZ53" s="1100"/>
      <c r="IA53" s="1100"/>
      <c r="IB53" s="1100"/>
      <c r="IC53" s="1100"/>
      <c r="ID53" s="1100"/>
      <c r="IE53" s="1100"/>
      <c r="IF53" s="1100"/>
    </row>
    <row r="54" spans="1:240" s="365" customFormat="1" ht="34.5" customHeight="1">
      <c r="A54" s="363"/>
      <c r="B54" s="384"/>
      <c r="D54" s="805" t="str">
        <f ca="1">INDIRECT($J$4&amp;"!C33")</f>
        <v>Fault location</v>
      </c>
      <c r="E54" s="805"/>
      <c r="F54" s="805"/>
      <c r="G54" s="805"/>
      <c r="H54" s="805"/>
      <c r="I54" s="805"/>
      <c r="J54" s="805"/>
      <c r="K54" s="805"/>
      <c r="L54" s="805"/>
      <c r="M54" s="1144"/>
      <c r="N54" s="1144"/>
      <c r="O54" s="1144"/>
      <c r="P54" s="1144"/>
      <c r="Q54" s="1144"/>
      <c r="R54" s="1144"/>
      <c r="S54" s="1144"/>
      <c r="T54" s="1144"/>
      <c r="U54" s="1144"/>
      <c r="V54" s="1144"/>
      <c r="W54" s="1144"/>
      <c r="X54" s="1144"/>
      <c r="Y54" s="1144"/>
      <c r="Z54" s="1144"/>
      <c r="AA54" s="1144"/>
      <c r="AB54" s="1144"/>
      <c r="AC54" s="1144"/>
      <c r="AD54" s="1144"/>
      <c r="AE54" s="1144"/>
      <c r="AF54" s="1144"/>
      <c r="AG54" s="1144"/>
      <c r="AH54" s="1144"/>
      <c r="AI54" s="1144"/>
      <c r="AJ54" s="1144"/>
      <c r="AK54" s="1144"/>
      <c r="AL54" s="1144"/>
      <c r="AM54" s="1144"/>
      <c r="AN54" s="1144"/>
      <c r="AO54" s="1144"/>
      <c r="AQ54" s="378"/>
      <c r="AR54" s="1129"/>
      <c r="AS54" s="1129"/>
      <c r="AT54" s="1129"/>
      <c r="AU54" s="1115"/>
      <c r="AV54" s="1115"/>
      <c r="AW54" s="1115"/>
      <c r="AX54" s="1115"/>
      <c r="AY54" s="1115"/>
      <c r="AZ54" s="1115"/>
      <c r="BA54" s="1115"/>
      <c r="BB54" s="1115"/>
      <c r="BC54" s="1115"/>
      <c r="BD54" s="1115"/>
      <c r="BE54" s="1115"/>
      <c r="BF54" s="1115"/>
      <c r="BG54" s="1115"/>
      <c r="BH54" s="1115"/>
      <c r="BI54" s="1115"/>
      <c r="BJ54" s="1115"/>
      <c r="BK54" s="1115"/>
      <c r="BL54" s="1115"/>
      <c r="BM54" s="1115"/>
      <c r="BN54" s="1115"/>
      <c r="BO54" s="1115"/>
      <c r="BP54" s="1115"/>
      <c r="BQ54" s="1115"/>
      <c r="BR54" s="1115"/>
      <c r="BS54" s="1115"/>
      <c r="BT54" s="1115"/>
      <c r="BU54" s="1115"/>
      <c r="BV54" s="1115"/>
      <c r="BW54" s="1115"/>
      <c r="BX54" s="1115"/>
      <c r="BY54" s="1115"/>
      <c r="BZ54" s="1115"/>
      <c r="CA54" s="1115"/>
      <c r="CB54" s="1115"/>
      <c r="CC54" s="1115"/>
      <c r="CD54" s="1115"/>
      <c r="CE54" s="1115"/>
      <c r="CF54" s="1115"/>
      <c r="CG54" s="1115"/>
      <c r="CH54" s="1115"/>
      <c r="CI54" s="1115"/>
      <c r="CJ54" s="1115"/>
      <c r="CK54" s="1115"/>
      <c r="CL54" s="1115"/>
      <c r="CM54" s="1115"/>
      <c r="CN54" s="1115"/>
      <c r="CO54" s="1115"/>
      <c r="CP54" s="1115"/>
      <c r="CQ54" s="1115"/>
      <c r="CR54" s="1115"/>
      <c r="CS54" s="1115"/>
      <c r="CT54" s="1115"/>
      <c r="CU54" s="1115"/>
      <c r="CV54" s="1115"/>
      <c r="CW54" s="1115"/>
      <c r="CX54" s="1115"/>
      <c r="CY54" s="1115"/>
      <c r="CZ54" s="1115"/>
      <c r="DA54" s="1115"/>
      <c r="DB54" s="1115"/>
      <c r="DC54" s="1115"/>
      <c r="DD54" s="1115"/>
      <c r="DE54" s="1115"/>
      <c r="DF54" s="1115"/>
      <c r="DG54" s="1115"/>
      <c r="DH54" s="1115"/>
      <c r="DI54" s="1115"/>
      <c r="DJ54" s="1115"/>
      <c r="DK54" s="1115"/>
      <c r="DL54" s="1115"/>
      <c r="DM54" s="1115"/>
      <c r="DN54" s="1115"/>
      <c r="DO54" s="1115"/>
      <c r="DP54" s="1115"/>
      <c r="DQ54" s="1115"/>
      <c r="DR54" s="190"/>
      <c r="DS54" s="386"/>
      <c r="DT54" s="378"/>
      <c r="DU54" s="378"/>
      <c r="DV54" s="1130"/>
      <c r="DW54" s="1130"/>
      <c r="DX54" s="1117"/>
      <c r="DY54" s="1117"/>
      <c r="DZ54" s="1117"/>
      <c r="EA54" s="1117"/>
      <c r="EB54" s="1117"/>
      <c r="EC54" s="1117"/>
      <c r="ED54" s="1117"/>
      <c r="EE54" s="1117"/>
      <c r="EF54" s="1117"/>
      <c r="EG54" s="1117"/>
      <c r="EH54" s="1117"/>
      <c r="EI54" s="1117"/>
      <c r="EJ54" s="1117"/>
      <c r="EK54" s="1117"/>
      <c r="EL54" s="1117"/>
      <c r="EM54" s="1117"/>
      <c r="EN54" s="1117"/>
      <c r="EO54" s="1117"/>
      <c r="EP54" s="1117"/>
      <c r="EQ54" s="1117"/>
      <c r="ER54" s="1117"/>
      <c r="ES54" s="1117"/>
      <c r="ET54" s="1117"/>
      <c r="EU54" s="1117"/>
      <c r="EV54" s="1117"/>
      <c r="EW54" s="1117"/>
      <c r="EX54" s="403"/>
      <c r="EY54" s="401"/>
      <c r="EZ54" s="401"/>
      <c r="FA54" s="401"/>
      <c r="FB54" s="401"/>
      <c r="FC54" s="401"/>
      <c r="FD54" s="401"/>
      <c r="FE54" s="401"/>
      <c r="FF54" s="401"/>
      <c r="FG54" s="401"/>
      <c r="FH54" s="401"/>
      <c r="FI54" s="401"/>
      <c r="FJ54" s="401"/>
      <c r="FK54" s="401"/>
      <c r="FL54" s="401"/>
      <c r="FM54" s="401"/>
      <c r="FN54" s="401"/>
      <c r="FO54" s="401"/>
      <c r="FP54" s="401"/>
      <c r="FQ54" s="401"/>
      <c r="FR54" s="401"/>
      <c r="FS54" s="401"/>
      <c r="FT54" s="401"/>
      <c r="FU54" s="401"/>
      <c r="FV54" s="190"/>
      <c r="FW54" s="190"/>
      <c r="FX54" s="190"/>
      <c r="FY54" s="190"/>
      <c r="FZ54" s="190"/>
      <c r="GA54" s="190"/>
      <c r="GB54" s="402"/>
      <c r="GC54" s="402"/>
      <c r="GD54" s="402"/>
      <c r="GE54" s="402"/>
      <c r="GF54" s="402"/>
      <c r="GG54" s="402"/>
      <c r="GH54" s="402"/>
      <c r="GI54" s="402"/>
      <c r="GJ54" s="402"/>
      <c r="GK54" s="402"/>
      <c r="GL54" s="402"/>
      <c r="GM54" s="402"/>
      <c r="GN54" s="402"/>
      <c r="GO54" s="402"/>
      <c r="GP54" s="402"/>
      <c r="GQ54" s="402"/>
      <c r="GR54" s="402"/>
      <c r="GS54" s="402"/>
      <c r="GT54" s="402"/>
      <c r="GU54" s="402"/>
      <c r="GV54" s="402"/>
      <c r="GW54" s="402"/>
      <c r="GX54" s="402"/>
      <c r="GY54" s="402"/>
      <c r="GZ54" s="402"/>
      <c r="HA54" s="402"/>
      <c r="HB54" s="402"/>
      <c r="HC54" s="402"/>
      <c r="HD54" s="402"/>
      <c r="HE54" s="402"/>
      <c r="HF54" s="402"/>
      <c r="HG54" s="402"/>
      <c r="HH54" s="358"/>
      <c r="HI54" s="358"/>
      <c r="HJ54" s="358"/>
      <c r="HK54" s="358"/>
      <c r="HL54" s="358"/>
      <c r="HM54" s="358"/>
      <c r="HN54" s="358"/>
      <c r="HO54" s="358"/>
      <c r="HP54" s="358"/>
      <c r="HQ54" s="358"/>
      <c r="HR54" s="358"/>
      <c r="HS54" s="358"/>
      <c r="HT54" s="358"/>
      <c r="HU54" s="358"/>
      <c r="HV54" s="358"/>
      <c r="HW54" s="358"/>
      <c r="HX54" s="358"/>
      <c r="HY54" s="358"/>
      <c r="HZ54" s="358"/>
      <c r="IA54" s="358"/>
      <c r="IB54" s="358"/>
      <c r="IC54" s="358"/>
      <c r="ID54" s="358"/>
      <c r="IE54" s="358"/>
      <c r="IF54" s="358"/>
    </row>
    <row r="55" spans="1:240" s="365" customFormat="1" ht="34.5" customHeight="1">
      <c r="A55" s="363"/>
      <c r="B55" s="384"/>
      <c r="X55" s="378"/>
      <c r="Y55" s="378"/>
      <c r="Z55" s="378"/>
      <c r="AA55" s="378"/>
      <c r="AO55" s="191"/>
      <c r="AP55" s="378"/>
      <c r="AQ55" s="404"/>
      <c r="AR55" s="1158" t="str">
        <f ca="1">INDIRECT($J$4&amp;"!C47")</f>
        <v>When</v>
      </c>
      <c r="AS55" s="1159"/>
      <c r="AT55" s="1160"/>
      <c r="AU55" s="1112" t="str">
        <f ca="1">INDIRECT($J$4&amp;"!C53")</f>
        <v>When was the deviation first detected ? (Date of occurrence &amp; life cycle)</v>
      </c>
      <c r="AV55" s="1112"/>
      <c r="AW55" s="1112"/>
      <c r="AX55" s="1112"/>
      <c r="AY55" s="1112"/>
      <c r="AZ55" s="1112"/>
      <c r="BA55" s="1112"/>
      <c r="BB55" s="1112"/>
      <c r="BC55" s="1112"/>
      <c r="BD55" s="1112"/>
      <c r="BE55" s="1112"/>
      <c r="BF55" s="1112"/>
      <c r="BG55" s="1112"/>
      <c r="BH55" s="1112"/>
      <c r="BI55" s="1112"/>
      <c r="BJ55" s="1112"/>
      <c r="BK55" s="1112"/>
      <c r="BL55" s="1112"/>
      <c r="BM55" s="1112"/>
      <c r="BN55" s="1112"/>
      <c r="BO55" s="1112"/>
      <c r="BP55" s="1112"/>
      <c r="BQ55" s="1112"/>
      <c r="BR55" s="1112"/>
      <c r="BS55" s="1112"/>
      <c r="BT55" s="1112"/>
      <c r="BU55" s="1112"/>
      <c r="BV55" s="1112"/>
      <c r="BW55" s="1112"/>
      <c r="BX55" s="1112"/>
      <c r="BY55" s="1112"/>
      <c r="BZ55" s="1112"/>
      <c r="CA55" s="1112"/>
      <c r="CB55" s="1112"/>
      <c r="CC55" s="1112"/>
      <c r="CD55" s="1112"/>
      <c r="CE55" s="1112"/>
      <c r="CF55" s="1112"/>
      <c r="CG55" s="1112" t="str">
        <f ca="1">INDIRECT($J$4&amp;"!C61")</f>
        <v>Can the problem have occurred in an earlier phase/time ?</v>
      </c>
      <c r="CH55" s="1112"/>
      <c r="CI55" s="1112"/>
      <c r="CJ55" s="1112"/>
      <c r="CK55" s="1112"/>
      <c r="CL55" s="1112"/>
      <c r="CM55" s="1112"/>
      <c r="CN55" s="1112"/>
      <c r="CO55" s="1112"/>
      <c r="CP55" s="1112"/>
      <c r="CQ55" s="1112"/>
      <c r="CR55" s="1112"/>
      <c r="CS55" s="1112"/>
      <c r="CT55" s="1112"/>
      <c r="CU55" s="1112"/>
      <c r="CV55" s="1112"/>
      <c r="CW55" s="1112"/>
      <c r="CX55" s="1112"/>
      <c r="CY55" s="1112"/>
      <c r="CZ55" s="1112"/>
      <c r="DA55" s="1112"/>
      <c r="DB55" s="1112"/>
      <c r="DC55" s="1112"/>
      <c r="DD55" s="1112"/>
      <c r="DE55" s="1112"/>
      <c r="DF55" s="1112"/>
      <c r="DG55" s="1112"/>
      <c r="DH55" s="1112"/>
      <c r="DI55" s="1112"/>
      <c r="DJ55" s="1112"/>
      <c r="DK55" s="1112"/>
      <c r="DL55" s="1112"/>
      <c r="DM55" s="1112"/>
      <c r="DN55" s="1112"/>
      <c r="DO55" s="1112"/>
      <c r="DP55" s="1112"/>
      <c r="DQ55" s="1112"/>
      <c r="DR55" s="190"/>
      <c r="DS55" s="386"/>
      <c r="DT55" s="378"/>
      <c r="DU55" s="378"/>
      <c r="DV55" s="1130"/>
      <c r="DW55" s="1130"/>
      <c r="DX55" s="1117"/>
      <c r="DY55" s="1117"/>
      <c r="DZ55" s="1117"/>
      <c r="EA55" s="1117"/>
      <c r="EB55" s="1117"/>
      <c r="EC55" s="1117"/>
      <c r="ED55" s="1117"/>
      <c r="EE55" s="1117"/>
      <c r="EF55" s="1117"/>
      <c r="EG55" s="1117"/>
      <c r="EH55" s="1117"/>
      <c r="EI55" s="1117"/>
      <c r="EJ55" s="1117"/>
      <c r="EK55" s="1117"/>
      <c r="EL55" s="1117"/>
      <c r="EM55" s="1117"/>
      <c r="EN55" s="1117"/>
      <c r="EO55" s="1117"/>
      <c r="EP55" s="1117"/>
      <c r="EQ55" s="1117"/>
      <c r="ER55" s="1117"/>
      <c r="ES55" s="1117"/>
      <c r="ET55" s="1117"/>
      <c r="EU55" s="1117"/>
      <c r="EV55" s="1117"/>
      <c r="EW55" s="1117"/>
      <c r="EX55" s="403"/>
      <c r="EY55" s="401"/>
      <c r="EZ55" s="401"/>
      <c r="FA55" s="401"/>
      <c r="FB55" s="401"/>
      <c r="FC55" s="401"/>
      <c r="FD55" s="401"/>
      <c r="FE55" s="401"/>
      <c r="FF55" s="401"/>
      <c r="FG55" s="401"/>
      <c r="FH55" s="401"/>
      <c r="FI55" s="401"/>
      <c r="FJ55" s="401"/>
      <c r="FK55" s="401"/>
      <c r="FL55" s="401"/>
      <c r="FM55" s="401"/>
      <c r="FN55" s="401"/>
      <c r="FO55" s="401"/>
      <c r="FP55" s="401"/>
      <c r="FQ55" s="401"/>
      <c r="FR55" s="401"/>
      <c r="FS55" s="401"/>
      <c r="FT55" s="401"/>
      <c r="FU55" s="401"/>
      <c r="FV55" s="190"/>
      <c r="FW55" s="190"/>
      <c r="FX55" s="190"/>
      <c r="FY55" s="190"/>
      <c r="FZ55" s="190"/>
      <c r="GA55" s="190"/>
      <c r="GB55" s="402"/>
      <c r="GC55" s="402"/>
      <c r="GD55" s="402"/>
      <c r="GE55" s="402"/>
      <c r="GF55" s="402"/>
      <c r="GG55" s="402"/>
      <c r="GH55" s="402"/>
      <c r="GI55" s="402"/>
      <c r="GJ55" s="402"/>
      <c r="GK55" s="402"/>
      <c r="GL55" s="402"/>
      <c r="GM55" s="402"/>
      <c r="GN55" s="402"/>
      <c r="GO55" s="402"/>
      <c r="GP55" s="402"/>
      <c r="GQ55" s="402"/>
      <c r="GR55" s="402"/>
      <c r="GS55" s="402"/>
      <c r="GT55" s="402"/>
      <c r="GU55" s="402"/>
      <c r="GV55" s="402"/>
      <c r="GW55" s="402"/>
      <c r="GX55" s="402"/>
      <c r="GY55" s="402"/>
      <c r="GZ55" s="402"/>
      <c r="HA55" s="402"/>
      <c r="HB55" s="402"/>
      <c r="HC55" s="402"/>
      <c r="HD55" s="402"/>
      <c r="HE55" s="402"/>
      <c r="HF55" s="402"/>
      <c r="HG55" s="402"/>
      <c r="HH55" s="358"/>
      <c r="HI55" s="358"/>
      <c r="HJ55" s="358"/>
      <c r="HK55" s="358"/>
      <c r="HL55" s="358"/>
      <c r="HM55" s="358"/>
      <c r="HN55" s="358"/>
      <c r="HO55" s="358"/>
      <c r="HP55" s="358"/>
      <c r="HQ55" s="358"/>
      <c r="HR55" s="358"/>
      <c r="HS55" s="358"/>
      <c r="HT55" s="358"/>
      <c r="HU55" s="358"/>
      <c r="HV55" s="358"/>
      <c r="HW55" s="358"/>
      <c r="HX55" s="358"/>
      <c r="HY55" s="358"/>
      <c r="HZ55" s="358"/>
      <c r="IA55" s="358"/>
      <c r="IB55" s="358"/>
      <c r="IC55" s="358"/>
      <c r="ID55" s="358"/>
      <c r="IE55" s="358"/>
      <c r="IF55" s="358"/>
    </row>
    <row r="56" spans="1:240" s="365" customFormat="1" ht="34.5" customHeight="1">
      <c r="A56" s="363"/>
      <c r="B56" s="384"/>
      <c r="D56" s="1175" t="str">
        <f ca="1">INDIRECT($J$4&amp;"!C34")</f>
        <v>Workplace</v>
      </c>
      <c r="E56" s="1175"/>
      <c r="F56" s="1175"/>
      <c r="G56" s="1175"/>
      <c r="H56" s="1175"/>
      <c r="I56" s="1175"/>
      <c r="J56" s="1175"/>
      <c r="K56" s="1175"/>
      <c r="L56" s="1175"/>
      <c r="M56" s="1066"/>
      <c r="N56" s="1067"/>
      <c r="O56" s="1067"/>
      <c r="P56" s="1067"/>
      <c r="Q56" s="1067"/>
      <c r="R56" s="1067"/>
      <c r="S56" s="1067"/>
      <c r="T56" s="1067"/>
      <c r="U56" s="1067"/>
      <c r="V56" s="1067"/>
      <c r="W56" s="1067"/>
      <c r="X56" s="1067"/>
      <c r="Y56" s="1067"/>
      <c r="Z56" s="1067"/>
      <c r="AA56" s="1067"/>
      <c r="AB56" s="1067"/>
      <c r="AC56" s="1067"/>
      <c r="AD56" s="1067"/>
      <c r="AE56" s="1067"/>
      <c r="AF56" s="1067"/>
      <c r="AG56" s="1067"/>
      <c r="AH56" s="1067"/>
      <c r="AI56" s="1067"/>
      <c r="AJ56" s="1067"/>
      <c r="AK56" s="1067"/>
      <c r="AL56" s="1067"/>
      <c r="AM56" s="1067"/>
      <c r="AN56" s="1067"/>
      <c r="AO56" s="1068"/>
      <c r="AQ56" s="405"/>
      <c r="AR56" s="1161"/>
      <c r="AS56" s="1162"/>
      <c r="AT56" s="1163"/>
      <c r="AU56" s="1128"/>
      <c r="AV56" s="1115"/>
      <c r="AW56" s="1115"/>
      <c r="AX56" s="1115"/>
      <c r="AY56" s="1115"/>
      <c r="AZ56" s="1115"/>
      <c r="BA56" s="1115"/>
      <c r="BB56" s="1115"/>
      <c r="BC56" s="1115"/>
      <c r="BD56" s="1115"/>
      <c r="BE56" s="1115"/>
      <c r="BF56" s="1115"/>
      <c r="BG56" s="1115"/>
      <c r="BH56" s="1115"/>
      <c r="BI56" s="1115"/>
      <c r="BJ56" s="1115"/>
      <c r="BK56" s="1115"/>
      <c r="BL56" s="1115"/>
      <c r="BM56" s="1115"/>
      <c r="BN56" s="1115"/>
      <c r="BO56" s="1115"/>
      <c r="BP56" s="1115"/>
      <c r="BQ56" s="1115"/>
      <c r="BR56" s="1115"/>
      <c r="BS56" s="1115"/>
      <c r="BT56" s="1115"/>
      <c r="BU56" s="1115"/>
      <c r="BV56" s="1115"/>
      <c r="BW56" s="1115"/>
      <c r="BX56" s="1115"/>
      <c r="BY56" s="1115"/>
      <c r="BZ56" s="1115"/>
      <c r="CA56" s="1115"/>
      <c r="CB56" s="1115"/>
      <c r="CC56" s="1115"/>
      <c r="CD56" s="1115"/>
      <c r="CE56" s="1115"/>
      <c r="CF56" s="1115"/>
      <c r="CG56" s="1115"/>
      <c r="CH56" s="1115"/>
      <c r="CI56" s="1115"/>
      <c r="CJ56" s="1115"/>
      <c r="CK56" s="1115"/>
      <c r="CL56" s="1115"/>
      <c r="CM56" s="1115"/>
      <c r="CN56" s="1115"/>
      <c r="CO56" s="1115"/>
      <c r="CP56" s="1115"/>
      <c r="CQ56" s="1115"/>
      <c r="CR56" s="1115"/>
      <c r="CS56" s="1115"/>
      <c r="CT56" s="1115"/>
      <c r="CU56" s="1115"/>
      <c r="CV56" s="1115"/>
      <c r="CW56" s="1115"/>
      <c r="CX56" s="1115"/>
      <c r="CY56" s="1115"/>
      <c r="CZ56" s="1115"/>
      <c r="DA56" s="1115"/>
      <c r="DB56" s="1115"/>
      <c r="DC56" s="1115"/>
      <c r="DD56" s="1115"/>
      <c r="DE56" s="1115"/>
      <c r="DF56" s="1115"/>
      <c r="DG56" s="1115"/>
      <c r="DH56" s="1115"/>
      <c r="DI56" s="1115"/>
      <c r="DJ56" s="1115"/>
      <c r="DK56" s="1115"/>
      <c r="DL56" s="1115"/>
      <c r="DM56" s="1115"/>
      <c r="DN56" s="1115"/>
      <c r="DO56" s="1115"/>
      <c r="DP56" s="1115"/>
      <c r="DQ56" s="1115"/>
      <c r="DR56" s="190"/>
      <c r="DS56" s="386"/>
      <c r="DT56" s="378"/>
      <c r="DU56" s="378"/>
      <c r="DV56" s="406"/>
      <c r="DW56" s="406"/>
      <c r="DX56" s="406"/>
      <c r="DY56" s="406"/>
      <c r="DZ56" s="406"/>
      <c r="EA56" s="406"/>
      <c r="EB56" s="574"/>
      <c r="EC56" s="406"/>
      <c r="ED56" s="406"/>
      <c r="EE56" s="406"/>
      <c r="EF56" s="406"/>
      <c r="EG56" s="406"/>
      <c r="EH56" s="406"/>
      <c r="EI56" s="406"/>
      <c r="EJ56" s="406"/>
      <c r="EK56" s="406"/>
      <c r="EL56" s="406"/>
      <c r="EM56" s="406"/>
      <c r="EN56" s="406"/>
      <c r="EO56" s="406"/>
      <c r="EP56" s="406"/>
      <c r="EQ56" s="406"/>
      <c r="ER56" s="406"/>
      <c r="ES56" s="406"/>
      <c r="ET56" s="406"/>
      <c r="EU56" s="406"/>
      <c r="EV56" s="406"/>
      <c r="EW56" s="401"/>
      <c r="EX56" s="401"/>
      <c r="EY56" s="401"/>
      <c r="EZ56" s="401"/>
      <c r="FA56" s="401"/>
      <c r="FB56" s="401"/>
      <c r="FC56" s="401"/>
      <c r="FD56" s="401"/>
      <c r="FE56" s="401"/>
      <c r="FF56" s="401"/>
      <c r="FG56" s="401"/>
      <c r="FH56" s="401"/>
      <c r="FI56" s="401"/>
      <c r="FJ56" s="401"/>
      <c r="FK56" s="401"/>
      <c r="FL56" s="401"/>
      <c r="FM56" s="401"/>
      <c r="FN56" s="401"/>
      <c r="FO56" s="401"/>
      <c r="FP56" s="401"/>
      <c r="FQ56" s="401"/>
      <c r="FR56" s="401"/>
      <c r="FS56" s="401"/>
      <c r="FT56" s="401"/>
      <c r="FU56" s="401"/>
      <c r="FV56" s="190"/>
      <c r="FW56" s="190"/>
      <c r="FX56" s="190"/>
      <c r="FY56" s="190"/>
      <c r="FZ56" s="190"/>
      <c r="GA56" s="190"/>
      <c r="GB56" s="402"/>
      <c r="GC56" s="402"/>
      <c r="GD56" s="402"/>
      <c r="GE56" s="402"/>
      <c r="GF56" s="402"/>
      <c r="GG56" s="402"/>
      <c r="GH56" s="402"/>
      <c r="GI56" s="402"/>
      <c r="GJ56" s="402"/>
      <c r="GK56" s="402"/>
      <c r="GL56" s="402"/>
      <c r="GM56" s="402"/>
      <c r="GN56" s="402"/>
      <c r="GO56" s="402"/>
      <c r="GP56" s="402"/>
      <c r="GQ56" s="402"/>
      <c r="GR56" s="402"/>
      <c r="GS56" s="402"/>
      <c r="GT56" s="402"/>
      <c r="GU56" s="402"/>
      <c r="GV56" s="402"/>
      <c r="GW56" s="402"/>
      <c r="GX56" s="402"/>
      <c r="GY56" s="402"/>
      <c r="GZ56" s="402"/>
      <c r="HA56" s="402"/>
      <c r="HB56" s="402"/>
      <c r="HC56" s="402"/>
      <c r="HD56" s="402"/>
      <c r="HE56" s="402"/>
      <c r="HF56" s="402"/>
      <c r="HG56" s="402"/>
      <c r="HH56" s="358"/>
      <c r="HI56" s="358"/>
      <c r="HJ56" s="358"/>
      <c r="HK56" s="358"/>
      <c r="HL56" s="358"/>
      <c r="HM56" s="358"/>
      <c r="HN56" s="358"/>
      <c r="HO56" s="358"/>
      <c r="HP56" s="358"/>
      <c r="HQ56" s="358"/>
      <c r="HR56" s="358"/>
      <c r="HS56" s="358"/>
      <c r="HT56" s="358"/>
      <c r="HU56" s="358"/>
      <c r="HV56" s="358"/>
      <c r="HW56" s="358"/>
      <c r="HX56" s="358"/>
      <c r="HY56" s="358"/>
      <c r="HZ56" s="358"/>
      <c r="IA56" s="358"/>
      <c r="IB56" s="358"/>
      <c r="IC56" s="358"/>
      <c r="ID56" s="358"/>
      <c r="IE56" s="358"/>
      <c r="IF56" s="358"/>
    </row>
    <row r="57" spans="1:240" s="365" customFormat="1" ht="34.5" customHeight="1">
      <c r="A57" s="363"/>
      <c r="B57" s="384"/>
      <c r="D57" s="805" t="str">
        <f ca="1">INDIRECT($J$4&amp;"!C35")</f>
        <v>Qualification</v>
      </c>
      <c r="E57" s="805"/>
      <c r="F57" s="805"/>
      <c r="G57" s="805"/>
      <c r="H57" s="805"/>
      <c r="I57" s="805"/>
      <c r="J57" s="805"/>
      <c r="K57" s="805"/>
      <c r="L57" s="400"/>
      <c r="M57" s="1066"/>
      <c r="N57" s="1067"/>
      <c r="O57" s="1067"/>
      <c r="P57" s="1067"/>
      <c r="Q57" s="1067"/>
      <c r="R57" s="1067"/>
      <c r="S57" s="1067"/>
      <c r="T57" s="1067"/>
      <c r="U57" s="1067"/>
      <c r="V57" s="1067"/>
      <c r="W57" s="1067"/>
      <c r="X57" s="1067"/>
      <c r="Y57" s="1067"/>
      <c r="Z57" s="1067"/>
      <c r="AA57" s="1067"/>
      <c r="AB57" s="1067"/>
      <c r="AC57" s="1067"/>
      <c r="AD57" s="1067"/>
      <c r="AE57" s="1067"/>
      <c r="AF57" s="1067"/>
      <c r="AG57" s="1067"/>
      <c r="AH57" s="1067"/>
      <c r="AI57" s="1067"/>
      <c r="AJ57" s="1067"/>
      <c r="AK57" s="1067"/>
      <c r="AL57" s="1067"/>
      <c r="AM57" s="1067"/>
      <c r="AN57" s="1067"/>
      <c r="AO57" s="1068"/>
      <c r="AR57" s="1161"/>
      <c r="AS57" s="1162"/>
      <c r="AT57" s="1163"/>
      <c r="AU57" s="1112" t="str">
        <f ca="1">INDIRECT($J$4&amp;"!C54")</f>
        <v>Is there a recognisable systematic of failures ? (single failure, continuous increase/fall, random or cyclical) ?</v>
      </c>
      <c r="AV57" s="1112"/>
      <c r="AW57" s="1112"/>
      <c r="AX57" s="1112"/>
      <c r="AY57" s="1112"/>
      <c r="AZ57" s="1112"/>
      <c r="BA57" s="1112"/>
      <c r="BB57" s="1112"/>
      <c r="BC57" s="1112"/>
      <c r="BD57" s="1112"/>
      <c r="BE57" s="1112"/>
      <c r="BF57" s="1112"/>
      <c r="BG57" s="1112"/>
      <c r="BH57" s="1112"/>
      <c r="BI57" s="1112"/>
      <c r="BJ57" s="1112"/>
      <c r="BK57" s="1112"/>
      <c r="BL57" s="1112"/>
      <c r="BM57" s="1112"/>
      <c r="BN57" s="1112"/>
      <c r="BO57" s="1112"/>
      <c r="BP57" s="1112"/>
      <c r="BQ57" s="1112"/>
      <c r="BR57" s="1112"/>
      <c r="BS57" s="1112"/>
      <c r="BT57" s="1112"/>
      <c r="BU57" s="1112"/>
      <c r="BV57" s="1112"/>
      <c r="BW57" s="1112"/>
      <c r="BX57" s="1112"/>
      <c r="BY57" s="1112"/>
      <c r="BZ57" s="1112"/>
      <c r="CA57" s="1112"/>
      <c r="CB57" s="1112"/>
      <c r="CC57" s="1112"/>
      <c r="CD57" s="1112"/>
      <c r="CE57" s="1112"/>
      <c r="CF57" s="1112"/>
      <c r="CG57" s="1112" t="str">
        <f ca="1">INDIRECT($J$4&amp;"!C62")</f>
        <v>Can additional failures be expected since the discovery ?</v>
      </c>
      <c r="CH57" s="1112"/>
      <c r="CI57" s="1112"/>
      <c r="CJ57" s="1112"/>
      <c r="CK57" s="1112"/>
      <c r="CL57" s="1112"/>
      <c r="CM57" s="1112"/>
      <c r="CN57" s="1112"/>
      <c r="CO57" s="1112"/>
      <c r="CP57" s="1112"/>
      <c r="CQ57" s="1112"/>
      <c r="CR57" s="1112"/>
      <c r="CS57" s="1112"/>
      <c r="CT57" s="1112"/>
      <c r="CU57" s="1112"/>
      <c r="CV57" s="1112"/>
      <c r="CW57" s="1112"/>
      <c r="CX57" s="1112"/>
      <c r="CY57" s="1112"/>
      <c r="CZ57" s="1112"/>
      <c r="DA57" s="1112"/>
      <c r="DB57" s="1112"/>
      <c r="DC57" s="1112"/>
      <c r="DD57" s="1112"/>
      <c r="DE57" s="1112"/>
      <c r="DF57" s="1112"/>
      <c r="DG57" s="1112"/>
      <c r="DH57" s="1112"/>
      <c r="DI57" s="1112"/>
      <c r="DJ57" s="1112"/>
      <c r="DK57" s="1112"/>
      <c r="DL57" s="1112"/>
      <c r="DM57" s="1112"/>
      <c r="DN57" s="1112"/>
      <c r="DO57" s="1112"/>
      <c r="DP57" s="1112"/>
      <c r="DQ57" s="1112"/>
      <c r="DR57" s="190"/>
      <c r="DS57" s="386"/>
      <c r="DT57" s="378"/>
      <c r="DU57" s="378"/>
      <c r="DV57" s="406"/>
      <c r="DW57" s="406"/>
      <c r="DX57" s="406"/>
      <c r="DY57" s="406"/>
      <c r="DZ57" s="406"/>
      <c r="EA57" s="406"/>
      <c r="EB57" s="574"/>
      <c r="EC57" s="406"/>
      <c r="ED57" s="406"/>
      <c r="EE57" s="406"/>
      <c r="EF57" s="406"/>
      <c r="EG57" s="406"/>
      <c r="EH57" s="406"/>
      <c r="EI57" s="406"/>
      <c r="EJ57" s="406"/>
      <c r="EK57" s="406"/>
      <c r="EL57" s="406"/>
      <c r="EM57" s="406"/>
      <c r="EN57" s="406"/>
      <c r="EO57" s="406"/>
      <c r="EP57" s="406"/>
      <c r="EQ57" s="406"/>
      <c r="ER57" s="406"/>
      <c r="ES57" s="406"/>
      <c r="ET57" s="406"/>
      <c r="EU57" s="406"/>
      <c r="EV57" s="406"/>
      <c r="EW57" s="401"/>
      <c r="EX57" s="401"/>
      <c r="EY57" s="401"/>
      <c r="EZ57" s="401"/>
      <c r="FA57" s="401"/>
      <c r="FB57" s="401"/>
      <c r="FC57" s="401"/>
      <c r="FD57" s="401"/>
      <c r="FE57" s="401"/>
      <c r="FF57" s="401"/>
      <c r="FG57" s="401"/>
      <c r="FH57" s="401"/>
      <c r="FI57" s="401"/>
      <c r="FJ57" s="401"/>
      <c r="FK57" s="401"/>
      <c r="FL57" s="401"/>
      <c r="FM57" s="401"/>
      <c r="FN57" s="401"/>
      <c r="FO57" s="401"/>
      <c r="FP57" s="401"/>
      <c r="FQ57" s="401"/>
      <c r="FR57" s="401"/>
      <c r="FS57" s="401"/>
      <c r="FT57" s="401"/>
      <c r="FU57" s="401"/>
      <c r="FV57" s="190"/>
      <c r="FW57" s="190"/>
      <c r="FX57" s="190"/>
      <c r="FY57" s="190"/>
      <c r="FZ57" s="190"/>
      <c r="GA57" s="190"/>
      <c r="GB57" s="402"/>
      <c r="GC57" s="402"/>
      <c r="GD57" s="402"/>
      <c r="GE57" s="402"/>
      <c r="GF57" s="402"/>
      <c r="GG57" s="402"/>
      <c r="GH57" s="402"/>
      <c r="GI57" s="402"/>
      <c r="GJ57" s="402"/>
      <c r="GK57" s="402"/>
      <c r="GL57" s="402"/>
      <c r="GM57" s="402"/>
      <c r="GN57" s="402"/>
      <c r="GO57" s="402"/>
      <c r="GP57" s="402"/>
      <c r="GQ57" s="402"/>
      <c r="GR57" s="402"/>
      <c r="GS57" s="402"/>
      <c r="GT57" s="402"/>
      <c r="GU57" s="402"/>
      <c r="GV57" s="402"/>
      <c r="GW57" s="402"/>
      <c r="GX57" s="402"/>
      <c r="GY57" s="402"/>
      <c r="GZ57" s="402"/>
      <c r="HA57" s="402"/>
      <c r="HB57" s="402"/>
      <c r="HC57" s="402"/>
      <c r="HD57" s="402"/>
      <c r="HE57" s="402"/>
      <c r="HF57" s="402"/>
      <c r="HG57" s="402"/>
      <c r="HH57" s="358"/>
      <c r="HI57" s="358"/>
      <c r="HJ57" s="358"/>
      <c r="HK57" s="358"/>
      <c r="HL57" s="358"/>
      <c r="HM57" s="358"/>
      <c r="HN57" s="358"/>
      <c r="HO57" s="358"/>
      <c r="HP57" s="358"/>
      <c r="HQ57" s="358"/>
      <c r="HR57" s="358"/>
      <c r="HS57" s="358"/>
      <c r="HT57" s="358"/>
      <c r="HU57" s="358"/>
      <c r="HV57" s="358"/>
      <c r="HW57" s="358"/>
      <c r="HX57" s="358"/>
      <c r="HY57" s="358"/>
      <c r="HZ57" s="358"/>
      <c r="IA57" s="358"/>
      <c r="IB57" s="358"/>
      <c r="IC57" s="358"/>
      <c r="ID57" s="358"/>
      <c r="IE57" s="358"/>
      <c r="IF57" s="358"/>
    </row>
    <row r="58" spans="1:240" s="365" customFormat="1" ht="34.5" customHeight="1">
      <c r="A58" s="363"/>
      <c r="B58" s="384"/>
      <c r="D58" s="1175" t="str">
        <f ca="1">INDIRECT($J$4&amp;"!C36")</f>
        <v>Line</v>
      </c>
      <c r="E58" s="1175"/>
      <c r="F58" s="1175"/>
      <c r="G58" s="1175"/>
      <c r="H58" s="1175"/>
      <c r="I58" s="1175"/>
      <c r="J58" s="1175"/>
      <c r="K58" s="1175"/>
      <c r="L58" s="1175"/>
      <c r="M58" s="1066"/>
      <c r="N58" s="1067"/>
      <c r="O58" s="1067"/>
      <c r="P58" s="1067"/>
      <c r="Q58" s="1067"/>
      <c r="R58" s="1067"/>
      <c r="S58" s="1067"/>
      <c r="T58" s="1067"/>
      <c r="U58" s="1067"/>
      <c r="V58" s="1067"/>
      <c r="W58" s="1067"/>
      <c r="X58" s="1067"/>
      <c r="Y58" s="1067"/>
      <c r="Z58" s="1067"/>
      <c r="AA58" s="1067"/>
      <c r="AB58" s="1067"/>
      <c r="AC58" s="1067"/>
      <c r="AD58" s="1067"/>
      <c r="AE58" s="1067"/>
      <c r="AF58" s="1067"/>
      <c r="AG58" s="1067"/>
      <c r="AH58" s="1067"/>
      <c r="AI58" s="1067"/>
      <c r="AJ58" s="1067"/>
      <c r="AK58" s="1067"/>
      <c r="AL58" s="1067"/>
      <c r="AM58" s="1067"/>
      <c r="AN58" s="1067"/>
      <c r="AO58" s="1068"/>
      <c r="AR58" s="1164"/>
      <c r="AS58" s="1165"/>
      <c r="AT58" s="1166"/>
      <c r="AU58" s="1115"/>
      <c r="AV58" s="1115"/>
      <c r="AW58" s="1115"/>
      <c r="AX58" s="1115"/>
      <c r="AY58" s="1115"/>
      <c r="AZ58" s="1115"/>
      <c r="BA58" s="1115"/>
      <c r="BB58" s="1115"/>
      <c r="BC58" s="1115"/>
      <c r="BD58" s="1115"/>
      <c r="BE58" s="1115"/>
      <c r="BF58" s="1115"/>
      <c r="BG58" s="1115"/>
      <c r="BH58" s="1115"/>
      <c r="BI58" s="1115"/>
      <c r="BJ58" s="1115"/>
      <c r="BK58" s="1115"/>
      <c r="BL58" s="1115"/>
      <c r="BM58" s="1115"/>
      <c r="BN58" s="1115"/>
      <c r="BO58" s="1115"/>
      <c r="BP58" s="1115"/>
      <c r="BQ58" s="1115"/>
      <c r="BR58" s="1115"/>
      <c r="BS58" s="1115"/>
      <c r="BT58" s="1115"/>
      <c r="BU58" s="1115"/>
      <c r="BV58" s="1115"/>
      <c r="BW58" s="1115"/>
      <c r="BX58" s="1115"/>
      <c r="BY58" s="1115"/>
      <c r="BZ58" s="1115"/>
      <c r="CA58" s="1115"/>
      <c r="CB58" s="1115"/>
      <c r="CC58" s="1115"/>
      <c r="CD58" s="1115"/>
      <c r="CE58" s="1115"/>
      <c r="CF58" s="1115"/>
      <c r="CG58" s="1115"/>
      <c r="CH58" s="1115"/>
      <c r="CI58" s="1115"/>
      <c r="CJ58" s="1115"/>
      <c r="CK58" s="1115"/>
      <c r="CL58" s="1115"/>
      <c r="CM58" s="1115"/>
      <c r="CN58" s="1115"/>
      <c r="CO58" s="1115"/>
      <c r="CP58" s="1115"/>
      <c r="CQ58" s="1115"/>
      <c r="CR58" s="1115"/>
      <c r="CS58" s="1115"/>
      <c r="CT58" s="1115"/>
      <c r="CU58" s="1115"/>
      <c r="CV58" s="1115"/>
      <c r="CW58" s="1115"/>
      <c r="CX58" s="1115"/>
      <c r="CY58" s="1115"/>
      <c r="CZ58" s="1115"/>
      <c r="DA58" s="1115"/>
      <c r="DB58" s="1115"/>
      <c r="DC58" s="1115"/>
      <c r="DD58" s="1115"/>
      <c r="DE58" s="1115"/>
      <c r="DF58" s="1115"/>
      <c r="DG58" s="1115"/>
      <c r="DH58" s="1115"/>
      <c r="DI58" s="1115"/>
      <c r="DJ58" s="1115"/>
      <c r="DK58" s="1115"/>
      <c r="DL58" s="1115"/>
      <c r="DM58" s="1115"/>
      <c r="DN58" s="1115"/>
      <c r="DO58" s="1115"/>
      <c r="DP58" s="1115"/>
      <c r="DQ58" s="1115"/>
      <c r="DR58" s="190"/>
      <c r="DS58" s="386"/>
      <c r="DT58" s="378"/>
      <c r="DU58" s="378"/>
      <c r="DV58" s="406"/>
      <c r="DW58" s="406"/>
      <c r="DX58" s="406"/>
      <c r="DY58" s="406"/>
      <c r="DZ58" s="406"/>
      <c r="EA58" s="406"/>
      <c r="EB58" s="574"/>
      <c r="EC58" s="406"/>
      <c r="ED58" s="406"/>
      <c r="EE58" s="406"/>
      <c r="EF58" s="406"/>
      <c r="EG58" s="406"/>
      <c r="EH58" s="406"/>
      <c r="EI58" s="406"/>
      <c r="EJ58" s="406"/>
      <c r="EK58" s="406"/>
      <c r="EL58" s="406"/>
      <c r="EM58" s="406"/>
      <c r="EN58" s="406"/>
      <c r="EO58" s="406"/>
      <c r="EP58" s="406"/>
      <c r="EQ58" s="406"/>
      <c r="ER58" s="406"/>
      <c r="ES58" s="406"/>
      <c r="ET58" s="406"/>
      <c r="EU58" s="406"/>
      <c r="EV58" s="406"/>
      <c r="EW58" s="401"/>
      <c r="EX58" s="401"/>
      <c r="EY58" s="401"/>
      <c r="EZ58" s="401"/>
      <c r="FA58" s="401"/>
      <c r="FB58" s="401"/>
      <c r="FC58" s="401"/>
      <c r="FD58" s="401"/>
      <c r="FE58" s="401"/>
      <c r="FF58" s="401"/>
      <c r="FG58" s="401"/>
      <c r="FH58" s="401"/>
      <c r="FI58" s="401"/>
      <c r="FJ58" s="401"/>
      <c r="FK58" s="401"/>
      <c r="FL58" s="401"/>
      <c r="FM58" s="401"/>
      <c r="FN58" s="401"/>
      <c r="FO58" s="401"/>
      <c r="FP58" s="401"/>
      <c r="FQ58" s="401"/>
      <c r="FR58" s="401"/>
      <c r="FS58" s="401"/>
      <c r="FT58" s="401"/>
      <c r="FU58" s="401"/>
      <c r="FV58" s="190"/>
      <c r="FW58" s="190"/>
      <c r="FX58" s="190"/>
      <c r="FY58" s="190"/>
      <c r="FZ58" s="190"/>
      <c r="GA58" s="190"/>
      <c r="GB58" s="402"/>
      <c r="GC58" s="402"/>
      <c r="GD58" s="402"/>
      <c r="GE58" s="402"/>
      <c r="GF58" s="402"/>
      <c r="GG58" s="402"/>
      <c r="GH58" s="402"/>
      <c r="GI58" s="402"/>
      <c r="GJ58" s="402"/>
      <c r="GK58" s="402"/>
      <c r="GL58" s="402"/>
      <c r="GM58" s="402"/>
      <c r="GN58" s="402"/>
      <c r="GO58" s="402"/>
      <c r="GP58" s="402"/>
      <c r="GQ58" s="402"/>
      <c r="GR58" s="402"/>
      <c r="GS58" s="402"/>
      <c r="GT58" s="402"/>
      <c r="GU58" s="402"/>
      <c r="GV58" s="402"/>
      <c r="GW58" s="402"/>
      <c r="GX58" s="402"/>
      <c r="GY58" s="402"/>
      <c r="GZ58" s="402"/>
      <c r="HA58" s="402"/>
      <c r="HB58" s="402"/>
      <c r="HC58" s="402"/>
      <c r="HD58" s="402"/>
      <c r="HE58" s="402"/>
      <c r="HF58" s="402"/>
      <c r="HG58" s="402"/>
      <c r="HH58" s="358"/>
      <c r="HI58" s="358"/>
      <c r="HJ58" s="358"/>
      <c r="HK58" s="358"/>
      <c r="HL58" s="358"/>
      <c r="HM58" s="358"/>
      <c r="HN58" s="358"/>
      <c r="HO58" s="358"/>
      <c r="HP58" s="358"/>
      <c r="HQ58" s="358"/>
      <c r="HR58" s="358"/>
      <c r="HS58" s="358"/>
      <c r="HT58" s="358"/>
      <c r="HU58" s="358"/>
      <c r="HV58" s="358"/>
      <c r="HW58" s="358"/>
      <c r="HX58" s="358"/>
      <c r="HY58" s="358"/>
      <c r="HZ58" s="358"/>
      <c r="IA58" s="358"/>
      <c r="IB58" s="358"/>
      <c r="IC58" s="358"/>
      <c r="ID58" s="358"/>
      <c r="IE58" s="358"/>
      <c r="IF58" s="358"/>
    </row>
    <row r="59" spans="1:240" s="365" customFormat="1" ht="34.5" customHeight="1">
      <c r="A59" s="363"/>
      <c r="B59" s="384"/>
      <c r="D59" s="1175" t="str">
        <f ca="1">INDIRECT($J$4&amp;"!C37")</f>
        <v>Team</v>
      </c>
      <c r="E59" s="1175"/>
      <c r="F59" s="1175"/>
      <c r="G59" s="1175"/>
      <c r="H59" s="1175"/>
      <c r="I59" s="1175"/>
      <c r="J59" s="1175"/>
      <c r="K59" s="1175"/>
      <c r="L59" s="1175"/>
      <c r="M59" s="1125"/>
      <c r="N59" s="1126"/>
      <c r="O59" s="1126"/>
      <c r="P59" s="1126"/>
      <c r="Q59" s="1126"/>
      <c r="R59" s="1126"/>
      <c r="S59" s="1126"/>
      <c r="T59" s="1126"/>
      <c r="U59" s="1126"/>
      <c r="V59" s="1126"/>
      <c r="W59" s="1126"/>
      <c r="X59" s="1126"/>
      <c r="Y59" s="1126"/>
      <c r="Z59" s="1126"/>
      <c r="AA59" s="1126"/>
      <c r="AB59" s="1126"/>
      <c r="AC59" s="1126"/>
      <c r="AD59" s="1126"/>
      <c r="AE59" s="1126"/>
      <c r="AF59" s="1126"/>
      <c r="AG59" s="1126"/>
      <c r="AH59" s="1126"/>
      <c r="AI59" s="1126"/>
      <c r="AJ59" s="1126"/>
      <c r="AK59" s="1126"/>
      <c r="AL59" s="1126"/>
      <c r="AM59" s="1126"/>
      <c r="AN59" s="1126"/>
      <c r="AO59" s="1127"/>
      <c r="AR59" s="1129" t="str">
        <f ca="1">INDIRECT($J$4&amp;"!C48")</f>
        <v>How many</v>
      </c>
      <c r="AS59" s="1129"/>
      <c r="AT59" s="1129"/>
      <c r="AU59" s="1112" t="str">
        <f ca="1">INDIRECT($J$4&amp;"!C55")</f>
        <v>How many failures ? (number &amp; PPM's)</v>
      </c>
      <c r="AV59" s="1112"/>
      <c r="AW59" s="1112"/>
      <c r="AX59" s="1112"/>
      <c r="AY59" s="1112"/>
      <c r="AZ59" s="1112"/>
      <c r="BA59" s="1112"/>
      <c r="BB59" s="1112"/>
      <c r="BC59" s="1112"/>
      <c r="BD59" s="1112"/>
      <c r="BE59" s="1112"/>
      <c r="BF59" s="1112"/>
      <c r="BG59" s="1112"/>
      <c r="BH59" s="1112"/>
      <c r="BI59" s="1112"/>
      <c r="BJ59" s="1112"/>
      <c r="BK59" s="1112"/>
      <c r="BL59" s="1112"/>
      <c r="BM59" s="1112"/>
      <c r="BN59" s="1112"/>
      <c r="BO59" s="1112"/>
      <c r="BP59" s="1112"/>
      <c r="BQ59" s="1112"/>
      <c r="BR59" s="1112"/>
      <c r="BS59" s="1112"/>
      <c r="BT59" s="1112"/>
      <c r="BU59" s="1112"/>
      <c r="BV59" s="1112"/>
      <c r="BW59" s="1112"/>
      <c r="BX59" s="1112"/>
      <c r="BY59" s="1112"/>
      <c r="BZ59" s="1112"/>
      <c r="CA59" s="1112"/>
      <c r="CB59" s="1112"/>
      <c r="CC59" s="1112"/>
      <c r="CD59" s="1112"/>
      <c r="CE59" s="1112"/>
      <c r="CF59" s="1112"/>
      <c r="CG59" s="1112" t="str">
        <f ca="1">INDIRECT($J$4&amp;"!C63")</f>
        <v>How many more can be expected in the future ?</v>
      </c>
      <c r="CH59" s="1112"/>
      <c r="CI59" s="1112"/>
      <c r="CJ59" s="1112"/>
      <c r="CK59" s="1112"/>
      <c r="CL59" s="1112"/>
      <c r="CM59" s="1112"/>
      <c r="CN59" s="1112"/>
      <c r="CO59" s="1112"/>
      <c r="CP59" s="1112"/>
      <c r="CQ59" s="1112"/>
      <c r="CR59" s="1112"/>
      <c r="CS59" s="1112"/>
      <c r="CT59" s="1112"/>
      <c r="CU59" s="1112"/>
      <c r="CV59" s="1112"/>
      <c r="CW59" s="1112"/>
      <c r="CX59" s="1112"/>
      <c r="CY59" s="1112"/>
      <c r="CZ59" s="1112"/>
      <c r="DA59" s="1112"/>
      <c r="DB59" s="1112"/>
      <c r="DC59" s="1112"/>
      <c r="DD59" s="1112"/>
      <c r="DE59" s="1112"/>
      <c r="DF59" s="1112"/>
      <c r="DG59" s="1112"/>
      <c r="DH59" s="1112"/>
      <c r="DI59" s="1112"/>
      <c r="DJ59" s="1112"/>
      <c r="DK59" s="1112"/>
      <c r="DL59" s="1112"/>
      <c r="DM59" s="1112"/>
      <c r="DN59" s="1112"/>
      <c r="DO59" s="1112"/>
      <c r="DP59" s="1112"/>
      <c r="DQ59" s="1112"/>
      <c r="DR59" s="190"/>
      <c r="DS59" s="386"/>
      <c r="DT59" s="378"/>
      <c r="DU59" s="378"/>
      <c r="DV59" s="406"/>
      <c r="DW59" s="406"/>
      <c r="DX59" s="406"/>
      <c r="DY59" s="406"/>
      <c r="DZ59" s="406"/>
      <c r="EA59" s="406"/>
      <c r="EB59" s="574"/>
      <c r="EC59" s="406"/>
      <c r="ED59" s="406"/>
      <c r="EE59" s="406"/>
      <c r="EF59" s="406"/>
      <c r="EG59" s="406"/>
      <c r="EH59" s="406"/>
      <c r="EI59" s="406"/>
      <c r="EJ59" s="406"/>
      <c r="EK59" s="406"/>
      <c r="EL59" s="406"/>
      <c r="EM59" s="406"/>
      <c r="EN59" s="406"/>
      <c r="EO59" s="406"/>
      <c r="EP59" s="406"/>
      <c r="EQ59" s="406"/>
      <c r="ER59" s="406"/>
      <c r="ES59" s="406"/>
      <c r="ET59" s="406"/>
      <c r="EU59" s="406"/>
      <c r="EV59" s="406"/>
      <c r="EW59" s="401"/>
      <c r="EX59" s="401"/>
      <c r="EY59" s="401"/>
      <c r="EZ59" s="401"/>
      <c r="FA59" s="401"/>
      <c r="FB59" s="401"/>
      <c r="FC59" s="401"/>
      <c r="FD59" s="401"/>
      <c r="FE59" s="401"/>
      <c r="FF59" s="401"/>
      <c r="FG59" s="401"/>
      <c r="FH59" s="401"/>
      <c r="FI59" s="401"/>
      <c r="FJ59" s="401"/>
      <c r="FK59" s="401"/>
      <c r="FL59" s="401"/>
      <c r="FM59" s="401"/>
      <c r="FN59" s="401"/>
      <c r="FO59" s="401"/>
      <c r="FP59" s="401"/>
      <c r="FQ59" s="401"/>
      <c r="FR59" s="401"/>
      <c r="FS59" s="401"/>
      <c r="FT59" s="401"/>
      <c r="FU59" s="401"/>
      <c r="FV59" s="190"/>
      <c r="FW59" s="190"/>
      <c r="FX59" s="190"/>
      <c r="FY59" s="190"/>
      <c r="FZ59" s="190"/>
      <c r="GA59" s="190"/>
      <c r="GB59" s="402"/>
      <c r="GC59" s="402"/>
      <c r="GD59" s="402"/>
      <c r="GE59" s="402"/>
      <c r="GF59" s="402"/>
      <c r="GG59" s="402"/>
      <c r="GH59" s="402"/>
      <c r="GI59" s="402"/>
      <c r="GJ59" s="402"/>
      <c r="GK59" s="402"/>
      <c r="GL59" s="402"/>
      <c r="GM59" s="402"/>
      <c r="GN59" s="402"/>
      <c r="GO59" s="402"/>
      <c r="GP59" s="402"/>
      <c r="GQ59" s="402"/>
      <c r="GR59" s="402"/>
      <c r="GS59" s="402"/>
      <c r="GT59" s="402"/>
      <c r="GU59" s="402"/>
      <c r="GV59" s="402"/>
      <c r="GW59" s="402"/>
      <c r="GX59" s="402"/>
      <c r="GY59" s="402"/>
      <c r="GZ59" s="402"/>
      <c r="HA59" s="402"/>
      <c r="HB59" s="402"/>
      <c r="HC59" s="402"/>
      <c r="HD59" s="402"/>
      <c r="HE59" s="402"/>
      <c r="HF59" s="402"/>
      <c r="HG59" s="402"/>
      <c r="HH59" s="358"/>
      <c r="HI59" s="358"/>
      <c r="HJ59" s="358"/>
      <c r="HK59" s="358"/>
      <c r="HL59" s="358"/>
      <c r="HM59" s="358"/>
      <c r="HN59" s="358"/>
      <c r="HO59" s="358"/>
      <c r="HP59" s="358"/>
      <c r="HQ59" s="358"/>
      <c r="HR59" s="358"/>
      <c r="HS59" s="358"/>
      <c r="HT59" s="358"/>
      <c r="HU59" s="358"/>
      <c r="HV59" s="358"/>
      <c r="HW59" s="358"/>
      <c r="HX59" s="358"/>
      <c r="HY59" s="358"/>
      <c r="HZ59" s="358"/>
      <c r="IA59" s="358"/>
      <c r="IB59" s="358"/>
      <c r="IC59" s="358"/>
      <c r="ID59" s="358"/>
      <c r="IE59" s="358"/>
      <c r="IF59" s="358"/>
    </row>
    <row r="60" spans="1:240" s="365" customFormat="1" ht="34.5" customHeight="1">
      <c r="A60" s="363"/>
      <c r="B60" s="384"/>
      <c r="D60" s="1081" t="str">
        <f ca="1">INDIRECT($J$4&amp;"!C38")</f>
        <v>Equipment</v>
      </c>
      <c r="E60" s="1081"/>
      <c r="F60" s="1081"/>
      <c r="G60" s="1081"/>
      <c r="H60" s="1081"/>
      <c r="I60" s="1081"/>
      <c r="J60" s="1081"/>
      <c r="K60" s="1081"/>
      <c r="L60" s="1081"/>
      <c r="M60" s="1270"/>
      <c r="N60" s="1271"/>
      <c r="O60" s="1271"/>
      <c r="P60" s="1271"/>
      <c r="Q60" s="1271"/>
      <c r="R60" s="1271"/>
      <c r="S60" s="1271"/>
      <c r="T60" s="1271"/>
      <c r="U60" s="1271"/>
      <c r="V60" s="1271"/>
      <c r="W60" s="1271"/>
      <c r="X60" s="1271"/>
      <c r="Y60" s="1271"/>
      <c r="Z60" s="1271"/>
      <c r="AA60" s="1271"/>
      <c r="AB60" s="1271"/>
      <c r="AC60" s="1271"/>
      <c r="AD60" s="1271"/>
      <c r="AE60" s="1271"/>
      <c r="AF60" s="1271"/>
      <c r="AG60" s="1271"/>
      <c r="AH60" s="1271"/>
      <c r="AI60" s="1271"/>
      <c r="AJ60" s="1271"/>
      <c r="AK60" s="1271"/>
      <c r="AL60" s="1271"/>
      <c r="AM60" s="1271"/>
      <c r="AN60" s="1271"/>
      <c r="AO60" s="1272"/>
      <c r="AR60" s="1129"/>
      <c r="AS60" s="1129"/>
      <c r="AT60" s="1129"/>
      <c r="AU60" s="1116"/>
      <c r="AV60" s="1116"/>
      <c r="AW60" s="1116"/>
      <c r="AX60" s="1116"/>
      <c r="AY60" s="1116"/>
      <c r="AZ60" s="1116"/>
      <c r="BA60" s="1116"/>
      <c r="BB60" s="1116"/>
      <c r="BC60" s="1116"/>
      <c r="BD60" s="1116"/>
      <c r="BE60" s="1116"/>
      <c r="BF60" s="1116"/>
      <c r="BG60" s="1116"/>
      <c r="BH60" s="1116"/>
      <c r="BI60" s="1116"/>
      <c r="BJ60" s="1116"/>
      <c r="BK60" s="1116"/>
      <c r="BL60" s="1116"/>
      <c r="BM60" s="1116"/>
      <c r="BN60" s="1116"/>
      <c r="BO60" s="1116"/>
      <c r="BP60" s="1116"/>
      <c r="BQ60" s="1116"/>
      <c r="BR60" s="1116"/>
      <c r="BS60" s="1116"/>
      <c r="BT60" s="1116"/>
      <c r="BU60" s="1116"/>
      <c r="BV60" s="1116"/>
      <c r="BW60" s="1116"/>
      <c r="BX60" s="1116"/>
      <c r="BY60" s="1116"/>
      <c r="BZ60" s="1116"/>
      <c r="CA60" s="1116"/>
      <c r="CB60" s="1116"/>
      <c r="CC60" s="1116"/>
      <c r="CD60" s="1116"/>
      <c r="CE60" s="1116"/>
      <c r="CF60" s="1116"/>
      <c r="CG60" s="1113"/>
      <c r="CH60" s="1113"/>
      <c r="CI60" s="1113"/>
      <c r="CJ60" s="1113"/>
      <c r="CK60" s="1113"/>
      <c r="CL60" s="1113"/>
      <c r="CM60" s="1113"/>
      <c r="CN60" s="1113"/>
      <c r="CO60" s="1113"/>
      <c r="CP60" s="1113"/>
      <c r="CQ60" s="1113"/>
      <c r="CR60" s="1113"/>
      <c r="CS60" s="1113"/>
      <c r="CT60" s="1113"/>
      <c r="CU60" s="1113"/>
      <c r="CV60" s="1113"/>
      <c r="CW60" s="1113"/>
      <c r="CX60" s="1113"/>
      <c r="CY60" s="1113"/>
      <c r="CZ60" s="1113"/>
      <c r="DA60" s="1113"/>
      <c r="DB60" s="1113"/>
      <c r="DC60" s="1113"/>
      <c r="DD60" s="1113"/>
      <c r="DE60" s="1113"/>
      <c r="DF60" s="1113"/>
      <c r="DG60" s="1113"/>
      <c r="DH60" s="1113"/>
      <c r="DI60" s="1113"/>
      <c r="DJ60" s="1113"/>
      <c r="DK60" s="1113"/>
      <c r="DL60" s="1113"/>
      <c r="DM60" s="1113"/>
      <c r="DN60" s="1113"/>
      <c r="DO60" s="1113"/>
      <c r="DP60" s="1113"/>
      <c r="DQ60" s="1113"/>
      <c r="DR60" s="190"/>
      <c r="DS60" s="386"/>
      <c r="DT60" s="378"/>
      <c r="DU60" s="378"/>
      <c r="DV60" s="406"/>
      <c r="DW60" s="406"/>
      <c r="DX60" s="406"/>
      <c r="DY60" s="406"/>
      <c r="DZ60" s="406"/>
      <c r="EA60" s="406"/>
      <c r="EB60" s="574"/>
      <c r="EC60" s="406"/>
      <c r="ED60" s="406"/>
      <c r="EE60" s="406"/>
      <c r="EF60" s="406"/>
      <c r="EG60" s="406"/>
      <c r="EH60" s="406"/>
      <c r="EI60" s="406"/>
      <c r="EJ60" s="406"/>
      <c r="EK60" s="406"/>
      <c r="EL60" s="406"/>
      <c r="EM60" s="406"/>
      <c r="EN60" s="406"/>
      <c r="EO60" s="406"/>
      <c r="EP60" s="406"/>
      <c r="EQ60" s="406"/>
      <c r="ER60" s="406"/>
      <c r="ES60" s="406"/>
      <c r="ET60" s="406"/>
      <c r="EU60" s="406"/>
      <c r="EV60" s="406"/>
      <c r="EW60" s="401"/>
      <c r="EX60" s="401"/>
      <c r="EY60" s="401"/>
      <c r="EZ60" s="401"/>
      <c r="FA60" s="401"/>
      <c r="FB60" s="401"/>
      <c r="FC60" s="401"/>
      <c r="FD60" s="401"/>
      <c r="FE60" s="401"/>
      <c r="FF60" s="401"/>
      <c r="FG60" s="401"/>
      <c r="FH60" s="401"/>
      <c r="FI60" s="401"/>
      <c r="FJ60" s="401"/>
      <c r="FK60" s="401"/>
      <c r="FL60" s="401"/>
      <c r="FM60" s="401"/>
      <c r="FN60" s="401"/>
      <c r="FO60" s="401"/>
      <c r="FP60" s="401"/>
      <c r="FQ60" s="401"/>
      <c r="FR60" s="401"/>
      <c r="FS60" s="401"/>
      <c r="FT60" s="401"/>
      <c r="FU60" s="401"/>
      <c r="FV60" s="190"/>
      <c r="FW60" s="190"/>
      <c r="FX60" s="190"/>
      <c r="FY60" s="190"/>
      <c r="FZ60" s="190"/>
      <c r="GA60" s="190"/>
      <c r="GB60" s="402"/>
      <c r="GC60" s="402"/>
      <c r="GD60" s="402"/>
      <c r="GE60" s="402"/>
      <c r="GF60" s="402"/>
      <c r="GG60" s="402"/>
      <c r="GH60" s="402"/>
      <c r="GI60" s="402"/>
      <c r="GJ60" s="402"/>
      <c r="GK60" s="402"/>
      <c r="GL60" s="402"/>
      <c r="GM60" s="402"/>
      <c r="GN60" s="402"/>
      <c r="GO60" s="402"/>
      <c r="GP60" s="402"/>
      <c r="GQ60" s="402"/>
      <c r="GR60" s="402"/>
      <c r="GS60" s="402"/>
      <c r="GT60" s="402"/>
      <c r="GU60" s="402"/>
      <c r="GV60" s="402"/>
      <c r="GW60" s="402"/>
      <c r="GX60" s="402"/>
      <c r="GY60" s="402"/>
      <c r="GZ60" s="402"/>
      <c r="HA60" s="402"/>
      <c r="HB60" s="402"/>
      <c r="HC60" s="402"/>
      <c r="HD60" s="402"/>
      <c r="HE60" s="402"/>
      <c r="HF60" s="402"/>
      <c r="HG60" s="402"/>
      <c r="HH60" s="358"/>
      <c r="HI60" s="358"/>
      <c r="HJ60" s="358"/>
      <c r="HK60" s="358"/>
      <c r="HL60" s="358"/>
      <c r="HM60" s="358"/>
      <c r="HN60" s="358"/>
      <c r="HO60" s="358"/>
      <c r="HP60" s="358"/>
      <c r="HQ60" s="358"/>
      <c r="HR60" s="358"/>
      <c r="HS60" s="358"/>
      <c r="HT60" s="358"/>
      <c r="HU60" s="358"/>
      <c r="HV60" s="358"/>
      <c r="HW60" s="358"/>
      <c r="HX60" s="358"/>
      <c r="HY60" s="358"/>
      <c r="HZ60" s="358"/>
      <c r="IA60" s="358"/>
      <c r="IB60" s="358"/>
      <c r="IC60" s="358"/>
      <c r="ID60" s="358"/>
      <c r="IE60" s="358"/>
      <c r="IF60" s="358"/>
    </row>
    <row r="61" spans="1:240" s="365" customFormat="1" ht="34.5" customHeight="1">
      <c r="A61" s="363"/>
      <c r="B61" s="384"/>
      <c r="D61" s="1081" t="str">
        <f ca="1">INDIRECT($J$4&amp;"!C39")&amp;":"</f>
        <v>Repetitive fault:</v>
      </c>
      <c r="E61" s="1081"/>
      <c r="F61" s="1081"/>
      <c r="G61" s="1081"/>
      <c r="H61" s="1081"/>
      <c r="I61" s="1081"/>
      <c r="J61" s="1081"/>
      <c r="K61" s="1081"/>
      <c r="L61" s="1081"/>
      <c r="M61" s="1081"/>
      <c r="N61" s="1081"/>
      <c r="O61" s="1081"/>
      <c r="P61" s="1081"/>
      <c r="R61" s="1173" t="str">
        <f ca="1">INDIRECT($J$4&amp;"!C40")&amp;":"</f>
        <v>If yes, PSS No./ 8D No.:</v>
      </c>
      <c r="S61" s="1173"/>
      <c r="T61" s="1173"/>
      <c r="U61" s="1173"/>
      <c r="V61" s="1173"/>
      <c r="W61" s="1173"/>
      <c r="X61" s="1173"/>
      <c r="Y61" s="1173"/>
      <c r="Z61" s="1173"/>
      <c r="AA61" s="1173"/>
      <c r="AB61" s="1173"/>
      <c r="AC61" s="1173"/>
      <c r="AD61" s="1173"/>
      <c r="AE61" s="1173"/>
      <c r="AF61" s="1173"/>
      <c r="AG61" s="1173"/>
      <c r="AH61" s="1173"/>
      <c r="AI61" s="1173"/>
      <c r="AJ61" s="1173"/>
      <c r="AK61" s="1173"/>
      <c r="AL61" s="1173"/>
      <c r="AM61" s="1173"/>
      <c r="AN61" s="1173"/>
      <c r="AO61" s="1173"/>
      <c r="AR61" s="1129"/>
      <c r="AS61" s="1129"/>
      <c r="AT61" s="1129"/>
      <c r="AU61" s="1112" t="str">
        <f ca="1">INDIRECT($J$4&amp;"!C56")</f>
        <v>Which persons are affected ? What costs have been incurred so far ? Will these rise, fall or remain stable ?</v>
      </c>
      <c r="AV61" s="1112"/>
      <c r="AW61" s="1112"/>
      <c r="AX61" s="1112"/>
      <c r="AY61" s="1112"/>
      <c r="AZ61" s="1112"/>
      <c r="BA61" s="1112"/>
      <c r="BB61" s="1112"/>
      <c r="BC61" s="1112"/>
      <c r="BD61" s="1112"/>
      <c r="BE61" s="1112"/>
      <c r="BF61" s="1112"/>
      <c r="BG61" s="1112"/>
      <c r="BH61" s="1112"/>
      <c r="BI61" s="1112"/>
      <c r="BJ61" s="1112"/>
      <c r="BK61" s="1112"/>
      <c r="BL61" s="1112"/>
      <c r="BM61" s="1112"/>
      <c r="BN61" s="1112"/>
      <c r="BO61" s="1112"/>
      <c r="BP61" s="1112"/>
      <c r="BQ61" s="1112"/>
      <c r="BR61" s="1112"/>
      <c r="BS61" s="1112"/>
      <c r="BT61" s="1112"/>
      <c r="BU61" s="1112"/>
      <c r="BV61" s="1112"/>
      <c r="BW61" s="1112"/>
      <c r="BX61" s="1112"/>
      <c r="BY61" s="1112"/>
      <c r="BZ61" s="1112"/>
      <c r="CA61" s="1112"/>
      <c r="CB61" s="1112"/>
      <c r="CC61" s="1112"/>
      <c r="CD61" s="1112"/>
      <c r="CE61" s="1112"/>
      <c r="CF61" s="1112"/>
      <c r="CG61" s="1112" t="str">
        <f ca="1">INDIRECT($J$4&amp;"!C64")</f>
        <v>What can lead to worse/better circumstances ?</v>
      </c>
      <c r="CH61" s="1112"/>
      <c r="CI61" s="1112"/>
      <c r="CJ61" s="1112"/>
      <c r="CK61" s="1112"/>
      <c r="CL61" s="1112"/>
      <c r="CM61" s="1112"/>
      <c r="CN61" s="1112"/>
      <c r="CO61" s="1112"/>
      <c r="CP61" s="1112"/>
      <c r="CQ61" s="1112"/>
      <c r="CR61" s="1112"/>
      <c r="CS61" s="1112"/>
      <c r="CT61" s="1112"/>
      <c r="CU61" s="1112"/>
      <c r="CV61" s="1112"/>
      <c r="CW61" s="1112"/>
      <c r="CX61" s="1112"/>
      <c r="CY61" s="1112"/>
      <c r="CZ61" s="1112"/>
      <c r="DA61" s="1112"/>
      <c r="DB61" s="1112"/>
      <c r="DC61" s="1112"/>
      <c r="DD61" s="1112"/>
      <c r="DE61" s="1112"/>
      <c r="DF61" s="1112"/>
      <c r="DG61" s="1112"/>
      <c r="DH61" s="1112"/>
      <c r="DI61" s="1112"/>
      <c r="DJ61" s="1112"/>
      <c r="DK61" s="1112"/>
      <c r="DL61" s="1112"/>
      <c r="DM61" s="1112"/>
      <c r="DN61" s="1112"/>
      <c r="DO61" s="1112"/>
      <c r="DP61" s="1112"/>
      <c r="DQ61" s="1112"/>
      <c r="DR61" s="190"/>
      <c r="DS61" s="386"/>
      <c r="DT61" s="378"/>
      <c r="DU61" s="378"/>
      <c r="DV61" s="406"/>
      <c r="DW61" s="406"/>
      <c r="DX61" s="406"/>
      <c r="DY61" s="406"/>
      <c r="DZ61" s="406"/>
      <c r="EA61" s="406"/>
      <c r="EB61" s="574"/>
      <c r="EC61" s="406"/>
      <c r="ED61" s="406"/>
      <c r="EE61" s="406"/>
      <c r="EF61" s="406"/>
      <c r="EG61" s="406"/>
      <c r="EH61" s="406"/>
      <c r="EI61" s="406"/>
      <c r="EJ61" s="406"/>
      <c r="EK61" s="406"/>
      <c r="EL61" s="406"/>
      <c r="EM61" s="406"/>
      <c r="EN61" s="406"/>
      <c r="EO61" s="406"/>
      <c r="EP61" s="406"/>
      <c r="EQ61" s="406"/>
      <c r="ER61" s="406"/>
      <c r="ES61" s="406"/>
      <c r="ET61" s="406"/>
      <c r="EU61" s="406"/>
      <c r="EV61" s="406"/>
      <c r="EW61" s="401"/>
      <c r="EX61" s="401"/>
      <c r="EY61" s="401"/>
      <c r="EZ61" s="401"/>
      <c r="FA61" s="401"/>
      <c r="FB61" s="401"/>
      <c r="FC61" s="401"/>
      <c r="FD61" s="401"/>
      <c r="FE61" s="401"/>
      <c r="FF61" s="401"/>
      <c r="FG61" s="401"/>
      <c r="FH61" s="401"/>
      <c r="FI61" s="401"/>
      <c r="FJ61" s="401"/>
      <c r="FK61" s="401"/>
      <c r="FL61" s="401"/>
      <c r="FM61" s="401"/>
      <c r="FN61" s="401"/>
      <c r="FO61" s="401"/>
      <c r="FP61" s="401"/>
      <c r="FQ61" s="401"/>
      <c r="FR61" s="401"/>
      <c r="FS61" s="401"/>
      <c r="FT61" s="401"/>
      <c r="FU61" s="401"/>
      <c r="FV61" s="190"/>
      <c r="FW61" s="190"/>
      <c r="FX61" s="190"/>
      <c r="FY61" s="190"/>
      <c r="FZ61" s="190"/>
      <c r="GA61" s="190"/>
      <c r="GB61" s="402"/>
      <c r="GC61" s="402"/>
      <c r="GD61" s="402"/>
      <c r="GE61" s="402"/>
      <c r="GF61" s="402"/>
      <c r="GG61" s="402"/>
      <c r="GH61" s="402"/>
      <c r="GI61" s="402"/>
      <c r="GJ61" s="402"/>
      <c r="GK61" s="402"/>
      <c r="GL61" s="402"/>
      <c r="GM61" s="402"/>
      <c r="GN61" s="402"/>
      <c r="GO61" s="402"/>
      <c r="GP61" s="402"/>
      <c r="GQ61" s="402"/>
      <c r="GR61" s="402"/>
      <c r="GS61" s="402"/>
      <c r="GT61" s="402"/>
      <c r="GU61" s="402"/>
      <c r="GV61" s="402"/>
      <c r="GW61" s="402"/>
      <c r="GX61" s="402"/>
      <c r="GY61" s="402"/>
      <c r="GZ61" s="402"/>
      <c r="HA61" s="402"/>
      <c r="HB61" s="402"/>
      <c r="HC61" s="402"/>
      <c r="HD61" s="402"/>
      <c r="HE61" s="402"/>
      <c r="HF61" s="402"/>
      <c r="HG61" s="402"/>
      <c r="HH61" s="358"/>
      <c r="HI61" s="358"/>
      <c r="HJ61" s="358"/>
      <c r="HK61" s="358"/>
      <c r="HL61" s="358"/>
      <c r="HM61" s="358"/>
      <c r="HN61" s="358"/>
      <c r="HO61" s="358"/>
      <c r="HP61" s="358"/>
      <c r="HQ61" s="358"/>
      <c r="HR61" s="358"/>
      <c r="HS61" s="358"/>
      <c r="HT61" s="358"/>
      <c r="HU61" s="358"/>
      <c r="HV61" s="358"/>
      <c r="HW61" s="358"/>
      <c r="HX61" s="358"/>
      <c r="HY61" s="358"/>
      <c r="HZ61" s="358"/>
      <c r="IA61" s="358"/>
      <c r="IB61" s="358"/>
      <c r="IC61" s="358"/>
      <c r="ID61" s="358"/>
      <c r="IE61" s="358"/>
      <c r="IF61" s="358"/>
    </row>
    <row r="62" spans="1:240" s="365" customFormat="1" ht="34.5" customHeight="1">
      <c r="A62" s="363"/>
      <c r="B62" s="384"/>
      <c r="D62" s="366"/>
      <c r="E62" s="805"/>
      <c r="F62" s="805"/>
      <c r="G62" s="805"/>
      <c r="H62" s="805"/>
      <c r="I62" s="805"/>
      <c r="J62" s="805"/>
      <c r="K62" s="805"/>
      <c r="M62" s="1263"/>
      <c r="N62" s="1263"/>
      <c r="O62" s="1263"/>
      <c r="P62" s="1263"/>
      <c r="R62" s="1181"/>
      <c r="S62" s="1182"/>
      <c r="T62" s="1182"/>
      <c r="U62" s="1182"/>
      <c r="V62" s="1182"/>
      <c r="W62" s="1182"/>
      <c r="X62" s="1182"/>
      <c r="Y62" s="1182"/>
      <c r="Z62" s="1182"/>
      <c r="AA62" s="1182"/>
      <c r="AB62" s="1182"/>
      <c r="AC62" s="1182"/>
      <c r="AD62" s="1182"/>
      <c r="AE62" s="1182"/>
      <c r="AF62" s="1182"/>
      <c r="AG62" s="1182"/>
      <c r="AH62" s="1182"/>
      <c r="AI62" s="1182"/>
      <c r="AJ62" s="1182"/>
      <c r="AK62" s="1182"/>
      <c r="AL62" s="1182"/>
      <c r="AM62" s="1182"/>
      <c r="AN62" s="1182"/>
      <c r="AO62" s="1183"/>
      <c r="AR62" s="1129"/>
      <c r="AS62" s="1129"/>
      <c r="AT62" s="1129"/>
      <c r="AU62" s="1113"/>
      <c r="AV62" s="1114"/>
      <c r="AW62" s="1114"/>
      <c r="AX62" s="1114"/>
      <c r="AY62" s="1114"/>
      <c r="AZ62" s="1114"/>
      <c r="BA62" s="1114"/>
      <c r="BB62" s="1114"/>
      <c r="BC62" s="1114"/>
      <c r="BD62" s="1114"/>
      <c r="BE62" s="1114"/>
      <c r="BF62" s="1114"/>
      <c r="BG62" s="1114"/>
      <c r="BH62" s="1114"/>
      <c r="BI62" s="1114"/>
      <c r="BJ62" s="1114"/>
      <c r="BK62" s="1114"/>
      <c r="BL62" s="1114"/>
      <c r="BM62" s="1114"/>
      <c r="BN62" s="1114"/>
      <c r="BO62" s="1114"/>
      <c r="BP62" s="1114"/>
      <c r="BQ62" s="1114"/>
      <c r="BR62" s="1114"/>
      <c r="BS62" s="1114"/>
      <c r="BT62" s="1114"/>
      <c r="BU62" s="1114"/>
      <c r="BV62" s="1114"/>
      <c r="BW62" s="1114"/>
      <c r="BX62" s="1114"/>
      <c r="BY62" s="1114"/>
      <c r="BZ62" s="1114"/>
      <c r="CA62" s="1114"/>
      <c r="CB62" s="1114"/>
      <c r="CC62" s="1114"/>
      <c r="CD62" s="1114"/>
      <c r="CE62" s="1114"/>
      <c r="CF62" s="1114"/>
      <c r="CG62" s="1115"/>
      <c r="CH62" s="1115"/>
      <c r="CI62" s="1115"/>
      <c r="CJ62" s="1115"/>
      <c r="CK62" s="1115"/>
      <c r="CL62" s="1115"/>
      <c r="CM62" s="1115"/>
      <c r="CN62" s="1115"/>
      <c r="CO62" s="1115"/>
      <c r="CP62" s="1115"/>
      <c r="CQ62" s="1115"/>
      <c r="CR62" s="1115"/>
      <c r="CS62" s="1115"/>
      <c r="CT62" s="1115"/>
      <c r="CU62" s="1115"/>
      <c r="CV62" s="1115"/>
      <c r="CW62" s="1115"/>
      <c r="CX62" s="1115"/>
      <c r="CY62" s="1115"/>
      <c r="CZ62" s="1115"/>
      <c r="DA62" s="1115"/>
      <c r="DB62" s="1115"/>
      <c r="DC62" s="1115"/>
      <c r="DD62" s="1115"/>
      <c r="DE62" s="1115"/>
      <c r="DF62" s="1115"/>
      <c r="DG62" s="1115"/>
      <c r="DH62" s="1115"/>
      <c r="DI62" s="1115"/>
      <c r="DJ62" s="1115"/>
      <c r="DK62" s="1115"/>
      <c r="DL62" s="1115"/>
      <c r="DM62" s="1115"/>
      <c r="DN62" s="1115"/>
      <c r="DO62" s="1115"/>
      <c r="DP62" s="1115"/>
      <c r="DQ62" s="1115"/>
      <c r="DR62" s="190"/>
      <c r="DS62" s="386"/>
      <c r="DT62" s="378"/>
      <c r="DU62" s="378"/>
      <c r="DV62" s="406"/>
      <c r="DW62" s="406"/>
      <c r="DX62" s="406"/>
      <c r="DY62" s="406"/>
      <c r="DZ62" s="406"/>
      <c r="EA62" s="406"/>
      <c r="EB62" s="574"/>
      <c r="EC62" s="406"/>
      <c r="ED62" s="406"/>
      <c r="EE62" s="406"/>
      <c r="EF62" s="406"/>
      <c r="EG62" s="406"/>
      <c r="EH62" s="406"/>
      <c r="EI62" s="406"/>
      <c r="EJ62" s="406"/>
      <c r="EK62" s="406"/>
      <c r="EL62" s="406"/>
      <c r="EM62" s="406"/>
      <c r="EN62" s="406"/>
      <c r="EO62" s="406"/>
      <c r="EP62" s="406"/>
      <c r="EQ62" s="406"/>
      <c r="ER62" s="406"/>
      <c r="ES62" s="406"/>
      <c r="ET62" s="406"/>
      <c r="EU62" s="406"/>
      <c r="EV62" s="406"/>
      <c r="EW62" s="401"/>
      <c r="EX62" s="401"/>
      <c r="EY62" s="401"/>
      <c r="EZ62" s="401"/>
      <c r="FA62" s="401"/>
      <c r="FB62" s="401"/>
      <c r="FC62" s="401"/>
      <c r="FD62" s="401"/>
      <c r="FE62" s="401"/>
      <c r="FF62" s="401"/>
      <c r="FG62" s="401"/>
      <c r="FH62" s="401"/>
      <c r="FI62" s="401"/>
      <c r="FJ62" s="401"/>
      <c r="FK62" s="401"/>
      <c r="FL62" s="401"/>
      <c r="FM62" s="401"/>
      <c r="FN62" s="401"/>
      <c r="FO62" s="401"/>
      <c r="FP62" s="401"/>
      <c r="FQ62" s="401"/>
      <c r="FR62" s="401"/>
      <c r="FS62" s="401"/>
      <c r="FT62" s="401"/>
      <c r="FU62" s="401"/>
      <c r="FV62" s="190"/>
      <c r="FW62" s="190"/>
      <c r="FX62" s="190"/>
      <c r="FY62" s="190"/>
      <c r="FZ62" s="190"/>
      <c r="GA62" s="190"/>
      <c r="GB62" s="402"/>
      <c r="GC62" s="402"/>
      <c r="GD62" s="402"/>
      <c r="GE62" s="402"/>
      <c r="GF62" s="402"/>
      <c r="GG62" s="402"/>
      <c r="GH62" s="402"/>
      <c r="GI62" s="402"/>
      <c r="GJ62" s="402"/>
      <c r="GK62" s="402"/>
      <c r="GL62" s="402"/>
      <c r="GM62" s="402"/>
      <c r="GN62" s="402"/>
      <c r="GO62" s="402"/>
      <c r="GP62" s="402"/>
      <c r="GQ62" s="402"/>
      <c r="GR62" s="402"/>
      <c r="GS62" s="402"/>
      <c r="GT62" s="402"/>
      <c r="GU62" s="402"/>
      <c r="GV62" s="402"/>
      <c r="GW62" s="402"/>
      <c r="GX62" s="402"/>
      <c r="GY62" s="402"/>
      <c r="GZ62" s="402"/>
      <c r="HA62" s="402"/>
      <c r="HB62" s="402"/>
      <c r="HC62" s="402"/>
      <c r="HD62" s="402"/>
      <c r="HE62" s="402"/>
      <c r="HF62" s="402"/>
      <c r="HG62" s="402"/>
      <c r="HH62" s="358"/>
      <c r="HI62" s="358"/>
      <c r="HJ62" s="358"/>
      <c r="HK62" s="358"/>
      <c r="HL62" s="358"/>
      <c r="HM62" s="358"/>
      <c r="HN62" s="358"/>
      <c r="HO62" s="358"/>
      <c r="HP62" s="358"/>
      <c r="HQ62" s="358"/>
      <c r="HR62" s="358"/>
      <c r="HS62" s="358"/>
      <c r="HT62" s="358"/>
      <c r="HU62" s="358"/>
      <c r="HV62" s="358"/>
      <c r="HW62" s="358"/>
      <c r="HX62" s="358"/>
      <c r="HY62" s="358"/>
      <c r="HZ62" s="358"/>
      <c r="IA62" s="358"/>
      <c r="IB62" s="358"/>
      <c r="IC62" s="358"/>
      <c r="ID62" s="358"/>
      <c r="IE62" s="358"/>
      <c r="IF62" s="358"/>
    </row>
    <row r="63" spans="1:240" ht="5.25" customHeight="1">
      <c r="B63" s="54"/>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c r="BU63" s="26"/>
      <c r="BV63" s="26"/>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26"/>
      <c r="CU63" s="26"/>
      <c r="CV63" s="26"/>
      <c r="CW63" s="26"/>
      <c r="CX63" s="26"/>
      <c r="CY63" s="26"/>
      <c r="CZ63" s="26"/>
      <c r="DA63" s="26"/>
      <c r="DB63" s="26"/>
      <c r="DC63" s="26"/>
      <c r="DD63" s="26"/>
      <c r="DE63" s="26"/>
      <c r="DF63" s="26"/>
      <c r="DG63" s="26"/>
      <c r="DH63" s="26"/>
      <c r="DI63" s="26"/>
      <c r="DJ63" s="26"/>
      <c r="DK63" s="26"/>
      <c r="DL63" s="26"/>
      <c r="DM63" s="26"/>
      <c r="DN63" s="26"/>
      <c r="DO63" s="26"/>
      <c r="DP63" s="26"/>
      <c r="DQ63" s="26"/>
      <c r="DR63" s="55"/>
      <c r="DS63" s="50"/>
      <c r="DT63" s="37"/>
      <c r="DU63" s="37"/>
      <c r="DV63" s="76"/>
      <c r="DW63" s="76"/>
      <c r="DX63" s="76"/>
      <c r="DY63" s="76"/>
      <c r="DZ63" s="76"/>
      <c r="EA63" s="76"/>
      <c r="EB63" s="76"/>
      <c r="EC63" s="76"/>
      <c r="ED63" s="76"/>
      <c r="EE63" s="76"/>
      <c r="EF63" s="76"/>
      <c r="EG63" s="76"/>
      <c r="EH63" s="76"/>
      <c r="EI63" s="76"/>
      <c r="EJ63" s="76"/>
      <c r="EK63" s="76"/>
      <c r="EL63" s="76"/>
      <c r="EM63" s="76"/>
      <c r="EN63" s="76"/>
      <c r="EO63" s="76"/>
      <c r="EP63" s="76"/>
      <c r="EQ63" s="76"/>
      <c r="ER63" s="76"/>
      <c r="ES63" s="76"/>
      <c r="ET63" s="76"/>
      <c r="EU63" s="76"/>
      <c r="EV63" s="76"/>
      <c r="EW63" s="72"/>
      <c r="EX63" s="72"/>
      <c r="EY63" s="72"/>
      <c r="EZ63" s="72"/>
      <c r="FA63" s="72"/>
      <c r="FB63" s="72"/>
      <c r="FC63" s="72"/>
      <c r="FD63" s="72"/>
      <c r="FE63" s="72"/>
      <c r="FF63" s="72"/>
      <c r="FG63" s="72"/>
      <c r="FH63" s="72"/>
      <c r="FI63" s="72"/>
      <c r="FJ63" s="72"/>
      <c r="FK63" s="72"/>
      <c r="FL63" s="72"/>
      <c r="FM63" s="72"/>
      <c r="FN63" s="72"/>
      <c r="FO63" s="72"/>
      <c r="FP63" s="72"/>
      <c r="FQ63" s="72"/>
      <c r="FR63" s="72"/>
      <c r="FS63" s="72"/>
      <c r="FT63" s="72"/>
      <c r="FU63" s="72"/>
      <c r="FV63" s="55"/>
      <c r="FW63" s="55"/>
      <c r="FX63" s="55"/>
      <c r="FY63" s="55"/>
      <c r="FZ63" s="55"/>
      <c r="GA63" s="55"/>
      <c r="GB63" s="73"/>
      <c r="GC63" s="73"/>
      <c r="GD63" s="73"/>
      <c r="GE63" s="73"/>
      <c r="GF63" s="73"/>
      <c r="GG63" s="73"/>
      <c r="GH63" s="73"/>
      <c r="GI63" s="73"/>
      <c r="GJ63" s="73"/>
      <c r="GK63" s="73"/>
      <c r="GL63" s="73"/>
      <c r="GM63" s="73"/>
      <c r="GN63" s="73"/>
      <c r="GO63" s="73"/>
      <c r="GP63" s="73"/>
      <c r="GQ63" s="73"/>
      <c r="GR63" s="73"/>
      <c r="GS63" s="73"/>
      <c r="GT63" s="73"/>
      <c r="GU63" s="73"/>
      <c r="GV63" s="73"/>
      <c r="GW63" s="73"/>
      <c r="GX63" s="73"/>
      <c r="GY63" s="73"/>
      <c r="GZ63" s="73"/>
      <c r="HA63" s="73"/>
      <c r="HB63" s="73"/>
      <c r="HC63" s="73"/>
      <c r="HD63" s="73"/>
      <c r="HE63" s="73"/>
      <c r="HF63" s="73"/>
      <c r="HG63" s="73"/>
      <c r="HH63" s="74"/>
      <c r="HI63" s="74"/>
      <c r="HJ63" s="74"/>
      <c r="HK63" s="74"/>
      <c r="HL63" s="74"/>
      <c r="HM63" s="74"/>
      <c r="HN63" s="74"/>
      <c r="HO63" s="74"/>
      <c r="HP63" s="74"/>
      <c r="HQ63" s="74"/>
      <c r="HR63" s="74"/>
      <c r="HS63" s="74"/>
      <c r="HT63" s="74"/>
      <c r="HU63" s="74"/>
      <c r="HV63" s="74"/>
      <c r="HW63" s="74"/>
      <c r="HX63" s="74"/>
      <c r="HY63" s="74"/>
      <c r="HZ63" s="74"/>
      <c r="IA63" s="74"/>
      <c r="IB63" s="74"/>
      <c r="IC63" s="74"/>
      <c r="ID63" s="74"/>
      <c r="IE63" s="74"/>
      <c r="IF63" s="74"/>
    </row>
    <row r="64" spans="1:240" ht="9" customHeight="1" thickBot="1">
      <c r="B64" s="60"/>
      <c r="C64" s="61"/>
      <c r="D64" s="61"/>
      <c r="E64" s="61"/>
      <c r="F64" s="6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2"/>
      <c r="DT64" s="37"/>
      <c r="DU64" s="37"/>
      <c r="EV64" s="76"/>
      <c r="EW64" s="1106"/>
      <c r="EX64" s="1106"/>
      <c r="EY64" s="1106"/>
      <c r="EZ64" s="1106"/>
      <c r="FA64" s="1106"/>
      <c r="FB64" s="1106"/>
      <c r="FC64" s="1106"/>
      <c r="FD64" s="1106"/>
      <c r="FE64" s="1106"/>
      <c r="FF64" s="1106"/>
      <c r="FG64" s="1106"/>
      <c r="FH64" s="1106"/>
      <c r="FI64" s="1106"/>
      <c r="FJ64" s="1106"/>
      <c r="FK64" s="1106"/>
      <c r="FL64" s="1106"/>
      <c r="FM64" s="1106"/>
      <c r="FN64" s="1106"/>
      <c r="FO64" s="1106"/>
      <c r="FP64" s="1106"/>
      <c r="FQ64" s="1106"/>
      <c r="FR64" s="1106"/>
      <c r="FS64" s="1106"/>
      <c r="FT64" s="1106"/>
      <c r="FU64" s="1106"/>
      <c r="FV64" s="55"/>
      <c r="FW64" s="55"/>
      <c r="FX64" s="55"/>
      <c r="FY64" s="55"/>
      <c r="FZ64" s="55"/>
      <c r="GA64" s="55"/>
      <c r="GB64" s="64"/>
      <c r="GC64" s="64"/>
      <c r="GD64" s="64"/>
      <c r="GE64" s="64"/>
      <c r="GF64" s="64"/>
      <c r="GG64" s="64"/>
      <c r="GH64" s="64"/>
      <c r="GI64" s="64"/>
      <c r="GJ64" s="64"/>
      <c r="GK64" s="64"/>
      <c r="GL64" s="64"/>
      <c r="GM64" s="64"/>
      <c r="GN64" s="1111"/>
      <c r="GO64" s="1111"/>
      <c r="GP64" s="1111"/>
      <c r="GQ64" s="1111"/>
      <c r="GR64" s="73"/>
      <c r="GS64" s="73"/>
      <c r="GT64" s="73"/>
      <c r="GU64" s="73"/>
      <c r="GV64" s="73"/>
      <c r="GW64" s="73"/>
      <c r="GX64" s="73"/>
      <c r="GY64" s="73"/>
      <c r="GZ64" s="73"/>
      <c r="HA64" s="73"/>
      <c r="HB64" s="73"/>
      <c r="HC64" s="73"/>
      <c r="HD64" s="73"/>
      <c r="HE64" s="73"/>
      <c r="HF64" s="73"/>
      <c r="HG64" s="73"/>
      <c r="HH64" s="1101"/>
      <c r="HI64" s="1101"/>
      <c r="HJ64" s="1101"/>
      <c r="HK64" s="1101"/>
      <c r="HL64" s="1101"/>
      <c r="HM64" s="1101"/>
      <c r="HN64" s="1101"/>
      <c r="HO64" s="1101"/>
      <c r="HP64" s="1101"/>
      <c r="HQ64" s="1101"/>
      <c r="HR64" s="1101"/>
      <c r="HS64" s="1101"/>
      <c r="HT64" s="1101"/>
      <c r="HU64" s="1101"/>
      <c r="HV64" s="1101"/>
      <c r="HW64" s="1101"/>
      <c r="HX64" s="1101"/>
      <c r="HY64" s="1101"/>
      <c r="HZ64" s="1101"/>
      <c r="IA64" s="1101"/>
      <c r="IB64" s="1101"/>
      <c r="IC64" s="1101"/>
      <c r="ID64" s="1101"/>
      <c r="IE64" s="1101"/>
      <c r="IF64" s="1101"/>
    </row>
    <row r="65" spans="1:156" ht="8.25" customHeight="1">
      <c r="B65" s="1107" t="str">
        <f ca="1">INDIRECT($J$4&amp;"!C67")</f>
        <v>D3 - Immediate action(s)</v>
      </c>
      <c r="C65" s="1108"/>
      <c r="D65" s="1108"/>
      <c r="E65" s="1108"/>
      <c r="F65" s="1108"/>
      <c r="G65" s="1108"/>
      <c r="H65" s="1108"/>
      <c r="I65" s="1108"/>
      <c r="J65" s="1108"/>
      <c r="K65" s="1108"/>
      <c r="L65" s="1108"/>
      <c r="M65" s="1108"/>
      <c r="N65" s="1108"/>
      <c r="O65" s="1108"/>
      <c r="P65" s="1108"/>
      <c r="Q65" s="1108"/>
      <c r="R65" s="1108"/>
      <c r="S65" s="1108"/>
      <c r="T65" s="1108"/>
      <c r="U65" s="1108"/>
      <c r="V65" s="1108"/>
      <c r="W65" s="1108"/>
      <c r="X65" s="1108"/>
      <c r="Y65" s="1108"/>
      <c r="Z65" s="1108"/>
      <c r="AA65" s="1108"/>
      <c r="AB65" s="1108"/>
      <c r="AC65" s="1108"/>
      <c r="AD65" s="1108"/>
      <c r="AE65" s="1108"/>
      <c r="AF65" s="1108"/>
      <c r="AG65" s="1108"/>
      <c r="AH65" s="1108"/>
      <c r="AI65" s="1108"/>
      <c r="AJ65" s="1108"/>
      <c r="AK65" s="1108"/>
      <c r="AL65" s="1108"/>
      <c r="AM65" s="1108"/>
      <c r="AN65" s="1108"/>
      <c r="AO65" s="1108"/>
      <c r="AP65" s="44"/>
      <c r="AQ65" s="44"/>
      <c r="AR65" s="44"/>
      <c r="AS65" s="44"/>
      <c r="AT65" s="44"/>
      <c r="AU65" s="44"/>
      <c r="AV65" s="44"/>
      <c r="AW65" s="44"/>
      <c r="AX65" s="44"/>
      <c r="AY65" s="44"/>
      <c r="AZ65" s="44"/>
      <c r="BA65" s="44"/>
      <c r="BB65" s="44"/>
      <c r="BC65" s="44"/>
      <c r="BD65" s="44"/>
      <c r="BE65" s="44"/>
      <c r="BF65" s="44"/>
      <c r="BG65" s="44"/>
      <c r="BH65" s="44"/>
      <c r="BI65" s="44"/>
      <c r="BJ65" s="44"/>
      <c r="BK65" s="44"/>
      <c r="BL65" s="44"/>
      <c r="BM65" s="44"/>
      <c r="BN65" s="44"/>
      <c r="BO65" s="44"/>
      <c r="BP65" s="44"/>
      <c r="BQ65" s="44"/>
      <c r="BR65" s="44"/>
      <c r="BS65" s="44"/>
      <c r="BT65" s="44"/>
      <c r="BU65" s="44"/>
      <c r="BV65" s="44"/>
      <c r="BW65" s="44"/>
      <c r="BX65" s="44"/>
      <c r="BY65" s="44"/>
      <c r="BZ65" s="44"/>
      <c r="CA65" s="44"/>
      <c r="CB65" s="44"/>
      <c r="CC65" s="44"/>
      <c r="CD65" s="44"/>
      <c r="CE65" s="44"/>
      <c r="CF65" s="44"/>
      <c r="CG65" s="44"/>
      <c r="CH65" s="44"/>
      <c r="CI65" s="44"/>
      <c r="CJ65" s="44"/>
      <c r="CK65" s="44"/>
      <c r="CL65" s="44"/>
      <c r="CM65" s="44"/>
      <c r="CN65" s="44"/>
      <c r="CO65" s="44"/>
      <c r="CP65" s="44"/>
      <c r="CQ65" s="44"/>
      <c r="CR65" s="44"/>
      <c r="CS65" s="44"/>
      <c r="CT65" s="44"/>
      <c r="CU65" s="44"/>
      <c r="CV65" s="44"/>
      <c r="CW65" s="44"/>
      <c r="CX65" s="44"/>
      <c r="CY65" s="44"/>
      <c r="CZ65" s="44"/>
      <c r="DA65" s="44"/>
      <c r="DB65" s="44"/>
      <c r="DC65" s="44"/>
      <c r="DD65" s="44"/>
      <c r="DE65" s="44"/>
      <c r="DF65" s="44"/>
      <c r="DG65" s="44"/>
      <c r="DH65" s="44"/>
      <c r="DI65" s="44"/>
      <c r="DJ65" s="44"/>
      <c r="DK65" s="44"/>
      <c r="DL65" s="44"/>
      <c r="DM65" s="44"/>
      <c r="DN65" s="44"/>
      <c r="DO65" s="44"/>
      <c r="DP65" s="44"/>
      <c r="DQ65" s="44"/>
      <c r="DR65" s="44"/>
      <c r="DS65" s="45"/>
      <c r="DW65" s="31"/>
      <c r="DX65" s="31"/>
      <c r="DY65" s="46"/>
      <c r="DZ65" s="46"/>
      <c r="EA65" s="46"/>
      <c r="EB65" s="573"/>
      <c r="EC65" s="46"/>
      <c r="ED65" s="46"/>
      <c r="EE65" s="46"/>
      <c r="EF65" s="46"/>
      <c r="EG65" s="46"/>
      <c r="EH65" s="32"/>
    </row>
    <row r="66" spans="1:156" s="365" customFormat="1" ht="30" customHeight="1">
      <c r="A66" s="363"/>
      <c r="B66" s="1109"/>
      <c r="C66" s="1110"/>
      <c r="D66" s="1110"/>
      <c r="E66" s="1110"/>
      <c r="F66" s="1110"/>
      <c r="G66" s="1110"/>
      <c r="H66" s="1110"/>
      <c r="I66" s="1110"/>
      <c r="J66" s="1110"/>
      <c r="K66" s="1110"/>
      <c r="L66" s="1110"/>
      <c r="M66" s="1110"/>
      <c r="N66" s="1110"/>
      <c r="O66" s="1110"/>
      <c r="P66" s="1110"/>
      <c r="Q66" s="1110"/>
      <c r="R66" s="1110"/>
      <c r="S66" s="1110"/>
      <c r="T66" s="1110"/>
      <c r="U66" s="1110"/>
      <c r="V66" s="1110"/>
      <c r="W66" s="1110"/>
      <c r="X66" s="1110"/>
      <c r="Y66" s="1110"/>
      <c r="Z66" s="1110"/>
      <c r="AA66" s="1110"/>
      <c r="AB66" s="1110"/>
      <c r="AC66" s="1110"/>
      <c r="AD66" s="1110"/>
      <c r="AE66" s="1110"/>
      <c r="AF66" s="1110"/>
      <c r="AG66" s="1110"/>
      <c r="AH66" s="1110"/>
      <c r="AI66" s="1110"/>
      <c r="AJ66" s="1110"/>
      <c r="AK66" s="1110"/>
      <c r="AL66" s="1110"/>
      <c r="AM66" s="1110"/>
      <c r="AN66" s="1110"/>
      <c r="AO66" s="1110"/>
      <c r="AP66" s="390"/>
      <c r="AQ66" s="390"/>
      <c r="AR66" s="390"/>
      <c r="AS66" s="390"/>
      <c r="AT66" s="390"/>
      <c r="AU66" s="390"/>
      <c r="AV66" s="390"/>
      <c r="AW66" s="390"/>
      <c r="AX66" s="390"/>
      <c r="AY66" s="390"/>
      <c r="AZ66" s="390"/>
      <c r="BA66" s="390"/>
      <c r="BB66" s="390"/>
      <c r="BC66" s="390"/>
      <c r="BD66" s="390"/>
      <c r="BE66" s="390"/>
      <c r="BF66" s="390"/>
      <c r="BG66" s="390"/>
      <c r="BH66" s="390"/>
      <c r="BI66" s="390"/>
      <c r="BJ66" s="390"/>
      <c r="BK66" s="390"/>
      <c r="BL66" s="390"/>
      <c r="BM66" s="390"/>
      <c r="BN66" s="390"/>
      <c r="BO66" s="390"/>
      <c r="BP66" s="390"/>
      <c r="BQ66" s="390"/>
      <c r="BR66" s="407" t="str">
        <f ca="1">INDIRECT($J$4&amp;"!C68")&amp;":"</f>
        <v>Status:</v>
      </c>
      <c r="BS66" s="390"/>
      <c r="BT66" s="408"/>
      <c r="BU66" s="390"/>
      <c r="BV66" s="390"/>
      <c r="BW66" s="390"/>
      <c r="BX66" s="390"/>
      <c r="BY66" s="1047"/>
      <c r="BZ66" s="1048"/>
      <c r="CA66" s="1048"/>
      <c r="CB66" s="1048"/>
      <c r="CC66" s="1048"/>
      <c r="CD66" s="1048"/>
      <c r="CE66" s="1048"/>
      <c r="CF66" s="1048"/>
      <c r="CG66" s="1048"/>
      <c r="CH66" s="1048"/>
      <c r="CI66" s="1048"/>
      <c r="CJ66" s="1048"/>
      <c r="CK66" s="1049"/>
      <c r="CL66" s="408"/>
      <c r="CM66" s="409"/>
      <c r="CN66" s="408"/>
      <c r="CO66" s="408"/>
      <c r="CP66" s="408"/>
      <c r="CQ66" s="408"/>
      <c r="CR66" s="408"/>
      <c r="CS66" s="390"/>
      <c r="CT66" s="390"/>
      <c r="CU66" s="390"/>
      <c r="CV66" s="390"/>
      <c r="CW66" s="390"/>
      <c r="CX66" s="390"/>
      <c r="CY66" s="390"/>
      <c r="CZ66" s="794" t="str">
        <f ca="1">INDIRECT($J$4&amp;"!C69")</f>
        <v>Date</v>
      </c>
      <c r="DA66" s="257"/>
      <c r="DB66" s="257"/>
      <c r="DC66" s="257"/>
      <c r="DD66" s="408"/>
      <c r="DE66" s="1102"/>
      <c r="DF66" s="1103"/>
      <c r="DG66" s="1103"/>
      <c r="DH66" s="1103"/>
      <c r="DI66" s="1103"/>
      <c r="DJ66" s="1103"/>
      <c r="DK66" s="1103"/>
      <c r="DL66" s="1103"/>
      <c r="DM66" s="1103"/>
      <c r="DN66" s="1103"/>
      <c r="DO66" s="1103"/>
      <c r="DP66" s="1103"/>
      <c r="DQ66" s="1103"/>
      <c r="DR66" s="1104"/>
      <c r="DS66" s="386"/>
      <c r="DT66" s="378"/>
      <c r="DU66" s="378"/>
      <c r="DV66" s="387"/>
      <c r="DW66" s="387"/>
      <c r="DX66" s="387"/>
      <c r="DY66" s="387"/>
      <c r="DZ66" s="387"/>
      <c r="EA66" s="387"/>
      <c r="EB66" s="387"/>
      <c r="EC66" s="387"/>
      <c r="ED66" s="387"/>
      <c r="EE66" s="387"/>
      <c r="EF66" s="387"/>
      <c r="EG66" s="387"/>
      <c r="EH66" s="187"/>
    </row>
    <row r="67" spans="1:156" ht="8.25" customHeight="1">
      <c r="B67" s="54"/>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49"/>
      <c r="CA67" s="49"/>
      <c r="CB67" s="49"/>
      <c r="CC67" s="49"/>
      <c r="CD67" s="49"/>
      <c r="CE67" s="49"/>
      <c r="CF67" s="49"/>
      <c r="CG67" s="49"/>
      <c r="CH67" s="49"/>
      <c r="CI67" s="49"/>
      <c r="CJ67" s="49"/>
      <c r="CK67" s="49"/>
      <c r="CL67" s="49"/>
      <c r="CM67" s="49"/>
      <c r="CN67" s="49"/>
      <c r="CO67" s="49"/>
      <c r="CP67" s="49"/>
      <c r="CQ67" s="49"/>
      <c r="CR67" s="49"/>
      <c r="CS67" s="49"/>
      <c r="CT67" s="49"/>
      <c r="CU67" s="49"/>
      <c r="CV67" s="49"/>
      <c r="CW67" s="49"/>
      <c r="CX67" s="49"/>
      <c r="CY67" s="49"/>
      <c r="CZ67" s="49"/>
      <c r="DA67" s="49"/>
      <c r="DB67" s="49"/>
      <c r="DC67" s="49"/>
      <c r="DD67" s="49"/>
      <c r="DE67" s="49"/>
      <c r="DF67" s="49"/>
      <c r="DG67" s="49"/>
      <c r="DH67" s="49"/>
      <c r="DI67" s="49"/>
      <c r="DJ67" s="49"/>
      <c r="DK67" s="49"/>
      <c r="DL67" s="49"/>
      <c r="DM67" s="49"/>
      <c r="DN67" s="49"/>
      <c r="DO67" s="49"/>
      <c r="DP67" s="49"/>
      <c r="DQ67" s="49"/>
      <c r="DR67" s="49"/>
      <c r="DS67" s="50"/>
      <c r="DT67" s="37"/>
      <c r="DU67" s="37"/>
      <c r="DV67" s="51"/>
      <c r="DW67" s="51"/>
      <c r="DX67" s="51"/>
      <c r="DY67" s="51"/>
      <c r="DZ67" s="51"/>
      <c r="EA67" s="51"/>
      <c r="EB67" s="51"/>
      <c r="EC67" s="51"/>
      <c r="ED67" s="51"/>
      <c r="EE67" s="51"/>
      <c r="EF67" s="51"/>
      <c r="EG67" s="51"/>
      <c r="EH67" s="53"/>
    </row>
    <row r="68" spans="1:156" ht="5.25" customHeight="1">
      <c r="B68" s="54"/>
      <c r="C68" s="55"/>
      <c r="D68" s="55"/>
      <c r="E68" s="55"/>
      <c r="F68" s="55"/>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5"/>
      <c r="AO68" s="55"/>
      <c r="AP68" s="55"/>
      <c r="AQ68" s="55"/>
      <c r="AR68" s="55"/>
      <c r="AS68" s="55"/>
      <c r="AT68" s="55"/>
      <c r="AU68" s="55"/>
      <c r="AV68" s="55"/>
      <c r="AW68" s="55"/>
      <c r="AX68" s="55"/>
      <c r="AY68" s="55"/>
      <c r="AZ68" s="55"/>
      <c r="BA68" s="55"/>
      <c r="BB68" s="55"/>
      <c r="BC68" s="55"/>
      <c r="BD68" s="55"/>
      <c r="BE68" s="55"/>
      <c r="BF68" s="55"/>
      <c r="BG68" s="55"/>
      <c r="BH68" s="55"/>
      <c r="BI68" s="55"/>
      <c r="BJ68" s="55"/>
      <c r="BK68" s="55"/>
      <c r="BL68" s="55"/>
      <c r="BM68" s="55"/>
      <c r="BN68" s="55"/>
      <c r="BO68" s="55"/>
      <c r="BP68" s="55"/>
      <c r="BQ68" s="55"/>
      <c r="BR68" s="55"/>
      <c r="BS68" s="55"/>
      <c r="BT68" s="55"/>
      <c r="BU68" s="55"/>
      <c r="BV68" s="55"/>
      <c r="BW68" s="55"/>
      <c r="BX68" s="55"/>
      <c r="BY68" s="55"/>
      <c r="BZ68" s="55"/>
      <c r="CA68" s="55"/>
      <c r="CB68" s="55"/>
      <c r="CC68" s="55"/>
      <c r="CD68" s="55"/>
      <c r="CE68" s="55"/>
      <c r="CF68" s="55"/>
      <c r="CG68" s="55"/>
      <c r="CH68" s="55"/>
      <c r="CI68" s="55"/>
      <c r="CJ68" s="55"/>
      <c r="CK68" s="55"/>
      <c r="CL68" s="55"/>
      <c r="CM68" s="55"/>
      <c r="CN68" s="55"/>
      <c r="CO68" s="55"/>
      <c r="CP68" s="55"/>
      <c r="CQ68" s="55"/>
      <c r="CR68" s="55"/>
      <c r="CS68" s="55"/>
      <c r="CT68" s="55"/>
      <c r="CU68" s="55"/>
      <c r="CV68" s="55"/>
      <c r="CW68" s="55"/>
      <c r="CX68" s="55"/>
      <c r="CY68" s="55"/>
      <c r="CZ68" s="55"/>
      <c r="DA68" s="55"/>
      <c r="DB68" s="55"/>
      <c r="DC68" s="55"/>
      <c r="DD68" s="55"/>
      <c r="DE68" s="55"/>
      <c r="DF68" s="55"/>
      <c r="DG68" s="55"/>
      <c r="DH68" s="55"/>
      <c r="DI68" s="55"/>
      <c r="DJ68" s="55"/>
      <c r="DK68" s="55"/>
      <c r="DL68" s="55"/>
      <c r="DM68" s="55"/>
      <c r="DN68" s="55"/>
      <c r="DO68" s="55"/>
      <c r="DP68" s="55"/>
      <c r="DQ68" s="55"/>
      <c r="DR68" s="55"/>
      <c r="DS68" s="50"/>
      <c r="DT68" s="37"/>
      <c r="DU68" s="37"/>
      <c r="DV68" s="51"/>
      <c r="DW68" s="51"/>
      <c r="DX68" s="51"/>
      <c r="DY68" s="51"/>
      <c r="DZ68" s="51"/>
      <c r="EA68" s="51"/>
      <c r="EB68" s="51"/>
      <c r="EC68" s="51"/>
      <c r="ED68" s="51"/>
      <c r="EE68" s="51"/>
      <c r="EF68" s="51"/>
      <c r="EG68" s="51"/>
      <c r="EH68" s="59"/>
    </row>
    <row r="69" spans="1:156" s="365" customFormat="1" ht="30" customHeight="1">
      <c r="A69" s="363"/>
      <c r="B69" s="384"/>
      <c r="C69" s="190"/>
      <c r="D69" s="391" t="str">
        <f ca="1">INDIRECT($J$4&amp;"!C70")</f>
        <v>Were the relevant emloyees informed ?</v>
      </c>
      <c r="E69" s="190"/>
      <c r="F69" s="190"/>
      <c r="G69" s="190"/>
      <c r="H69" s="190"/>
      <c r="I69" s="190"/>
      <c r="J69" s="190"/>
      <c r="K69" s="190"/>
      <c r="L69" s="190"/>
      <c r="M69" s="190"/>
      <c r="N69" s="190"/>
      <c r="O69" s="190"/>
      <c r="P69" s="190"/>
      <c r="Q69" s="190"/>
      <c r="R69" s="190"/>
      <c r="S69" s="190"/>
      <c r="T69" s="190"/>
      <c r="U69" s="190"/>
      <c r="V69" s="190"/>
      <c r="W69" s="190"/>
      <c r="X69" s="190"/>
      <c r="Y69" s="190"/>
      <c r="Z69" s="190"/>
      <c r="AA69" s="190"/>
      <c r="AB69" s="190"/>
      <c r="AC69" s="190"/>
      <c r="AD69" s="190"/>
      <c r="AE69" s="190"/>
      <c r="AF69" s="190"/>
      <c r="AG69" s="190"/>
      <c r="AH69" s="1047"/>
      <c r="AI69" s="1048"/>
      <c r="AJ69" s="1048"/>
      <c r="AK69" s="1048"/>
      <c r="AL69" s="1049"/>
      <c r="AM69" s="190"/>
      <c r="AN69" s="190"/>
      <c r="AO69" s="190"/>
      <c r="AP69" s="190"/>
      <c r="AQ69" s="190"/>
      <c r="AR69" s="391" t="str">
        <f ca="1">INDIRECT($J$4&amp;"!C69")</f>
        <v>Date</v>
      </c>
      <c r="AS69" s="190"/>
      <c r="AT69" s="190"/>
      <c r="AU69" s="190"/>
      <c r="AV69" s="190"/>
      <c r="AW69" s="190"/>
      <c r="AX69" s="190"/>
      <c r="AY69" s="190"/>
      <c r="AZ69" s="190"/>
      <c r="BA69" s="1102"/>
      <c r="BB69" s="1103"/>
      <c r="BC69" s="1103"/>
      <c r="BD69" s="1103"/>
      <c r="BE69" s="1103"/>
      <c r="BF69" s="1103"/>
      <c r="BG69" s="1103"/>
      <c r="BH69" s="1103"/>
      <c r="BI69" s="1104"/>
      <c r="BJ69" s="200"/>
      <c r="BK69" s="200"/>
      <c r="BL69" s="200"/>
      <c r="BM69" s="200"/>
      <c r="BN69" s="200"/>
      <c r="BO69" s="200"/>
      <c r="BP69" s="200"/>
      <c r="BQ69" s="200"/>
      <c r="BR69" s="200"/>
      <c r="BS69" s="200"/>
      <c r="BT69" s="200"/>
      <c r="BU69" s="200"/>
      <c r="BV69" s="200"/>
      <c r="BW69" s="864" t="str">
        <f ca="1">INDIRECT($J$4&amp;"!C83")</f>
        <v>Responsible</v>
      </c>
      <c r="BX69" s="200"/>
      <c r="BY69" s="1147"/>
      <c r="BZ69" s="1148"/>
      <c r="CA69" s="1148"/>
      <c r="CB69" s="1148"/>
      <c r="CC69" s="1148"/>
      <c r="CD69" s="1148"/>
      <c r="CE69" s="1148"/>
      <c r="CF69" s="1148"/>
      <c r="CG69" s="1148"/>
      <c r="CH69" s="1148"/>
      <c r="CI69" s="1148"/>
      <c r="CJ69" s="1148"/>
      <c r="CK69" s="1149"/>
      <c r="CL69" s="200"/>
      <c r="CM69" s="200"/>
      <c r="CN69" s="200"/>
      <c r="CO69" s="200"/>
      <c r="CP69" s="200"/>
      <c r="CQ69" s="200"/>
      <c r="CR69" s="200"/>
      <c r="CS69" s="200"/>
      <c r="CT69" s="200"/>
      <c r="CU69" s="200"/>
      <c r="CV69" s="200"/>
      <c r="CW69" s="200"/>
      <c r="CX69" s="200"/>
      <c r="CY69" s="200"/>
      <c r="CZ69" s="200"/>
      <c r="DA69" s="200"/>
      <c r="DB69" s="200"/>
      <c r="DC69" s="200"/>
      <c r="DD69" s="200"/>
      <c r="DE69" s="200"/>
      <c r="DF69" s="200"/>
      <c r="DG69" s="200"/>
      <c r="DH69" s="200"/>
      <c r="DI69" s="200"/>
      <c r="DJ69" s="200"/>
      <c r="DK69" s="200"/>
      <c r="DL69" s="200"/>
      <c r="DM69" s="200"/>
      <c r="DN69" s="200"/>
      <c r="DO69" s="200"/>
      <c r="DP69" s="200"/>
      <c r="DQ69" s="200"/>
      <c r="DR69" s="200"/>
      <c r="DS69" s="386"/>
      <c r="DT69" s="378"/>
      <c r="DU69" s="378"/>
      <c r="DW69" s="387"/>
      <c r="DX69" s="387"/>
      <c r="DY69" s="387"/>
      <c r="DZ69" s="387"/>
      <c r="EA69" s="387"/>
      <c r="EB69" s="387"/>
      <c r="EC69" s="387"/>
      <c r="ED69" s="387"/>
      <c r="EE69" s="387"/>
      <c r="EF69" s="387"/>
      <c r="EG69" s="387"/>
      <c r="EH69" s="127"/>
    </row>
    <row r="70" spans="1:156" ht="5.25" customHeight="1">
      <c r="B70" s="54"/>
      <c r="C70" s="55"/>
      <c r="D70" s="55"/>
      <c r="E70" s="55"/>
      <c r="F70" s="55"/>
      <c r="G70" s="55"/>
      <c r="H70" s="55"/>
      <c r="I70" s="55"/>
      <c r="J70" s="55"/>
      <c r="K70" s="55"/>
      <c r="L70" s="55"/>
      <c r="M70" s="55"/>
      <c r="N70" s="55"/>
      <c r="O70" s="55"/>
      <c r="P70" s="55"/>
      <c r="Q70" s="55"/>
      <c r="R70" s="55"/>
      <c r="S70" s="55"/>
      <c r="T70" s="55"/>
      <c r="U70" s="55"/>
      <c r="V70" s="55"/>
      <c r="W70" s="55"/>
      <c r="X70" s="55"/>
      <c r="Y70" s="55"/>
      <c r="Z70" s="55"/>
      <c r="AA70" s="55"/>
      <c r="AB70" s="55"/>
      <c r="AC70" s="55"/>
      <c r="AD70" s="55"/>
      <c r="AE70" s="55"/>
      <c r="AF70" s="55"/>
      <c r="AG70" s="55"/>
      <c r="AH70" s="55"/>
      <c r="AI70" s="55"/>
      <c r="AJ70" s="55"/>
      <c r="AK70" s="55"/>
      <c r="AL70" s="55"/>
      <c r="AM70" s="55"/>
      <c r="AN70" s="55"/>
      <c r="AO70" s="55"/>
      <c r="AP70" s="55"/>
      <c r="AQ70" s="55"/>
      <c r="AR70" s="55"/>
      <c r="AS70" s="55"/>
      <c r="AT70" s="55"/>
      <c r="AU70" s="55"/>
      <c r="AV70" s="55"/>
      <c r="AW70" s="55"/>
      <c r="AX70" s="55"/>
      <c r="AY70" s="55"/>
      <c r="AZ70" s="55"/>
      <c r="BA70" s="55"/>
      <c r="BB70" s="55"/>
      <c r="BC70" s="55"/>
      <c r="BD70" s="55"/>
      <c r="BE70" s="55"/>
      <c r="BF70" s="55"/>
      <c r="BG70" s="55"/>
      <c r="BH70" s="55"/>
      <c r="BI70" s="55"/>
      <c r="BJ70" s="55"/>
      <c r="BK70" s="55"/>
      <c r="BL70" s="55"/>
      <c r="BM70" s="55"/>
      <c r="BN70" s="55"/>
      <c r="BO70" s="55"/>
      <c r="BP70" s="55"/>
      <c r="BQ70" s="55"/>
      <c r="BR70" s="55"/>
      <c r="BS70" s="55"/>
      <c r="BT70" s="55"/>
      <c r="BU70" s="55"/>
      <c r="BV70" s="55"/>
      <c r="BW70" s="55"/>
      <c r="BX70" s="55"/>
      <c r="BY70" s="55"/>
      <c r="BZ70" s="55"/>
      <c r="CA70" s="55"/>
      <c r="CB70" s="55"/>
      <c r="CC70" s="55"/>
      <c r="CD70" s="55"/>
      <c r="CE70" s="55"/>
      <c r="CF70" s="55"/>
      <c r="CG70" s="55"/>
      <c r="CH70" s="55"/>
      <c r="CI70" s="55"/>
      <c r="CJ70" s="55"/>
      <c r="CK70" s="55"/>
      <c r="CL70" s="55"/>
      <c r="CM70" s="55"/>
      <c r="CN70" s="55"/>
      <c r="CO70" s="55"/>
      <c r="CP70" s="55"/>
      <c r="CQ70" s="55"/>
      <c r="CR70" s="55"/>
      <c r="CS70" s="55"/>
      <c r="CT70" s="55"/>
      <c r="CU70" s="55"/>
      <c r="CV70" s="55"/>
      <c r="CW70" s="55"/>
      <c r="CX70" s="55"/>
      <c r="CY70" s="55"/>
      <c r="CZ70" s="55"/>
      <c r="DA70" s="55"/>
      <c r="DB70" s="55"/>
      <c r="DC70" s="55"/>
      <c r="DD70" s="55"/>
      <c r="DE70" s="55"/>
      <c r="DF70" s="55"/>
      <c r="DG70" s="55"/>
      <c r="DH70" s="55"/>
      <c r="DI70" s="55"/>
      <c r="DJ70" s="55"/>
      <c r="DK70" s="55"/>
      <c r="DL70" s="55"/>
      <c r="DM70" s="55"/>
      <c r="DN70" s="55"/>
      <c r="DO70" s="55"/>
      <c r="DP70" s="55"/>
      <c r="DQ70" s="55"/>
      <c r="DR70" s="55"/>
      <c r="DS70" s="50"/>
      <c r="DT70" s="37"/>
      <c r="DU70" s="37"/>
      <c r="DV70" s="51"/>
      <c r="DW70" s="51"/>
      <c r="DX70" s="51"/>
      <c r="DY70" s="51"/>
      <c r="DZ70" s="51"/>
      <c r="EA70" s="51"/>
      <c r="EB70" s="51"/>
      <c r="EC70" s="51"/>
      <c r="ED70" s="51"/>
      <c r="EE70" s="51"/>
      <c r="EF70" s="51"/>
      <c r="EG70" s="51"/>
      <c r="EH70" s="59"/>
    </row>
    <row r="71" spans="1:156" s="365" customFormat="1" ht="30" customHeight="1">
      <c r="A71" s="363"/>
      <c r="B71" s="384"/>
      <c r="C71" s="390"/>
      <c r="D71" s="1105" t="str">
        <f ca="1">INDIRECT($J$4&amp;"!C71")</f>
        <v>Limitation of affected products</v>
      </c>
      <c r="E71" s="1105"/>
      <c r="F71" s="1105"/>
      <c r="G71" s="1105"/>
      <c r="H71" s="1105"/>
      <c r="I71" s="1105"/>
      <c r="J71" s="1105"/>
      <c r="K71" s="1105"/>
      <c r="L71" s="1105"/>
      <c r="M71" s="1105"/>
      <c r="N71" s="1105"/>
      <c r="O71" s="1105"/>
      <c r="P71" s="1105"/>
      <c r="Q71" s="1105"/>
      <c r="R71" s="1105"/>
      <c r="S71" s="1105"/>
      <c r="T71" s="1105"/>
      <c r="U71" s="1105"/>
      <c r="V71" s="1105"/>
      <c r="W71" s="1105"/>
      <c r="X71" s="1105"/>
      <c r="Y71" s="1105"/>
      <c r="Z71" s="1105"/>
      <c r="AA71" s="1105"/>
      <c r="AB71" s="1105"/>
      <c r="AC71" s="1105"/>
      <c r="AD71" s="1105"/>
      <c r="AE71" s="1105"/>
      <c r="AF71" s="1105"/>
      <c r="AG71" s="1105"/>
      <c r="AH71" s="1105"/>
      <c r="AI71" s="1105"/>
      <c r="AJ71" s="1105"/>
      <c r="AK71" s="1105"/>
      <c r="AL71" s="1105"/>
      <c r="AM71" s="1105"/>
      <c r="AN71" s="1105"/>
      <c r="AO71" s="1105"/>
      <c r="AP71" s="1105"/>
      <c r="AQ71" s="1105"/>
      <c r="AR71" s="1105"/>
      <c r="AS71" s="1105"/>
      <c r="AT71" s="1105"/>
      <c r="AU71" s="1105"/>
      <c r="AV71" s="1105"/>
      <c r="AW71" s="1105"/>
      <c r="AX71" s="1105"/>
      <c r="AY71" s="1105"/>
      <c r="AZ71" s="1105"/>
      <c r="BA71" s="1105"/>
      <c r="BB71" s="1105"/>
      <c r="BC71" s="1105"/>
      <c r="BD71" s="1105"/>
      <c r="BE71" s="1105"/>
      <c r="BF71" s="1105"/>
      <c r="BG71" s="1105"/>
      <c r="BH71" s="1105"/>
      <c r="BI71" s="1105"/>
      <c r="BJ71" s="1105"/>
      <c r="BK71" s="1105"/>
      <c r="BL71" s="1105"/>
      <c r="BM71" s="1105"/>
      <c r="BN71" s="1105"/>
      <c r="BO71" s="1105"/>
      <c r="BP71" s="1105"/>
      <c r="BQ71" s="1105"/>
      <c r="BR71" s="1105"/>
      <c r="BS71" s="1105"/>
      <c r="BT71" s="1105"/>
      <c r="BU71" s="1105"/>
      <c r="BV71" s="1105"/>
      <c r="BW71" s="1105"/>
      <c r="BX71" s="1105"/>
      <c r="BY71" s="1105"/>
      <c r="BZ71" s="1105"/>
      <c r="CA71" s="1105"/>
      <c r="CB71" s="1105"/>
      <c r="CC71" s="1105"/>
      <c r="CD71" s="1105"/>
      <c r="CE71" s="1105"/>
      <c r="CF71" s="1105"/>
      <c r="CG71" s="1105"/>
      <c r="CH71" s="1105"/>
      <c r="CI71" s="1105"/>
      <c r="CJ71" s="1105"/>
      <c r="CK71" s="1105"/>
      <c r="CL71" s="1105"/>
      <c r="CM71" s="1105"/>
      <c r="CN71" s="1105"/>
      <c r="CO71" s="1105"/>
      <c r="CP71" s="1105"/>
      <c r="CQ71" s="1105"/>
      <c r="CR71" s="1105"/>
      <c r="CS71" s="1105"/>
      <c r="CT71" s="1105"/>
      <c r="CU71" s="1105"/>
      <c r="CV71" s="1105"/>
      <c r="CW71" s="1105"/>
      <c r="CX71" s="1105"/>
      <c r="CY71" s="1105"/>
      <c r="CZ71" s="1105"/>
      <c r="DA71" s="1105"/>
      <c r="DB71" s="1105"/>
      <c r="DC71" s="1105"/>
      <c r="DD71" s="1105"/>
      <c r="DE71" s="1105"/>
      <c r="DF71" s="1105"/>
      <c r="DG71" s="1105"/>
      <c r="DH71" s="1105"/>
      <c r="DI71" s="1105"/>
      <c r="DJ71" s="1105"/>
      <c r="DK71" s="1105"/>
      <c r="DL71" s="1105"/>
      <c r="DM71" s="1105"/>
      <c r="DN71" s="1105"/>
      <c r="DO71" s="1105"/>
      <c r="DP71" s="1105"/>
      <c r="DQ71" s="1105"/>
      <c r="DR71" s="1105"/>
      <c r="DS71" s="386"/>
      <c r="DT71" s="378"/>
      <c r="DU71" s="378"/>
      <c r="DW71" s="385"/>
      <c r="DX71" s="385"/>
      <c r="DY71" s="385"/>
      <c r="DZ71" s="385"/>
      <c r="EA71" s="385"/>
      <c r="EB71" s="572"/>
      <c r="EC71" s="385"/>
      <c r="ED71" s="385"/>
      <c r="EE71" s="385"/>
      <c r="EF71" s="387"/>
      <c r="EG71" s="387"/>
      <c r="EH71" s="127"/>
    </row>
    <row r="72" spans="1:156" ht="5.25" customHeight="1">
      <c r="B72" s="54"/>
      <c r="C72" s="55"/>
      <c r="D72" s="55"/>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78"/>
      <c r="AR72" s="78"/>
      <c r="AS72" s="78"/>
      <c r="AT72" s="26"/>
      <c r="AU72" s="26"/>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7"/>
      <c r="BY72" s="37"/>
      <c r="BZ72" s="37"/>
      <c r="CA72" s="37"/>
      <c r="CB72" s="37"/>
      <c r="CC72" s="37"/>
      <c r="CD72" s="37"/>
      <c r="CE72" s="37"/>
      <c r="CF72" s="55"/>
      <c r="CG72" s="26"/>
      <c r="CH72" s="55"/>
      <c r="CI72" s="55"/>
      <c r="CJ72" s="55"/>
      <c r="CK72" s="55"/>
      <c r="CL72" s="55"/>
      <c r="CM72" s="55"/>
      <c r="CN72" s="55"/>
      <c r="CO72" s="55"/>
      <c r="CP72" s="55"/>
      <c r="CQ72" s="55"/>
      <c r="CR72" s="55"/>
      <c r="CS72" s="55"/>
      <c r="CT72" s="55"/>
      <c r="CU72" s="55"/>
      <c r="CV72" s="55"/>
      <c r="CW72" s="55"/>
      <c r="CX72" s="55"/>
      <c r="CY72" s="55"/>
      <c r="CZ72" s="55"/>
      <c r="DA72" s="55"/>
      <c r="DB72" s="55"/>
      <c r="DC72" s="55"/>
      <c r="DD72" s="55"/>
      <c r="DE72" s="55"/>
      <c r="DF72" s="55"/>
      <c r="DG72" s="55"/>
      <c r="DH72" s="55"/>
      <c r="DI72" s="55"/>
      <c r="DJ72" s="55"/>
      <c r="DK72" s="55"/>
      <c r="DL72" s="55"/>
      <c r="DM72" s="55"/>
      <c r="DN72" s="55"/>
      <c r="DO72" s="55"/>
      <c r="DP72" s="55"/>
      <c r="DQ72" s="55"/>
      <c r="DR72" s="55"/>
      <c r="DS72" s="50"/>
      <c r="DT72" s="37"/>
      <c r="DU72" s="37"/>
      <c r="DV72" s="79"/>
      <c r="DW72" s="79"/>
      <c r="DX72" s="79"/>
      <c r="DY72" s="79"/>
      <c r="DZ72" s="79"/>
      <c r="EA72" s="79"/>
      <c r="EB72" s="79"/>
      <c r="EC72" s="79"/>
      <c r="ED72" s="79"/>
      <c r="EE72" s="79"/>
      <c r="EF72" s="51"/>
      <c r="EG72" s="51"/>
      <c r="EH72" s="59"/>
    </row>
    <row r="73" spans="1:156" s="365" customFormat="1" ht="30" customHeight="1">
      <c r="A73" s="363"/>
      <c r="B73" s="384"/>
      <c r="C73" s="190"/>
      <c r="D73" s="391" t="str">
        <f ca="1">INDIRECT($J$4&amp;"!C72")</f>
        <v>Is it possible to do a limitation of the affected products ?</v>
      </c>
      <c r="E73" s="190"/>
      <c r="F73" s="190"/>
      <c r="G73" s="190"/>
      <c r="H73" s="190"/>
      <c r="I73" s="190"/>
      <c r="J73" s="190"/>
      <c r="K73" s="190"/>
      <c r="L73" s="190"/>
      <c r="M73" s="190"/>
      <c r="N73" s="190"/>
      <c r="O73" s="190"/>
      <c r="P73" s="190"/>
      <c r="Q73" s="190"/>
      <c r="R73" s="190"/>
      <c r="S73" s="190"/>
      <c r="T73" s="190"/>
      <c r="U73" s="190"/>
      <c r="V73" s="190"/>
      <c r="W73" s="190"/>
      <c r="X73" s="190"/>
      <c r="Y73" s="190"/>
      <c r="Z73" s="190"/>
      <c r="AA73" s="190"/>
      <c r="AB73" s="410"/>
      <c r="AC73" s="410"/>
      <c r="AD73" s="410"/>
      <c r="AE73" s="410"/>
      <c r="AF73" s="410"/>
      <c r="AG73" s="410"/>
      <c r="AH73" s="410"/>
      <c r="AI73" s="410"/>
      <c r="AJ73" s="410"/>
      <c r="AK73" s="410"/>
      <c r="AL73" s="410"/>
      <c r="AM73" s="410"/>
      <c r="AN73" s="410"/>
      <c r="AO73" s="410"/>
      <c r="AP73" s="410"/>
      <c r="AQ73" s="410"/>
      <c r="AR73" s="411"/>
      <c r="AS73" s="411"/>
      <c r="AV73" s="378"/>
      <c r="AW73" s="378"/>
      <c r="AX73" s="378"/>
      <c r="AY73" s="378"/>
      <c r="AZ73" s="378"/>
      <c r="BA73" s="1047" t="s">
        <v>100</v>
      </c>
      <c r="BB73" s="1048"/>
      <c r="BC73" s="1048"/>
      <c r="BD73" s="1048"/>
      <c r="BE73" s="1049"/>
      <c r="BF73" s="410"/>
      <c r="BG73" s="410"/>
      <c r="BH73" s="410"/>
      <c r="BI73" s="410"/>
      <c r="BJ73" s="378"/>
      <c r="BK73" s="378"/>
      <c r="BL73" s="378"/>
      <c r="BM73" s="378"/>
      <c r="BN73" s="378"/>
      <c r="BO73" s="378"/>
      <c r="BP73" s="378"/>
      <c r="BQ73" s="378"/>
      <c r="BR73" s="378"/>
      <c r="BS73" s="378"/>
      <c r="BT73" s="378"/>
      <c r="BU73" s="378"/>
      <c r="BV73" s="378"/>
      <c r="BW73" s="378"/>
      <c r="BX73" s="378"/>
      <c r="BY73" s="378"/>
      <c r="BZ73" s="378"/>
      <c r="CA73" s="378"/>
      <c r="CB73" s="378"/>
      <c r="CC73" s="378"/>
      <c r="CD73" s="378"/>
      <c r="CE73" s="378"/>
      <c r="CF73" s="190"/>
      <c r="CG73" s="190"/>
      <c r="CH73" s="190"/>
      <c r="CI73" s="190"/>
      <c r="CJ73" s="190"/>
      <c r="CK73" s="190"/>
      <c r="CL73" s="190"/>
      <c r="CM73" s="190"/>
      <c r="CN73" s="190"/>
      <c r="CO73" s="190"/>
      <c r="CP73" s="190"/>
      <c r="CQ73" s="190"/>
      <c r="CR73" s="190"/>
      <c r="CS73" s="190"/>
      <c r="CT73" s="190"/>
      <c r="CU73" s="190"/>
      <c r="CV73" s="190"/>
      <c r="CW73" s="190"/>
      <c r="CX73" s="190"/>
      <c r="CY73" s="190"/>
      <c r="CZ73" s="190"/>
      <c r="DA73" s="190"/>
      <c r="DB73" s="190"/>
      <c r="DC73" s="190"/>
      <c r="DD73" s="190"/>
      <c r="DE73" s="190"/>
      <c r="DF73" s="190"/>
      <c r="DG73" s="190"/>
      <c r="DH73" s="190"/>
      <c r="DI73" s="190"/>
      <c r="DJ73" s="190"/>
      <c r="DK73" s="190"/>
      <c r="DL73" s="190"/>
      <c r="DM73" s="190"/>
      <c r="DN73" s="190"/>
      <c r="DO73" s="190"/>
      <c r="DP73" s="190"/>
      <c r="DQ73" s="190"/>
      <c r="DR73" s="190"/>
      <c r="DS73" s="386"/>
      <c r="DT73" s="378"/>
      <c r="DU73" s="378"/>
      <c r="DV73" s="412"/>
      <c r="DW73" s="413"/>
      <c r="DX73" s="413"/>
      <c r="DY73" s="413"/>
      <c r="DZ73" s="413"/>
      <c r="EA73" s="413"/>
      <c r="EB73" s="413"/>
      <c r="EC73" s="413"/>
      <c r="ED73" s="413"/>
      <c r="EE73" s="413"/>
      <c r="EF73" s="387"/>
      <c r="EG73" s="387"/>
      <c r="EH73" s="127"/>
    </row>
    <row r="74" spans="1:156" ht="5.25" customHeight="1">
      <c r="B74" s="54"/>
      <c r="C74" s="55"/>
      <c r="D74" s="55"/>
      <c r="E74" s="55"/>
      <c r="F74" s="55"/>
      <c r="G74" s="55"/>
      <c r="H74" s="55"/>
      <c r="I74" s="55"/>
      <c r="J74" s="55"/>
      <c r="K74" s="55"/>
      <c r="L74" s="55"/>
      <c r="M74" s="55"/>
      <c r="N74" s="55"/>
      <c r="O74" s="55"/>
      <c r="P74" s="55"/>
      <c r="Q74" s="55"/>
      <c r="R74" s="55"/>
      <c r="S74" s="55"/>
      <c r="T74" s="55"/>
      <c r="U74" s="55"/>
      <c r="V74" s="55"/>
      <c r="W74" s="55"/>
      <c r="X74" s="55"/>
      <c r="Y74" s="55"/>
      <c r="Z74" s="55"/>
      <c r="AA74" s="55"/>
      <c r="AB74" s="348"/>
      <c r="AC74" s="348"/>
      <c r="AD74" s="348"/>
      <c r="AE74" s="348"/>
      <c r="AF74" s="348"/>
      <c r="AG74" s="348"/>
      <c r="AH74" s="348"/>
      <c r="AI74" s="348"/>
      <c r="AJ74" s="348"/>
      <c r="AK74" s="348"/>
      <c r="AL74" s="348"/>
      <c r="AM74" s="348"/>
      <c r="AN74" s="348"/>
      <c r="AO74" s="348"/>
      <c r="AP74" s="348"/>
      <c r="AQ74" s="348"/>
      <c r="AR74" s="78"/>
      <c r="AS74" s="78"/>
      <c r="AT74" s="26"/>
      <c r="AU74" s="26"/>
      <c r="AV74" s="37"/>
      <c r="AW74" s="37"/>
      <c r="AX74" s="37"/>
      <c r="AY74" s="37"/>
      <c r="AZ74" s="56"/>
      <c r="BA74" s="56"/>
      <c r="BB74" s="56"/>
      <c r="BC74" s="56"/>
      <c r="BD74" s="56"/>
      <c r="BE74" s="56"/>
      <c r="BF74" s="56"/>
      <c r="BG74" s="56"/>
      <c r="BH74" s="56"/>
      <c r="BI74" s="56"/>
      <c r="BJ74" s="37"/>
      <c r="BK74" s="37"/>
      <c r="BL74" s="37"/>
      <c r="BM74" s="37"/>
      <c r="BN74" s="37"/>
      <c r="BO74" s="37"/>
      <c r="BP74" s="37"/>
      <c r="BQ74" s="37"/>
      <c r="BR74" s="37"/>
      <c r="BS74" s="37"/>
      <c r="BT74" s="37"/>
      <c r="BU74" s="37"/>
      <c r="BV74" s="37"/>
      <c r="BW74" s="37"/>
      <c r="BX74" s="37"/>
      <c r="BY74" s="37"/>
      <c r="BZ74" s="37"/>
      <c r="CA74" s="37"/>
      <c r="CB74" s="37"/>
      <c r="CC74" s="37"/>
      <c r="CD74" s="37"/>
      <c r="CE74" s="37"/>
      <c r="CF74" s="55"/>
      <c r="CG74" s="55"/>
      <c r="CH74" s="55"/>
      <c r="CI74" s="55"/>
      <c r="CJ74" s="55"/>
      <c r="CK74" s="55"/>
      <c r="CL74" s="55"/>
      <c r="CM74" s="55"/>
      <c r="CN74" s="55"/>
      <c r="CO74" s="55"/>
      <c r="CP74" s="55"/>
      <c r="CQ74" s="55"/>
      <c r="CR74" s="55"/>
      <c r="CS74" s="55"/>
      <c r="CT74" s="55"/>
      <c r="CU74" s="55"/>
      <c r="CV74" s="55"/>
      <c r="CW74" s="55"/>
      <c r="CX74" s="55"/>
      <c r="CY74" s="55"/>
      <c r="CZ74" s="55"/>
      <c r="DA74" s="55"/>
      <c r="DB74" s="55"/>
      <c r="DC74" s="55"/>
      <c r="DD74" s="55"/>
      <c r="DE74" s="55"/>
      <c r="DF74" s="55"/>
      <c r="DG74" s="55"/>
      <c r="DH74" s="55"/>
      <c r="DI74" s="55"/>
      <c r="DJ74" s="55"/>
      <c r="DK74" s="55"/>
      <c r="DL74" s="55"/>
      <c r="DM74" s="55"/>
      <c r="DN74" s="55"/>
      <c r="DO74" s="55"/>
      <c r="DP74" s="55"/>
      <c r="DQ74" s="55"/>
      <c r="DR74" s="55"/>
      <c r="DS74" s="50"/>
      <c r="DT74" s="37"/>
      <c r="DU74" s="37"/>
      <c r="DV74" s="80"/>
      <c r="DW74" s="81"/>
      <c r="DX74" s="81"/>
      <c r="DY74" s="81"/>
      <c r="DZ74" s="81"/>
      <c r="EA74" s="81"/>
      <c r="EB74" s="81"/>
      <c r="EC74" s="81"/>
      <c r="ED74" s="81"/>
      <c r="EE74" s="81"/>
      <c r="EF74" s="51"/>
      <c r="EG74" s="51"/>
      <c r="EH74" s="59"/>
    </row>
    <row r="75" spans="1:156" s="365" customFormat="1" ht="30" customHeight="1">
      <c r="A75" s="363"/>
      <c r="B75" s="384"/>
      <c r="C75" s="378"/>
      <c r="D75" s="1171"/>
      <c r="E75" s="1171"/>
      <c r="F75" s="1171"/>
      <c r="G75" s="1171"/>
      <c r="H75" s="1171"/>
      <c r="I75" s="1171"/>
      <c r="J75" s="1171"/>
      <c r="K75" s="1171"/>
      <c r="L75" s="1171"/>
      <c r="M75" s="1171"/>
      <c r="N75" s="1171"/>
      <c r="O75" s="1171"/>
      <c r="P75" s="1171"/>
      <c r="Q75" s="1171"/>
      <c r="R75" s="1171"/>
      <c r="S75" s="1171"/>
      <c r="T75" s="1050" t="str">
        <f ca="1">INDIRECT($J$4&amp;"!C73")</f>
        <v>delivered to the customer</v>
      </c>
      <c r="U75" s="1050"/>
      <c r="V75" s="1050"/>
      <c r="W75" s="1050"/>
      <c r="X75" s="1050"/>
      <c r="Y75" s="1050"/>
      <c r="Z75" s="1050"/>
      <c r="AA75" s="1050"/>
      <c r="AB75" s="1050"/>
      <c r="AC75" s="1050"/>
      <c r="AD75" s="1050"/>
      <c r="AE75" s="1050"/>
      <c r="AF75" s="1050"/>
      <c r="AG75" s="1050"/>
      <c r="AH75" s="1050"/>
      <c r="AI75" s="1050"/>
      <c r="AJ75" s="1050"/>
      <c r="AK75" s="1050"/>
      <c r="AL75" s="1050"/>
      <c r="AM75" s="1050"/>
      <c r="AN75" s="1050"/>
      <c r="AO75" s="1050"/>
      <c r="AP75" s="1050"/>
      <c r="AQ75" s="1050"/>
      <c r="AR75" s="1047"/>
      <c r="AS75" s="1048"/>
      <c r="AT75" s="1048"/>
      <c r="AU75" s="1048"/>
      <c r="AV75" s="1048"/>
      <c r="AW75" s="1048"/>
      <c r="AX75" s="1049"/>
      <c r="AY75" s="414"/>
      <c r="AZ75" s="1050" t="str">
        <f ca="1">INDIRECT($J$4&amp;"!C74")</f>
        <v>on transit</v>
      </c>
      <c r="BA75" s="1050"/>
      <c r="BB75" s="1050"/>
      <c r="BC75" s="1050"/>
      <c r="BD75" s="1050"/>
      <c r="BE75" s="1050"/>
      <c r="BF75" s="1050"/>
      <c r="BG75" s="1050"/>
      <c r="BH75" s="1050"/>
      <c r="BI75" s="1050"/>
      <c r="BJ75" s="1050"/>
      <c r="BK75" s="1050"/>
      <c r="BL75" s="1050"/>
      <c r="BM75" s="1050"/>
      <c r="BN75" s="1050"/>
      <c r="BO75" s="1053"/>
      <c r="BP75" s="1047"/>
      <c r="BQ75" s="1048"/>
      <c r="BR75" s="1048"/>
      <c r="BS75" s="1048"/>
      <c r="BT75" s="1048"/>
      <c r="BU75" s="1048"/>
      <c r="BV75" s="1049"/>
      <c r="BW75" s="414"/>
      <c r="BX75" s="1050" t="str">
        <f ca="1">INDIRECT($J$4&amp;"!C75")</f>
        <v>at Kroschu</v>
      </c>
      <c r="BY75" s="1050"/>
      <c r="BZ75" s="1050"/>
      <c r="CA75" s="1050"/>
      <c r="CB75" s="1050"/>
      <c r="CC75" s="1050"/>
      <c r="CD75" s="1050"/>
      <c r="CE75" s="1050"/>
      <c r="CF75" s="1050"/>
      <c r="CG75" s="1050"/>
      <c r="CH75" s="1050"/>
      <c r="CI75" s="1050"/>
      <c r="CJ75" s="1050"/>
      <c r="CK75" s="1050"/>
      <c r="CL75" s="1050"/>
      <c r="CM75" s="1053"/>
      <c r="CN75" s="1047"/>
      <c r="CO75" s="1048"/>
      <c r="CP75" s="1048"/>
      <c r="CQ75" s="1048"/>
      <c r="CR75" s="1048"/>
      <c r="CS75" s="1048"/>
      <c r="CT75" s="1049"/>
      <c r="CU75" s="414"/>
      <c r="CV75" s="414"/>
      <c r="CW75" s="414"/>
      <c r="CX75" s="378"/>
      <c r="CY75" s="128"/>
      <c r="CZ75" s="128"/>
      <c r="DA75" s="128"/>
      <c r="DB75" s="128"/>
      <c r="DC75" s="128"/>
      <c r="DD75" s="128"/>
      <c r="DE75" s="128"/>
      <c r="DF75" s="128"/>
      <c r="DG75" s="128"/>
      <c r="DH75" s="128"/>
      <c r="DI75" s="128"/>
      <c r="DJ75" s="128"/>
      <c r="DK75" s="128"/>
      <c r="DL75" s="128"/>
      <c r="DM75" s="128"/>
      <c r="DN75" s="128"/>
      <c r="DO75" s="128"/>
      <c r="DP75" s="128"/>
      <c r="DQ75" s="128"/>
      <c r="DR75" s="128"/>
      <c r="DS75" s="386"/>
      <c r="DT75" s="378"/>
      <c r="DU75" s="378"/>
      <c r="DV75" s="413"/>
      <c r="DW75" s="413"/>
      <c r="DX75" s="413"/>
      <c r="DY75" s="413"/>
      <c r="DZ75" s="413"/>
      <c r="EA75" s="413"/>
      <c r="EB75" s="413"/>
      <c r="EC75" s="413"/>
      <c r="ED75" s="413"/>
      <c r="EE75" s="413"/>
      <c r="EF75" s="387"/>
      <c r="EG75" s="387"/>
      <c r="EH75" s="127"/>
    </row>
    <row r="76" spans="1:156" ht="5.25" customHeight="1">
      <c r="B76" s="54"/>
      <c r="C76" s="55"/>
      <c r="D76" s="55"/>
      <c r="E76" s="55"/>
      <c r="F76" s="55"/>
      <c r="G76" s="55"/>
      <c r="H76" s="55"/>
      <c r="I76" s="55"/>
      <c r="J76" s="55"/>
      <c r="K76" s="55"/>
      <c r="L76" s="55"/>
      <c r="M76" s="55"/>
      <c r="N76" s="55"/>
      <c r="O76" s="55"/>
      <c r="P76" s="55"/>
      <c r="Q76" s="55"/>
      <c r="R76" s="55"/>
      <c r="S76" s="55"/>
      <c r="T76" s="1050"/>
      <c r="U76" s="1050"/>
      <c r="V76" s="1050"/>
      <c r="W76" s="1050"/>
      <c r="X76" s="1050"/>
      <c r="Y76" s="1050"/>
      <c r="Z76" s="1050"/>
      <c r="AA76" s="1050"/>
      <c r="AB76" s="1050"/>
      <c r="AC76" s="1050"/>
      <c r="AD76" s="1050"/>
      <c r="AE76" s="1050"/>
      <c r="AF76" s="1050"/>
      <c r="AG76" s="1050"/>
      <c r="AH76" s="1050"/>
      <c r="AI76" s="1050"/>
      <c r="AJ76" s="1050"/>
      <c r="AK76" s="1050"/>
      <c r="AL76" s="1050"/>
      <c r="AM76" s="1050"/>
      <c r="AN76" s="1050"/>
      <c r="AO76" s="1050"/>
      <c r="AP76" s="1050"/>
      <c r="AQ76" s="1050"/>
      <c r="AR76" s="78"/>
      <c r="AS76" s="78"/>
      <c r="AT76" s="26"/>
      <c r="AU76" s="26"/>
      <c r="AV76" s="37"/>
      <c r="AW76" s="37"/>
      <c r="AX76" s="37"/>
      <c r="AY76" s="37"/>
      <c r="AZ76" s="56"/>
      <c r="BA76" s="56"/>
      <c r="BB76" s="56"/>
      <c r="BC76" s="56"/>
      <c r="BD76" s="56"/>
      <c r="BE76" s="56"/>
      <c r="BF76" s="56"/>
      <c r="BG76" s="56"/>
      <c r="BH76" s="56"/>
      <c r="BI76" s="56"/>
      <c r="BJ76" s="37"/>
      <c r="BK76" s="37"/>
      <c r="BL76" s="37"/>
      <c r="BM76" s="37"/>
      <c r="BN76" s="37"/>
      <c r="BO76" s="37"/>
      <c r="BP76" s="37"/>
      <c r="BQ76" s="37"/>
      <c r="BR76" s="37"/>
      <c r="BS76" s="37"/>
      <c r="BT76" s="37"/>
      <c r="BU76" s="37"/>
      <c r="BV76" s="37"/>
      <c r="BW76" s="37"/>
      <c r="BX76" s="37"/>
      <c r="BY76" s="37"/>
      <c r="BZ76" s="37"/>
      <c r="CA76" s="37"/>
      <c r="CB76" s="37"/>
      <c r="CC76" s="37"/>
      <c r="CD76" s="37"/>
      <c r="CE76" s="37"/>
      <c r="CF76" s="55"/>
      <c r="CG76" s="55"/>
      <c r="CH76" s="55"/>
      <c r="CI76" s="55"/>
      <c r="CJ76" s="55"/>
      <c r="CK76" s="55"/>
      <c r="CL76" s="55"/>
      <c r="CM76" s="55"/>
      <c r="CN76" s="55"/>
      <c r="CO76" s="55"/>
      <c r="CP76" s="55"/>
      <c r="CQ76" s="55"/>
      <c r="CR76" s="55"/>
      <c r="CS76" s="55"/>
      <c r="CT76" s="55"/>
      <c r="CU76" s="55"/>
      <c r="CV76" s="55"/>
      <c r="CW76" s="55"/>
      <c r="CX76" s="83"/>
      <c r="CY76" s="83"/>
      <c r="CZ76" s="83"/>
      <c r="DA76" s="83"/>
      <c r="DB76" s="83"/>
      <c r="DC76" s="83"/>
      <c r="DD76" s="83"/>
      <c r="DE76" s="83"/>
      <c r="DF76" s="83"/>
      <c r="DG76" s="83"/>
      <c r="DH76" s="83"/>
      <c r="DI76" s="83"/>
      <c r="DJ76" s="83"/>
      <c r="DK76" s="83"/>
      <c r="DL76" s="83"/>
      <c r="DM76" s="83"/>
      <c r="DN76" s="83"/>
      <c r="DO76" s="83"/>
      <c r="DP76" s="83"/>
      <c r="DQ76" s="83"/>
      <c r="DR76" s="83"/>
      <c r="DS76" s="50"/>
      <c r="DT76" s="37"/>
      <c r="DU76" s="37"/>
      <c r="DV76" s="81"/>
      <c r="DW76" s="81"/>
      <c r="DX76" s="81"/>
      <c r="DY76" s="81"/>
      <c r="DZ76" s="81"/>
      <c r="EA76" s="81"/>
      <c r="EB76" s="81"/>
      <c r="EC76" s="81"/>
      <c r="ED76" s="81"/>
      <c r="EE76" s="81"/>
      <c r="EF76" s="51"/>
      <c r="EG76" s="51"/>
      <c r="EH76" s="59"/>
    </row>
    <row r="77" spans="1:156" s="365" customFormat="1" ht="30" customHeight="1">
      <c r="A77" s="363"/>
      <c r="B77" s="384"/>
      <c r="C77" s="190"/>
      <c r="D77" s="415"/>
      <c r="E77" s="415"/>
      <c r="F77" s="415"/>
      <c r="G77" s="415"/>
      <c r="H77" s="415"/>
      <c r="I77" s="415"/>
      <c r="J77" s="415"/>
      <c r="K77" s="415"/>
      <c r="L77" s="415"/>
      <c r="M77" s="415"/>
      <c r="N77" s="190"/>
      <c r="O77" s="190"/>
      <c r="P77" s="190"/>
      <c r="Q77" s="190"/>
      <c r="R77" s="190"/>
      <c r="S77" s="190"/>
      <c r="T77" s="415"/>
      <c r="U77" s="415"/>
      <c r="V77" s="415"/>
      <c r="W77" s="415"/>
      <c r="X77" s="415"/>
      <c r="Y77" s="190"/>
      <c r="Z77" s="190"/>
      <c r="AA77" s="190"/>
      <c r="AB77" s="190"/>
      <c r="AC77" s="190"/>
      <c r="AD77" s="190"/>
      <c r="AE77" s="190"/>
      <c r="AF77" s="190"/>
      <c r="AG77" s="190"/>
      <c r="AH77" s="388"/>
      <c r="AI77" s="388"/>
      <c r="AJ77" s="388"/>
      <c r="AK77" s="388"/>
      <c r="AL77" s="388"/>
      <c r="AM77" s="388"/>
      <c r="AN77" s="388"/>
      <c r="AO77" s="388"/>
      <c r="AP77" s="190"/>
      <c r="AQ77" s="411"/>
      <c r="AR77" s="411"/>
      <c r="AS77" s="411"/>
      <c r="AU77" s="1051" t="s">
        <v>838</v>
      </c>
      <c r="AV77" s="1051"/>
      <c r="AW77" s="1051"/>
      <c r="AX77" s="1051"/>
      <c r="AY77" s="1051"/>
      <c r="AZ77" s="1051"/>
      <c r="BA77" s="1052"/>
      <c r="BB77" s="1046">
        <f>SUM(AR75,BP75,CN75)</f>
        <v>0</v>
      </c>
      <c r="BC77" s="1046"/>
      <c r="BD77" s="1046"/>
      <c r="BE77" s="1046"/>
      <c r="BF77" s="1046"/>
      <c r="BG77" s="1046"/>
      <c r="BH77" s="1046"/>
      <c r="BI77" s="1046"/>
      <c r="BJ77" s="1046"/>
      <c r="BK77" s="410"/>
      <c r="BL77" s="805" t="str">
        <f ca="1">INDIRECT($J$4&amp;"!C76")</f>
        <v>total amount of affected products</v>
      </c>
      <c r="BM77" s="410"/>
      <c r="BN77" s="410"/>
      <c r="BO77" s="410"/>
      <c r="BP77" s="410"/>
      <c r="BQ77" s="410"/>
      <c r="BR77" s="410"/>
      <c r="BS77" s="410"/>
      <c r="BT77" s="410"/>
      <c r="BU77" s="410"/>
      <c r="BV77" s="410"/>
      <c r="BW77" s="410"/>
      <c r="BX77" s="410"/>
      <c r="BY77" s="128"/>
      <c r="BZ77" s="128"/>
      <c r="CA77" s="128"/>
      <c r="CB77" s="128"/>
      <c r="CC77" s="128"/>
      <c r="CD77" s="128"/>
      <c r="CE77" s="128"/>
      <c r="CF77" s="128"/>
      <c r="CH77" s="378"/>
      <c r="CI77" s="378"/>
      <c r="CJ77" s="378"/>
      <c r="CK77" s="378"/>
      <c r="CL77" s="378"/>
      <c r="CM77" s="378"/>
      <c r="CN77" s="378"/>
      <c r="CO77" s="378"/>
      <c r="CP77" s="378"/>
      <c r="CQ77" s="378"/>
      <c r="CR77" s="378"/>
      <c r="CS77" s="378"/>
      <c r="CT77" s="378"/>
      <c r="CU77" s="378"/>
      <c r="CV77" s="378"/>
      <c r="CW77" s="378"/>
      <c r="CX77" s="378"/>
      <c r="CY77" s="191"/>
      <c r="CZ77" s="191"/>
      <c r="DA77" s="191"/>
      <c r="DB77" s="191"/>
      <c r="DC77" s="191"/>
      <c r="DD77" s="191"/>
      <c r="DE77" s="191"/>
      <c r="DF77" s="191"/>
      <c r="DG77" s="191"/>
      <c r="DH77" s="191"/>
      <c r="DI77" s="191"/>
      <c r="DJ77" s="191"/>
      <c r="DK77" s="191"/>
      <c r="DL77" s="191"/>
      <c r="DM77" s="191"/>
      <c r="DN77" s="191"/>
      <c r="DO77" s="191"/>
      <c r="DP77" s="191"/>
      <c r="DQ77" s="191"/>
      <c r="DR77" s="191"/>
      <c r="DS77" s="386"/>
      <c r="DT77" s="378"/>
      <c r="DU77" s="378"/>
      <c r="DV77" s="413"/>
      <c r="DW77" s="413"/>
      <c r="DX77" s="413"/>
      <c r="DY77" s="413"/>
      <c r="DZ77" s="413"/>
      <c r="EA77" s="413"/>
      <c r="EB77" s="413"/>
      <c r="EC77" s="413"/>
      <c r="ED77" s="413"/>
      <c r="EE77" s="413"/>
      <c r="EF77" s="387"/>
      <c r="EG77" s="387"/>
      <c r="EH77" s="127"/>
    </row>
    <row r="78" spans="1:156" ht="5.25" customHeight="1">
      <c r="B78" s="54"/>
      <c r="C78" s="55"/>
      <c r="D78" s="55"/>
      <c r="E78" s="55"/>
      <c r="F78" s="55"/>
      <c r="G78" s="55"/>
      <c r="H78" s="55"/>
      <c r="I78" s="55"/>
      <c r="J78" s="55"/>
      <c r="K78" s="55"/>
      <c r="L78" s="55"/>
      <c r="M78" s="55"/>
      <c r="N78" s="55"/>
      <c r="O78" s="55"/>
      <c r="P78" s="55"/>
      <c r="Q78" s="55"/>
      <c r="R78" s="55"/>
      <c r="S78" s="55"/>
      <c r="T78" s="55"/>
      <c r="U78" s="55"/>
      <c r="V78" s="55"/>
      <c r="W78" s="55"/>
      <c r="X78" s="55"/>
      <c r="Y78" s="55"/>
      <c r="Z78" s="55"/>
      <c r="AA78" s="55"/>
      <c r="AB78" s="55"/>
      <c r="AC78" s="55"/>
      <c r="AD78" s="55"/>
      <c r="AE78" s="55"/>
      <c r="AF78" s="55"/>
      <c r="AG78" s="55"/>
      <c r="AH78" s="55"/>
      <c r="AI78" s="55"/>
      <c r="AJ78" s="55"/>
      <c r="AK78" s="55"/>
      <c r="AL78" s="55"/>
      <c r="AM78" s="55"/>
      <c r="AN78" s="55"/>
      <c r="AO78" s="55"/>
      <c r="AP78" s="55"/>
      <c r="AQ78" s="55"/>
      <c r="AR78" s="55"/>
      <c r="AS78" s="55"/>
      <c r="AT78" s="55"/>
      <c r="AU78" s="55"/>
      <c r="AV78" s="55"/>
      <c r="AW78" s="55"/>
      <c r="AX78" s="55"/>
      <c r="AY78" s="55"/>
      <c r="AZ78" s="55"/>
      <c r="BA78" s="55"/>
      <c r="BB78" s="55"/>
      <c r="BC78" s="55"/>
      <c r="BD78" s="55"/>
      <c r="BE78" s="55"/>
      <c r="BF78" s="55"/>
      <c r="BG78" s="55"/>
      <c r="BH78" s="55"/>
      <c r="BI78" s="55"/>
      <c r="BJ78" s="55"/>
      <c r="BK78" s="55"/>
      <c r="BL78" s="55"/>
      <c r="BM78" s="55"/>
      <c r="BN78" s="55"/>
      <c r="BO78" s="55"/>
      <c r="BP78" s="55"/>
      <c r="BQ78" s="55"/>
      <c r="BR78" s="55"/>
      <c r="BS78" s="55"/>
      <c r="BT78" s="55"/>
      <c r="BU78" s="55"/>
      <c r="BV78" s="55"/>
      <c r="BW78" s="55"/>
      <c r="BX78" s="55"/>
      <c r="BY78" s="55"/>
      <c r="BZ78" s="55"/>
      <c r="CA78" s="55"/>
      <c r="CB78" s="55"/>
      <c r="CC78" s="55"/>
      <c r="CD78" s="55"/>
      <c r="CE78" s="55"/>
      <c r="CF78" s="55"/>
      <c r="CG78" s="55"/>
      <c r="CH78" s="55"/>
      <c r="CI78" s="55"/>
      <c r="CJ78" s="55"/>
      <c r="CK78" s="55"/>
      <c r="CL78" s="55"/>
      <c r="CM78" s="55"/>
      <c r="CN78" s="55"/>
      <c r="CO78" s="55"/>
      <c r="CP78" s="55"/>
      <c r="CQ78" s="55"/>
      <c r="CR78" s="55"/>
      <c r="CS78" s="55"/>
      <c r="CT78" s="55"/>
      <c r="CU78" s="55"/>
      <c r="CV78" s="55"/>
      <c r="CW78" s="55"/>
      <c r="CX78" s="55"/>
      <c r="CY78" s="55"/>
      <c r="CZ78" s="55"/>
      <c r="DA78" s="55"/>
      <c r="DB78" s="55"/>
      <c r="DC78" s="55"/>
      <c r="DD78" s="55"/>
      <c r="DE78" s="55"/>
      <c r="DF78" s="55"/>
      <c r="DG78" s="55"/>
      <c r="DH78" s="55"/>
      <c r="DI78" s="55"/>
      <c r="DJ78" s="55"/>
      <c r="DK78" s="55"/>
      <c r="DL78" s="55"/>
      <c r="DM78" s="55"/>
      <c r="DN78" s="55"/>
      <c r="DO78" s="55"/>
      <c r="DP78" s="55"/>
      <c r="DQ78" s="55"/>
      <c r="DR78" s="55"/>
      <c r="DS78" s="50"/>
      <c r="DT78" s="37"/>
      <c r="DU78" s="37"/>
      <c r="DV78" s="81"/>
      <c r="DW78" s="81"/>
      <c r="DX78" s="81"/>
      <c r="DY78" s="81"/>
      <c r="DZ78" s="81"/>
      <c r="EA78" s="81"/>
      <c r="EB78" s="81"/>
      <c r="EC78" s="81"/>
      <c r="ED78" s="81"/>
      <c r="EE78" s="81"/>
      <c r="EF78" s="51"/>
      <c r="EG78" s="51"/>
      <c r="EH78" s="59"/>
    </row>
    <row r="79" spans="1:156" ht="30" customHeight="1">
      <c r="B79" s="54"/>
      <c r="C79" s="55"/>
      <c r="D79" s="1273" t="str">
        <f ca="1">INDIRECT($J$4&amp;"!C80")</f>
        <v>Action</v>
      </c>
      <c r="E79" s="1273"/>
      <c r="F79" s="1273"/>
      <c r="G79" s="1273"/>
      <c r="H79" s="1273"/>
      <c r="I79" s="1273"/>
      <c r="J79" s="1273"/>
      <c r="K79" s="1273"/>
      <c r="L79" s="1273"/>
      <c r="M79" s="1273"/>
      <c r="N79" s="1273"/>
      <c r="O79" s="1273"/>
      <c r="P79" s="1273"/>
      <c r="Q79" s="1273"/>
      <c r="R79" s="1273"/>
      <c r="S79" s="1273"/>
      <c r="T79" s="1273"/>
      <c r="U79" s="1273"/>
      <c r="V79" s="1273"/>
      <c r="W79" s="1273"/>
      <c r="X79" s="1273"/>
      <c r="Y79" s="1273"/>
      <c r="Z79" s="1273"/>
      <c r="AA79" s="1273"/>
      <c r="AB79" s="1273"/>
      <c r="AC79" s="1273"/>
      <c r="AD79" s="1273"/>
      <c r="AE79" s="1273"/>
      <c r="AF79" s="1273"/>
      <c r="AG79" s="1273"/>
      <c r="AH79" s="1273"/>
      <c r="AI79" s="1273"/>
      <c r="AJ79" s="1273"/>
      <c r="AK79" s="1273"/>
      <c r="AL79" s="1273"/>
      <c r="AM79" s="1273"/>
      <c r="AN79" s="1273"/>
      <c r="AO79" s="1273"/>
      <c r="AP79" s="1273"/>
      <c r="AQ79" s="1273"/>
      <c r="AR79" s="1273"/>
      <c r="AS79" s="1273"/>
      <c r="AT79" s="1273"/>
      <c r="AU79" s="1273"/>
      <c r="AV79" s="1273"/>
      <c r="AW79" s="1273"/>
      <c r="AX79" s="1273"/>
      <c r="AY79" s="1273"/>
      <c r="AZ79" s="1273"/>
      <c r="BA79" s="1273"/>
      <c r="BB79" s="1273"/>
      <c r="BC79" s="1273"/>
      <c r="BD79" s="1273"/>
      <c r="BE79" s="1273"/>
      <c r="BF79" s="1273"/>
      <c r="BG79" s="1273"/>
      <c r="BH79" s="1273"/>
      <c r="BI79" s="1273"/>
      <c r="BJ79" s="1273"/>
      <c r="BK79" s="1273"/>
      <c r="BL79" s="1273"/>
      <c r="BM79" s="1273"/>
      <c r="BN79" s="1273"/>
      <c r="BO79" s="1273"/>
      <c r="BP79" s="1273"/>
      <c r="BQ79" s="1273"/>
      <c r="BR79" s="1273"/>
      <c r="BS79" s="1273"/>
      <c r="BT79" s="1273"/>
      <c r="BU79" s="1273"/>
      <c r="BV79" s="1273"/>
      <c r="BW79" s="814"/>
      <c r="BX79" s="407"/>
      <c r="BY79" s="407"/>
      <c r="BZ79" s="407"/>
      <c r="CA79" s="407"/>
      <c r="CB79" s="407"/>
      <c r="CC79" s="1169" t="str">
        <f ca="1">INDIRECT($J$4&amp;"!C81")</f>
        <v>Effectiveness verification</v>
      </c>
      <c r="CD79" s="1169"/>
      <c r="CE79" s="1169"/>
      <c r="CF79" s="1169"/>
      <c r="CG79" s="1169"/>
      <c r="CH79" s="1169"/>
      <c r="CI79" s="1169"/>
      <c r="CJ79" s="1169"/>
      <c r="CK79" s="1169"/>
      <c r="CL79" s="1169"/>
      <c r="CM79" s="1169"/>
      <c r="CN79" s="1169"/>
      <c r="CO79" s="1169"/>
      <c r="CP79" s="1169"/>
      <c r="CQ79" s="1169"/>
      <c r="CR79" s="1169"/>
      <c r="CS79" s="1169"/>
      <c r="CT79" s="1169"/>
      <c r="CU79" s="1169"/>
      <c r="CV79" s="1169"/>
      <c r="CW79" s="1169"/>
      <c r="CX79" s="1169"/>
      <c r="CY79" s="1169"/>
      <c r="CZ79" s="1169"/>
      <c r="DA79" s="1169"/>
      <c r="DB79" s="1169"/>
      <c r="DC79" s="1169"/>
      <c r="DD79" s="1169"/>
      <c r="DE79" s="1169"/>
      <c r="DF79" s="1169"/>
      <c r="DG79" s="1169"/>
      <c r="DH79" s="1169"/>
      <c r="DI79" s="1169"/>
      <c r="DJ79" s="1169"/>
      <c r="DK79" s="1169"/>
      <c r="DL79" s="1169"/>
      <c r="DM79" s="1169"/>
      <c r="DN79" s="1169"/>
      <c r="DO79" s="1169"/>
      <c r="DP79" s="1169"/>
      <c r="DQ79" s="1169"/>
      <c r="DR79" s="1169"/>
      <c r="DS79" s="50"/>
      <c r="DT79" s="37"/>
      <c r="DU79" s="37"/>
      <c r="DV79" s="126"/>
      <c r="DW79" s="81"/>
      <c r="DX79" s="81"/>
      <c r="DY79" s="81"/>
      <c r="DZ79" s="81"/>
      <c r="EA79" s="661"/>
      <c r="EB79" s="1120"/>
      <c r="EC79" s="1120"/>
      <c r="ED79" s="1120"/>
      <c r="EE79" s="1120"/>
      <c r="EF79" s="1120"/>
      <c r="EG79" s="1120"/>
      <c r="EH79" s="1120"/>
      <c r="EI79" s="1120"/>
      <c r="EJ79" s="1120"/>
      <c r="EK79" s="1120"/>
      <c r="EL79" s="1120"/>
      <c r="EM79" s="1120"/>
      <c r="EN79" s="1120"/>
      <c r="EO79" s="1120"/>
      <c r="EP79" s="1120"/>
      <c r="EQ79" s="1120"/>
      <c r="ER79" s="1120"/>
      <c r="ES79" s="1120"/>
      <c r="ET79" s="1120"/>
      <c r="EU79" s="1120"/>
      <c r="EV79" s="1120"/>
      <c r="EW79" s="1120"/>
      <c r="EX79" s="1120"/>
      <c r="EY79" s="1120"/>
      <c r="EZ79" s="1120"/>
    </row>
    <row r="80" spans="1:156" s="414" customFormat="1" ht="30" customHeight="1">
      <c r="A80" s="416"/>
      <c r="B80" s="417"/>
      <c r="C80" s="415"/>
      <c r="D80" s="55"/>
      <c r="E80" s="55"/>
      <c r="F80" s="55"/>
      <c r="G80" s="55"/>
      <c r="H80" s="55"/>
      <c r="I80" s="55"/>
      <c r="J80" s="55"/>
      <c r="K80" s="55"/>
      <c r="L80" s="55"/>
      <c r="M80" s="55"/>
      <c r="N80" s="55"/>
      <c r="O80" s="55"/>
      <c r="P80" s="55"/>
      <c r="Q80" s="55"/>
      <c r="R80" s="55"/>
      <c r="S80" s="55"/>
      <c r="T80" s="1277"/>
      <c r="U80" s="1277"/>
      <c r="V80" s="1277"/>
      <c r="W80" s="1277"/>
      <c r="X80" s="1277"/>
      <c r="Y80" s="1277"/>
      <c r="Z80" s="1277"/>
      <c r="AA80" s="1277"/>
      <c r="AB80" s="1277"/>
      <c r="AC80" s="1277"/>
      <c r="AD80" s="1277"/>
      <c r="AE80" s="1277"/>
      <c r="AF80" s="1277"/>
      <c r="AG80" s="1277"/>
      <c r="AH80" s="1277"/>
      <c r="AI80" s="1277"/>
      <c r="AJ80" s="1277"/>
      <c r="AK80" s="1277"/>
      <c r="AL80" s="1277"/>
      <c r="AM80" s="1277"/>
      <c r="AN80" s="1277"/>
      <c r="AO80" s="1277"/>
      <c r="AP80" s="1277"/>
      <c r="AQ80" s="1277"/>
      <c r="AR80" s="1277"/>
      <c r="AS80" s="1277"/>
      <c r="AT80" s="1277"/>
      <c r="AU80" s="1277"/>
      <c r="AV80" s="1277"/>
      <c r="AW80" s="1277"/>
      <c r="AX80" s="1277"/>
      <c r="AY80" s="1277"/>
      <c r="AZ80" s="816" t="str">
        <f ca="1">INDIRECT($J$4&amp;"!C262")</f>
        <v>Start date</v>
      </c>
      <c r="BA80" s="816"/>
      <c r="BB80" s="816"/>
      <c r="BC80" s="816"/>
      <c r="BD80" s="816"/>
      <c r="BE80" s="820"/>
      <c r="BF80" s="816"/>
      <c r="BG80" s="937" t="str">
        <f ca="1">INDIRECT($J$4&amp;"!C263")</f>
        <v>Closing date</v>
      </c>
      <c r="BH80" s="816"/>
      <c r="BI80" s="816"/>
      <c r="BJ80" s="816"/>
      <c r="BK80" s="816"/>
      <c r="BL80" s="820"/>
      <c r="BM80" s="816"/>
      <c r="BN80" s="1274" t="str">
        <f ca="1">INDIRECT($J$4&amp;"!C83")</f>
        <v>Responsible</v>
      </c>
      <c r="BO80" s="1274"/>
      <c r="BP80" s="1274"/>
      <c r="BQ80" s="1274"/>
      <c r="BR80" s="1274"/>
      <c r="BS80" s="1274"/>
      <c r="BT80" s="1274"/>
      <c r="BU80" s="1274"/>
      <c r="BV80" s="1274"/>
      <c r="BX80" s="1275" t="str">
        <f ca="1">INDIRECT($J$4&amp;"!C82")</f>
        <v>Method</v>
      </c>
      <c r="BY80" s="1275"/>
      <c r="BZ80" s="1275"/>
      <c r="CA80" s="1275"/>
      <c r="CB80" s="1275"/>
      <c r="CC80" s="1275"/>
      <c r="CD80" s="1275"/>
      <c r="CE80" s="1275"/>
      <c r="CF80" s="1275"/>
      <c r="CG80" s="1275"/>
      <c r="CH80" s="1275"/>
      <c r="CI80" s="1275"/>
      <c r="CJ80" s="1275"/>
      <c r="CK80" s="1275"/>
      <c r="CL80" s="1275"/>
      <c r="CM80" s="1275"/>
      <c r="CN80" s="1275"/>
      <c r="CO80" s="1275"/>
      <c r="CP80" s="1275"/>
      <c r="CQ80" s="1275"/>
      <c r="CR80" s="1275"/>
      <c r="CS80" s="1275"/>
      <c r="CT80" s="1275"/>
      <c r="CU80" s="1275"/>
      <c r="CV80" s="1275"/>
      <c r="CW80" s="1274" t="str">
        <f ca="1">INDIRECT($J$4&amp;"!C69")</f>
        <v>Date</v>
      </c>
      <c r="CX80" s="1274"/>
      <c r="CY80" s="1274"/>
      <c r="CZ80" s="1274"/>
      <c r="DA80" s="1274"/>
      <c r="DB80" s="1274"/>
      <c r="DC80" s="1274"/>
      <c r="DD80" s="1274" t="str">
        <f ca="1">INDIRECT($J$4&amp;"!C83")</f>
        <v>Responsible</v>
      </c>
      <c r="DE80" s="1274"/>
      <c r="DF80" s="1274"/>
      <c r="DG80" s="1274"/>
      <c r="DH80" s="1274"/>
      <c r="DI80" s="1274"/>
      <c r="DJ80" s="1274"/>
      <c r="DK80" s="1274"/>
      <c r="DL80" s="1274"/>
      <c r="DM80" s="1276" t="str">
        <f ca="1">INDIRECT($J$4&amp;"!C264")</f>
        <v>Result</v>
      </c>
      <c r="DN80" s="1276"/>
      <c r="DO80" s="1276"/>
      <c r="DP80" s="1276"/>
      <c r="DQ80" s="1276"/>
      <c r="DR80" s="1276"/>
      <c r="DS80" s="418"/>
      <c r="DV80" s="413"/>
      <c r="DW80" s="413"/>
      <c r="DX80" s="413"/>
      <c r="DY80" s="413"/>
      <c r="DZ80" s="413"/>
      <c r="EA80" s="413"/>
      <c r="EB80" s="51"/>
      <c r="EC80" s="413"/>
      <c r="ED80" s="413"/>
      <c r="EE80" s="413"/>
      <c r="EF80" s="636"/>
      <c r="EG80" s="51"/>
      <c r="EH80" s="413"/>
      <c r="EI80" s="413"/>
      <c r="EJ80" s="413"/>
      <c r="EK80" s="636"/>
      <c r="EL80" s="51"/>
      <c r="EM80" s="413"/>
      <c r="EN80" s="413"/>
      <c r="EO80" s="413"/>
      <c r="EP80" s="636"/>
      <c r="EQ80" s="51"/>
      <c r="ER80" s="413"/>
      <c r="ES80" s="413"/>
      <c r="ET80" s="413"/>
      <c r="EU80" s="636"/>
      <c r="EV80" s="51"/>
      <c r="EW80" s="413"/>
      <c r="EX80" s="413"/>
      <c r="EY80" s="413"/>
      <c r="EZ80" s="636"/>
    </row>
    <row r="81" spans="1:156" s="82" customFormat="1" ht="36.9" customHeight="1">
      <c r="A81" s="84"/>
      <c r="B81" s="85"/>
      <c r="C81" s="83"/>
      <c r="D81" s="1033" t="str">
        <f ca="1">INDIRECT($J$4&amp;"!C77")</f>
        <v>Measures for continuing secure production at customer</v>
      </c>
      <c r="E81" s="1034"/>
      <c r="F81" s="1034"/>
      <c r="G81" s="1034"/>
      <c r="H81" s="1034"/>
      <c r="I81" s="1034"/>
      <c r="J81" s="1035"/>
      <c r="K81" s="55"/>
      <c r="L81" s="1032"/>
      <c r="M81" s="1032"/>
      <c r="N81" s="1032"/>
      <c r="O81" s="1032"/>
      <c r="P81" s="1032"/>
      <c r="Q81" s="1032"/>
      <c r="R81" s="1032"/>
      <c r="S81" s="55"/>
      <c r="T81" s="1044"/>
      <c r="U81" s="1044"/>
      <c r="V81" s="1044"/>
      <c r="W81" s="1044"/>
      <c r="X81" s="1044"/>
      <c r="Y81" s="1044"/>
      <c r="Z81" s="1044"/>
      <c r="AA81" s="1044"/>
      <c r="AB81" s="1044"/>
      <c r="AC81" s="1044"/>
      <c r="AD81" s="1044"/>
      <c r="AE81" s="1044"/>
      <c r="AF81" s="1044"/>
      <c r="AG81" s="1044"/>
      <c r="AH81" s="1044"/>
      <c r="AI81" s="1044"/>
      <c r="AJ81" s="1044"/>
      <c r="AK81" s="1044"/>
      <c r="AL81" s="1044"/>
      <c r="AM81" s="1044"/>
      <c r="AN81" s="1044"/>
      <c r="AO81" s="1044"/>
      <c r="AP81" s="1044"/>
      <c r="AQ81" s="1044"/>
      <c r="AR81" s="1044"/>
      <c r="AS81" s="1044"/>
      <c r="AT81" s="1044"/>
      <c r="AU81" s="1044"/>
      <c r="AV81" s="1044"/>
      <c r="AW81" s="1044"/>
      <c r="AX81" s="1044"/>
      <c r="AY81" s="1044"/>
      <c r="AZ81" s="1042"/>
      <c r="BA81" s="1042"/>
      <c r="BB81" s="1042"/>
      <c r="BC81" s="1042"/>
      <c r="BD81" s="1042"/>
      <c r="BE81" s="1042"/>
      <c r="BF81" s="1043"/>
      <c r="BG81" s="1121"/>
      <c r="BH81" s="1122"/>
      <c r="BI81" s="1122"/>
      <c r="BJ81" s="1122"/>
      <c r="BK81" s="1122"/>
      <c r="BL81" s="1122"/>
      <c r="BM81" s="1123"/>
      <c r="BN81" s="1124"/>
      <c r="BO81" s="1124"/>
      <c r="BP81" s="1124"/>
      <c r="BQ81" s="1124"/>
      <c r="BR81" s="1124"/>
      <c r="BS81" s="1124"/>
      <c r="BT81" s="1124"/>
      <c r="BU81" s="1124"/>
      <c r="BV81" s="1124"/>
      <c r="BX81" s="1044"/>
      <c r="BY81" s="1044"/>
      <c r="BZ81" s="1044"/>
      <c r="CA81" s="1044"/>
      <c r="CB81" s="1044"/>
      <c r="CC81" s="1044"/>
      <c r="CD81" s="1044"/>
      <c r="CE81" s="1044"/>
      <c r="CF81" s="1044"/>
      <c r="CG81" s="1044"/>
      <c r="CH81" s="1044"/>
      <c r="CI81" s="1044"/>
      <c r="CJ81" s="1044"/>
      <c r="CK81" s="1044"/>
      <c r="CL81" s="1044"/>
      <c r="CM81" s="1044"/>
      <c r="CN81" s="1044"/>
      <c r="CO81" s="1044"/>
      <c r="CP81" s="1044"/>
      <c r="CQ81" s="1044"/>
      <c r="CR81" s="1044"/>
      <c r="CS81" s="1044"/>
      <c r="CT81" s="1044"/>
      <c r="CU81" s="1044"/>
      <c r="CV81" s="1044"/>
      <c r="CW81" s="1145"/>
      <c r="CX81" s="1145"/>
      <c r="CY81" s="1145"/>
      <c r="CZ81" s="1145"/>
      <c r="DA81" s="1145"/>
      <c r="DB81" s="1145"/>
      <c r="DC81" s="1145"/>
      <c r="DD81" s="1146"/>
      <c r="DE81" s="1146"/>
      <c r="DF81" s="1146"/>
      <c r="DG81" s="1146"/>
      <c r="DH81" s="1146"/>
      <c r="DI81" s="1146"/>
      <c r="DJ81" s="1146"/>
      <c r="DK81" s="1146"/>
      <c r="DL81" s="1146"/>
      <c r="DM81" s="1146"/>
      <c r="DN81" s="1146"/>
      <c r="DO81" s="1146"/>
      <c r="DP81" s="1146"/>
      <c r="DQ81" s="1146"/>
      <c r="DR81" s="1146"/>
      <c r="DS81" s="86"/>
      <c r="DV81" s="583"/>
      <c r="DW81" s="575"/>
      <c r="DX81" s="566"/>
      <c r="DY81" s="575"/>
      <c r="DZ81" s="562"/>
      <c r="EA81" s="575"/>
      <c r="EB81" s="575"/>
      <c r="EC81" s="662"/>
      <c r="ED81" s="663"/>
      <c r="EE81" s="662"/>
      <c r="EF81" s="662"/>
      <c r="EG81" s="575"/>
      <c r="EH81" s="575"/>
      <c r="EI81" s="663"/>
      <c r="EJ81" s="575"/>
      <c r="EK81" s="575"/>
      <c r="EL81" s="575"/>
      <c r="EM81" s="575"/>
      <c r="EN81" s="663"/>
      <c r="EO81" s="575"/>
      <c r="EP81" s="575"/>
      <c r="EQ81" s="575"/>
      <c r="ER81" s="662"/>
      <c r="ES81" s="663"/>
      <c r="ET81" s="662"/>
      <c r="EU81" s="662"/>
      <c r="EV81" s="575"/>
      <c r="EW81" s="664"/>
      <c r="EX81" s="664"/>
      <c r="EY81" s="664"/>
      <c r="EZ81" s="664"/>
    </row>
    <row r="82" spans="1:156" s="82" customFormat="1" ht="36.9" customHeight="1">
      <c r="A82" s="84"/>
      <c r="B82" s="85"/>
      <c r="C82" s="83"/>
      <c r="D82" s="1036"/>
      <c r="E82" s="1037"/>
      <c r="F82" s="1037"/>
      <c r="G82" s="1037"/>
      <c r="H82" s="1037"/>
      <c r="I82" s="1037"/>
      <c r="J82" s="1038"/>
      <c r="K82" s="55"/>
      <c r="L82" s="1032"/>
      <c r="M82" s="1032"/>
      <c r="N82" s="1032"/>
      <c r="O82" s="1032"/>
      <c r="P82" s="1032"/>
      <c r="Q82" s="1032"/>
      <c r="R82" s="1032"/>
      <c r="S82" s="55"/>
      <c r="T82" s="1044"/>
      <c r="U82" s="1044"/>
      <c r="V82" s="1044"/>
      <c r="W82" s="1044"/>
      <c r="X82" s="1044"/>
      <c r="Y82" s="1044"/>
      <c r="Z82" s="1044"/>
      <c r="AA82" s="1044"/>
      <c r="AB82" s="1044"/>
      <c r="AC82" s="1044"/>
      <c r="AD82" s="1044"/>
      <c r="AE82" s="1044"/>
      <c r="AF82" s="1044"/>
      <c r="AG82" s="1044"/>
      <c r="AH82" s="1044"/>
      <c r="AI82" s="1044"/>
      <c r="AJ82" s="1044"/>
      <c r="AK82" s="1044"/>
      <c r="AL82" s="1044"/>
      <c r="AM82" s="1044"/>
      <c r="AN82" s="1044"/>
      <c r="AO82" s="1044"/>
      <c r="AP82" s="1044"/>
      <c r="AQ82" s="1044"/>
      <c r="AR82" s="1044"/>
      <c r="AS82" s="1044"/>
      <c r="AT82" s="1044"/>
      <c r="AU82" s="1044"/>
      <c r="AV82" s="1044"/>
      <c r="AW82" s="1044"/>
      <c r="AX82" s="1044"/>
      <c r="AY82" s="1044"/>
      <c r="AZ82" s="1042"/>
      <c r="BA82" s="1042"/>
      <c r="BB82" s="1042"/>
      <c r="BC82" s="1042"/>
      <c r="BD82" s="1042"/>
      <c r="BE82" s="1042"/>
      <c r="BF82" s="1043"/>
      <c r="BG82" s="1121"/>
      <c r="BH82" s="1122"/>
      <c r="BI82" s="1122"/>
      <c r="BJ82" s="1122"/>
      <c r="BK82" s="1122"/>
      <c r="BL82" s="1122"/>
      <c r="BM82" s="1123"/>
      <c r="BN82" s="1124"/>
      <c r="BO82" s="1124"/>
      <c r="BP82" s="1124"/>
      <c r="BQ82" s="1124"/>
      <c r="BR82" s="1124"/>
      <c r="BS82" s="1124"/>
      <c r="BT82" s="1124"/>
      <c r="BU82" s="1124"/>
      <c r="BV82" s="1124"/>
      <c r="BX82" s="1044"/>
      <c r="BY82" s="1044"/>
      <c r="BZ82" s="1044"/>
      <c r="CA82" s="1044"/>
      <c r="CB82" s="1044"/>
      <c r="CC82" s="1044"/>
      <c r="CD82" s="1044"/>
      <c r="CE82" s="1044"/>
      <c r="CF82" s="1044"/>
      <c r="CG82" s="1044"/>
      <c r="CH82" s="1044"/>
      <c r="CI82" s="1044"/>
      <c r="CJ82" s="1044"/>
      <c r="CK82" s="1044"/>
      <c r="CL82" s="1044"/>
      <c r="CM82" s="1044"/>
      <c r="CN82" s="1044"/>
      <c r="CO82" s="1044"/>
      <c r="CP82" s="1044"/>
      <c r="CQ82" s="1044"/>
      <c r="CR82" s="1044"/>
      <c r="CS82" s="1044"/>
      <c r="CT82" s="1044"/>
      <c r="CU82" s="1044"/>
      <c r="CV82" s="1044"/>
      <c r="CW82" s="1145"/>
      <c r="CX82" s="1145"/>
      <c r="CY82" s="1145"/>
      <c r="CZ82" s="1145"/>
      <c r="DA82" s="1145"/>
      <c r="DB82" s="1145"/>
      <c r="DC82" s="1145"/>
      <c r="DD82" s="1146"/>
      <c r="DE82" s="1146"/>
      <c r="DF82" s="1146"/>
      <c r="DG82" s="1146"/>
      <c r="DH82" s="1146"/>
      <c r="DI82" s="1146"/>
      <c r="DJ82" s="1146"/>
      <c r="DK82" s="1146"/>
      <c r="DL82" s="1146"/>
      <c r="DM82" s="1146"/>
      <c r="DN82" s="1146"/>
      <c r="DO82" s="1146"/>
      <c r="DP82" s="1146"/>
      <c r="DQ82" s="1146"/>
      <c r="DR82" s="1146"/>
      <c r="DS82" s="86"/>
      <c r="DV82" s="168"/>
      <c r="DW82" s="575"/>
      <c r="DX82" s="565"/>
      <c r="DY82" s="575"/>
      <c r="DZ82" s="563"/>
      <c r="EA82" s="575"/>
      <c r="EB82" s="575"/>
      <c r="EC82" s="662"/>
      <c r="ED82" s="663"/>
      <c r="EE82" s="662"/>
      <c r="EF82" s="662"/>
      <c r="EG82" s="575"/>
      <c r="EH82" s="575"/>
      <c r="EI82" s="663"/>
      <c r="EJ82" s="575"/>
      <c r="EK82" s="575"/>
      <c r="EL82" s="575"/>
      <c r="EM82" s="575"/>
      <c r="EN82" s="663"/>
      <c r="EO82" s="575"/>
      <c r="EP82" s="575"/>
      <c r="EQ82" s="575"/>
      <c r="ER82" s="662"/>
      <c r="ES82" s="663"/>
      <c r="ET82" s="662"/>
      <c r="EU82" s="662"/>
      <c r="EV82" s="575"/>
      <c r="EW82" s="664"/>
      <c r="EX82" s="663"/>
      <c r="EY82" s="664"/>
      <c r="EZ82" s="664"/>
    </row>
    <row r="83" spans="1:156" s="82" customFormat="1" ht="36.9" customHeight="1">
      <c r="A83" s="84"/>
      <c r="B83" s="85"/>
      <c r="C83" s="83"/>
      <c r="D83" s="1039"/>
      <c r="E83" s="1040"/>
      <c r="F83" s="1040"/>
      <c r="G83" s="1040"/>
      <c r="H83" s="1040"/>
      <c r="I83" s="1040"/>
      <c r="J83" s="1041"/>
      <c r="K83" s="55"/>
      <c r="L83" s="1032"/>
      <c r="M83" s="1032"/>
      <c r="N83" s="1032"/>
      <c r="O83" s="1032"/>
      <c r="P83" s="1032"/>
      <c r="Q83" s="1032"/>
      <c r="R83" s="1032"/>
      <c r="S83" s="55"/>
      <c r="T83" s="1044"/>
      <c r="U83" s="1044"/>
      <c r="V83" s="1044"/>
      <c r="W83" s="1044"/>
      <c r="X83" s="1044"/>
      <c r="Y83" s="1044"/>
      <c r="Z83" s="1044"/>
      <c r="AA83" s="1044"/>
      <c r="AB83" s="1044"/>
      <c r="AC83" s="1044"/>
      <c r="AD83" s="1044"/>
      <c r="AE83" s="1044"/>
      <c r="AF83" s="1044"/>
      <c r="AG83" s="1044"/>
      <c r="AH83" s="1044"/>
      <c r="AI83" s="1044"/>
      <c r="AJ83" s="1044"/>
      <c r="AK83" s="1044"/>
      <c r="AL83" s="1044"/>
      <c r="AM83" s="1044"/>
      <c r="AN83" s="1044"/>
      <c r="AO83" s="1044"/>
      <c r="AP83" s="1044"/>
      <c r="AQ83" s="1044"/>
      <c r="AR83" s="1044"/>
      <c r="AS83" s="1044"/>
      <c r="AT83" s="1044"/>
      <c r="AU83" s="1044"/>
      <c r="AV83" s="1044"/>
      <c r="AW83" s="1044"/>
      <c r="AX83" s="1044"/>
      <c r="AY83" s="1044"/>
      <c r="AZ83" s="1042"/>
      <c r="BA83" s="1042"/>
      <c r="BB83" s="1042"/>
      <c r="BC83" s="1042"/>
      <c r="BD83" s="1042"/>
      <c r="BE83" s="1042"/>
      <c r="BF83" s="1043"/>
      <c r="BG83" s="1121"/>
      <c r="BH83" s="1122"/>
      <c r="BI83" s="1122"/>
      <c r="BJ83" s="1122"/>
      <c r="BK83" s="1122"/>
      <c r="BL83" s="1122"/>
      <c r="BM83" s="1123"/>
      <c r="BN83" s="1124"/>
      <c r="BO83" s="1124"/>
      <c r="BP83" s="1124"/>
      <c r="BQ83" s="1124"/>
      <c r="BR83" s="1124"/>
      <c r="BS83" s="1124"/>
      <c r="BT83" s="1124"/>
      <c r="BU83" s="1124"/>
      <c r="BV83" s="1124"/>
      <c r="BX83" s="1044"/>
      <c r="BY83" s="1044"/>
      <c r="BZ83" s="1044"/>
      <c r="CA83" s="1044"/>
      <c r="CB83" s="1044"/>
      <c r="CC83" s="1044"/>
      <c r="CD83" s="1044"/>
      <c r="CE83" s="1044"/>
      <c r="CF83" s="1044"/>
      <c r="CG83" s="1044"/>
      <c r="CH83" s="1044"/>
      <c r="CI83" s="1044"/>
      <c r="CJ83" s="1044"/>
      <c r="CK83" s="1044"/>
      <c r="CL83" s="1044"/>
      <c r="CM83" s="1044"/>
      <c r="CN83" s="1044"/>
      <c r="CO83" s="1044"/>
      <c r="CP83" s="1044"/>
      <c r="CQ83" s="1044"/>
      <c r="CR83" s="1044"/>
      <c r="CS83" s="1044"/>
      <c r="CT83" s="1044"/>
      <c r="CU83" s="1044"/>
      <c r="CV83" s="1044"/>
      <c r="CW83" s="1145"/>
      <c r="CX83" s="1145"/>
      <c r="CY83" s="1145"/>
      <c r="CZ83" s="1145"/>
      <c r="DA83" s="1145"/>
      <c r="DB83" s="1145"/>
      <c r="DC83" s="1145"/>
      <c r="DD83" s="1146"/>
      <c r="DE83" s="1146"/>
      <c r="DF83" s="1146"/>
      <c r="DG83" s="1146"/>
      <c r="DH83" s="1146"/>
      <c r="DI83" s="1146"/>
      <c r="DJ83" s="1146"/>
      <c r="DK83" s="1146"/>
      <c r="DL83" s="1146"/>
      <c r="DM83" s="1146"/>
      <c r="DN83" s="1146"/>
      <c r="DO83" s="1146"/>
      <c r="DP83" s="1146"/>
      <c r="DQ83" s="1146"/>
      <c r="DR83" s="1146"/>
      <c r="DS83" s="86"/>
      <c r="DV83" s="168"/>
      <c r="DW83" s="575"/>
      <c r="DX83" s="565"/>
      <c r="DY83" s="575"/>
      <c r="DZ83" s="563"/>
      <c r="EA83" s="575"/>
      <c r="EB83" s="575"/>
      <c r="EC83" s="662"/>
      <c r="ED83" s="663"/>
      <c r="EE83" s="662"/>
      <c r="EF83" s="662"/>
      <c r="EG83" s="575"/>
      <c r="EH83" s="575"/>
      <c r="EI83" s="663"/>
      <c r="EJ83" s="575"/>
      <c r="EK83" s="575"/>
      <c r="EL83" s="575"/>
      <c r="EM83" s="575"/>
      <c r="EN83" s="663"/>
      <c r="EO83" s="575"/>
      <c r="EP83" s="575"/>
      <c r="EQ83" s="575"/>
      <c r="ER83" s="662"/>
      <c r="ES83" s="663"/>
      <c r="ET83" s="662"/>
      <c r="EU83" s="662"/>
      <c r="EV83" s="575"/>
      <c r="EW83" s="664"/>
      <c r="EX83" s="663"/>
      <c r="EY83" s="664"/>
      <c r="EZ83" s="664"/>
    </row>
    <row r="84" spans="1:156" s="82" customFormat="1" ht="36.9" customHeight="1">
      <c r="A84" s="84"/>
      <c r="B84" s="85"/>
      <c r="C84" s="83"/>
      <c r="D84" s="1033" t="str">
        <f ca="1">INDIRECT($J$4&amp;"!C78")</f>
        <v>Measures for continuing delivery</v>
      </c>
      <c r="E84" s="1034"/>
      <c r="F84" s="1034"/>
      <c r="G84" s="1034"/>
      <c r="H84" s="1034"/>
      <c r="I84" s="1034"/>
      <c r="J84" s="1035"/>
      <c r="K84" s="55"/>
      <c r="L84" s="1032"/>
      <c r="M84" s="1032"/>
      <c r="N84" s="1032"/>
      <c r="O84" s="1032"/>
      <c r="P84" s="1032"/>
      <c r="Q84" s="1032"/>
      <c r="R84" s="1032"/>
      <c r="S84" s="55"/>
      <c r="T84" s="1044"/>
      <c r="U84" s="1044"/>
      <c r="V84" s="1044"/>
      <c r="W84" s="1044"/>
      <c r="X84" s="1044"/>
      <c r="Y84" s="1044"/>
      <c r="Z84" s="1044"/>
      <c r="AA84" s="1044"/>
      <c r="AB84" s="1044"/>
      <c r="AC84" s="1044"/>
      <c r="AD84" s="1044"/>
      <c r="AE84" s="1044"/>
      <c r="AF84" s="1044"/>
      <c r="AG84" s="1044"/>
      <c r="AH84" s="1044"/>
      <c r="AI84" s="1044"/>
      <c r="AJ84" s="1044"/>
      <c r="AK84" s="1044"/>
      <c r="AL84" s="1044"/>
      <c r="AM84" s="1044"/>
      <c r="AN84" s="1044"/>
      <c r="AO84" s="1044"/>
      <c r="AP84" s="1044"/>
      <c r="AQ84" s="1044"/>
      <c r="AR84" s="1044"/>
      <c r="AS84" s="1044"/>
      <c r="AT84" s="1044"/>
      <c r="AU84" s="1044"/>
      <c r="AV84" s="1044"/>
      <c r="AW84" s="1044"/>
      <c r="AX84" s="1044"/>
      <c r="AY84" s="1044"/>
      <c r="AZ84" s="1042"/>
      <c r="BA84" s="1042"/>
      <c r="BB84" s="1042"/>
      <c r="BC84" s="1042"/>
      <c r="BD84" s="1042"/>
      <c r="BE84" s="1042"/>
      <c r="BF84" s="1043"/>
      <c r="BG84" s="1121"/>
      <c r="BH84" s="1122"/>
      <c r="BI84" s="1122"/>
      <c r="BJ84" s="1122"/>
      <c r="BK84" s="1122"/>
      <c r="BL84" s="1122"/>
      <c r="BM84" s="1123"/>
      <c r="BN84" s="1124"/>
      <c r="BO84" s="1124"/>
      <c r="BP84" s="1124"/>
      <c r="BQ84" s="1124"/>
      <c r="BR84" s="1124"/>
      <c r="BS84" s="1124"/>
      <c r="BT84" s="1124"/>
      <c r="BU84" s="1124"/>
      <c r="BV84" s="1124"/>
      <c r="BX84" s="1044"/>
      <c r="BY84" s="1044"/>
      <c r="BZ84" s="1044"/>
      <c r="CA84" s="1044"/>
      <c r="CB84" s="1044"/>
      <c r="CC84" s="1044"/>
      <c r="CD84" s="1044"/>
      <c r="CE84" s="1044"/>
      <c r="CF84" s="1044"/>
      <c r="CG84" s="1044"/>
      <c r="CH84" s="1044"/>
      <c r="CI84" s="1044"/>
      <c r="CJ84" s="1044"/>
      <c r="CK84" s="1044"/>
      <c r="CL84" s="1044"/>
      <c r="CM84" s="1044"/>
      <c r="CN84" s="1044"/>
      <c r="CO84" s="1044"/>
      <c r="CP84" s="1044"/>
      <c r="CQ84" s="1044"/>
      <c r="CR84" s="1044"/>
      <c r="CS84" s="1044"/>
      <c r="CT84" s="1044"/>
      <c r="CU84" s="1044"/>
      <c r="CV84" s="1044"/>
      <c r="CW84" s="1145"/>
      <c r="CX84" s="1145"/>
      <c r="CY84" s="1145"/>
      <c r="CZ84" s="1145"/>
      <c r="DA84" s="1145"/>
      <c r="DB84" s="1145"/>
      <c r="DC84" s="1145"/>
      <c r="DD84" s="1146"/>
      <c r="DE84" s="1146"/>
      <c r="DF84" s="1146"/>
      <c r="DG84" s="1146"/>
      <c r="DH84" s="1146"/>
      <c r="DI84" s="1146"/>
      <c r="DJ84" s="1146"/>
      <c r="DK84" s="1146"/>
      <c r="DL84" s="1146"/>
      <c r="DM84" s="1146"/>
      <c r="DN84" s="1146"/>
      <c r="DO84" s="1146"/>
      <c r="DP84" s="1146"/>
      <c r="DQ84" s="1146"/>
      <c r="DR84" s="1146"/>
      <c r="DS84" s="86"/>
      <c r="DV84" s="168"/>
      <c r="DW84" s="575"/>
      <c r="DX84" s="566"/>
      <c r="DY84" s="575"/>
      <c r="DZ84" s="562"/>
      <c r="EA84" s="575"/>
      <c r="EB84" s="575"/>
      <c r="EC84" s="662"/>
      <c r="ED84" s="663"/>
      <c r="EE84" s="662"/>
      <c r="EF84" s="662"/>
      <c r="EG84" s="575"/>
      <c r="EH84" s="575"/>
      <c r="EI84" s="663"/>
      <c r="EJ84" s="575"/>
      <c r="EK84" s="575"/>
      <c r="EL84" s="575"/>
      <c r="EM84" s="575"/>
      <c r="EN84" s="663"/>
      <c r="EO84" s="575"/>
      <c r="EP84" s="575"/>
      <c r="EQ84" s="575"/>
      <c r="ER84" s="662"/>
      <c r="ES84" s="663"/>
      <c r="ET84" s="662"/>
      <c r="EU84" s="662"/>
      <c r="EV84" s="575"/>
      <c r="EW84" s="664"/>
      <c r="EX84" s="663"/>
      <c r="EY84" s="664"/>
      <c r="EZ84" s="664"/>
    </row>
    <row r="85" spans="1:156" s="82" customFormat="1" ht="36.9" customHeight="1">
      <c r="A85" s="84"/>
      <c r="B85" s="85"/>
      <c r="C85" s="83"/>
      <c r="D85" s="1036"/>
      <c r="E85" s="1037"/>
      <c r="F85" s="1037"/>
      <c r="G85" s="1037"/>
      <c r="H85" s="1037"/>
      <c r="I85" s="1037"/>
      <c r="J85" s="1038"/>
      <c r="K85" s="55"/>
      <c r="L85" s="1032"/>
      <c r="M85" s="1032"/>
      <c r="N85" s="1032"/>
      <c r="O85" s="1032"/>
      <c r="P85" s="1032"/>
      <c r="Q85" s="1032"/>
      <c r="R85" s="1032"/>
      <c r="S85" s="55"/>
      <c r="T85" s="1044"/>
      <c r="U85" s="1044"/>
      <c r="V85" s="1044"/>
      <c r="W85" s="1044"/>
      <c r="X85" s="1044"/>
      <c r="Y85" s="1044"/>
      <c r="Z85" s="1044"/>
      <c r="AA85" s="1044"/>
      <c r="AB85" s="1044"/>
      <c r="AC85" s="1044"/>
      <c r="AD85" s="1044"/>
      <c r="AE85" s="1044"/>
      <c r="AF85" s="1044"/>
      <c r="AG85" s="1044"/>
      <c r="AH85" s="1044"/>
      <c r="AI85" s="1044"/>
      <c r="AJ85" s="1044"/>
      <c r="AK85" s="1044"/>
      <c r="AL85" s="1044"/>
      <c r="AM85" s="1044"/>
      <c r="AN85" s="1044"/>
      <c r="AO85" s="1044"/>
      <c r="AP85" s="1044"/>
      <c r="AQ85" s="1044"/>
      <c r="AR85" s="1044"/>
      <c r="AS85" s="1044"/>
      <c r="AT85" s="1044"/>
      <c r="AU85" s="1044"/>
      <c r="AV85" s="1044"/>
      <c r="AW85" s="1044"/>
      <c r="AX85" s="1044"/>
      <c r="AY85" s="1044"/>
      <c r="AZ85" s="1042"/>
      <c r="BA85" s="1042"/>
      <c r="BB85" s="1042"/>
      <c r="BC85" s="1042"/>
      <c r="BD85" s="1042"/>
      <c r="BE85" s="1042"/>
      <c r="BF85" s="1043"/>
      <c r="BG85" s="1121"/>
      <c r="BH85" s="1122"/>
      <c r="BI85" s="1122"/>
      <c r="BJ85" s="1122"/>
      <c r="BK85" s="1122"/>
      <c r="BL85" s="1122"/>
      <c r="BM85" s="1123"/>
      <c r="BN85" s="1124"/>
      <c r="BO85" s="1124"/>
      <c r="BP85" s="1124"/>
      <c r="BQ85" s="1124"/>
      <c r="BR85" s="1124"/>
      <c r="BS85" s="1124"/>
      <c r="BT85" s="1124"/>
      <c r="BU85" s="1124"/>
      <c r="BV85" s="1124"/>
      <c r="BX85" s="1044"/>
      <c r="BY85" s="1044"/>
      <c r="BZ85" s="1044"/>
      <c r="CA85" s="1044"/>
      <c r="CB85" s="1044"/>
      <c r="CC85" s="1044"/>
      <c r="CD85" s="1044"/>
      <c r="CE85" s="1044"/>
      <c r="CF85" s="1044"/>
      <c r="CG85" s="1044"/>
      <c r="CH85" s="1044"/>
      <c r="CI85" s="1044"/>
      <c r="CJ85" s="1044"/>
      <c r="CK85" s="1044"/>
      <c r="CL85" s="1044"/>
      <c r="CM85" s="1044"/>
      <c r="CN85" s="1044"/>
      <c r="CO85" s="1044"/>
      <c r="CP85" s="1044"/>
      <c r="CQ85" s="1044"/>
      <c r="CR85" s="1044"/>
      <c r="CS85" s="1044"/>
      <c r="CT85" s="1044"/>
      <c r="CU85" s="1044"/>
      <c r="CV85" s="1044"/>
      <c r="CW85" s="1145"/>
      <c r="CX85" s="1145"/>
      <c r="CY85" s="1145"/>
      <c r="CZ85" s="1145"/>
      <c r="DA85" s="1145"/>
      <c r="DB85" s="1145"/>
      <c r="DC85" s="1145"/>
      <c r="DD85" s="1146"/>
      <c r="DE85" s="1146"/>
      <c r="DF85" s="1146"/>
      <c r="DG85" s="1146"/>
      <c r="DH85" s="1146"/>
      <c r="DI85" s="1146"/>
      <c r="DJ85" s="1146"/>
      <c r="DK85" s="1146"/>
      <c r="DL85" s="1146"/>
      <c r="DM85" s="1146"/>
      <c r="DN85" s="1146"/>
      <c r="DO85" s="1146"/>
      <c r="DP85" s="1146"/>
      <c r="DQ85" s="1146"/>
      <c r="DR85" s="1146"/>
      <c r="DS85" s="86"/>
      <c r="DV85" s="168"/>
      <c r="DW85" s="575"/>
      <c r="DX85" s="565"/>
      <c r="DY85" s="575"/>
      <c r="DZ85" s="564"/>
      <c r="EA85" s="575"/>
      <c r="EB85" s="575"/>
      <c r="EC85" s="662"/>
      <c r="ED85" s="663"/>
      <c r="EE85" s="662"/>
      <c r="EF85" s="662"/>
      <c r="EG85" s="575"/>
      <c r="EH85" s="575"/>
      <c r="EI85" s="663"/>
      <c r="EJ85" s="575"/>
      <c r="EK85" s="575"/>
      <c r="EL85" s="575"/>
      <c r="EM85" s="575"/>
      <c r="EN85" s="663"/>
      <c r="EO85" s="575"/>
      <c r="EP85" s="575"/>
      <c r="EQ85" s="575"/>
      <c r="ER85" s="662"/>
      <c r="ES85" s="663"/>
      <c r="ET85" s="662"/>
      <c r="EU85" s="662"/>
      <c r="EV85" s="575"/>
      <c r="EW85" s="664"/>
      <c r="EX85" s="663"/>
      <c r="EY85" s="664"/>
      <c r="EZ85" s="664"/>
    </row>
    <row r="86" spans="1:156" s="82" customFormat="1" ht="36.9" customHeight="1">
      <c r="A86" s="84"/>
      <c r="B86" s="85"/>
      <c r="C86" s="83"/>
      <c r="D86" s="1039"/>
      <c r="E86" s="1040"/>
      <c r="F86" s="1040"/>
      <c r="G86" s="1040"/>
      <c r="H86" s="1040"/>
      <c r="I86" s="1040"/>
      <c r="J86" s="1041"/>
      <c r="K86" s="55"/>
      <c r="L86" s="1032"/>
      <c r="M86" s="1032"/>
      <c r="N86" s="1032"/>
      <c r="O86" s="1032"/>
      <c r="P86" s="1032"/>
      <c r="Q86" s="1032"/>
      <c r="R86" s="1032"/>
      <c r="S86" s="55"/>
      <c r="T86" s="1044"/>
      <c r="U86" s="1044"/>
      <c r="V86" s="1044"/>
      <c r="W86" s="1044"/>
      <c r="X86" s="1044"/>
      <c r="Y86" s="1044"/>
      <c r="Z86" s="1044"/>
      <c r="AA86" s="1044"/>
      <c r="AB86" s="1044"/>
      <c r="AC86" s="1044"/>
      <c r="AD86" s="1044"/>
      <c r="AE86" s="1044"/>
      <c r="AF86" s="1044"/>
      <c r="AG86" s="1044"/>
      <c r="AH86" s="1044"/>
      <c r="AI86" s="1044"/>
      <c r="AJ86" s="1044"/>
      <c r="AK86" s="1044"/>
      <c r="AL86" s="1044"/>
      <c r="AM86" s="1044"/>
      <c r="AN86" s="1044"/>
      <c r="AO86" s="1044"/>
      <c r="AP86" s="1044"/>
      <c r="AQ86" s="1044"/>
      <c r="AR86" s="1044"/>
      <c r="AS86" s="1044"/>
      <c r="AT86" s="1044"/>
      <c r="AU86" s="1044"/>
      <c r="AV86" s="1044"/>
      <c r="AW86" s="1044"/>
      <c r="AX86" s="1044"/>
      <c r="AY86" s="1044"/>
      <c r="AZ86" s="1042"/>
      <c r="BA86" s="1042"/>
      <c r="BB86" s="1042"/>
      <c r="BC86" s="1042"/>
      <c r="BD86" s="1042"/>
      <c r="BE86" s="1042"/>
      <c r="BF86" s="1043"/>
      <c r="BG86" s="1121"/>
      <c r="BH86" s="1122"/>
      <c r="BI86" s="1122"/>
      <c r="BJ86" s="1122"/>
      <c r="BK86" s="1122"/>
      <c r="BL86" s="1122"/>
      <c r="BM86" s="1123"/>
      <c r="BN86" s="1124"/>
      <c r="BO86" s="1124"/>
      <c r="BP86" s="1124"/>
      <c r="BQ86" s="1124"/>
      <c r="BR86" s="1124"/>
      <c r="BS86" s="1124"/>
      <c r="BT86" s="1124"/>
      <c r="BU86" s="1124"/>
      <c r="BV86" s="1124"/>
      <c r="BX86" s="1044"/>
      <c r="BY86" s="1044"/>
      <c r="BZ86" s="1044"/>
      <c r="CA86" s="1044"/>
      <c r="CB86" s="1044"/>
      <c r="CC86" s="1044"/>
      <c r="CD86" s="1044"/>
      <c r="CE86" s="1044"/>
      <c r="CF86" s="1044"/>
      <c r="CG86" s="1044"/>
      <c r="CH86" s="1044"/>
      <c r="CI86" s="1044"/>
      <c r="CJ86" s="1044"/>
      <c r="CK86" s="1044"/>
      <c r="CL86" s="1044"/>
      <c r="CM86" s="1044"/>
      <c r="CN86" s="1044"/>
      <c r="CO86" s="1044"/>
      <c r="CP86" s="1044"/>
      <c r="CQ86" s="1044"/>
      <c r="CR86" s="1044"/>
      <c r="CS86" s="1044"/>
      <c r="CT86" s="1044"/>
      <c r="CU86" s="1044"/>
      <c r="CV86" s="1044"/>
      <c r="CW86" s="1145"/>
      <c r="CX86" s="1145"/>
      <c r="CY86" s="1145"/>
      <c r="CZ86" s="1145"/>
      <c r="DA86" s="1145"/>
      <c r="DB86" s="1145"/>
      <c r="DC86" s="1145"/>
      <c r="DD86" s="1146"/>
      <c r="DE86" s="1146"/>
      <c r="DF86" s="1146"/>
      <c r="DG86" s="1146"/>
      <c r="DH86" s="1146"/>
      <c r="DI86" s="1146"/>
      <c r="DJ86" s="1146"/>
      <c r="DK86" s="1146"/>
      <c r="DL86" s="1146"/>
      <c r="DM86" s="1146"/>
      <c r="DN86" s="1146"/>
      <c r="DO86" s="1146"/>
      <c r="DP86" s="1146"/>
      <c r="DQ86" s="1146"/>
      <c r="DR86" s="1146"/>
      <c r="DS86" s="86"/>
      <c r="DV86" s="168"/>
      <c r="DW86" s="575"/>
      <c r="DX86" s="565"/>
      <c r="DY86" s="575"/>
      <c r="DZ86" s="564"/>
      <c r="EA86" s="575"/>
      <c r="EB86" s="575"/>
      <c r="EC86" s="662"/>
      <c r="ED86" s="663"/>
      <c r="EE86" s="662"/>
      <c r="EF86" s="662"/>
      <c r="EG86" s="575"/>
      <c r="EH86" s="575"/>
      <c r="EI86" s="663"/>
      <c r="EJ86" s="575"/>
      <c r="EK86" s="575"/>
      <c r="EL86" s="575"/>
      <c r="EM86" s="575"/>
      <c r="EN86" s="663"/>
      <c r="EO86" s="575"/>
      <c r="EP86" s="575"/>
      <c r="EQ86" s="575"/>
      <c r="ER86" s="662"/>
      <c r="ES86" s="663"/>
      <c r="ET86" s="662"/>
      <c r="EU86" s="662"/>
      <c r="EV86" s="575"/>
      <c r="EW86" s="664"/>
      <c r="EX86" s="663"/>
      <c r="EY86" s="664"/>
      <c r="EZ86" s="664"/>
    </row>
    <row r="87" spans="1:156" s="82" customFormat="1" ht="34.5" customHeight="1">
      <c r="A87" s="84"/>
      <c r="B87" s="85"/>
      <c r="C87" s="83"/>
      <c r="D87" s="1033" t="str">
        <f ca="1">INDIRECT($J$4&amp;"!C79")</f>
        <v>Measures for continuing Kroschu-production</v>
      </c>
      <c r="E87" s="1034"/>
      <c r="F87" s="1034"/>
      <c r="G87" s="1034"/>
      <c r="H87" s="1034"/>
      <c r="I87" s="1034"/>
      <c r="J87" s="1035"/>
      <c r="K87" s="55"/>
      <c r="L87" s="1032"/>
      <c r="M87" s="1032"/>
      <c r="N87" s="1032"/>
      <c r="O87" s="1032"/>
      <c r="P87" s="1032"/>
      <c r="Q87" s="1032"/>
      <c r="R87" s="1032"/>
      <c r="S87" s="55"/>
      <c r="T87" s="1044"/>
      <c r="U87" s="1044"/>
      <c r="V87" s="1044"/>
      <c r="W87" s="1044"/>
      <c r="X87" s="1044"/>
      <c r="Y87" s="1044"/>
      <c r="Z87" s="1044"/>
      <c r="AA87" s="1044"/>
      <c r="AB87" s="1044"/>
      <c r="AC87" s="1044"/>
      <c r="AD87" s="1044"/>
      <c r="AE87" s="1044"/>
      <c r="AF87" s="1044"/>
      <c r="AG87" s="1044"/>
      <c r="AH87" s="1044"/>
      <c r="AI87" s="1044"/>
      <c r="AJ87" s="1044"/>
      <c r="AK87" s="1044"/>
      <c r="AL87" s="1044"/>
      <c r="AM87" s="1044"/>
      <c r="AN87" s="1044"/>
      <c r="AO87" s="1044"/>
      <c r="AP87" s="1044"/>
      <c r="AQ87" s="1044"/>
      <c r="AR87" s="1044"/>
      <c r="AS87" s="1044"/>
      <c r="AT87" s="1044"/>
      <c r="AU87" s="1044"/>
      <c r="AV87" s="1044"/>
      <c r="AW87" s="1044"/>
      <c r="AX87" s="1044"/>
      <c r="AY87" s="1044"/>
      <c r="AZ87" s="1042"/>
      <c r="BA87" s="1042"/>
      <c r="BB87" s="1042"/>
      <c r="BC87" s="1042"/>
      <c r="BD87" s="1042"/>
      <c r="BE87" s="1042"/>
      <c r="BF87" s="1043"/>
      <c r="BG87" s="1121"/>
      <c r="BH87" s="1122"/>
      <c r="BI87" s="1122"/>
      <c r="BJ87" s="1122"/>
      <c r="BK87" s="1122"/>
      <c r="BL87" s="1122"/>
      <c r="BM87" s="1123"/>
      <c r="BN87" s="1124"/>
      <c r="BO87" s="1124"/>
      <c r="BP87" s="1124"/>
      <c r="BQ87" s="1124"/>
      <c r="BR87" s="1124"/>
      <c r="BS87" s="1124"/>
      <c r="BT87" s="1124"/>
      <c r="BU87" s="1124"/>
      <c r="BV87" s="1124"/>
      <c r="BX87" s="1044"/>
      <c r="BY87" s="1044"/>
      <c r="BZ87" s="1044"/>
      <c r="CA87" s="1044"/>
      <c r="CB87" s="1044"/>
      <c r="CC87" s="1044"/>
      <c r="CD87" s="1044"/>
      <c r="CE87" s="1044"/>
      <c r="CF87" s="1044"/>
      <c r="CG87" s="1044"/>
      <c r="CH87" s="1044"/>
      <c r="CI87" s="1044"/>
      <c r="CJ87" s="1044"/>
      <c r="CK87" s="1044"/>
      <c r="CL87" s="1044"/>
      <c r="CM87" s="1044"/>
      <c r="CN87" s="1044"/>
      <c r="CO87" s="1044"/>
      <c r="CP87" s="1044"/>
      <c r="CQ87" s="1044"/>
      <c r="CR87" s="1044"/>
      <c r="CS87" s="1044"/>
      <c r="CT87" s="1044"/>
      <c r="CU87" s="1044"/>
      <c r="CV87" s="1044"/>
      <c r="CW87" s="1145"/>
      <c r="CX87" s="1145"/>
      <c r="CY87" s="1145"/>
      <c r="CZ87" s="1145"/>
      <c r="DA87" s="1145"/>
      <c r="DB87" s="1145"/>
      <c r="DC87" s="1145"/>
      <c r="DD87" s="1146"/>
      <c r="DE87" s="1146"/>
      <c r="DF87" s="1146"/>
      <c r="DG87" s="1146"/>
      <c r="DH87" s="1146"/>
      <c r="DI87" s="1146"/>
      <c r="DJ87" s="1146"/>
      <c r="DK87" s="1146"/>
      <c r="DL87" s="1146"/>
      <c r="DM87" s="1146"/>
      <c r="DN87" s="1146"/>
      <c r="DO87" s="1146"/>
      <c r="DP87" s="1146"/>
      <c r="DQ87" s="1146"/>
      <c r="DR87" s="1146"/>
      <c r="DS87" s="86"/>
      <c r="DV87" s="168"/>
      <c r="DW87" s="575"/>
      <c r="DX87" s="565"/>
      <c r="DY87" s="575"/>
      <c r="DZ87" s="564"/>
      <c r="EA87" s="575"/>
      <c r="EB87" s="575"/>
      <c r="EC87" s="662"/>
      <c r="ED87" s="663"/>
      <c r="EE87" s="662"/>
      <c r="EF87" s="662"/>
      <c r="EG87" s="575"/>
      <c r="EH87" s="575"/>
      <c r="EI87" s="663"/>
      <c r="EJ87" s="575"/>
      <c r="EK87" s="575"/>
      <c r="EL87" s="575"/>
      <c r="EM87" s="575"/>
      <c r="EN87" s="663"/>
      <c r="EO87" s="575"/>
      <c r="EP87" s="575"/>
      <c r="EQ87" s="575"/>
      <c r="ER87" s="662"/>
      <c r="ES87" s="663"/>
      <c r="ET87" s="662"/>
      <c r="EU87" s="662"/>
      <c r="EV87" s="575"/>
      <c r="EW87" s="664"/>
      <c r="EX87" s="663"/>
      <c r="EY87" s="664"/>
      <c r="EZ87" s="664"/>
    </row>
    <row r="88" spans="1:156" s="82" customFormat="1" ht="34.5" customHeight="1">
      <c r="A88" s="84"/>
      <c r="B88" s="85"/>
      <c r="C88" s="83"/>
      <c r="D88" s="1036"/>
      <c r="E88" s="1037"/>
      <c r="F88" s="1037"/>
      <c r="G88" s="1037"/>
      <c r="H88" s="1037"/>
      <c r="I88" s="1037"/>
      <c r="J88" s="1038"/>
      <c r="K88" s="55"/>
      <c r="L88" s="1032"/>
      <c r="M88" s="1032"/>
      <c r="N88" s="1032"/>
      <c r="O88" s="1032"/>
      <c r="P88" s="1032"/>
      <c r="Q88" s="1032"/>
      <c r="R88" s="1032"/>
      <c r="S88" s="55"/>
      <c r="T88" s="1044"/>
      <c r="U88" s="1044"/>
      <c r="V88" s="1044"/>
      <c r="W88" s="1044"/>
      <c r="X88" s="1044"/>
      <c r="Y88" s="1044"/>
      <c r="Z88" s="1044"/>
      <c r="AA88" s="1044"/>
      <c r="AB88" s="1044"/>
      <c r="AC88" s="1044"/>
      <c r="AD88" s="1044"/>
      <c r="AE88" s="1044"/>
      <c r="AF88" s="1044"/>
      <c r="AG88" s="1044"/>
      <c r="AH88" s="1044"/>
      <c r="AI88" s="1044"/>
      <c r="AJ88" s="1044"/>
      <c r="AK88" s="1044"/>
      <c r="AL88" s="1044"/>
      <c r="AM88" s="1044"/>
      <c r="AN88" s="1044"/>
      <c r="AO88" s="1044"/>
      <c r="AP88" s="1044"/>
      <c r="AQ88" s="1044"/>
      <c r="AR88" s="1044"/>
      <c r="AS88" s="1044"/>
      <c r="AT88" s="1044"/>
      <c r="AU88" s="1044"/>
      <c r="AV88" s="1044"/>
      <c r="AW88" s="1044"/>
      <c r="AX88" s="1044"/>
      <c r="AY88" s="1044"/>
      <c r="AZ88" s="1042"/>
      <c r="BA88" s="1042"/>
      <c r="BB88" s="1042"/>
      <c r="BC88" s="1042"/>
      <c r="BD88" s="1042"/>
      <c r="BE88" s="1042"/>
      <c r="BF88" s="1043"/>
      <c r="BG88" s="1121"/>
      <c r="BH88" s="1122"/>
      <c r="BI88" s="1122"/>
      <c r="BJ88" s="1122"/>
      <c r="BK88" s="1122"/>
      <c r="BL88" s="1122"/>
      <c r="BM88" s="1123"/>
      <c r="BN88" s="1124"/>
      <c r="BO88" s="1124"/>
      <c r="BP88" s="1124"/>
      <c r="BQ88" s="1124"/>
      <c r="BR88" s="1124"/>
      <c r="BS88" s="1124"/>
      <c r="BT88" s="1124"/>
      <c r="BU88" s="1124"/>
      <c r="BV88" s="1124"/>
      <c r="BX88" s="1044"/>
      <c r="BY88" s="1044"/>
      <c r="BZ88" s="1044"/>
      <c r="CA88" s="1044"/>
      <c r="CB88" s="1044"/>
      <c r="CC88" s="1044"/>
      <c r="CD88" s="1044"/>
      <c r="CE88" s="1044"/>
      <c r="CF88" s="1044"/>
      <c r="CG88" s="1044"/>
      <c r="CH88" s="1044"/>
      <c r="CI88" s="1044"/>
      <c r="CJ88" s="1044"/>
      <c r="CK88" s="1044"/>
      <c r="CL88" s="1044"/>
      <c r="CM88" s="1044"/>
      <c r="CN88" s="1044"/>
      <c r="CO88" s="1044"/>
      <c r="CP88" s="1044"/>
      <c r="CQ88" s="1044"/>
      <c r="CR88" s="1044"/>
      <c r="CS88" s="1044"/>
      <c r="CT88" s="1044"/>
      <c r="CU88" s="1044"/>
      <c r="CV88" s="1044"/>
      <c r="CW88" s="1145"/>
      <c r="CX88" s="1145"/>
      <c r="CY88" s="1145"/>
      <c r="CZ88" s="1145"/>
      <c r="DA88" s="1145"/>
      <c r="DB88" s="1145"/>
      <c r="DC88" s="1145"/>
      <c r="DD88" s="1146"/>
      <c r="DE88" s="1146"/>
      <c r="DF88" s="1146"/>
      <c r="DG88" s="1146"/>
      <c r="DH88" s="1146"/>
      <c r="DI88" s="1146"/>
      <c r="DJ88" s="1146"/>
      <c r="DK88" s="1146"/>
      <c r="DL88" s="1146"/>
      <c r="DM88" s="1146"/>
      <c r="DN88" s="1146"/>
      <c r="DO88" s="1146"/>
      <c r="DP88" s="1146"/>
      <c r="DQ88" s="1146"/>
      <c r="DR88" s="1146"/>
      <c r="DS88" s="86"/>
      <c r="DV88" s="168"/>
      <c r="DW88" s="575"/>
      <c r="DX88" s="565"/>
      <c r="DY88" s="575"/>
      <c r="DZ88" s="564"/>
      <c r="EA88" s="575"/>
      <c r="EB88" s="575"/>
      <c r="EC88" s="662"/>
      <c r="ED88" s="663"/>
      <c r="EE88" s="662"/>
      <c r="EF88" s="662"/>
      <c r="EG88" s="575"/>
      <c r="EH88" s="575"/>
      <c r="EI88" s="663"/>
      <c r="EJ88" s="575"/>
      <c r="EK88" s="575"/>
      <c r="EL88" s="575"/>
      <c r="EM88" s="575"/>
      <c r="EN88" s="663"/>
      <c r="EO88" s="575"/>
      <c r="EP88" s="575"/>
      <c r="EQ88" s="575"/>
      <c r="ER88" s="662"/>
      <c r="ES88" s="663"/>
      <c r="ET88" s="662"/>
      <c r="EU88" s="662"/>
      <c r="EV88" s="575"/>
      <c r="EW88" s="664"/>
      <c r="EX88" s="663"/>
      <c r="EY88" s="664"/>
      <c r="EZ88" s="664"/>
    </row>
    <row r="89" spans="1:156" s="82" customFormat="1" ht="36.9" customHeight="1">
      <c r="A89" s="84"/>
      <c r="B89" s="85"/>
      <c r="C89" s="83"/>
      <c r="D89" s="1039"/>
      <c r="E89" s="1040"/>
      <c r="F89" s="1040"/>
      <c r="G89" s="1040"/>
      <c r="H89" s="1040"/>
      <c r="I89" s="1040"/>
      <c r="J89" s="1041"/>
      <c r="K89" s="55"/>
      <c r="L89" s="1032"/>
      <c r="M89" s="1032"/>
      <c r="N89" s="1032"/>
      <c r="O89" s="1032"/>
      <c r="P89" s="1032"/>
      <c r="Q89" s="1032"/>
      <c r="R89" s="1032"/>
      <c r="S89" s="55"/>
      <c r="T89" s="1044"/>
      <c r="U89" s="1044"/>
      <c r="V89" s="1044"/>
      <c r="W89" s="1044"/>
      <c r="X89" s="1044"/>
      <c r="Y89" s="1044"/>
      <c r="Z89" s="1044"/>
      <c r="AA89" s="1044"/>
      <c r="AB89" s="1044"/>
      <c r="AC89" s="1044"/>
      <c r="AD89" s="1044"/>
      <c r="AE89" s="1044"/>
      <c r="AF89" s="1044"/>
      <c r="AG89" s="1044"/>
      <c r="AH89" s="1044"/>
      <c r="AI89" s="1044"/>
      <c r="AJ89" s="1044"/>
      <c r="AK89" s="1044"/>
      <c r="AL89" s="1044"/>
      <c r="AM89" s="1044"/>
      <c r="AN89" s="1044"/>
      <c r="AO89" s="1044"/>
      <c r="AP89" s="1044"/>
      <c r="AQ89" s="1044"/>
      <c r="AR89" s="1044"/>
      <c r="AS89" s="1044"/>
      <c r="AT89" s="1044"/>
      <c r="AU89" s="1044"/>
      <c r="AV89" s="1044"/>
      <c r="AW89" s="1044"/>
      <c r="AX89" s="1044"/>
      <c r="AY89" s="1044"/>
      <c r="AZ89" s="1042"/>
      <c r="BA89" s="1042"/>
      <c r="BB89" s="1042"/>
      <c r="BC89" s="1042"/>
      <c r="BD89" s="1042"/>
      <c r="BE89" s="1042"/>
      <c r="BF89" s="1043"/>
      <c r="BG89" s="1121"/>
      <c r="BH89" s="1122"/>
      <c r="BI89" s="1122"/>
      <c r="BJ89" s="1122"/>
      <c r="BK89" s="1122"/>
      <c r="BL89" s="1122"/>
      <c r="BM89" s="1123"/>
      <c r="BN89" s="1124"/>
      <c r="BO89" s="1124"/>
      <c r="BP89" s="1124"/>
      <c r="BQ89" s="1124"/>
      <c r="BR89" s="1124"/>
      <c r="BS89" s="1124"/>
      <c r="BT89" s="1124"/>
      <c r="BU89" s="1124"/>
      <c r="BV89" s="1124"/>
      <c r="BX89" s="1044"/>
      <c r="BY89" s="1044"/>
      <c r="BZ89" s="1044"/>
      <c r="CA89" s="1044"/>
      <c r="CB89" s="1044"/>
      <c r="CC89" s="1044"/>
      <c r="CD89" s="1044"/>
      <c r="CE89" s="1044"/>
      <c r="CF89" s="1044"/>
      <c r="CG89" s="1044"/>
      <c r="CH89" s="1044"/>
      <c r="CI89" s="1044"/>
      <c r="CJ89" s="1044"/>
      <c r="CK89" s="1044"/>
      <c r="CL89" s="1044"/>
      <c r="CM89" s="1044"/>
      <c r="CN89" s="1044"/>
      <c r="CO89" s="1044"/>
      <c r="CP89" s="1044"/>
      <c r="CQ89" s="1044"/>
      <c r="CR89" s="1044"/>
      <c r="CS89" s="1044"/>
      <c r="CT89" s="1044"/>
      <c r="CU89" s="1044"/>
      <c r="CV89" s="1044"/>
      <c r="CW89" s="1145"/>
      <c r="CX89" s="1145"/>
      <c r="CY89" s="1145"/>
      <c r="CZ89" s="1145"/>
      <c r="DA89" s="1145"/>
      <c r="DB89" s="1145"/>
      <c r="DC89" s="1145"/>
      <c r="DD89" s="1146"/>
      <c r="DE89" s="1146"/>
      <c r="DF89" s="1146"/>
      <c r="DG89" s="1146"/>
      <c r="DH89" s="1146"/>
      <c r="DI89" s="1146"/>
      <c r="DJ89" s="1146"/>
      <c r="DK89" s="1146"/>
      <c r="DL89" s="1146"/>
      <c r="DM89" s="1146"/>
      <c r="DN89" s="1146"/>
      <c r="DO89" s="1146"/>
      <c r="DP89" s="1146"/>
      <c r="DQ89" s="1146"/>
      <c r="DR89" s="1146"/>
      <c r="DS89" s="86"/>
      <c r="DV89" s="168"/>
      <c r="DW89" s="575"/>
      <c r="DX89" s="565"/>
      <c r="DY89" s="575"/>
      <c r="DZ89" s="564"/>
      <c r="EA89" s="575"/>
      <c r="EB89" s="575"/>
      <c r="EC89" s="662"/>
      <c r="ED89" s="663"/>
      <c r="EE89" s="662"/>
      <c r="EF89" s="662"/>
      <c r="EG89" s="575"/>
      <c r="EH89" s="575"/>
      <c r="EI89" s="663"/>
      <c r="EJ89" s="575"/>
      <c r="EK89" s="575"/>
      <c r="EL89" s="575"/>
      <c r="EM89" s="575"/>
      <c r="EN89" s="663"/>
      <c r="EO89" s="575"/>
      <c r="EP89" s="575"/>
      <c r="EQ89" s="575"/>
      <c r="ER89" s="662"/>
      <c r="ES89" s="663"/>
      <c r="ET89" s="662"/>
      <c r="EU89" s="662"/>
      <c r="EV89" s="575"/>
      <c r="EW89" s="664"/>
      <c r="EX89" s="663"/>
      <c r="EY89" s="664"/>
      <c r="EZ89" s="664"/>
    </row>
    <row r="90" spans="1:156" s="82" customFormat="1" ht="5.25" customHeight="1">
      <c r="A90" s="84"/>
      <c r="B90" s="85"/>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6"/>
      <c r="DV90" s="81"/>
      <c r="DW90" s="81"/>
      <c r="DX90" s="81"/>
      <c r="DY90" s="81"/>
      <c r="DZ90" s="81"/>
      <c r="EA90" s="81"/>
      <c r="EB90" s="81"/>
      <c r="EC90" s="81"/>
      <c r="ED90" s="81"/>
      <c r="EE90" s="81"/>
      <c r="EF90" s="79"/>
      <c r="EG90" s="79"/>
      <c r="EH90" s="79"/>
    </row>
    <row r="91" spans="1:156" s="365" customFormat="1" ht="30" customHeight="1">
      <c r="A91" s="363"/>
      <c r="B91" s="384"/>
      <c r="C91" s="190"/>
      <c r="D91" s="408"/>
      <c r="E91" s="794"/>
      <c r="F91" s="794"/>
      <c r="G91" s="794"/>
      <c r="H91" s="1273" t="str">
        <f ca="1">INDIRECT($J$4&amp;"!C73")</f>
        <v>delivered to the customer</v>
      </c>
      <c r="I91" s="1273"/>
      <c r="J91" s="1273"/>
      <c r="K91" s="1273"/>
      <c r="L91" s="1273"/>
      <c r="M91" s="1273"/>
      <c r="N91" s="1273"/>
      <c r="O91" s="1273"/>
      <c r="P91" s="1273"/>
      <c r="Q91" s="1273"/>
      <c r="R91" s="1273"/>
      <c r="S91" s="1273"/>
      <c r="T91" s="1273"/>
      <c r="U91" s="1273"/>
      <c r="V91" s="1273"/>
      <c r="W91" s="1273"/>
      <c r="X91" s="1273"/>
      <c r="Y91" s="1273"/>
      <c r="Z91" s="1273"/>
      <c r="AA91" s="1273"/>
      <c r="AB91" s="1273"/>
      <c r="AC91" s="1273"/>
      <c r="AD91" s="1273"/>
      <c r="AE91" s="1273"/>
      <c r="AF91" s="1273"/>
      <c r="AG91" s="1273"/>
      <c r="AH91" s="1273"/>
      <c r="AI91" s="1273"/>
      <c r="AJ91" s="1273"/>
      <c r="AK91" s="1273"/>
      <c r="AL91" s="1273"/>
      <c r="AM91" s="1273"/>
      <c r="AN91" s="1273"/>
      <c r="AO91" s="1273"/>
      <c r="AP91" s="1273"/>
      <c r="AQ91" s="1273"/>
      <c r="AR91" s="1273"/>
      <c r="AS91" s="411"/>
      <c r="AT91" s="128"/>
      <c r="AU91" s="1273" t="str">
        <f ca="1">INDIRECT($J$4&amp;"!C74")</f>
        <v>on transit</v>
      </c>
      <c r="AV91" s="1273"/>
      <c r="AW91" s="1273"/>
      <c r="AX91" s="1273"/>
      <c r="AY91" s="1273"/>
      <c r="AZ91" s="1273"/>
      <c r="BA91" s="1273"/>
      <c r="BB91" s="1273"/>
      <c r="BC91" s="1273"/>
      <c r="BD91" s="1273"/>
      <c r="BE91" s="1273"/>
      <c r="BF91" s="1273"/>
      <c r="BG91" s="1273"/>
      <c r="BH91" s="1273"/>
      <c r="BI91" s="1273"/>
      <c r="BJ91" s="1273"/>
      <c r="BK91" s="1273"/>
      <c r="BL91" s="1273"/>
      <c r="BM91" s="1273"/>
      <c r="BN91" s="1273"/>
      <c r="BO91" s="1273"/>
      <c r="BP91" s="1273"/>
      <c r="BQ91" s="1273"/>
      <c r="BR91" s="1273"/>
      <c r="BS91" s="1273"/>
      <c r="BT91" s="1273"/>
      <c r="BU91" s="1273"/>
      <c r="BV91" s="1273"/>
      <c r="BW91" s="1273"/>
      <c r="BX91" s="1273"/>
      <c r="BY91" s="1273"/>
      <c r="BZ91" s="1273"/>
      <c r="CA91" s="1273"/>
      <c r="CB91" s="1273"/>
      <c r="CC91" s="1273"/>
      <c r="CD91" s="1273"/>
      <c r="CE91" s="1273"/>
      <c r="CF91" s="415"/>
      <c r="CG91" s="128"/>
      <c r="CH91" s="1273" t="str">
        <f ca="1">INDIRECT($J$4&amp;"!C75")</f>
        <v>at Kroschu</v>
      </c>
      <c r="CI91" s="1273"/>
      <c r="CJ91" s="1273"/>
      <c r="CK91" s="1273"/>
      <c r="CL91" s="1273"/>
      <c r="CM91" s="1273"/>
      <c r="CN91" s="1273"/>
      <c r="CO91" s="1273"/>
      <c r="CP91" s="1273"/>
      <c r="CQ91" s="1273"/>
      <c r="CR91" s="1273"/>
      <c r="CS91" s="1273"/>
      <c r="CT91" s="1273"/>
      <c r="CU91" s="1273"/>
      <c r="CV91" s="1273"/>
      <c r="CW91" s="1273"/>
      <c r="CX91" s="1273"/>
      <c r="CY91" s="1273"/>
      <c r="CZ91" s="1273"/>
      <c r="DA91" s="1273"/>
      <c r="DB91" s="1273"/>
      <c r="DC91" s="1273"/>
      <c r="DD91" s="1273"/>
      <c r="DE91" s="1273"/>
      <c r="DF91" s="1273"/>
      <c r="DG91" s="1273"/>
      <c r="DH91" s="1273"/>
      <c r="DI91" s="1273"/>
      <c r="DJ91" s="1273"/>
      <c r="DK91" s="1273"/>
      <c r="DL91" s="1273"/>
      <c r="DM91" s="1273"/>
      <c r="DN91" s="1273"/>
      <c r="DO91" s="1273"/>
      <c r="DP91" s="1273"/>
      <c r="DQ91" s="1273"/>
      <c r="DR91" s="1273"/>
      <c r="DS91" s="386"/>
      <c r="DT91" s="378"/>
      <c r="DU91" s="378"/>
      <c r="DV91" s="413"/>
      <c r="DW91" s="413"/>
      <c r="DX91" s="413"/>
      <c r="DY91" s="413"/>
      <c r="DZ91" s="413"/>
      <c r="EA91" s="413"/>
      <c r="EB91" s="413"/>
      <c r="EC91" s="413"/>
      <c r="ED91" s="413"/>
      <c r="EE91" s="413"/>
      <c r="EF91" s="387"/>
      <c r="EG91" s="387"/>
      <c r="EH91" s="127"/>
    </row>
    <row r="92" spans="1:156" s="365" customFormat="1" ht="5.25" customHeight="1">
      <c r="A92" s="363"/>
      <c r="B92" s="384"/>
      <c r="C92" s="190"/>
      <c r="E92" s="800"/>
      <c r="F92" s="800"/>
      <c r="G92" s="800"/>
      <c r="I92" s="378"/>
      <c r="J92" s="378"/>
      <c r="K92" s="378"/>
      <c r="L92" s="378"/>
      <c r="M92" s="190"/>
      <c r="N92" s="190"/>
      <c r="O92" s="190"/>
      <c r="P92" s="190"/>
      <c r="Q92" s="190"/>
      <c r="R92" s="190"/>
      <c r="S92" s="190"/>
      <c r="T92" s="190"/>
      <c r="U92" s="190"/>
      <c r="V92" s="190"/>
      <c r="W92" s="190"/>
      <c r="X92" s="190"/>
      <c r="Y92" s="190"/>
      <c r="Z92" s="190"/>
      <c r="AA92" s="190"/>
      <c r="AB92" s="190"/>
      <c r="AC92" s="190"/>
      <c r="AD92" s="190"/>
      <c r="AE92" s="190"/>
      <c r="AF92" s="190"/>
      <c r="AG92" s="190"/>
      <c r="AH92" s="190"/>
      <c r="AI92" s="190"/>
      <c r="AJ92" s="190"/>
      <c r="AK92" s="190"/>
      <c r="AL92" s="190"/>
      <c r="AM92" s="190"/>
      <c r="AN92" s="190"/>
      <c r="AO92" s="190"/>
      <c r="AP92" s="190"/>
      <c r="AQ92" s="378"/>
      <c r="AR92" s="378"/>
      <c r="AS92" s="411"/>
      <c r="AV92" s="378"/>
      <c r="AW92" s="378"/>
      <c r="AX92" s="378"/>
      <c r="AY92" s="378"/>
      <c r="AZ92" s="190"/>
      <c r="BA92" s="190"/>
      <c r="BB92" s="190"/>
      <c r="BC92" s="190"/>
      <c r="BD92" s="190"/>
      <c r="BE92" s="190"/>
      <c r="BF92" s="190"/>
      <c r="BG92" s="190"/>
      <c r="BH92" s="190"/>
      <c r="BI92" s="190"/>
      <c r="BJ92" s="190"/>
      <c r="BK92" s="190"/>
      <c r="BL92" s="190"/>
      <c r="BM92" s="190"/>
      <c r="BN92" s="190"/>
      <c r="BO92" s="190"/>
      <c r="BP92" s="190"/>
      <c r="BQ92" s="190"/>
      <c r="BR92" s="190"/>
      <c r="BS92" s="190"/>
      <c r="BT92" s="190"/>
      <c r="BU92" s="190"/>
      <c r="BV92" s="190"/>
      <c r="BW92" s="190"/>
      <c r="BX92" s="190"/>
      <c r="BY92" s="190"/>
      <c r="BZ92" s="190"/>
      <c r="CA92" s="190"/>
      <c r="CB92" s="190"/>
      <c r="CC92" s="190"/>
      <c r="CD92" s="190"/>
      <c r="CE92" s="190"/>
      <c r="CF92" s="190"/>
      <c r="CI92" s="378"/>
      <c r="CJ92" s="378"/>
      <c r="CK92" s="378"/>
      <c r="CL92" s="378"/>
      <c r="CM92" s="190"/>
      <c r="CN92" s="190"/>
      <c r="CO92" s="190"/>
      <c r="CP92" s="190"/>
      <c r="CQ92" s="190"/>
      <c r="CR92" s="190"/>
      <c r="CS92" s="190"/>
      <c r="CT92" s="190"/>
      <c r="CU92" s="190"/>
      <c r="CV92" s="190"/>
      <c r="CW92" s="190"/>
      <c r="CX92" s="190"/>
      <c r="CY92" s="190"/>
      <c r="CZ92" s="190"/>
      <c r="DA92" s="190"/>
      <c r="DB92" s="190"/>
      <c r="DC92" s="190"/>
      <c r="DD92" s="190"/>
      <c r="DE92" s="190"/>
      <c r="DF92" s="190"/>
      <c r="DG92" s="190"/>
      <c r="DH92" s="190"/>
      <c r="DI92" s="190"/>
      <c r="DJ92" s="190"/>
      <c r="DK92" s="190"/>
      <c r="DL92" s="190"/>
      <c r="DM92" s="190"/>
      <c r="DN92" s="190"/>
      <c r="DO92" s="190"/>
      <c r="DP92" s="190"/>
      <c r="DQ92" s="190"/>
      <c r="DR92" s="190"/>
      <c r="DS92" s="386"/>
      <c r="DT92" s="378"/>
      <c r="DU92" s="378"/>
      <c r="DV92" s="413"/>
      <c r="DW92" s="413"/>
      <c r="DX92" s="413"/>
      <c r="DY92" s="413"/>
      <c r="DZ92" s="413"/>
      <c r="EA92" s="413"/>
      <c r="EB92" s="413"/>
      <c r="EC92" s="413"/>
      <c r="ED92" s="413"/>
      <c r="EE92" s="413"/>
      <c r="EF92" s="387"/>
      <c r="EG92" s="387"/>
      <c r="EH92" s="127"/>
    </row>
    <row r="93" spans="1:156" s="365" customFormat="1" ht="30" customHeight="1">
      <c r="A93" s="363"/>
      <c r="B93" s="384"/>
      <c r="C93" s="190"/>
      <c r="D93" s="1289" t="str">
        <f ca="1">INDIRECT($J$4&amp;"!C85")</f>
        <v>Sorting actions</v>
      </c>
      <c r="E93" s="1289"/>
      <c r="F93" s="800"/>
      <c r="G93" s="800"/>
      <c r="H93" s="1081" t="str">
        <f ca="1">INDIRECT($J$4&amp;"!C85")</f>
        <v>Sorting actions</v>
      </c>
      <c r="I93" s="1081"/>
      <c r="J93" s="1081"/>
      <c r="K93" s="1081"/>
      <c r="L93" s="1081"/>
      <c r="M93" s="1081"/>
      <c r="N93" s="1081"/>
      <c r="O93" s="1081"/>
      <c r="P93" s="1081"/>
      <c r="Q93" s="1081"/>
      <c r="R93" s="1081"/>
      <c r="S93" s="1081"/>
      <c r="T93" s="1081"/>
      <c r="U93" s="1081"/>
      <c r="V93" s="1081"/>
      <c r="W93" s="1081"/>
      <c r="X93" s="1081"/>
      <c r="Y93" s="1081"/>
      <c r="Z93" s="1081"/>
      <c r="AA93" s="1081"/>
      <c r="AB93" s="415"/>
      <c r="AC93" s="415"/>
      <c r="AD93" s="1087"/>
      <c r="AE93" s="1088"/>
      <c r="AF93" s="1088"/>
      <c r="AG93" s="1089"/>
      <c r="AH93" s="1079"/>
      <c r="AI93" s="1079"/>
      <c r="AJ93" s="1079"/>
      <c r="AK93" s="1080"/>
      <c r="AL93" s="1080"/>
      <c r="AM93" s="1080"/>
      <c r="AN93" s="1080"/>
      <c r="AO93" s="1080"/>
      <c r="AP93" s="1079"/>
      <c r="AQ93" s="1079"/>
      <c r="AR93" s="1079"/>
      <c r="AS93" s="411"/>
      <c r="AT93" s="128"/>
      <c r="AU93" s="1081" t="str">
        <f ca="1">INDIRECT($J$4&amp;"!C85")</f>
        <v>Sorting actions</v>
      </c>
      <c r="AV93" s="1081"/>
      <c r="AW93" s="1081"/>
      <c r="AX93" s="1081"/>
      <c r="AY93" s="1081"/>
      <c r="AZ93" s="1081"/>
      <c r="BA93" s="1081"/>
      <c r="BB93" s="1081"/>
      <c r="BC93" s="1081"/>
      <c r="BD93" s="1081"/>
      <c r="BE93" s="1081"/>
      <c r="BF93" s="1081"/>
      <c r="BG93" s="1081"/>
      <c r="BH93" s="1081"/>
      <c r="BI93" s="1081"/>
      <c r="BJ93" s="1081"/>
      <c r="BK93" s="1081"/>
      <c r="BL93" s="1081"/>
      <c r="BM93" s="1081"/>
      <c r="BN93" s="1081"/>
      <c r="BO93" s="415"/>
      <c r="BP93" s="415"/>
      <c r="BQ93" s="1087"/>
      <c r="BR93" s="1088"/>
      <c r="BS93" s="1088"/>
      <c r="BT93" s="1089"/>
      <c r="BU93" s="1079"/>
      <c r="BV93" s="1079"/>
      <c r="BW93" s="1079"/>
      <c r="BX93" s="1080"/>
      <c r="BY93" s="1080"/>
      <c r="BZ93" s="1080"/>
      <c r="CA93" s="1080"/>
      <c r="CB93" s="1080"/>
      <c r="CC93" s="1079"/>
      <c r="CD93" s="1079"/>
      <c r="CE93" s="1079"/>
      <c r="CF93" s="419"/>
      <c r="CG93" s="128"/>
      <c r="CH93" s="1081" t="str">
        <f ca="1">INDIRECT($J$4&amp;"!C85")</f>
        <v>Sorting actions</v>
      </c>
      <c r="CI93" s="1081"/>
      <c r="CJ93" s="1081"/>
      <c r="CK93" s="1081"/>
      <c r="CL93" s="1081"/>
      <c r="CM93" s="1081"/>
      <c r="CN93" s="1081"/>
      <c r="CO93" s="1081"/>
      <c r="CP93" s="1081"/>
      <c r="CQ93" s="1081"/>
      <c r="CR93" s="1081"/>
      <c r="CS93" s="1081"/>
      <c r="CT93" s="1081"/>
      <c r="CU93" s="1081"/>
      <c r="CV93" s="1081"/>
      <c r="CW93" s="1081"/>
      <c r="CX93" s="1081"/>
      <c r="CY93" s="1081"/>
      <c r="CZ93" s="1081"/>
      <c r="DA93" s="1081"/>
      <c r="DB93" s="805"/>
      <c r="DC93" s="415"/>
      <c r="DD93" s="1087"/>
      <c r="DE93" s="1088"/>
      <c r="DF93" s="1088"/>
      <c r="DG93" s="1089"/>
      <c r="DH93" s="1079"/>
      <c r="DI93" s="1079"/>
      <c r="DJ93" s="1079"/>
      <c r="DK93" s="1080"/>
      <c r="DL93" s="1080"/>
      <c r="DM93" s="1080"/>
      <c r="DN93" s="1080"/>
      <c r="DO93" s="1080"/>
      <c r="DP93" s="1079"/>
      <c r="DQ93" s="1079"/>
      <c r="DR93" s="1079"/>
      <c r="DS93" s="386"/>
      <c r="DT93" s="378"/>
      <c r="DU93" s="378"/>
      <c r="DV93" s="583"/>
      <c r="DW93" s="575"/>
      <c r="DX93" s="566"/>
      <c r="DY93" s="575"/>
      <c r="DZ93" s="583"/>
      <c r="EA93" s="575"/>
      <c r="EB93" s="566"/>
      <c r="EC93" s="575"/>
      <c r="ED93" s="413"/>
      <c r="EE93" s="413"/>
      <c r="EF93" s="387"/>
      <c r="EG93" s="387"/>
      <c r="EH93" s="127"/>
    </row>
    <row r="94" spans="1:156" s="365" customFormat="1" ht="5.25" customHeight="1">
      <c r="A94" s="363"/>
      <c r="B94" s="384"/>
      <c r="C94" s="190"/>
      <c r="D94" s="1289"/>
      <c r="E94" s="1289"/>
      <c r="F94" s="800"/>
      <c r="G94" s="800"/>
      <c r="I94" s="378"/>
      <c r="J94" s="378"/>
      <c r="K94" s="378"/>
      <c r="L94" s="378"/>
      <c r="M94" s="190"/>
      <c r="N94" s="190"/>
      <c r="O94" s="190"/>
      <c r="P94" s="190"/>
      <c r="Q94" s="190"/>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378"/>
      <c r="AR94" s="378"/>
      <c r="AS94" s="411"/>
      <c r="AV94" s="378"/>
      <c r="AW94" s="378"/>
      <c r="AX94" s="378"/>
      <c r="AY94" s="378"/>
      <c r="AZ94" s="190"/>
      <c r="BA94" s="190"/>
      <c r="BB94" s="190"/>
      <c r="BC94" s="190"/>
      <c r="BD94" s="190"/>
      <c r="BE94" s="190"/>
      <c r="BF94" s="190"/>
      <c r="BG94" s="190"/>
      <c r="BH94" s="190"/>
      <c r="BI94" s="190"/>
      <c r="BJ94" s="190"/>
      <c r="BK94" s="190"/>
      <c r="BL94" s="190"/>
      <c r="BM94" s="190"/>
      <c r="BN94" s="190"/>
      <c r="BO94" s="190"/>
      <c r="BP94" s="190"/>
      <c r="BQ94" s="190"/>
      <c r="BR94" s="190"/>
      <c r="BS94" s="190"/>
      <c r="BT94" s="190"/>
      <c r="BU94" s="190"/>
      <c r="BV94" s="190"/>
      <c r="BW94" s="190"/>
      <c r="BX94" s="190"/>
      <c r="BY94" s="190"/>
      <c r="BZ94" s="190"/>
      <c r="CA94" s="190"/>
      <c r="CB94" s="190"/>
      <c r="CC94" s="190"/>
      <c r="CD94" s="190"/>
      <c r="CE94" s="190"/>
      <c r="CF94" s="190"/>
      <c r="CG94" s="190"/>
      <c r="CI94" s="378"/>
      <c r="CJ94" s="378"/>
      <c r="CK94" s="378"/>
      <c r="CL94" s="378"/>
      <c r="CM94" s="190"/>
      <c r="CN94" s="190"/>
      <c r="CO94" s="190"/>
      <c r="CP94" s="190"/>
      <c r="CQ94" s="190"/>
      <c r="CR94" s="190"/>
      <c r="CS94" s="190"/>
      <c r="CT94" s="190"/>
      <c r="CU94" s="190"/>
      <c r="CV94" s="190"/>
      <c r="CW94" s="190"/>
      <c r="CX94" s="190"/>
      <c r="CY94" s="190"/>
      <c r="CZ94" s="190"/>
      <c r="DA94" s="190"/>
      <c r="DB94" s="190"/>
      <c r="DC94" s="190"/>
      <c r="DD94" s="190"/>
      <c r="DE94" s="190"/>
      <c r="DF94" s="190"/>
      <c r="DG94" s="190"/>
      <c r="DH94" s="190"/>
      <c r="DI94" s="190"/>
      <c r="DJ94" s="190"/>
      <c r="DK94" s="190"/>
      <c r="DL94" s="190"/>
      <c r="DM94" s="190"/>
      <c r="DN94" s="190"/>
      <c r="DO94" s="190"/>
      <c r="DP94" s="190"/>
      <c r="DQ94" s="190"/>
      <c r="DR94" s="190"/>
      <c r="DS94" s="386"/>
      <c r="DT94" s="378"/>
      <c r="DU94" s="378"/>
      <c r="DV94" s="168"/>
      <c r="DW94" s="575"/>
      <c r="DX94" s="565"/>
      <c r="DY94" s="575"/>
      <c r="DZ94" s="168"/>
      <c r="EA94" s="575"/>
      <c r="EB94" s="565"/>
      <c r="EC94" s="575"/>
      <c r="ED94" s="413"/>
      <c r="EE94" s="413"/>
      <c r="EF94" s="387"/>
      <c r="EG94" s="387"/>
      <c r="EH94" s="127"/>
    </row>
    <row r="95" spans="1:156" s="365" customFormat="1" ht="15" customHeight="1">
      <c r="A95" s="363"/>
      <c r="B95" s="384"/>
      <c r="C95" s="190"/>
      <c r="D95" s="1289"/>
      <c r="E95" s="1289"/>
      <c r="F95" s="800"/>
      <c r="G95" s="800"/>
      <c r="H95" s="1086" t="str">
        <f ca="1">INDIRECT($J$4&amp;"!C86")</f>
        <v>Quantity sorted</v>
      </c>
      <c r="I95" s="1086"/>
      <c r="J95" s="1086"/>
      <c r="K95" s="1086"/>
      <c r="L95" s="1086"/>
      <c r="M95" s="1086"/>
      <c r="N95" s="1086"/>
      <c r="O95" s="1086"/>
      <c r="P95" s="1086"/>
      <c r="Q95" s="1086"/>
      <c r="R95" s="1086"/>
      <c r="S95" s="1086"/>
      <c r="T95" s="1086"/>
      <c r="U95" s="1086"/>
      <c r="V95" s="805"/>
      <c r="W95" s="805"/>
      <c r="X95" s="805"/>
      <c r="Y95" s="191"/>
      <c r="Z95" s="191"/>
      <c r="AA95" s="191"/>
      <c r="AB95" s="191"/>
      <c r="AC95" s="191"/>
      <c r="AD95" s="1093"/>
      <c r="AE95" s="1094"/>
      <c r="AF95" s="1094"/>
      <c r="AG95" s="1094"/>
      <c r="AH95" s="1094"/>
      <c r="AI95" s="1094"/>
      <c r="AJ95" s="1094"/>
      <c r="AK95" s="1094"/>
      <c r="AL95" s="1094"/>
      <c r="AM95" s="1094"/>
      <c r="AN95" s="1094"/>
      <c r="AO95" s="1094"/>
      <c r="AP95" s="1094"/>
      <c r="AQ95" s="1094"/>
      <c r="AR95" s="1095"/>
      <c r="AS95" s="411"/>
      <c r="AT95" s="128"/>
      <c r="AU95" s="1081" t="str">
        <f ca="1">INDIRECT($J$4&amp;"!C86")</f>
        <v>Quantity sorted</v>
      </c>
      <c r="AV95" s="1081"/>
      <c r="AW95" s="1081"/>
      <c r="AX95" s="1081"/>
      <c r="AY95" s="1081"/>
      <c r="AZ95" s="1081"/>
      <c r="BA95" s="1081"/>
      <c r="BB95" s="1081"/>
      <c r="BC95" s="1081"/>
      <c r="BD95" s="1081"/>
      <c r="BE95" s="1081"/>
      <c r="BF95" s="1081"/>
      <c r="BG95" s="1081"/>
      <c r="BH95" s="805"/>
      <c r="BI95" s="805"/>
      <c r="BJ95" s="805"/>
      <c r="BK95" s="805"/>
      <c r="BL95" s="805"/>
      <c r="BM95" s="805"/>
      <c r="BN95" s="805"/>
      <c r="BO95" s="805"/>
      <c r="BP95" s="805"/>
      <c r="BQ95" s="1093"/>
      <c r="BR95" s="1094"/>
      <c r="BS95" s="1094"/>
      <c r="BT95" s="1094"/>
      <c r="BU95" s="1094"/>
      <c r="BV95" s="1094"/>
      <c r="BW95" s="1094"/>
      <c r="BX95" s="1094"/>
      <c r="BY95" s="1094"/>
      <c r="BZ95" s="1094"/>
      <c r="CA95" s="1094"/>
      <c r="CB95" s="1094"/>
      <c r="CC95" s="1094"/>
      <c r="CD95" s="1094"/>
      <c r="CE95" s="1095"/>
      <c r="CF95" s="1099"/>
      <c r="CG95" s="128"/>
      <c r="CH95" s="1081" t="str">
        <f ca="1">INDIRECT($J$4&amp;"!C86")</f>
        <v>Quantity sorted</v>
      </c>
      <c r="CI95" s="1081"/>
      <c r="CJ95" s="1081"/>
      <c r="CK95" s="1081"/>
      <c r="CL95" s="1081"/>
      <c r="CM95" s="1081"/>
      <c r="CN95" s="1081"/>
      <c r="CO95" s="1081"/>
      <c r="CP95" s="1081"/>
      <c r="CQ95" s="1081"/>
      <c r="CR95" s="1081"/>
      <c r="CS95" s="1081"/>
      <c r="CT95" s="1081"/>
      <c r="CU95" s="805"/>
      <c r="CV95" s="805"/>
      <c r="CW95" s="805"/>
      <c r="CX95" s="805"/>
      <c r="CY95" s="191"/>
      <c r="CZ95" s="191"/>
      <c r="DA95" s="191"/>
      <c r="DB95" s="191"/>
      <c r="DC95" s="191"/>
      <c r="DD95" s="1093"/>
      <c r="DE95" s="1094"/>
      <c r="DF95" s="1094"/>
      <c r="DG95" s="1094"/>
      <c r="DH95" s="1094"/>
      <c r="DI95" s="1094"/>
      <c r="DJ95" s="1094"/>
      <c r="DK95" s="1094"/>
      <c r="DL95" s="1094"/>
      <c r="DM95" s="1094"/>
      <c r="DN95" s="1094"/>
      <c r="DO95" s="1094"/>
      <c r="DP95" s="1094"/>
      <c r="DQ95" s="1094"/>
      <c r="DR95" s="1095"/>
      <c r="DS95" s="386"/>
      <c r="DT95" s="378"/>
      <c r="DU95" s="378"/>
      <c r="DV95" s="168"/>
      <c r="DW95" s="575"/>
      <c r="DX95" s="565"/>
      <c r="DY95" s="575"/>
      <c r="DZ95" s="168"/>
      <c r="EA95" s="575"/>
      <c r="EB95" s="565"/>
      <c r="EC95" s="575"/>
      <c r="ED95" s="413"/>
      <c r="EE95" s="413"/>
      <c r="EF95" s="387"/>
      <c r="EG95" s="387"/>
      <c r="EH95" s="127"/>
    </row>
    <row r="96" spans="1:156" s="365" customFormat="1" ht="15" customHeight="1">
      <c r="A96" s="363"/>
      <c r="B96" s="384"/>
      <c r="C96" s="190"/>
      <c r="D96" s="1289"/>
      <c r="E96" s="1289"/>
      <c r="F96" s="800"/>
      <c r="G96" s="800"/>
      <c r="H96" s="1086"/>
      <c r="I96" s="1086"/>
      <c r="J96" s="1086"/>
      <c r="K96" s="1086"/>
      <c r="L96" s="1086"/>
      <c r="M96" s="1086"/>
      <c r="N96" s="1086"/>
      <c r="O96" s="1086"/>
      <c r="P96" s="1086"/>
      <c r="Q96" s="1086"/>
      <c r="R96" s="1086"/>
      <c r="S96" s="1086"/>
      <c r="T96" s="1086"/>
      <c r="U96" s="1086"/>
      <c r="V96" s="805"/>
      <c r="W96" s="805"/>
      <c r="X96" s="805"/>
      <c r="Y96" s="191"/>
      <c r="Z96" s="191"/>
      <c r="AA96" s="191"/>
      <c r="AB96" s="191"/>
      <c r="AC96" s="191"/>
      <c r="AD96" s="1096"/>
      <c r="AE96" s="1097"/>
      <c r="AF96" s="1097"/>
      <c r="AG96" s="1097"/>
      <c r="AH96" s="1097"/>
      <c r="AI96" s="1097"/>
      <c r="AJ96" s="1097"/>
      <c r="AK96" s="1097"/>
      <c r="AL96" s="1097"/>
      <c r="AM96" s="1097"/>
      <c r="AN96" s="1097"/>
      <c r="AO96" s="1097"/>
      <c r="AP96" s="1097"/>
      <c r="AQ96" s="1097"/>
      <c r="AR96" s="1098"/>
      <c r="AS96" s="411"/>
      <c r="AT96" s="128"/>
      <c r="AU96" s="1081"/>
      <c r="AV96" s="1081"/>
      <c r="AW96" s="1081"/>
      <c r="AX96" s="1081"/>
      <c r="AY96" s="1081"/>
      <c r="AZ96" s="1081"/>
      <c r="BA96" s="1081"/>
      <c r="BB96" s="1081"/>
      <c r="BC96" s="1081"/>
      <c r="BD96" s="1081"/>
      <c r="BE96" s="1081"/>
      <c r="BF96" s="1081"/>
      <c r="BG96" s="1081"/>
      <c r="BH96" s="805"/>
      <c r="BI96" s="805"/>
      <c r="BJ96" s="805"/>
      <c r="BK96" s="805"/>
      <c r="BL96" s="805"/>
      <c r="BM96" s="805"/>
      <c r="BN96" s="805"/>
      <c r="BO96" s="805"/>
      <c r="BP96" s="805"/>
      <c r="BQ96" s="1096"/>
      <c r="BR96" s="1097"/>
      <c r="BS96" s="1097"/>
      <c r="BT96" s="1097"/>
      <c r="BU96" s="1097"/>
      <c r="BV96" s="1097"/>
      <c r="BW96" s="1097"/>
      <c r="BX96" s="1097"/>
      <c r="BY96" s="1097"/>
      <c r="BZ96" s="1097"/>
      <c r="CA96" s="1097"/>
      <c r="CB96" s="1097"/>
      <c r="CC96" s="1097"/>
      <c r="CD96" s="1097"/>
      <c r="CE96" s="1098"/>
      <c r="CF96" s="1099"/>
      <c r="CG96" s="191"/>
      <c r="CH96" s="1081"/>
      <c r="CI96" s="1081"/>
      <c r="CJ96" s="1081"/>
      <c r="CK96" s="1081"/>
      <c r="CL96" s="1081"/>
      <c r="CM96" s="1081"/>
      <c r="CN96" s="1081"/>
      <c r="CO96" s="1081"/>
      <c r="CP96" s="1081"/>
      <c r="CQ96" s="1081"/>
      <c r="CR96" s="1081"/>
      <c r="CS96" s="1081"/>
      <c r="CT96" s="1081"/>
      <c r="CU96" s="805"/>
      <c r="CV96" s="805"/>
      <c r="CW96" s="805"/>
      <c r="CX96" s="805"/>
      <c r="CY96" s="191"/>
      <c r="CZ96" s="191"/>
      <c r="DA96" s="191"/>
      <c r="DB96" s="191"/>
      <c r="DC96" s="191"/>
      <c r="DD96" s="1096"/>
      <c r="DE96" s="1097"/>
      <c r="DF96" s="1097"/>
      <c r="DG96" s="1097"/>
      <c r="DH96" s="1097"/>
      <c r="DI96" s="1097"/>
      <c r="DJ96" s="1097"/>
      <c r="DK96" s="1097"/>
      <c r="DL96" s="1097"/>
      <c r="DM96" s="1097"/>
      <c r="DN96" s="1097"/>
      <c r="DO96" s="1097"/>
      <c r="DP96" s="1097"/>
      <c r="DQ96" s="1097"/>
      <c r="DR96" s="1098"/>
      <c r="DS96" s="386"/>
      <c r="DT96" s="378"/>
      <c r="DU96" s="378"/>
      <c r="DV96" s="168"/>
      <c r="DW96" s="575"/>
      <c r="DX96" s="566"/>
      <c r="DY96" s="575"/>
      <c r="DZ96" s="168"/>
      <c r="EA96" s="575"/>
      <c r="EB96" s="566"/>
      <c r="EC96" s="575"/>
      <c r="ED96" s="413"/>
      <c r="EE96" s="413"/>
      <c r="EF96" s="387"/>
      <c r="EG96" s="387"/>
      <c r="EH96" s="127"/>
    </row>
    <row r="97" spans="1:138" s="365" customFormat="1" ht="5.25" customHeight="1">
      <c r="A97" s="363"/>
      <c r="B97" s="384"/>
      <c r="C97" s="190"/>
      <c r="D97" s="1289"/>
      <c r="E97" s="1289"/>
      <c r="F97" s="800"/>
      <c r="G97" s="800"/>
      <c r="I97" s="378"/>
      <c r="J97" s="378"/>
      <c r="K97" s="378"/>
      <c r="L97" s="378"/>
      <c r="M97" s="190"/>
      <c r="N97" s="190"/>
      <c r="O97" s="190"/>
      <c r="P97" s="190"/>
      <c r="Q97" s="190"/>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378"/>
      <c r="AR97" s="378"/>
      <c r="AS97" s="411"/>
      <c r="AV97" s="378"/>
      <c r="AW97" s="378"/>
      <c r="AX97" s="378"/>
      <c r="AY97" s="378"/>
      <c r="AZ97" s="190"/>
      <c r="BA97" s="190"/>
      <c r="BB97" s="190"/>
      <c r="BC97" s="190"/>
      <c r="BD97" s="190"/>
      <c r="BE97" s="190"/>
      <c r="BF97" s="190"/>
      <c r="BG97" s="190"/>
      <c r="BH97" s="190"/>
      <c r="BI97" s="190"/>
      <c r="BJ97" s="190"/>
      <c r="BK97" s="190"/>
      <c r="BL97" s="190"/>
      <c r="BM97" s="190"/>
      <c r="BN97" s="190"/>
      <c r="BO97" s="190"/>
      <c r="BP97" s="190"/>
      <c r="BQ97" s="190"/>
      <c r="BR97" s="190"/>
      <c r="BS97" s="190"/>
      <c r="BT97" s="190"/>
      <c r="BU97" s="190"/>
      <c r="BV97" s="190"/>
      <c r="BW97" s="190"/>
      <c r="BX97" s="190"/>
      <c r="BY97" s="190"/>
      <c r="BZ97" s="190"/>
      <c r="CA97" s="190"/>
      <c r="CB97" s="190"/>
      <c r="CC97" s="190"/>
      <c r="CD97" s="378"/>
      <c r="CE97" s="378"/>
      <c r="CF97" s="190"/>
      <c r="CG97" s="190"/>
      <c r="CI97" s="378"/>
      <c r="CJ97" s="378"/>
      <c r="CK97" s="378"/>
      <c r="CL97" s="378"/>
      <c r="CM97" s="190"/>
      <c r="CN97" s="190"/>
      <c r="CO97" s="190"/>
      <c r="CP97" s="190"/>
      <c r="CQ97" s="190"/>
      <c r="CR97" s="190"/>
      <c r="CS97" s="190"/>
      <c r="CT97" s="190"/>
      <c r="CU97" s="190"/>
      <c r="CV97" s="190"/>
      <c r="CW97" s="190"/>
      <c r="CX97" s="190"/>
      <c r="CY97" s="190"/>
      <c r="CZ97" s="190"/>
      <c r="DA97" s="190"/>
      <c r="DB97" s="190"/>
      <c r="DC97" s="190"/>
      <c r="DD97" s="190"/>
      <c r="DE97" s="191"/>
      <c r="DF97" s="191"/>
      <c r="DG97" s="191"/>
      <c r="DH97" s="190"/>
      <c r="DI97" s="190"/>
      <c r="DJ97" s="190"/>
      <c r="DK97" s="190"/>
      <c r="DL97" s="190"/>
      <c r="DM97" s="190"/>
      <c r="DN97" s="190"/>
      <c r="DO97" s="190"/>
      <c r="DP97" s="190"/>
      <c r="DQ97" s="378"/>
      <c r="DR97" s="378"/>
      <c r="DS97" s="386"/>
      <c r="DT97" s="378"/>
      <c r="DU97" s="378"/>
      <c r="DV97" s="168"/>
      <c r="DW97" s="575"/>
      <c r="DX97" s="565"/>
      <c r="DY97" s="575"/>
      <c r="DZ97" s="168"/>
      <c r="EA97" s="575"/>
      <c r="EB97" s="565"/>
      <c r="EC97" s="575"/>
      <c r="ED97" s="413"/>
      <c r="EE97" s="413"/>
      <c r="EF97" s="387"/>
      <c r="EG97" s="387"/>
      <c r="EH97" s="127"/>
    </row>
    <row r="98" spans="1:138" s="365" customFormat="1" ht="15" customHeight="1">
      <c r="A98" s="363"/>
      <c r="B98" s="384"/>
      <c r="C98" s="190"/>
      <c r="D98" s="1289"/>
      <c r="E98" s="1289"/>
      <c r="F98" s="800"/>
      <c r="G98" s="800"/>
      <c r="H98" s="1081" t="str">
        <f ca="1">INDIRECT($J$4&amp;"!C87")</f>
        <v>No. NOK parts found</v>
      </c>
      <c r="I98" s="1081"/>
      <c r="J98" s="1081"/>
      <c r="K98" s="1081"/>
      <c r="L98" s="1081"/>
      <c r="M98" s="1081"/>
      <c r="N98" s="1081"/>
      <c r="O98" s="1081"/>
      <c r="P98" s="1081"/>
      <c r="Q98" s="1081"/>
      <c r="R98" s="1081"/>
      <c r="S98" s="1081"/>
      <c r="T98" s="1081"/>
      <c r="U98" s="1081"/>
      <c r="V98" s="1081"/>
      <c r="W98" s="805"/>
      <c r="X98" s="805"/>
      <c r="Y98" s="805"/>
      <c r="Z98" s="805"/>
      <c r="AA98" s="805"/>
      <c r="AB98" s="805"/>
      <c r="AC98" s="805"/>
      <c r="AD98" s="1093"/>
      <c r="AE98" s="1094"/>
      <c r="AF98" s="1094"/>
      <c r="AG98" s="1094"/>
      <c r="AH98" s="1094"/>
      <c r="AI98" s="1094"/>
      <c r="AJ98" s="1094"/>
      <c r="AK98" s="1094"/>
      <c r="AL98" s="1094"/>
      <c r="AM98" s="1094"/>
      <c r="AN98" s="1094"/>
      <c r="AO98" s="1094"/>
      <c r="AP98" s="1094"/>
      <c r="AQ98" s="1094"/>
      <c r="AR98" s="1095"/>
      <c r="AS98" s="411"/>
      <c r="AT98" s="128"/>
      <c r="AU98" s="1081" t="str">
        <f ca="1">INDIRECT($J$4&amp;"!C87")</f>
        <v>No. NOK parts found</v>
      </c>
      <c r="AV98" s="1081"/>
      <c r="AW98" s="1081"/>
      <c r="AX98" s="1081"/>
      <c r="AY98" s="1081"/>
      <c r="AZ98" s="1081"/>
      <c r="BA98" s="1081"/>
      <c r="BB98" s="1081"/>
      <c r="BC98" s="1081"/>
      <c r="BD98" s="1081"/>
      <c r="BE98" s="1081"/>
      <c r="BF98" s="1081"/>
      <c r="BG98" s="1081"/>
      <c r="BH98" s="1081"/>
      <c r="BI98" s="1081"/>
      <c r="BJ98" s="1081"/>
      <c r="BK98" s="1081"/>
      <c r="BL98" s="805"/>
      <c r="BM98" s="805"/>
      <c r="BN98" s="805"/>
      <c r="BO98" s="805"/>
      <c r="BP98" s="805"/>
      <c r="BQ98" s="1093"/>
      <c r="BR98" s="1094"/>
      <c r="BS98" s="1094"/>
      <c r="BT98" s="1094"/>
      <c r="BU98" s="1094"/>
      <c r="BV98" s="1094"/>
      <c r="BW98" s="1094"/>
      <c r="BX98" s="1094"/>
      <c r="BY98" s="1094"/>
      <c r="BZ98" s="1094"/>
      <c r="CA98" s="1094"/>
      <c r="CB98" s="1094"/>
      <c r="CC98" s="1094"/>
      <c r="CD98" s="1094"/>
      <c r="CE98" s="1095"/>
      <c r="CF98" s="415"/>
      <c r="CG98" s="128"/>
      <c r="CH98" s="1081" t="str">
        <f ca="1">INDIRECT($J$4&amp;"!C87")</f>
        <v>No. NOK parts found</v>
      </c>
      <c r="CI98" s="1081"/>
      <c r="CJ98" s="1081"/>
      <c r="CK98" s="1081"/>
      <c r="CL98" s="1081"/>
      <c r="CM98" s="1081"/>
      <c r="CN98" s="1081"/>
      <c r="CO98" s="1081"/>
      <c r="CP98" s="1081"/>
      <c r="CQ98" s="1081"/>
      <c r="CR98" s="1081"/>
      <c r="CS98" s="1081"/>
      <c r="CT98" s="1081"/>
      <c r="CU98" s="1081"/>
      <c r="CV98" s="1081"/>
      <c r="CW98" s="1081"/>
      <c r="CX98" s="1081"/>
      <c r="CY98" s="1081"/>
      <c r="CZ98" s="1081"/>
      <c r="DA98" s="1081"/>
      <c r="DB98" s="1081"/>
      <c r="DC98" s="805"/>
      <c r="DD98" s="1093"/>
      <c r="DE98" s="1094"/>
      <c r="DF98" s="1094"/>
      <c r="DG98" s="1094"/>
      <c r="DH98" s="1094"/>
      <c r="DI98" s="1094"/>
      <c r="DJ98" s="1094"/>
      <c r="DK98" s="1094"/>
      <c r="DL98" s="1094"/>
      <c r="DM98" s="1094"/>
      <c r="DN98" s="1094"/>
      <c r="DO98" s="1094"/>
      <c r="DP98" s="1094"/>
      <c r="DQ98" s="1094"/>
      <c r="DR98" s="1095"/>
      <c r="DS98" s="386"/>
      <c r="DT98" s="378"/>
      <c r="DU98" s="378"/>
      <c r="DV98" s="168"/>
      <c r="DW98" s="575"/>
      <c r="DX98" s="565"/>
      <c r="DY98" s="575"/>
      <c r="DZ98" s="168"/>
      <c r="EA98" s="575"/>
      <c r="EB98" s="565"/>
      <c r="EC98" s="575"/>
      <c r="EF98" s="387"/>
      <c r="EG98" s="387"/>
      <c r="EH98" s="127"/>
    </row>
    <row r="99" spans="1:138" s="365" customFormat="1" ht="15" customHeight="1">
      <c r="A99" s="363"/>
      <c r="B99" s="384"/>
      <c r="C99" s="190"/>
      <c r="D99" s="1289"/>
      <c r="E99" s="1289"/>
      <c r="F99" s="800"/>
      <c r="G99" s="800"/>
      <c r="H99" s="1081"/>
      <c r="I99" s="1081"/>
      <c r="J99" s="1081"/>
      <c r="K99" s="1081"/>
      <c r="L99" s="1081"/>
      <c r="M99" s="1081"/>
      <c r="N99" s="1081"/>
      <c r="O99" s="1081"/>
      <c r="P99" s="1081"/>
      <c r="Q99" s="1081"/>
      <c r="R99" s="1081"/>
      <c r="S99" s="1081"/>
      <c r="T99" s="1081"/>
      <c r="U99" s="1081"/>
      <c r="V99" s="1081"/>
      <c r="W99" s="805"/>
      <c r="X99" s="805"/>
      <c r="Y99" s="805"/>
      <c r="Z99" s="805"/>
      <c r="AA99" s="805"/>
      <c r="AB99" s="805"/>
      <c r="AC99" s="805"/>
      <c r="AD99" s="1096"/>
      <c r="AE99" s="1097"/>
      <c r="AF99" s="1097"/>
      <c r="AG99" s="1097"/>
      <c r="AH99" s="1097"/>
      <c r="AI99" s="1097"/>
      <c r="AJ99" s="1097"/>
      <c r="AK99" s="1097"/>
      <c r="AL99" s="1097"/>
      <c r="AM99" s="1097"/>
      <c r="AN99" s="1097"/>
      <c r="AO99" s="1097"/>
      <c r="AP99" s="1097"/>
      <c r="AQ99" s="1097"/>
      <c r="AR99" s="1098"/>
      <c r="AS99" s="411"/>
      <c r="AT99" s="128"/>
      <c r="AU99" s="1081"/>
      <c r="AV99" s="1081"/>
      <c r="AW99" s="1081"/>
      <c r="AX99" s="1081"/>
      <c r="AY99" s="1081"/>
      <c r="AZ99" s="1081"/>
      <c r="BA99" s="1081"/>
      <c r="BB99" s="1081"/>
      <c r="BC99" s="1081"/>
      <c r="BD99" s="1081"/>
      <c r="BE99" s="1081"/>
      <c r="BF99" s="1081"/>
      <c r="BG99" s="1081"/>
      <c r="BH99" s="1081"/>
      <c r="BI99" s="1081"/>
      <c r="BJ99" s="1081"/>
      <c r="BK99" s="1081"/>
      <c r="BL99" s="805"/>
      <c r="BM99" s="805"/>
      <c r="BN99" s="805"/>
      <c r="BO99" s="805"/>
      <c r="BP99" s="805"/>
      <c r="BQ99" s="1096"/>
      <c r="BR99" s="1097"/>
      <c r="BS99" s="1097"/>
      <c r="BT99" s="1097"/>
      <c r="BU99" s="1097"/>
      <c r="BV99" s="1097"/>
      <c r="BW99" s="1097"/>
      <c r="BX99" s="1097"/>
      <c r="BY99" s="1097"/>
      <c r="BZ99" s="1097"/>
      <c r="CA99" s="1097"/>
      <c r="CB99" s="1097"/>
      <c r="CC99" s="1097"/>
      <c r="CD99" s="1097"/>
      <c r="CE99" s="1098"/>
      <c r="CF99" s="191"/>
      <c r="CG99" s="191"/>
      <c r="CH99" s="1081"/>
      <c r="CI99" s="1081"/>
      <c r="CJ99" s="1081"/>
      <c r="CK99" s="1081"/>
      <c r="CL99" s="1081"/>
      <c r="CM99" s="1081"/>
      <c r="CN99" s="1081"/>
      <c r="CO99" s="1081"/>
      <c r="CP99" s="1081"/>
      <c r="CQ99" s="1081"/>
      <c r="CR99" s="1081"/>
      <c r="CS99" s="1081"/>
      <c r="CT99" s="1081"/>
      <c r="CU99" s="1081"/>
      <c r="CV99" s="1081"/>
      <c r="CW99" s="1081"/>
      <c r="CX99" s="1081"/>
      <c r="CY99" s="1081"/>
      <c r="CZ99" s="1081"/>
      <c r="DA99" s="1081"/>
      <c r="DB99" s="1081"/>
      <c r="DC99" s="805"/>
      <c r="DD99" s="1096"/>
      <c r="DE99" s="1097"/>
      <c r="DF99" s="1097"/>
      <c r="DG99" s="1097"/>
      <c r="DH99" s="1097"/>
      <c r="DI99" s="1097"/>
      <c r="DJ99" s="1097"/>
      <c r="DK99" s="1097"/>
      <c r="DL99" s="1097"/>
      <c r="DM99" s="1097"/>
      <c r="DN99" s="1097"/>
      <c r="DO99" s="1097"/>
      <c r="DP99" s="1097"/>
      <c r="DQ99" s="1097"/>
      <c r="DR99" s="1098"/>
      <c r="DS99" s="386"/>
      <c r="DT99" s="378"/>
      <c r="DU99" s="378"/>
      <c r="DV99" s="168"/>
      <c r="DW99" s="575"/>
      <c r="DX99" s="565"/>
      <c r="DY99" s="575"/>
      <c r="DZ99" s="168"/>
      <c r="EA99" s="575"/>
      <c r="EB99" s="565"/>
      <c r="EC99" s="575"/>
      <c r="EF99" s="387"/>
      <c r="EG99" s="387"/>
      <c r="EH99" s="127"/>
    </row>
    <row r="100" spans="1:138" s="365" customFormat="1" ht="5.25" customHeight="1">
      <c r="A100" s="363"/>
      <c r="B100" s="384"/>
      <c r="C100" s="190"/>
      <c r="D100" s="1289"/>
      <c r="E100" s="1289"/>
      <c r="F100" s="800"/>
      <c r="G100" s="800"/>
      <c r="I100" s="378"/>
      <c r="J100" s="378"/>
      <c r="K100" s="378"/>
      <c r="L100" s="378"/>
      <c r="M100" s="190"/>
      <c r="N100" s="190"/>
      <c r="O100" s="190"/>
      <c r="P100" s="190"/>
      <c r="Q100" s="190"/>
      <c r="R100" s="190"/>
      <c r="S100" s="190"/>
      <c r="T100" s="190"/>
      <c r="U100" s="190"/>
      <c r="V100" s="190"/>
      <c r="W100" s="190"/>
      <c r="X100" s="190"/>
      <c r="Y100" s="190"/>
      <c r="Z100" s="190"/>
      <c r="AA100" s="190"/>
      <c r="AB100" s="190"/>
      <c r="AC100" s="190"/>
      <c r="AD100" s="190"/>
      <c r="AE100" s="190"/>
      <c r="AF100" s="190"/>
      <c r="AG100" s="190"/>
      <c r="AH100" s="190"/>
      <c r="AI100" s="190"/>
      <c r="AJ100" s="190"/>
      <c r="AK100" s="190"/>
      <c r="AL100" s="190"/>
      <c r="AM100" s="190"/>
      <c r="AN100" s="190"/>
      <c r="AO100" s="190"/>
      <c r="AP100" s="190"/>
      <c r="AQ100" s="378"/>
      <c r="AR100" s="378"/>
      <c r="AS100" s="411"/>
      <c r="AV100" s="378"/>
      <c r="AW100" s="378"/>
      <c r="AX100" s="378"/>
      <c r="AY100" s="378"/>
      <c r="AZ100" s="190"/>
      <c r="BA100" s="190"/>
      <c r="BB100" s="190"/>
      <c r="BC100" s="190"/>
      <c r="BD100" s="190"/>
      <c r="BE100" s="190"/>
      <c r="BF100" s="190"/>
      <c r="BG100" s="190"/>
      <c r="BH100" s="190"/>
      <c r="BI100" s="190"/>
      <c r="BJ100" s="190"/>
      <c r="BK100" s="190"/>
      <c r="BL100" s="190"/>
      <c r="BM100" s="190"/>
      <c r="BN100" s="190"/>
      <c r="BO100" s="190"/>
      <c r="BP100" s="190"/>
      <c r="BQ100" s="190"/>
      <c r="BR100" s="190"/>
      <c r="BS100" s="190"/>
      <c r="BT100" s="190"/>
      <c r="BU100" s="190"/>
      <c r="BV100" s="190"/>
      <c r="BW100" s="190"/>
      <c r="BX100" s="190"/>
      <c r="BY100" s="190"/>
      <c r="BZ100" s="190"/>
      <c r="CA100" s="190"/>
      <c r="CB100" s="190"/>
      <c r="CC100" s="190"/>
      <c r="CD100" s="378"/>
      <c r="CE100" s="378"/>
      <c r="CF100" s="190"/>
      <c r="CG100" s="190"/>
      <c r="CI100" s="378"/>
      <c r="CJ100" s="378"/>
      <c r="CK100" s="378"/>
      <c r="CL100" s="378"/>
      <c r="CM100" s="190"/>
      <c r="CN100" s="190"/>
      <c r="CO100" s="190"/>
      <c r="CP100" s="190"/>
      <c r="CQ100" s="190"/>
      <c r="CR100" s="190"/>
      <c r="CS100" s="190"/>
      <c r="CT100" s="190"/>
      <c r="CU100" s="190"/>
      <c r="CV100" s="190"/>
      <c r="CW100" s="190"/>
      <c r="CX100" s="190"/>
      <c r="CY100" s="190"/>
      <c r="CZ100" s="190"/>
      <c r="DA100" s="190"/>
      <c r="DB100" s="190"/>
      <c r="DC100" s="190"/>
      <c r="DD100" s="190"/>
      <c r="DE100" s="191"/>
      <c r="DF100" s="191"/>
      <c r="DG100" s="191"/>
      <c r="DH100" s="190"/>
      <c r="DI100" s="190"/>
      <c r="DJ100" s="190"/>
      <c r="DK100" s="190"/>
      <c r="DL100" s="190"/>
      <c r="DM100" s="190"/>
      <c r="DN100" s="190"/>
      <c r="DO100" s="190"/>
      <c r="DP100" s="190"/>
      <c r="DQ100" s="378"/>
      <c r="DR100" s="378"/>
      <c r="DS100" s="386"/>
      <c r="DT100" s="378"/>
      <c r="DU100" s="378"/>
      <c r="DV100" s="168"/>
      <c r="DW100" s="575"/>
      <c r="DX100" s="565"/>
      <c r="DY100" s="575"/>
      <c r="DZ100" s="168"/>
      <c r="EA100" s="575"/>
      <c r="EB100" s="565"/>
      <c r="EC100" s="575"/>
      <c r="EF100" s="387"/>
      <c r="EG100" s="387"/>
      <c r="EH100" s="127"/>
    </row>
    <row r="101" spans="1:138" s="365" customFormat="1" ht="73.5" customHeight="1">
      <c r="A101" s="363"/>
      <c r="B101" s="384"/>
      <c r="C101" s="190"/>
      <c r="D101" s="1289"/>
      <c r="E101" s="1289"/>
      <c r="F101" s="800"/>
      <c r="G101" s="800"/>
      <c r="H101" s="1081" t="str">
        <f ca="1">INDIRECT($J$4&amp;"!C88")</f>
        <v>Identification OK Parts</v>
      </c>
      <c r="I101" s="1081"/>
      <c r="J101" s="1081"/>
      <c r="K101" s="1081"/>
      <c r="L101" s="1081"/>
      <c r="M101" s="1081"/>
      <c r="N101" s="1081"/>
      <c r="O101" s="1081"/>
      <c r="P101" s="1081"/>
      <c r="Q101" s="1081"/>
      <c r="R101" s="1081"/>
      <c r="S101" s="1081"/>
      <c r="T101" s="1081"/>
      <c r="U101" s="1081"/>
      <c r="V101" s="1081"/>
      <c r="W101" s="1081"/>
      <c r="X101" s="1081"/>
      <c r="Y101" s="1081"/>
      <c r="Z101" s="1081"/>
      <c r="AA101" s="415"/>
      <c r="AB101" s="415"/>
      <c r="AC101" s="415"/>
      <c r="AD101" s="1245"/>
      <c r="AE101" s="1246"/>
      <c r="AF101" s="1246"/>
      <c r="AG101" s="1246"/>
      <c r="AH101" s="1246"/>
      <c r="AI101" s="1246"/>
      <c r="AJ101" s="1246"/>
      <c r="AK101" s="1246"/>
      <c r="AL101" s="1246"/>
      <c r="AM101" s="1246"/>
      <c r="AN101" s="1246"/>
      <c r="AO101" s="1246"/>
      <c r="AP101" s="1246"/>
      <c r="AQ101" s="1246"/>
      <c r="AR101" s="1247"/>
      <c r="AS101" s="411"/>
      <c r="AT101" s="128"/>
      <c r="AU101" s="800" t="str">
        <f ca="1">INDIRECT($J$4&amp;"!C88")</f>
        <v>Identification OK Parts</v>
      </c>
      <c r="AV101" s="800"/>
      <c r="AW101" s="800"/>
      <c r="AX101" s="800"/>
      <c r="AY101" s="800"/>
      <c r="AZ101" s="800"/>
      <c r="BA101" s="800"/>
      <c r="BB101" s="800"/>
      <c r="BC101" s="800"/>
      <c r="BD101" s="800"/>
      <c r="BE101" s="800"/>
      <c r="BF101" s="800"/>
      <c r="BG101" s="800"/>
      <c r="BH101" s="800"/>
      <c r="BI101" s="800"/>
      <c r="BJ101" s="800"/>
      <c r="BK101" s="800"/>
      <c r="BL101" s="800"/>
      <c r="BM101" s="415"/>
      <c r="BN101" s="415"/>
      <c r="BO101" s="415"/>
      <c r="BP101" s="415"/>
      <c r="BQ101" s="1254"/>
      <c r="BR101" s="1255"/>
      <c r="BS101" s="1255"/>
      <c r="BT101" s="1255"/>
      <c r="BU101" s="1255"/>
      <c r="BV101" s="1255"/>
      <c r="BW101" s="1255"/>
      <c r="BX101" s="1255"/>
      <c r="BY101" s="1255"/>
      <c r="BZ101" s="1255"/>
      <c r="CA101" s="1255"/>
      <c r="CB101" s="1255"/>
      <c r="CC101" s="1255"/>
      <c r="CD101" s="1255"/>
      <c r="CE101" s="1256"/>
      <c r="CF101" s="415"/>
      <c r="CG101" s="128"/>
      <c r="CH101" s="1081" t="str">
        <f ca="1">INDIRECT($J$4&amp;"!C88")</f>
        <v>Identification OK Parts</v>
      </c>
      <c r="CI101" s="1081"/>
      <c r="CJ101" s="1081"/>
      <c r="CK101" s="1081"/>
      <c r="CL101" s="1081"/>
      <c r="CM101" s="1081"/>
      <c r="CN101" s="1081"/>
      <c r="CO101" s="1081"/>
      <c r="CP101" s="1081"/>
      <c r="CQ101" s="1081"/>
      <c r="CR101" s="1081"/>
      <c r="CS101" s="1081"/>
      <c r="CT101" s="1081"/>
      <c r="CU101" s="1081"/>
      <c r="CV101" s="1081"/>
      <c r="CW101" s="1081"/>
      <c r="CX101" s="1081"/>
      <c r="CY101" s="1081"/>
      <c r="CZ101" s="1081"/>
      <c r="DA101" s="415"/>
      <c r="DB101" s="415"/>
      <c r="DC101" s="415"/>
      <c r="DD101" s="1242"/>
      <c r="DE101" s="1243"/>
      <c r="DF101" s="1243"/>
      <c r="DG101" s="1243"/>
      <c r="DH101" s="1243"/>
      <c r="DI101" s="1243"/>
      <c r="DJ101" s="1243"/>
      <c r="DK101" s="1243"/>
      <c r="DL101" s="1243"/>
      <c r="DM101" s="1243"/>
      <c r="DN101" s="1243"/>
      <c r="DO101" s="1243"/>
      <c r="DP101" s="1243"/>
      <c r="DQ101" s="1243"/>
      <c r="DR101" s="1244"/>
      <c r="DS101" s="386"/>
      <c r="DT101" s="378"/>
      <c r="DU101" s="378"/>
      <c r="DV101" s="168"/>
      <c r="DW101" s="575"/>
      <c r="DX101" s="565"/>
      <c r="DY101" s="575"/>
      <c r="DZ101" s="168"/>
      <c r="EA101" s="575"/>
      <c r="EB101" s="565"/>
      <c r="EC101" s="575"/>
      <c r="EF101" s="387"/>
      <c r="EG101" s="387"/>
      <c r="EH101" s="127"/>
    </row>
    <row r="102" spans="1:138" ht="5.25" customHeight="1">
      <c r="B102" s="54"/>
      <c r="C102" s="55"/>
      <c r="D102" s="1289"/>
      <c r="E102" s="1289"/>
      <c r="F102" s="800"/>
      <c r="G102" s="800"/>
      <c r="H102" s="499"/>
      <c r="I102" s="499"/>
      <c r="J102" s="499"/>
      <c r="K102" s="499"/>
      <c r="L102" s="499"/>
      <c r="M102" s="499"/>
      <c r="N102" s="499"/>
      <c r="O102" s="499"/>
      <c r="P102" s="499"/>
      <c r="Q102" s="499"/>
      <c r="R102" s="499"/>
      <c r="S102" s="499"/>
      <c r="T102" s="499"/>
      <c r="U102" s="499"/>
      <c r="V102" s="499"/>
      <c r="W102" s="499"/>
      <c r="X102" s="499"/>
      <c r="Y102" s="499"/>
      <c r="Z102" s="499"/>
      <c r="AA102" s="83"/>
      <c r="AB102" s="83"/>
      <c r="AC102" s="83"/>
      <c r="AD102" s="1248"/>
      <c r="AE102" s="1249"/>
      <c r="AF102" s="1249"/>
      <c r="AG102" s="1249"/>
      <c r="AH102" s="1249"/>
      <c r="AI102" s="1249"/>
      <c r="AJ102" s="1249"/>
      <c r="AK102" s="1249"/>
      <c r="AL102" s="1249"/>
      <c r="AM102" s="1249"/>
      <c r="AN102" s="1249"/>
      <c r="AO102" s="1249"/>
      <c r="AP102" s="1249"/>
      <c r="AQ102" s="1249"/>
      <c r="AR102" s="1250"/>
      <c r="AS102" s="78"/>
      <c r="AT102" s="65"/>
      <c r="AU102" s="499"/>
      <c r="AV102" s="499"/>
      <c r="AW102" s="499"/>
      <c r="AX102" s="499"/>
      <c r="AY102" s="499"/>
      <c r="AZ102" s="499"/>
      <c r="BA102" s="499"/>
      <c r="BB102" s="499"/>
      <c r="BC102" s="499"/>
      <c r="BD102" s="499"/>
      <c r="BE102" s="499"/>
      <c r="BF102" s="499"/>
      <c r="BG102" s="499"/>
      <c r="BH102" s="499"/>
      <c r="BI102" s="499"/>
      <c r="BJ102" s="499"/>
      <c r="BK102" s="499"/>
      <c r="BL102" s="499"/>
      <c r="BM102" s="83"/>
      <c r="BN102" s="83"/>
      <c r="BO102" s="83"/>
      <c r="BP102" s="83"/>
      <c r="BQ102" s="1257"/>
      <c r="BR102" s="1258"/>
      <c r="BS102" s="1258"/>
      <c r="BT102" s="1258"/>
      <c r="BU102" s="1258"/>
      <c r="BV102" s="1258"/>
      <c r="BW102" s="1258"/>
      <c r="BX102" s="1258"/>
      <c r="BY102" s="1258"/>
      <c r="BZ102" s="1258"/>
      <c r="CA102" s="1258"/>
      <c r="CB102" s="1258"/>
      <c r="CC102" s="1258"/>
      <c r="CD102" s="1258"/>
      <c r="CE102" s="1259"/>
      <c r="CF102" s="83"/>
      <c r="CG102" s="65"/>
      <c r="CH102" s="499"/>
      <c r="CI102" s="499"/>
      <c r="CJ102" s="499"/>
      <c r="CK102" s="499"/>
      <c r="CL102" s="499"/>
      <c r="CM102" s="499"/>
      <c r="CN102" s="499"/>
      <c r="CO102" s="499"/>
      <c r="CP102" s="499"/>
      <c r="CQ102" s="499"/>
      <c r="CR102" s="499"/>
      <c r="CS102" s="499"/>
      <c r="CT102" s="499"/>
      <c r="CU102" s="499"/>
      <c r="CV102" s="499"/>
      <c r="CW102" s="499"/>
      <c r="CX102" s="499"/>
      <c r="CY102" s="499"/>
      <c r="CZ102" s="499"/>
      <c r="DA102" s="83"/>
      <c r="DB102" s="83"/>
      <c r="DC102" s="83"/>
      <c r="DD102" s="83"/>
      <c r="DE102" s="58"/>
      <c r="DF102" s="58"/>
      <c r="DG102" s="58"/>
      <c r="DH102" s="88"/>
      <c r="DI102" s="88"/>
      <c r="DJ102" s="88"/>
      <c r="DK102" s="88"/>
      <c r="DL102" s="88"/>
      <c r="DM102" s="88"/>
      <c r="DN102" s="88"/>
      <c r="DO102" s="88"/>
      <c r="DP102" s="88"/>
      <c r="DQ102" s="88"/>
      <c r="DR102" s="88"/>
      <c r="DS102" s="50"/>
      <c r="DT102" s="37"/>
      <c r="DU102" s="37"/>
      <c r="EF102" s="51"/>
      <c r="EG102" s="51"/>
      <c r="EH102" s="59"/>
    </row>
    <row r="103" spans="1:138" s="365" customFormat="1" ht="30" customHeight="1">
      <c r="A103" s="363"/>
      <c r="B103" s="384"/>
      <c r="C103" s="190"/>
      <c r="D103" s="1289"/>
      <c r="E103" s="1289"/>
      <c r="F103" s="800"/>
      <c r="G103" s="800"/>
      <c r="H103" s="800"/>
      <c r="I103" s="800"/>
      <c r="J103" s="800"/>
      <c r="K103" s="800"/>
      <c r="L103" s="800"/>
      <c r="M103" s="800"/>
      <c r="N103" s="800"/>
      <c r="O103" s="800"/>
      <c r="P103" s="800"/>
      <c r="Q103" s="800"/>
      <c r="R103" s="800"/>
      <c r="S103" s="800"/>
      <c r="T103" s="800"/>
      <c r="U103" s="800"/>
      <c r="V103" s="800"/>
      <c r="W103" s="800"/>
      <c r="X103" s="800"/>
      <c r="Y103" s="800"/>
      <c r="Z103" s="800"/>
      <c r="AA103" s="415"/>
      <c r="AB103" s="415"/>
      <c r="AC103" s="415"/>
      <c r="AD103" s="1251"/>
      <c r="AE103" s="1252"/>
      <c r="AF103" s="1252"/>
      <c r="AG103" s="1252"/>
      <c r="AH103" s="1252"/>
      <c r="AI103" s="1252"/>
      <c r="AJ103" s="1252"/>
      <c r="AK103" s="1252"/>
      <c r="AL103" s="1252"/>
      <c r="AM103" s="1252"/>
      <c r="AN103" s="1252"/>
      <c r="AO103" s="1252"/>
      <c r="AP103" s="1252"/>
      <c r="AQ103" s="1252"/>
      <c r="AR103" s="1253"/>
      <c r="AS103" s="411"/>
      <c r="AT103" s="128"/>
      <c r="AU103" s="800"/>
      <c r="AV103" s="800"/>
      <c r="AW103" s="800"/>
      <c r="AX103" s="800"/>
      <c r="AY103" s="800"/>
      <c r="AZ103" s="800"/>
      <c r="BA103" s="800"/>
      <c r="BB103" s="800"/>
      <c r="BC103" s="800"/>
      <c r="BD103" s="800"/>
      <c r="BE103" s="800"/>
      <c r="BF103" s="800"/>
      <c r="BG103" s="800"/>
      <c r="BH103" s="800"/>
      <c r="BI103" s="800"/>
      <c r="BJ103" s="800"/>
      <c r="BK103" s="800"/>
      <c r="BL103" s="800"/>
      <c r="BM103" s="415"/>
      <c r="BN103" s="415"/>
      <c r="BO103" s="415"/>
      <c r="BP103" s="415"/>
      <c r="BQ103" s="1260"/>
      <c r="BR103" s="1261"/>
      <c r="BS103" s="1261"/>
      <c r="BT103" s="1261"/>
      <c r="BU103" s="1261"/>
      <c r="BV103" s="1261"/>
      <c r="BW103" s="1261"/>
      <c r="BX103" s="1261"/>
      <c r="BY103" s="1261"/>
      <c r="BZ103" s="1261"/>
      <c r="CA103" s="1261"/>
      <c r="CB103" s="1261"/>
      <c r="CC103" s="1261"/>
      <c r="CD103" s="1261"/>
      <c r="CE103" s="1262"/>
      <c r="CF103" s="415"/>
      <c r="CG103" s="128"/>
      <c r="CH103" s="924" t="str">
        <f ca="1">INDIRECT($J$4&amp;"!C89")</f>
        <v>clean point</v>
      </c>
      <c r="CI103" s="800"/>
      <c r="CJ103" s="800"/>
      <c r="CK103" s="800"/>
      <c r="CL103" s="800"/>
      <c r="CM103" s="800"/>
      <c r="CN103" s="800"/>
      <c r="CO103" s="800"/>
      <c r="CP103" s="800"/>
      <c r="CQ103" s="800"/>
      <c r="CR103" s="800"/>
      <c r="CS103" s="800"/>
      <c r="CT103" s="800"/>
      <c r="CU103" s="800"/>
      <c r="CV103" s="800"/>
      <c r="CW103" s="800"/>
      <c r="CX103" s="800"/>
      <c r="CY103" s="800"/>
      <c r="CZ103" s="800"/>
      <c r="DA103" s="415"/>
      <c r="DB103" s="415"/>
      <c r="DC103" s="415"/>
      <c r="DD103" s="1290"/>
      <c r="DE103" s="1291"/>
      <c r="DF103" s="1291"/>
      <c r="DG103" s="1291"/>
      <c r="DH103" s="1291"/>
      <c r="DI103" s="1291"/>
      <c r="DJ103" s="1291"/>
      <c r="DK103" s="1291"/>
      <c r="DL103" s="1291"/>
      <c r="DM103" s="1291"/>
      <c r="DN103" s="1291"/>
      <c r="DO103" s="1291"/>
      <c r="DP103" s="1291"/>
      <c r="DQ103" s="1291"/>
      <c r="DR103" s="1292"/>
      <c r="DS103" s="386"/>
      <c r="DT103" s="378"/>
      <c r="DU103" s="378"/>
      <c r="EF103" s="387"/>
      <c r="EG103" s="387"/>
      <c r="EH103" s="127"/>
    </row>
    <row r="104" spans="1:138" ht="5.25" customHeight="1">
      <c r="B104" s="54"/>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c r="CW104" s="55"/>
      <c r="CX104" s="55"/>
      <c r="CY104" s="55"/>
      <c r="CZ104" s="55"/>
      <c r="DA104" s="55"/>
      <c r="DB104" s="55"/>
      <c r="DC104" s="55"/>
      <c r="DD104" s="55"/>
      <c r="DE104" s="55"/>
      <c r="DF104" s="55"/>
      <c r="DG104" s="55"/>
      <c r="DH104" s="55"/>
      <c r="DI104" s="55"/>
      <c r="DJ104" s="55"/>
      <c r="DK104" s="55"/>
      <c r="DL104" s="55"/>
      <c r="DM104" s="55"/>
      <c r="DN104" s="55"/>
      <c r="DO104" s="55"/>
      <c r="DP104" s="55"/>
      <c r="DQ104" s="55"/>
      <c r="DR104" s="55"/>
      <c r="DS104" s="50"/>
      <c r="DT104" s="37"/>
      <c r="DU104" s="37"/>
      <c r="EF104" s="51"/>
      <c r="EG104" s="51"/>
      <c r="EH104" s="59"/>
    </row>
    <row r="105" spans="1:138" ht="16.5" customHeight="1">
      <c r="B105" s="54"/>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c r="CW105" s="55"/>
      <c r="CX105" s="55"/>
      <c r="CY105" s="55"/>
      <c r="CZ105" s="55"/>
      <c r="DA105" s="55"/>
      <c r="DB105" s="55"/>
      <c r="DC105" s="55"/>
      <c r="DD105" s="55"/>
      <c r="DE105" s="55"/>
      <c r="DF105" s="55"/>
      <c r="DG105" s="55"/>
      <c r="DH105" s="55"/>
      <c r="DI105" s="55"/>
      <c r="DJ105" s="55"/>
      <c r="DK105" s="55"/>
      <c r="DL105" s="55"/>
      <c r="DM105" s="55"/>
      <c r="DN105" s="55"/>
      <c r="DO105" s="55"/>
      <c r="DP105" s="55"/>
      <c r="DQ105" s="55"/>
      <c r="DR105" s="55"/>
      <c r="DS105" s="50"/>
      <c r="DT105" s="37"/>
      <c r="DU105" s="37"/>
      <c r="EF105" s="51"/>
      <c r="EG105" s="51"/>
      <c r="EH105" s="59"/>
    </row>
    <row r="106" spans="1:138" s="365" customFormat="1" ht="30" customHeight="1">
      <c r="A106" s="363"/>
      <c r="B106" s="384"/>
      <c r="C106" s="190"/>
      <c r="D106" s="190"/>
      <c r="E106" s="190"/>
      <c r="F106" s="190"/>
      <c r="G106" s="190"/>
      <c r="H106" s="190"/>
      <c r="I106" s="190"/>
      <c r="J106" s="190"/>
      <c r="K106" s="366"/>
      <c r="L106" s="1083">
        <f>SUM(AD95,BQ95,DD95)</f>
        <v>0</v>
      </c>
      <c r="M106" s="1084"/>
      <c r="N106" s="1084"/>
      <c r="O106" s="1084"/>
      <c r="P106" s="1085"/>
      <c r="Q106" s="410"/>
      <c r="R106" s="800" t="str">
        <f ca="1">INDIRECT($J$4&amp;"!C90")</f>
        <v>total amount of sorted parts</v>
      </c>
      <c r="S106" s="800"/>
      <c r="T106" s="800"/>
      <c r="U106" s="800"/>
      <c r="V106" s="800"/>
      <c r="W106" s="800"/>
      <c r="X106" s="800"/>
      <c r="Y106" s="800"/>
      <c r="Z106" s="800"/>
      <c r="AA106" s="800"/>
      <c r="AB106" s="800"/>
      <c r="AC106" s="800"/>
      <c r="AD106" s="800"/>
      <c r="AE106" s="800"/>
      <c r="AF106" s="800"/>
      <c r="AG106" s="800"/>
      <c r="AH106" s="800"/>
      <c r="AI106" s="800"/>
      <c r="AJ106" s="800"/>
      <c r="AK106" s="800"/>
      <c r="AL106" s="800"/>
      <c r="AM106" s="800"/>
      <c r="AN106" s="800"/>
      <c r="AO106" s="800"/>
      <c r="AP106" s="800"/>
      <c r="AQ106" s="366"/>
      <c r="AR106" s="1083">
        <f>SUM(AD98,BQ98,DD98)</f>
        <v>0</v>
      </c>
      <c r="AS106" s="1084"/>
      <c r="AT106" s="1084"/>
      <c r="AU106" s="1084"/>
      <c r="AV106" s="1085"/>
      <c r="AW106" s="410"/>
      <c r="AX106" s="800" t="str">
        <f ca="1">INDIRECT($J$4&amp;"!C91")</f>
        <v>total amount of NOK parts found</v>
      </c>
      <c r="AY106" s="800"/>
      <c r="AZ106" s="800"/>
      <c r="BA106" s="800"/>
      <c r="BB106" s="800"/>
      <c r="BC106" s="800"/>
      <c r="BD106" s="800"/>
      <c r="BE106" s="800"/>
      <c r="BF106" s="800"/>
      <c r="BG106" s="800"/>
      <c r="BH106" s="800"/>
      <c r="BI106" s="800"/>
      <c r="BJ106" s="800"/>
      <c r="BK106" s="800"/>
      <c r="BL106" s="800"/>
      <c r="BM106" s="800"/>
      <c r="BN106" s="800"/>
      <c r="BO106" s="800"/>
      <c r="BP106" s="800"/>
      <c r="BQ106" s="800"/>
      <c r="BR106" s="800"/>
      <c r="BS106" s="800"/>
      <c r="BT106" s="800"/>
      <c r="BU106" s="800"/>
      <c r="BV106" s="800"/>
      <c r="BW106" s="800"/>
      <c r="BX106" s="800"/>
      <c r="BY106" s="800"/>
      <c r="BZ106" s="800"/>
      <c r="CA106" s="366"/>
      <c r="CB106" s="1083">
        <f>L106-AR106</f>
        <v>0</v>
      </c>
      <c r="CC106" s="1084"/>
      <c r="CD106" s="1084"/>
      <c r="CE106" s="1084"/>
      <c r="CF106" s="1085"/>
      <c r="CG106" s="410"/>
      <c r="CH106" s="805" t="str">
        <f ca="1">INDIRECT($J$4&amp;"!C92")</f>
        <v>total amount of OK parts identified</v>
      </c>
      <c r="CI106" s="410"/>
      <c r="CJ106" s="410"/>
      <c r="CK106" s="410"/>
      <c r="CL106" s="410"/>
      <c r="CM106" s="410"/>
      <c r="CN106" s="410"/>
      <c r="CO106" s="410"/>
      <c r="CP106" s="410"/>
      <c r="CQ106" s="410"/>
      <c r="CR106" s="410"/>
      <c r="CS106" s="410"/>
      <c r="CT106" s="410"/>
      <c r="CU106" s="190"/>
      <c r="CV106" s="190"/>
      <c r="CW106" s="190"/>
      <c r="CX106" s="190"/>
      <c r="CY106" s="190"/>
      <c r="CZ106" s="190"/>
      <c r="DA106" s="190"/>
      <c r="DB106" s="190"/>
      <c r="DC106" s="190"/>
      <c r="DD106" s="190"/>
      <c r="DE106" s="190"/>
      <c r="DF106" s="190"/>
      <c r="DG106" s="190"/>
      <c r="DH106" s="190"/>
      <c r="DI106" s="190"/>
      <c r="DJ106" s="190"/>
      <c r="DK106" s="190"/>
      <c r="DL106" s="190"/>
      <c r="DM106" s="190"/>
      <c r="DN106" s="190"/>
      <c r="DO106" s="190"/>
      <c r="DP106" s="190"/>
      <c r="DQ106" s="190"/>
      <c r="DR106" s="190"/>
      <c r="DS106" s="386"/>
      <c r="DT106" s="378"/>
      <c r="DU106" s="378"/>
      <c r="EF106" s="387"/>
      <c r="EG106" s="387"/>
      <c r="EH106" s="127"/>
    </row>
    <row r="107" spans="1:138" ht="1.5" customHeight="1">
      <c r="B107" s="54"/>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c r="CW107" s="55"/>
      <c r="CX107" s="55"/>
      <c r="CY107" s="55"/>
      <c r="CZ107" s="55"/>
      <c r="DA107" s="55"/>
      <c r="DB107" s="55"/>
      <c r="DC107" s="55"/>
      <c r="DD107" s="55"/>
      <c r="DE107" s="55"/>
      <c r="DF107" s="55"/>
      <c r="DG107" s="55"/>
      <c r="DH107" s="55"/>
      <c r="DI107" s="55"/>
      <c r="DJ107" s="55"/>
      <c r="DK107" s="55"/>
      <c r="DL107" s="55"/>
      <c r="DM107" s="55"/>
      <c r="DN107" s="55"/>
      <c r="DO107" s="55"/>
      <c r="DP107" s="55"/>
      <c r="DQ107" s="55"/>
      <c r="DR107" s="55"/>
      <c r="DS107" s="50"/>
      <c r="DT107" s="37"/>
      <c r="DU107" s="37"/>
      <c r="DV107" s="51"/>
      <c r="DW107" s="51"/>
      <c r="DX107" s="51"/>
      <c r="DY107" s="51"/>
      <c r="DZ107" s="51"/>
      <c r="EA107" s="51"/>
      <c r="EB107" s="51"/>
      <c r="EC107" s="51"/>
      <c r="ED107" s="51"/>
      <c r="EE107" s="51"/>
      <c r="EF107" s="51"/>
      <c r="EG107" s="51"/>
      <c r="EH107" s="59"/>
    </row>
    <row r="108" spans="1:138" ht="5.25" customHeight="1">
      <c r="B108" s="54"/>
      <c r="C108" s="55"/>
      <c r="D108" s="83"/>
      <c r="E108" s="83"/>
      <c r="F108" s="83"/>
      <c r="G108" s="83"/>
      <c r="H108" s="83"/>
      <c r="I108" s="83"/>
      <c r="J108" s="83"/>
      <c r="K108" s="83"/>
      <c r="L108" s="83"/>
      <c r="M108" s="83"/>
      <c r="N108" s="55"/>
      <c r="O108" s="55"/>
      <c r="P108" s="55"/>
      <c r="Q108" s="55"/>
      <c r="R108" s="55"/>
      <c r="S108" s="55"/>
      <c r="T108" s="55"/>
      <c r="U108" s="55"/>
      <c r="V108" s="55"/>
      <c r="W108" s="55"/>
      <c r="X108" s="55"/>
      <c r="Y108" s="55"/>
      <c r="Z108" s="55"/>
      <c r="AA108" s="55"/>
      <c r="AB108" s="55"/>
      <c r="AC108" s="55"/>
      <c r="AD108" s="55"/>
      <c r="AE108" s="55"/>
      <c r="AF108" s="55"/>
      <c r="AG108" s="55"/>
      <c r="AH108" s="57"/>
      <c r="AI108" s="57"/>
      <c r="AJ108" s="57"/>
      <c r="AK108" s="57"/>
      <c r="AL108" s="57"/>
      <c r="AM108" s="57"/>
      <c r="AN108" s="57"/>
      <c r="AO108" s="57"/>
      <c r="AP108" s="55"/>
      <c r="AQ108" s="78"/>
      <c r="AR108" s="78"/>
      <c r="AS108" s="78"/>
      <c r="AT108" s="26"/>
      <c r="AU108" s="26"/>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0"/>
      <c r="DT108" s="37"/>
      <c r="DU108" s="37"/>
      <c r="DV108" s="51"/>
      <c r="DW108" s="51"/>
      <c r="DX108" s="51"/>
      <c r="DY108" s="51"/>
      <c r="DZ108" s="51"/>
      <c r="EA108" s="51"/>
      <c r="EB108" s="51"/>
      <c r="EC108" s="51"/>
      <c r="ED108" s="51"/>
      <c r="EE108" s="51"/>
      <c r="EF108" s="51"/>
      <c r="EG108" s="51"/>
      <c r="EH108" s="59"/>
    </row>
    <row r="109" spans="1:138" ht="128.25" customHeight="1">
      <c r="B109" s="54"/>
      <c r="C109" s="55"/>
      <c r="D109" s="1082" t="str">
        <f ca="1">INDIRECT($J$4&amp;"!C93")</f>
        <v>Comments</v>
      </c>
      <c r="E109" s="1082"/>
      <c r="F109" s="1082"/>
      <c r="G109" s="83"/>
      <c r="H109" s="1090"/>
      <c r="I109" s="1091"/>
      <c r="J109" s="1091"/>
      <c r="K109" s="1091"/>
      <c r="L109" s="1091"/>
      <c r="M109" s="1091"/>
      <c r="N109" s="1091"/>
      <c r="O109" s="1091"/>
      <c r="P109" s="1091"/>
      <c r="Q109" s="1091"/>
      <c r="R109" s="1091"/>
      <c r="S109" s="1091"/>
      <c r="T109" s="1091"/>
      <c r="U109" s="1091"/>
      <c r="V109" s="1091"/>
      <c r="W109" s="1091"/>
      <c r="X109" s="1091"/>
      <c r="Y109" s="1091"/>
      <c r="Z109" s="1091"/>
      <c r="AA109" s="1091"/>
      <c r="AB109" s="1091"/>
      <c r="AC109" s="1091"/>
      <c r="AD109" s="1091"/>
      <c r="AE109" s="1091"/>
      <c r="AF109" s="1091"/>
      <c r="AG109" s="1091"/>
      <c r="AH109" s="1091"/>
      <c r="AI109" s="1091"/>
      <c r="AJ109" s="1091"/>
      <c r="AK109" s="1091"/>
      <c r="AL109" s="1091"/>
      <c r="AM109" s="1091"/>
      <c r="AN109" s="1091"/>
      <c r="AO109" s="1091"/>
      <c r="AP109" s="1091"/>
      <c r="AQ109" s="1091"/>
      <c r="AR109" s="1091"/>
      <c r="AS109" s="1091"/>
      <c r="AT109" s="1091"/>
      <c r="AU109" s="1091"/>
      <c r="AV109" s="1091"/>
      <c r="AW109" s="1091"/>
      <c r="AX109" s="1091"/>
      <c r="AY109" s="1091"/>
      <c r="AZ109" s="1091"/>
      <c r="BA109" s="1091"/>
      <c r="BB109" s="1091"/>
      <c r="BC109" s="1091"/>
      <c r="BD109" s="1091"/>
      <c r="BE109" s="1091"/>
      <c r="BF109" s="1091"/>
      <c r="BG109" s="1091"/>
      <c r="BH109" s="1091"/>
      <c r="BI109" s="1091"/>
      <c r="BJ109" s="1091"/>
      <c r="BK109" s="1091"/>
      <c r="BL109" s="1091"/>
      <c r="BM109" s="1091"/>
      <c r="BN109" s="1091"/>
      <c r="BO109" s="1091"/>
      <c r="BP109" s="1091"/>
      <c r="BQ109" s="1091"/>
      <c r="BR109" s="1091"/>
      <c r="BS109" s="1091"/>
      <c r="BT109" s="1091"/>
      <c r="BU109" s="1091"/>
      <c r="BV109" s="1091"/>
      <c r="BW109" s="1091"/>
      <c r="BX109" s="1091"/>
      <c r="BY109" s="1091"/>
      <c r="BZ109" s="1091"/>
      <c r="CA109" s="1091"/>
      <c r="CB109" s="1091"/>
      <c r="CC109" s="1091"/>
      <c r="CD109" s="1091"/>
      <c r="CE109" s="1091"/>
      <c r="CF109" s="1091"/>
      <c r="CG109" s="1091"/>
      <c r="CH109" s="1091"/>
      <c r="CI109" s="1091"/>
      <c r="CJ109" s="1091"/>
      <c r="CK109" s="1091"/>
      <c r="CL109" s="1091"/>
      <c r="CM109" s="1091"/>
      <c r="CN109" s="1091"/>
      <c r="CO109" s="1091"/>
      <c r="CP109" s="1091"/>
      <c r="CQ109" s="1091"/>
      <c r="CR109" s="1091"/>
      <c r="CS109" s="1091"/>
      <c r="CT109" s="1091"/>
      <c r="CU109" s="1091"/>
      <c r="CV109" s="1091"/>
      <c r="CW109" s="1091"/>
      <c r="CX109" s="1091"/>
      <c r="CY109" s="1091"/>
      <c r="CZ109" s="1091"/>
      <c r="DA109" s="1091"/>
      <c r="DB109" s="1091"/>
      <c r="DC109" s="1091"/>
      <c r="DD109" s="1091"/>
      <c r="DE109" s="1091"/>
      <c r="DF109" s="1091"/>
      <c r="DG109" s="1091"/>
      <c r="DH109" s="1091"/>
      <c r="DI109" s="1091"/>
      <c r="DJ109" s="1091"/>
      <c r="DK109" s="1091"/>
      <c r="DL109" s="1091"/>
      <c r="DM109" s="1091"/>
      <c r="DN109" s="1091"/>
      <c r="DO109" s="1091"/>
      <c r="DP109" s="1091"/>
      <c r="DQ109" s="1091"/>
      <c r="DR109" s="1092"/>
      <c r="DS109" s="50"/>
      <c r="DT109" s="37"/>
      <c r="DU109" s="37"/>
      <c r="DV109" s="51"/>
      <c r="DW109" s="51"/>
      <c r="DX109" s="51"/>
      <c r="DY109" s="51"/>
      <c r="DZ109" s="51"/>
      <c r="EA109" s="51"/>
      <c r="EB109" s="51"/>
      <c r="EC109" s="51"/>
      <c r="ED109" s="51"/>
      <c r="EE109" s="51"/>
      <c r="EF109" s="51"/>
      <c r="EG109" s="51"/>
      <c r="EH109" s="59"/>
    </row>
    <row r="110" spans="1:138" s="82" customFormat="1" ht="5.25" customHeight="1">
      <c r="A110" s="83"/>
      <c r="B110" s="54"/>
      <c r="C110" s="83"/>
      <c r="D110" s="83"/>
      <c r="E110" s="83"/>
      <c r="F110" s="83"/>
      <c r="G110" s="83"/>
      <c r="H110" s="83"/>
      <c r="I110" s="83"/>
      <c r="J110" s="83"/>
      <c r="K110" s="83"/>
      <c r="L110" s="83"/>
      <c r="M110" s="83"/>
      <c r="N110" s="55"/>
      <c r="O110" s="55"/>
      <c r="P110" s="55"/>
      <c r="Q110" s="55"/>
      <c r="R110" s="55"/>
      <c r="S110" s="55"/>
      <c r="T110" s="83"/>
      <c r="U110" s="83"/>
      <c r="V110" s="83"/>
      <c r="W110" s="83"/>
      <c r="X110" s="83"/>
      <c r="Y110" s="55"/>
      <c r="Z110" s="55"/>
      <c r="AA110" s="55"/>
      <c r="AB110" s="55"/>
      <c r="AC110" s="55"/>
      <c r="AD110" s="55"/>
      <c r="AE110" s="55"/>
      <c r="AF110" s="55"/>
      <c r="AG110" s="55"/>
      <c r="AH110" s="57"/>
      <c r="AI110" s="57"/>
      <c r="AJ110" s="57"/>
      <c r="AK110" s="57"/>
      <c r="AL110" s="57"/>
      <c r="AM110" s="57"/>
      <c r="AN110" s="57"/>
      <c r="AO110" s="57"/>
      <c r="AP110" s="55"/>
      <c r="AQ110" s="78"/>
      <c r="AR110" s="78"/>
      <c r="AS110" s="78"/>
      <c r="AT110" s="26"/>
      <c r="AU110" s="55"/>
      <c r="AV110" s="55"/>
      <c r="AW110" s="55"/>
      <c r="AX110" s="55"/>
      <c r="AY110" s="57"/>
      <c r="AZ110" s="57"/>
      <c r="BA110" s="57"/>
      <c r="BB110" s="57"/>
      <c r="BC110" s="57"/>
      <c r="BD110" s="55"/>
      <c r="BE110" s="55"/>
      <c r="BF110" s="55"/>
      <c r="BG110" s="55"/>
      <c r="BH110" s="57"/>
      <c r="BI110" s="57"/>
      <c r="BJ110" s="57"/>
      <c r="BK110" s="57"/>
      <c r="BL110" s="57"/>
      <c r="BM110" s="55"/>
      <c r="BN110" s="55"/>
      <c r="BO110" s="55"/>
      <c r="BP110" s="55"/>
      <c r="BQ110" s="57"/>
      <c r="BR110" s="57"/>
      <c r="BS110" s="57"/>
      <c r="BT110" s="57"/>
      <c r="BU110" s="57"/>
      <c r="BV110" s="55"/>
      <c r="BW110" s="55"/>
      <c r="BX110" s="55"/>
      <c r="BY110" s="55"/>
      <c r="BZ110" s="57"/>
      <c r="CA110" s="57"/>
      <c r="CB110" s="57"/>
      <c r="CC110" s="65"/>
      <c r="CD110" s="65"/>
      <c r="CE110" s="65"/>
      <c r="CF110" s="83"/>
      <c r="CG110" s="26"/>
      <c r="CH110" s="37"/>
      <c r="CI110" s="37"/>
      <c r="CJ110" s="37"/>
      <c r="CK110" s="37"/>
      <c r="CL110" s="37"/>
      <c r="CM110" s="37"/>
      <c r="CN110" s="37"/>
      <c r="CO110" s="37"/>
      <c r="CP110" s="37"/>
      <c r="CQ110" s="37"/>
      <c r="CR110" s="37"/>
      <c r="CS110" s="37"/>
      <c r="CT110" s="37"/>
      <c r="CU110" s="37"/>
      <c r="CV110" s="37"/>
      <c r="CW110" s="37"/>
      <c r="CX110" s="37"/>
      <c r="CY110" s="58"/>
      <c r="CZ110" s="58"/>
      <c r="DA110" s="58"/>
      <c r="DB110" s="58"/>
      <c r="DC110" s="58"/>
      <c r="DD110" s="58"/>
      <c r="DE110" s="58"/>
      <c r="DF110" s="58"/>
      <c r="DG110" s="58"/>
      <c r="DH110" s="58"/>
      <c r="DI110" s="58"/>
      <c r="DJ110" s="58"/>
      <c r="DK110" s="58"/>
      <c r="DL110" s="58"/>
      <c r="DM110" s="58"/>
      <c r="DN110" s="58"/>
      <c r="DO110" s="58"/>
      <c r="DP110" s="58"/>
      <c r="DQ110" s="58"/>
      <c r="DR110" s="58"/>
      <c r="DS110" s="50"/>
      <c r="DV110" s="79"/>
      <c r="DW110" s="79"/>
      <c r="DX110" s="79"/>
      <c r="DY110" s="79"/>
      <c r="DZ110" s="79"/>
      <c r="EA110" s="79"/>
      <c r="EB110" s="79"/>
      <c r="EC110" s="79"/>
      <c r="ED110" s="79"/>
      <c r="EE110" s="79"/>
      <c r="EF110" s="79"/>
      <c r="EG110" s="79"/>
      <c r="EH110" s="79"/>
    </row>
    <row r="111" spans="1:138" s="82" customFormat="1" ht="5.25" customHeight="1" thickBot="1">
      <c r="A111" s="531"/>
      <c r="B111" s="60"/>
      <c r="C111" s="350"/>
      <c r="D111" s="350"/>
      <c r="E111" s="350"/>
      <c r="F111" s="350"/>
      <c r="G111" s="350"/>
      <c r="H111" s="350"/>
      <c r="I111" s="350"/>
      <c r="J111" s="350"/>
      <c r="K111" s="350"/>
      <c r="L111" s="350"/>
      <c r="M111" s="350"/>
      <c r="N111" s="61"/>
      <c r="O111" s="61"/>
      <c r="P111" s="61"/>
      <c r="Q111" s="61"/>
      <c r="R111" s="61"/>
      <c r="S111" s="61"/>
      <c r="T111" s="350"/>
      <c r="U111" s="350"/>
      <c r="V111" s="350"/>
      <c r="W111" s="350"/>
      <c r="X111" s="350"/>
      <c r="Y111" s="61"/>
      <c r="Z111" s="61"/>
      <c r="AA111" s="61"/>
      <c r="AB111" s="61"/>
      <c r="AC111" s="61"/>
      <c r="AD111" s="61"/>
      <c r="AE111" s="61"/>
      <c r="AF111" s="61"/>
      <c r="AG111" s="61"/>
      <c r="AH111" s="351"/>
      <c r="AI111" s="351"/>
      <c r="AJ111" s="351"/>
      <c r="AK111" s="351"/>
      <c r="AL111" s="351"/>
      <c r="AM111" s="351"/>
      <c r="AN111" s="351"/>
      <c r="AO111" s="351"/>
      <c r="AP111" s="61"/>
      <c r="AQ111" s="352"/>
      <c r="AR111" s="352"/>
      <c r="AS111" s="352"/>
      <c r="AT111" s="353"/>
      <c r="AU111" s="61"/>
      <c r="AV111" s="61"/>
      <c r="AW111" s="61"/>
      <c r="AX111" s="61"/>
      <c r="AY111" s="351"/>
      <c r="AZ111" s="351"/>
      <c r="BA111" s="351"/>
      <c r="BB111" s="351"/>
      <c r="BC111" s="351"/>
      <c r="BD111" s="61"/>
      <c r="BE111" s="61"/>
      <c r="BF111" s="61"/>
      <c r="BG111" s="61"/>
      <c r="BH111" s="351"/>
      <c r="BI111" s="351"/>
      <c r="BJ111" s="351"/>
      <c r="BK111" s="351"/>
      <c r="BL111" s="351"/>
      <c r="BM111" s="61"/>
      <c r="BN111" s="61"/>
      <c r="BO111" s="61"/>
      <c r="BP111" s="61"/>
      <c r="BQ111" s="351"/>
      <c r="BR111" s="351"/>
      <c r="BS111" s="351"/>
      <c r="BT111" s="351"/>
      <c r="BU111" s="351"/>
      <c r="BV111" s="61"/>
      <c r="BW111" s="61"/>
      <c r="BX111" s="61"/>
      <c r="BY111" s="61"/>
      <c r="BZ111" s="351"/>
      <c r="CA111" s="351"/>
      <c r="CB111" s="351"/>
      <c r="CC111" s="354"/>
      <c r="CD111" s="354"/>
      <c r="CE111" s="354"/>
      <c r="CF111" s="350"/>
      <c r="CG111" s="353"/>
      <c r="CH111" s="61"/>
      <c r="CI111" s="61"/>
      <c r="CJ111" s="61"/>
      <c r="CK111" s="61"/>
      <c r="CL111" s="61"/>
      <c r="CM111" s="61"/>
      <c r="CN111" s="61"/>
      <c r="CO111" s="61"/>
      <c r="CP111" s="61"/>
      <c r="CQ111" s="61"/>
      <c r="CR111" s="61"/>
      <c r="CS111" s="61"/>
      <c r="CT111" s="61"/>
      <c r="CU111" s="61"/>
      <c r="CV111" s="61"/>
      <c r="CW111" s="61"/>
      <c r="CX111" s="61"/>
      <c r="CY111" s="354"/>
      <c r="CZ111" s="354"/>
      <c r="DA111" s="354"/>
      <c r="DB111" s="354"/>
      <c r="DC111" s="354"/>
      <c r="DD111" s="354"/>
      <c r="DE111" s="354"/>
      <c r="DF111" s="354"/>
      <c r="DG111" s="354"/>
      <c r="DH111" s="354"/>
      <c r="DI111" s="354"/>
      <c r="DJ111" s="354"/>
      <c r="DK111" s="354"/>
      <c r="DL111" s="354"/>
      <c r="DM111" s="354"/>
      <c r="DN111" s="354"/>
      <c r="DO111" s="354"/>
      <c r="DP111" s="354"/>
      <c r="DQ111" s="354"/>
      <c r="DR111" s="354"/>
      <c r="DS111" s="62"/>
      <c r="DV111" s="79"/>
      <c r="DW111" s="79"/>
      <c r="DX111" s="79"/>
      <c r="DY111" s="79"/>
      <c r="DZ111" s="79"/>
      <c r="EA111" s="79"/>
      <c r="EB111" s="79"/>
      <c r="EC111" s="79"/>
      <c r="ED111" s="79"/>
      <c r="EE111" s="79"/>
      <c r="EF111" s="79"/>
      <c r="EG111" s="79"/>
      <c r="EH111" s="79"/>
    </row>
    <row r="112" spans="1:138" s="82" customFormat="1" ht="15" customHeight="1">
      <c r="A112" s="84"/>
      <c r="B112" s="83"/>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V112" s="79"/>
      <c r="DW112" s="79"/>
      <c r="DX112" s="79"/>
      <c r="DY112" s="79"/>
      <c r="DZ112" s="79"/>
      <c r="EA112" s="79"/>
      <c r="EB112" s="79"/>
      <c r="EC112" s="79"/>
      <c r="ED112" s="79"/>
      <c r="EE112" s="79"/>
      <c r="EF112" s="79"/>
      <c r="EG112" s="79"/>
      <c r="EH112" s="79"/>
    </row>
    <row r="113" spans="1:138" s="82" customFormat="1" ht="35.25" customHeight="1">
      <c r="A113" s="84"/>
      <c r="B113" s="89" t="str">
        <f ca="1">INDIRECT($J$4&amp;"!C104")</f>
        <v>Other information</v>
      </c>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V113" s="79"/>
      <c r="DW113" s="79"/>
      <c r="DX113" s="79"/>
      <c r="DY113" s="79"/>
      <c r="DZ113" s="79"/>
      <c r="EA113" s="79"/>
      <c r="EB113" s="79"/>
      <c r="EC113" s="79"/>
      <c r="ED113" s="79"/>
      <c r="EE113" s="79"/>
      <c r="EF113" s="79"/>
      <c r="EG113" s="79"/>
      <c r="EH113" s="79"/>
    </row>
    <row r="114" spans="1:138" ht="8.25" customHeight="1">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55"/>
      <c r="CF114" s="55"/>
      <c r="CG114" s="55"/>
      <c r="CH114" s="55"/>
      <c r="CI114" s="55"/>
      <c r="CJ114" s="55"/>
      <c r="CK114" s="55"/>
      <c r="CL114" s="55"/>
      <c r="CM114" s="55"/>
      <c r="CN114" s="55"/>
      <c r="CO114" s="55"/>
      <c r="CP114" s="55"/>
      <c r="CQ114" s="55"/>
      <c r="CR114" s="55"/>
      <c r="CS114" s="55"/>
      <c r="CT114" s="55"/>
      <c r="CU114" s="55"/>
      <c r="CV114" s="55"/>
      <c r="CW114" s="55"/>
      <c r="CX114" s="55"/>
      <c r="CY114" s="55"/>
      <c r="CZ114" s="55"/>
      <c r="DA114" s="55"/>
      <c r="DB114" s="55"/>
      <c r="DC114" s="55"/>
      <c r="DD114" s="55"/>
      <c r="DE114" s="55"/>
      <c r="DF114" s="55"/>
      <c r="DG114" s="55"/>
      <c r="DH114" s="55"/>
      <c r="DI114" s="55"/>
      <c r="DJ114" s="55"/>
      <c r="DK114" s="55"/>
      <c r="DL114" s="55"/>
      <c r="DM114" s="55"/>
      <c r="DN114" s="55"/>
      <c r="DO114" s="55"/>
      <c r="DP114" s="55"/>
      <c r="DQ114" s="55"/>
      <c r="DR114" s="55"/>
      <c r="DS114" s="55"/>
      <c r="DT114" s="37"/>
      <c r="DU114" s="37"/>
      <c r="DV114" s="51"/>
      <c r="DW114" s="51"/>
      <c r="DX114" s="51"/>
      <c r="DY114" s="51"/>
      <c r="DZ114" s="51"/>
      <c r="EA114" s="51"/>
      <c r="EB114" s="51"/>
      <c r="EC114" s="51"/>
      <c r="ED114" s="51"/>
      <c r="EE114" s="51"/>
      <c r="EF114" s="51"/>
      <c r="EG114" s="51"/>
      <c r="EH114" s="53"/>
    </row>
    <row r="115" spans="1:138" ht="105.75" customHeight="1">
      <c r="B115" s="1070"/>
      <c r="C115" s="1071"/>
      <c r="D115" s="1071"/>
      <c r="E115" s="1071"/>
      <c r="F115" s="1071"/>
      <c r="G115" s="1071"/>
      <c r="H115" s="1071"/>
      <c r="I115" s="1071"/>
      <c r="J115" s="1071"/>
      <c r="K115" s="1071"/>
      <c r="L115" s="1071"/>
      <c r="M115" s="1071"/>
      <c r="N115" s="1071"/>
      <c r="O115" s="1071"/>
      <c r="P115" s="1071"/>
      <c r="Q115" s="1071"/>
      <c r="R115" s="1071"/>
      <c r="S115" s="1071"/>
      <c r="T115" s="1071"/>
      <c r="U115" s="1071"/>
      <c r="V115" s="1071"/>
      <c r="W115" s="1071"/>
      <c r="X115" s="1071"/>
      <c r="Y115" s="1071"/>
      <c r="Z115" s="1071"/>
      <c r="AA115" s="1071"/>
      <c r="AB115" s="1071"/>
      <c r="AC115" s="1071"/>
      <c r="AD115" s="1071"/>
      <c r="AE115" s="1071"/>
      <c r="AF115" s="1071"/>
      <c r="AG115" s="1071"/>
      <c r="AH115" s="1071"/>
      <c r="AI115" s="1071"/>
      <c r="AJ115" s="1071"/>
      <c r="AK115" s="1071"/>
      <c r="AL115" s="1071"/>
      <c r="AM115" s="1071"/>
      <c r="AN115" s="1071"/>
      <c r="AO115" s="1071"/>
      <c r="AP115" s="1071"/>
      <c r="AQ115" s="1071"/>
      <c r="AR115" s="1071"/>
      <c r="AS115" s="1071"/>
      <c r="AT115" s="1071"/>
      <c r="AU115" s="1071"/>
      <c r="AV115" s="1071"/>
      <c r="AW115" s="1071"/>
      <c r="AX115" s="1071"/>
      <c r="AY115" s="1071"/>
      <c r="AZ115" s="1071"/>
      <c r="BA115" s="1071"/>
      <c r="BB115" s="1071"/>
      <c r="BC115" s="1071"/>
      <c r="BD115" s="1071"/>
      <c r="BE115" s="1071"/>
      <c r="BF115" s="1071"/>
      <c r="BG115" s="1071"/>
      <c r="BH115" s="1071"/>
      <c r="BI115" s="1071"/>
      <c r="BJ115" s="1071"/>
      <c r="BK115" s="1071"/>
      <c r="BL115" s="1071"/>
      <c r="BM115" s="1071"/>
      <c r="BN115" s="1071"/>
      <c r="BO115" s="1071"/>
      <c r="BP115" s="1071"/>
      <c r="BQ115" s="1071"/>
      <c r="BR115" s="1071"/>
      <c r="BS115" s="1071"/>
      <c r="BT115" s="1071"/>
      <c r="BU115" s="1071"/>
      <c r="BV115" s="1071"/>
      <c r="BW115" s="1071"/>
      <c r="BX115" s="1071"/>
      <c r="BY115" s="1071"/>
      <c r="BZ115" s="1071"/>
      <c r="CA115" s="1071"/>
      <c r="CB115" s="1071"/>
      <c r="CC115" s="1071"/>
      <c r="CD115" s="1071"/>
      <c r="CE115" s="1071"/>
      <c r="CF115" s="1071"/>
      <c r="CG115" s="1071"/>
      <c r="CH115" s="1071"/>
      <c r="CI115" s="1071"/>
      <c r="CJ115" s="1071"/>
      <c r="CK115" s="1071"/>
      <c r="CL115" s="1071"/>
      <c r="CM115" s="1071"/>
      <c r="CN115" s="1071"/>
      <c r="CO115" s="1071"/>
      <c r="CP115" s="1071"/>
      <c r="CQ115" s="1071"/>
      <c r="CR115" s="1071"/>
      <c r="CS115" s="1071"/>
      <c r="CT115" s="1071"/>
      <c r="CU115" s="1071"/>
      <c r="CV115" s="1071"/>
      <c r="CW115" s="1071"/>
      <c r="CX115" s="1071"/>
      <c r="CY115" s="1071"/>
      <c r="CZ115" s="1071"/>
      <c r="DA115" s="1071"/>
      <c r="DB115" s="1071"/>
      <c r="DC115" s="1071"/>
      <c r="DD115" s="1071"/>
      <c r="DE115" s="1071"/>
      <c r="DF115" s="1071"/>
      <c r="DG115" s="1071"/>
      <c r="DH115" s="1071"/>
      <c r="DI115" s="1071"/>
      <c r="DJ115" s="1071"/>
      <c r="DK115" s="1071"/>
      <c r="DL115" s="1071"/>
      <c r="DM115" s="1071"/>
      <c r="DN115" s="1071"/>
      <c r="DO115" s="1071"/>
      <c r="DP115" s="1071"/>
      <c r="DQ115" s="1071"/>
      <c r="DR115" s="1072"/>
      <c r="DS115" s="55"/>
      <c r="DT115" s="37"/>
      <c r="DU115" s="37"/>
      <c r="DV115" s="51"/>
      <c r="DW115" s="51"/>
      <c r="DX115" s="51"/>
      <c r="DY115" s="51"/>
      <c r="DZ115" s="51"/>
      <c r="EA115" s="51"/>
      <c r="EB115" s="51"/>
      <c r="EC115" s="51"/>
      <c r="ED115" s="51"/>
      <c r="EE115" s="51"/>
      <c r="EF115" s="51"/>
      <c r="EG115" s="51"/>
      <c r="EH115" s="53"/>
    </row>
    <row r="116" spans="1:138" ht="75.75" customHeight="1">
      <c r="B116" s="1073"/>
      <c r="C116" s="1074"/>
      <c r="D116" s="1074"/>
      <c r="E116" s="1074"/>
      <c r="F116" s="1074"/>
      <c r="G116" s="1074"/>
      <c r="H116" s="1074"/>
      <c r="I116" s="1074"/>
      <c r="J116" s="1074"/>
      <c r="K116" s="1074"/>
      <c r="L116" s="1074"/>
      <c r="M116" s="1074"/>
      <c r="N116" s="1074"/>
      <c r="O116" s="1074"/>
      <c r="P116" s="1074"/>
      <c r="Q116" s="1074"/>
      <c r="R116" s="1074"/>
      <c r="S116" s="1074"/>
      <c r="T116" s="1074"/>
      <c r="U116" s="1074"/>
      <c r="V116" s="1074"/>
      <c r="W116" s="1074"/>
      <c r="X116" s="1074"/>
      <c r="Y116" s="1074"/>
      <c r="Z116" s="1074"/>
      <c r="AA116" s="1074"/>
      <c r="AB116" s="1074"/>
      <c r="AC116" s="1074"/>
      <c r="AD116" s="1074"/>
      <c r="AE116" s="1074"/>
      <c r="AF116" s="1074"/>
      <c r="AG116" s="1074"/>
      <c r="AH116" s="1074"/>
      <c r="AI116" s="1074"/>
      <c r="AJ116" s="1074"/>
      <c r="AK116" s="1074"/>
      <c r="AL116" s="1074"/>
      <c r="AM116" s="1074"/>
      <c r="AN116" s="1074"/>
      <c r="AO116" s="1074"/>
      <c r="AP116" s="1074"/>
      <c r="AQ116" s="1074"/>
      <c r="AR116" s="1074"/>
      <c r="AS116" s="1074"/>
      <c r="AT116" s="1074"/>
      <c r="AU116" s="1074"/>
      <c r="AV116" s="1074"/>
      <c r="AW116" s="1074"/>
      <c r="AX116" s="1074"/>
      <c r="AY116" s="1074"/>
      <c r="AZ116" s="1074"/>
      <c r="BA116" s="1074"/>
      <c r="BB116" s="1074"/>
      <c r="BC116" s="1074"/>
      <c r="BD116" s="1074"/>
      <c r="BE116" s="1074"/>
      <c r="BF116" s="1074"/>
      <c r="BG116" s="1074"/>
      <c r="BH116" s="1074"/>
      <c r="BI116" s="1074"/>
      <c r="BJ116" s="1074"/>
      <c r="BK116" s="1074"/>
      <c r="BL116" s="1074"/>
      <c r="BM116" s="1074"/>
      <c r="BN116" s="1074"/>
      <c r="BO116" s="1074"/>
      <c r="BP116" s="1074"/>
      <c r="BQ116" s="1074"/>
      <c r="BR116" s="1074"/>
      <c r="BS116" s="1074"/>
      <c r="BT116" s="1074"/>
      <c r="BU116" s="1074"/>
      <c r="BV116" s="1074"/>
      <c r="BW116" s="1074"/>
      <c r="BX116" s="1074"/>
      <c r="BY116" s="1074"/>
      <c r="BZ116" s="1074"/>
      <c r="CA116" s="1074"/>
      <c r="CB116" s="1074"/>
      <c r="CC116" s="1074"/>
      <c r="CD116" s="1074"/>
      <c r="CE116" s="1074"/>
      <c r="CF116" s="1074"/>
      <c r="CG116" s="1074"/>
      <c r="CH116" s="1074"/>
      <c r="CI116" s="1074"/>
      <c r="CJ116" s="1074"/>
      <c r="CK116" s="1074"/>
      <c r="CL116" s="1074"/>
      <c r="CM116" s="1074"/>
      <c r="CN116" s="1074"/>
      <c r="CO116" s="1074"/>
      <c r="CP116" s="1074"/>
      <c r="CQ116" s="1074"/>
      <c r="CR116" s="1074"/>
      <c r="CS116" s="1074"/>
      <c r="CT116" s="1074"/>
      <c r="CU116" s="1074"/>
      <c r="CV116" s="1074"/>
      <c r="CW116" s="1074"/>
      <c r="CX116" s="1074"/>
      <c r="CY116" s="1074"/>
      <c r="CZ116" s="1074"/>
      <c r="DA116" s="1074"/>
      <c r="DB116" s="1074"/>
      <c r="DC116" s="1074"/>
      <c r="DD116" s="1074"/>
      <c r="DE116" s="1074"/>
      <c r="DF116" s="1074"/>
      <c r="DG116" s="1074"/>
      <c r="DH116" s="1074"/>
      <c r="DI116" s="1074"/>
      <c r="DJ116" s="1074"/>
      <c r="DK116" s="1074"/>
      <c r="DL116" s="1074"/>
      <c r="DM116" s="1074"/>
      <c r="DN116" s="1074"/>
      <c r="DO116" s="1074"/>
      <c r="DP116" s="1074"/>
      <c r="DQ116" s="1074"/>
      <c r="DR116" s="1075"/>
      <c r="DS116" s="55"/>
      <c r="DT116" s="37"/>
      <c r="DU116" s="37"/>
      <c r="DV116" s="51"/>
      <c r="DW116" s="51"/>
      <c r="DX116" s="51"/>
      <c r="DY116" s="51"/>
      <c r="DZ116" s="51"/>
      <c r="EA116" s="51"/>
      <c r="EB116" s="51"/>
      <c r="EC116" s="51"/>
      <c r="ED116" s="51"/>
      <c r="EE116" s="51"/>
      <c r="EF116" s="51"/>
      <c r="EG116" s="51"/>
      <c r="EH116" s="53"/>
    </row>
    <row r="117" spans="1:138" ht="114" customHeight="1">
      <c r="B117" s="1073"/>
      <c r="C117" s="1074"/>
      <c r="D117" s="1074"/>
      <c r="E117" s="1074"/>
      <c r="F117" s="1074"/>
      <c r="G117" s="1074"/>
      <c r="H117" s="1074"/>
      <c r="I117" s="1074"/>
      <c r="J117" s="1074"/>
      <c r="K117" s="1074"/>
      <c r="L117" s="1074"/>
      <c r="M117" s="1074"/>
      <c r="N117" s="1074"/>
      <c r="O117" s="1074"/>
      <c r="P117" s="1074"/>
      <c r="Q117" s="1074"/>
      <c r="R117" s="1074"/>
      <c r="S117" s="1074"/>
      <c r="T117" s="1074"/>
      <c r="U117" s="1074"/>
      <c r="V117" s="1074"/>
      <c r="W117" s="1074"/>
      <c r="X117" s="1074"/>
      <c r="Y117" s="1074"/>
      <c r="Z117" s="1074"/>
      <c r="AA117" s="1074"/>
      <c r="AB117" s="1074"/>
      <c r="AC117" s="1074"/>
      <c r="AD117" s="1074"/>
      <c r="AE117" s="1074"/>
      <c r="AF117" s="1074"/>
      <c r="AG117" s="1074"/>
      <c r="AH117" s="1074"/>
      <c r="AI117" s="1074"/>
      <c r="AJ117" s="1074"/>
      <c r="AK117" s="1074"/>
      <c r="AL117" s="1074"/>
      <c r="AM117" s="1074"/>
      <c r="AN117" s="1074"/>
      <c r="AO117" s="1074"/>
      <c r="AP117" s="1074"/>
      <c r="AQ117" s="1074"/>
      <c r="AR117" s="1074"/>
      <c r="AS117" s="1074"/>
      <c r="AT117" s="1074"/>
      <c r="AU117" s="1074"/>
      <c r="AV117" s="1074"/>
      <c r="AW117" s="1074"/>
      <c r="AX117" s="1074"/>
      <c r="AY117" s="1074"/>
      <c r="AZ117" s="1074"/>
      <c r="BA117" s="1074"/>
      <c r="BB117" s="1074"/>
      <c r="BC117" s="1074"/>
      <c r="BD117" s="1074"/>
      <c r="BE117" s="1074"/>
      <c r="BF117" s="1074"/>
      <c r="BG117" s="1074"/>
      <c r="BH117" s="1074"/>
      <c r="BI117" s="1074"/>
      <c r="BJ117" s="1074"/>
      <c r="BK117" s="1074"/>
      <c r="BL117" s="1074"/>
      <c r="BM117" s="1074"/>
      <c r="BN117" s="1074"/>
      <c r="BO117" s="1074"/>
      <c r="BP117" s="1074"/>
      <c r="BQ117" s="1074"/>
      <c r="BR117" s="1074"/>
      <c r="BS117" s="1074"/>
      <c r="BT117" s="1074"/>
      <c r="BU117" s="1074"/>
      <c r="BV117" s="1074"/>
      <c r="BW117" s="1074"/>
      <c r="BX117" s="1074"/>
      <c r="BY117" s="1074"/>
      <c r="BZ117" s="1074"/>
      <c r="CA117" s="1074"/>
      <c r="CB117" s="1074"/>
      <c r="CC117" s="1074"/>
      <c r="CD117" s="1074"/>
      <c r="CE117" s="1074"/>
      <c r="CF117" s="1074"/>
      <c r="CG117" s="1074"/>
      <c r="CH117" s="1074"/>
      <c r="CI117" s="1074"/>
      <c r="CJ117" s="1074"/>
      <c r="CK117" s="1074"/>
      <c r="CL117" s="1074"/>
      <c r="CM117" s="1074"/>
      <c r="CN117" s="1074"/>
      <c r="CO117" s="1074"/>
      <c r="CP117" s="1074"/>
      <c r="CQ117" s="1074"/>
      <c r="CR117" s="1074"/>
      <c r="CS117" s="1074"/>
      <c r="CT117" s="1074"/>
      <c r="CU117" s="1074"/>
      <c r="CV117" s="1074"/>
      <c r="CW117" s="1074"/>
      <c r="CX117" s="1074"/>
      <c r="CY117" s="1074"/>
      <c r="CZ117" s="1074"/>
      <c r="DA117" s="1074"/>
      <c r="DB117" s="1074"/>
      <c r="DC117" s="1074"/>
      <c r="DD117" s="1074"/>
      <c r="DE117" s="1074"/>
      <c r="DF117" s="1074"/>
      <c r="DG117" s="1074"/>
      <c r="DH117" s="1074"/>
      <c r="DI117" s="1074"/>
      <c r="DJ117" s="1074"/>
      <c r="DK117" s="1074"/>
      <c r="DL117" s="1074"/>
      <c r="DM117" s="1074"/>
      <c r="DN117" s="1074"/>
      <c r="DO117" s="1074"/>
      <c r="DP117" s="1074"/>
      <c r="DQ117" s="1074"/>
      <c r="DR117" s="1075"/>
      <c r="DS117" s="55"/>
      <c r="DT117" s="37"/>
      <c r="DU117" s="37"/>
      <c r="DV117" s="51"/>
      <c r="DW117" s="51"/>
      <c r="DX117" s="51"/>
      <c r="DY117" s="51"/>
      <c r="DZ117" s="51"/>
      <c r="EA117" s="51"/>
      <c r="EB117" s="51"/>
      <c r="EC117" s="51"/>
      <c r="ED117" s="51"/>
      <c r="EE117" s="51"/>
      <c r="EF117" s="51"/>
      <c r="EG117" s="51"/>
      <c r="EH117" s="53"/>
    </row>
    <row r="118" spans="1:138" ht="30.75" customHeight="1">
      <c r="B118" s="1073"/>
      <c r="C118" s="1074"/>
      <c r="D118" s="1074"/>
      <c r="E118" s="1074"/>
      <c r="F118" s="1074"/>
      <c r="G118" s="1074"/>
      <c r="H118" s="1074"/>
      <c r="I118" s="1074"/>
      <c r="J118" s="1074"/>
      <c r="K118" s="1074"/>
      <c r="L118" s="1074"/>
      <c r="M118" s="1074"/>
      <c r="N118" s="1074"/>
      <c r="O118" s="1074"/>
      <c r="P118" s="1074"/>
      <c r="Q118" s="1074"/>
      <c r="R118" s="1074"/>
      <c r="S118" s="1074"/>
      <c r="T118" s="1074"/>
      <c r="U118" s="1074"/>
      <c r="V118" s="1074"/>
      <c r="W118" s="1074"/>
      <c r="X118" s="1074"/>
      <c r="Y118" s="1074"/>
      <c r="Z118" s="1074"/>
      <c r="AA118" s="1074"/>
      <c r="AB118" s="1074"/>
      <c r="AC118" s="1074"/>
      <c r="AD118" s="1074"/>
      <c r="AE118" s="1074"/>
      <c r="AF118" s="1074"/>
      <c r="AG118" s="1074"/>
      <c r="AH118" s="1074"/>
      <c r="AI118" s="1074"/>
      <c r="AJ118" s="1074"/>
      <c r="AK118" s="1074"/>
      <c r="AL118" s="1074"/>
      <c r="AM118" s="1074"/>
      <c r="AN118" s="1074"/>
      <c r="AO118" s="1074"/>
      <c r="AP118" s="1074"/>
      <c r="AQ118" s="1074"/>
      <c r="AR118" s="1074"/>
      <c r="AS118" s="1074"/>
      <c r="AT118" s="1074"/>
      <c r="AU118" s="1074"/>
      <c r="AV118" s="1074"/>
      <c r="AW118" s="1074"/>
      <c r="AX118" s="1074"/>
      <c r="AY118" s="1074"/>
      <c r="AZ118" s="1074"/>
      <c r="BA118" s="1074"/>
      <c r="BB118" s="1074"/>
      <c r="BC118" s="1074"/>
      <c r="BD118" s="1074"/>
      <c r="BE118" s="1074"/>
      <c r="BF118" s="1074"/>
      <c r="BG118" s="1074"/>
      <c r="BH118" s="1074"/>
      <c r="BI118" s="1074"/>
      <c r="BJ118" s="1074"/>
      <c r="BK118" s="1074"/>
      <c r="BL118" s="1074"/>
      <c r="BM118" s="1074"/>
      <c r="BN118" s="1074"/>
      <c r="BO118" s="1074"/>
      <c r="BP118" s="1074"/>
      <c r="BQ118" s="1074"/>
      <c r="BR118" s="1074"/>
      <c r="BS118" s="1074"/>
      <c r="BT118" s="1074"/>
      <c r="BU118" s="1074"/>
      <c r="BV118" s="1074"/>
      <c r="BW118" s="1074"/>
      <c r="BX118" s="1074"/>
      <c r="BY118" s="1074"/>
      <c r="BZ118" s="1074"/>
      <c r="CA118" s="1074"/>
      <c r="CB118" s="1074"/>
      <c r="CC118" s="1074"/>
      <c r="CD118" s="1074"/>
      <c r="CE118" s="1074"/>
      <c r="CF118" s="1074"/>
      <c r="CG118" s="1074"/>
      <c r="CH118" s="1074"/>
      <c r="CI118" s="1074"/>
      <c r="CJ118" s="1074"/>
      <c r="CK118" s="1074"/>
      <c r="CL118" s="1074"/>
      <c r="CM118" s="1074"/>
      <c r="CN118" s="1074"/>
      <c r="CO118" s="1074"/>
      <c r="CP118" s="1074"/>
      <c r="CQ118" s="1074"/>
      <c r="CR118" s="1074"/>
      <c r="CS118" s="1074"/>
      <c r="CT118" s="1074"/>
      <c r="CU118" s="1074"/>
      <c r="CV118" s="1074"/>
      <c r="CW118" s="1074"/>
      <c r="CX118" s="1074"/>
      <c r="CY118" s="1074"/>
      <c r="CZ118" s="1074"/>
      <c r="DA118" s="1074"/>
      <c r="DB118" s="1074"/>
      <c r="DC118" s="1074"/>
      <c r="DD118" s="1074"/>
      <c r="DE118" s="1074"/>
      <c r="DF118" s="1074"/>
      <c r="DG118" s="1074"/>
      <c r="DH118" s="1074"/>
      <c r="DI118" s="1074"/>
      <c r="DJ118" s="1074"/>
      <c r="DK118" s="1074"/>
      <c r="DL118" s="1074"/>
      <c r="DM118" s="1074"/>
      <c r="DN118" s="1074"/>
      <c r="DO118" s="1074"/>
      <c r="DP118" s="1074"/>
      <c r="DQ118" s="1074"/>
      <c r="DR118" s="1075"/>
      <c r="DS118" s="55"/>
      <c r="DT118" s="37"/>
      <c r="DU118" s="37"/>
      <c r="DV118" s="51"/>
      <c r="DW118" s="51"/>
      <c r="DX118" s="51"/>
      <c r="DY118" s="51"/>
      <c r="DZ118" s="51"/>
      <c r="EA118" s="51"/>
      <c r="EB118" s="51"/>
      <c r="EC118" s="51"/>
      <c r="ED118" s="51"/>
      <c r="EE118" s="51"/>
      <c r="EF118" s="51"/>
      <c r="EG118" s="51"/>
      <c r="EH118" s="53"/>
    </row>
    <row r="119" spans="1:138" ht="96.75" customHeight="1">
      <c r="B119" s="1073"/>
      <c r="C119" s="1074"/>
      <c r="D119" s="1074"/>
      <c r="E119" s="1074"/>
      <c r="F119" s="1074"/>
      <c r="G119" s="1074"/>
      <c r="H119" s="1074"/>
      <c r="I119" s="1074"/>
      <c r="J119" s="1074"/>
      <c r="K119" s="1074"/>
      <c r="L119" s="1074"/>
      <c r="M119" s="1074"/>
      <c r="N119" s="1074"/>
      <c r="O119" s="1074"/>
      <c r="P119" s="1074"/>
      <c r="Q119" s="1074"/>
      <c r="R119" s="1074"/>
      <c r="S119" s="1074"/>
      <c r="T119" s="1074"/>
      <c r="U119" s="1074"/>
      <c r="V119" s="1074"/>
      <c r="W119" s="1074"/>
      <c r="X119" s="1074"/>
      <c r="Y119" s="1074"/>
      <c r="Z119" s="1074"/>
      <c r="AA119" s="1074"/>
      <c r="AB119" s="1074"/>
      <c r="AC119" s="1074"/>
      <c r="AD119" s="1074"/>
      <c r="AE119" s="1074"/>
      <c r="AF119" s="1074"/>
      <c r="AG119" s="1074"/>
      <c r="AH119" s="1074"/>
      <c r="AI119" s="1074"/>
      <c r="AJ119" s="1074"/>
      <c r="AK119" s="1074"/>
      <c r="AL119" s="1074"/>
      <c r="AM119" s="1074"/>
      <c r="AN119" s="1074"/>
      <c r="AO119" s="1074"/>
      <c r="AP119" s="1074"/>
      <c r="AQ119" s="1074"/>
      <c r="AR119" s="1074"/>
      <c r="AS119" s="1074"/>
      <c r="AT119" s="1074"/>
      <c r="AU119" s="1074"/>
      <c r="AV119" s="1074"/>
      <c r="AW119" s="1074"/>
      <c r="AX119" s="1074"/>
      <c r="AY119" s="1074"/>
      <c r="AZ119" s="1074"/>
      <c r="BA119" s="1074"/>
      <c r="BB119" s="1074"/>
      <c r="BC119" s="1074"/>
      <c r="BD119" s="1074"/>
      <c r="BE119" s="1074"/>
      <c r="BF119" s="1074"/>
      <c r="BG119" s="1074"/>
      <c r="BH119" s="1074"/>
      <c r="BI119" s="1074"/>
      <c r="BJ119" s="1074"/>
      <c r="BK119" s="1074"/>
      <c r="BL119" s="1074"/>
      <c r="BM119" s="1074"/>
      <c r="BN119" s="1074"/>
      <c r="BO119" s="1074"/>
      <c r="BP119" s="1074"/>
      <c r="BQ119" s="1074"/>
      <c r="BR119" s="1074"/>
      <c r="BS119" s="1074"/>
      <c r="BT119" s="1074"/>
      <c r="BU119" s="1074"/>
      <c r="BV119" s="1074"/>
      <c r="BW119" s="1074"/>
      <c r="BX119" s="1074"/>
      <c r="BY119" s="1074"/>
      <c r="BZ119" s="1074"/>
      <c r="CA119" s="1074"/>
      <c r="CB119" s="1074"/>
      <c r="CC119" s="1074"/>
      <c r="CD119" s="1074"/>
      <c r="CE119" s="1074"/>
      <c r="CF119" s="1074"/>
      <c r="CG119" s="1074"/>
      <c r="CH119" s="1074"/>
      <c r="CI119" s="1074"/>
      <c r="CJ119" s="1074"/>
      <c r="CK119" s="1074"/>
      <c r="CL119" s="1074"/>
      <c r="CM119" s="1074"/>
      <c r="CN119" s="1074"/>
      <c r="CO119" s="1074"/>
      <c r="CP119" s="1074"/>
      <c r="CQ119" s="1074"/>
      <c r="CR119" s="1074"/>
      <c r="CS119" s="1074"/>
      <c r="CT119" s="1074"/>
      <c r="CU119" s="1074"/>
      <c r="CV119" s="1074"/>
      <c r="CW119" s="1074"/>
      <c r="CX119" s="1074"/>
      <c r="CY119" s="1074"/>
      <c r="CZ119" s="1074"/>
      <c r="DA119" s="1074"/>
      <c r="DB119" s="1074"/>
      <c r="DC119" s="1074"/>
      <c r="DD119" s="1074"/>
      <c r="DE119" s="1074"/>
      <c r="DF119" s="1074"/>
      <c r="DG119" s="1074"/>
      <c r="DH119" s="1074"/>
      <c r="DI119" s="1074"/>
      <c r="DJ119" s="1074"/>
      <c r="DK119" s="1074"/>
      <c r="DL119" s="1074"/>
      <c r="DM119" s="1074"/>
      <c r="DN119" s="1074"/>
      <c r="DO119" s="1074"/>
      <c r="DP119" s="1074"/>
      <c r="DQ119" s="1074"/>
      <c r="DR119" s="1075"/>
      <c r="DS119" s="55"/>
      <c r="DT119" s="37"/>
      <c r="DU119" s="37"/>
      <c r="DV119" s="51"/>
      <c r="DW119" s="51"/>
      <c r="DX119" s="51"/>
      <c r="DY119" s="51"/>
      <c r="DZ119" s="51"/>
      <c r="EA119" s="51"/>
      <c r="EB119" s="51"/>
      <c r="EC119" s="51"/>
      <c r="ED119" s="51"/>
      <c r="EE119" s="51"/>
      <c r="EF119" s="51"/>
      <c r="EG119" s="51"/>
      <c r="EH119" s="53"/>
    </row>
    <row r="120" spans="1:138" ht="8.25" customHeight="1">
      <c r="B120" s="1073"/>
      <c r="C120" s="1074"/>
      <c r="D120" s="1074"/>
      <c r="E120" s="1074"/>
      <c r="F120" s="1074"/>
      <c r="G120" s="1074"/>
      <c r="H120" s="1074"/>
      <c r="I120" s="1074"/>
      <c r="J120" s="1074"/>
      <c r="K120" s="1074"/>
      <c r="L120" s="1074"/>
      <c r="M120" s="1074"/>
      <c r="N120" s="1074"/>
      <c r="O120" s="1074"/>
      <c r="P120" s="1074"/>
      <c r="Q120" s="1074"/>
      <c r="R120" s="1074"/>
      <c r="S120" s="1074"/>
      <c r="T120" s="1074"/>
      <c r="U120" s="1074"/>
      <c r="V120" s="1074"/>
      <c r="W120" s="1074"/>
      <c r="X120" s="1074"/>
      <c r="Y120" s="1074"/>
      <c r="Z120" s="1074"/>
      <c r="AA120" s="1074"/>
      <c r="AB120" s="1074"/>
      <c r="AC120" s="1074"/>
      <c r="AD120" s="1074"/>
      <c r="AE120" s="1074"/>
      <c r="AF120" s="1074"/>
      <c r="AG120" s="1074"/>
      <c r="AH120" s="1074"/>
      <c r="AI120" s="1074"/>
      <c r="AJ120" s="1074"/>
      <c r="AK120" s="1074"/>
      <c r="AL120" s="1074"/>
      <c r="AM120" s="1074"/>
      <c r="AN120" s="1074"/>
      <c r="AO120" s="1074"/>
      <c r="AP120" s="1074"/>
      <c r="AQ120" s="1074"/>
      <c r="AR120" s="1074"/>
      <c r="AS120" s="1074"/>
      <c r="AT120" s="1074"/>
      <c r="AU120" s="1074"/>
      <c r="AV120" s="1074"/>
      <c r="AW120" s="1074"/>
      <c r="AX120" s="1074"/>
      <c r="AY120" s="1074"/>
      <c r="AZ120" s="1074"/>
      <c r="BA120" s="1074"/>
      <c r="BB120" s="1074"/>
      <c r="BC120" s="1074"/>
      <c r="BD120" s="1074"/>
      <c r="BE120" s="1074"/>
      <c r="BF120" s="1074"/>
      <c r="BG120" s="1074"/>
      <c r="BH120" s="1074"/>
      <c r="BI120" s="1074"/>
      <c r="BJ120" s="1074"/>
      <c r="BK120" s="1074"/>
      <c r="BL120" s="1074"/>
      <c r="BM120" s="1074"/>
      <c r="BN120" s="1074"/>
      <c r="BO120" s="1074"/>
      <c r="BP120" s="1074"/>
      <c r="BQ120" s="1074"/>
      <c r="BR120" s="1074"/>
      <c r="BS120" s="1074"/>
      <c r="BT120" s="1074"/>
      <c r="BU120" s="1074"/>
      <c r="BV120" s="1074"/>
      <c r="BW120" s="1074"/>
      <c r="BX120" s="1074"/>
      <c r="BY120" s="1074"/>
      <c r="BZ120" s="1074"/>
      <c r="CA120" s="1074"/>
      <c r="CB120" s="1074"/>
      <c r="CC120" s="1074"/>
      <c r="CD120" s="1074"/>
      <c r="CE120" s="1074"/>
      <c r="CF120" s="1074"/>
      <c r="CG120" s="1074"/>
      <c r="CH120" s="1074"/>
      <c r="CI120" s="1074"/>
      <c r="CJ120" s="1074"/>
      <c r="CK120" s="1074"/>
      <c r="CL120" s="1074"/>
      <c r="CM120" s="1074"/>
      <c r="CN120" s="1074"/>
      <c r="CO120" s="1074"/>
      <c r="CP120" s="1074"/>
      <c r="CQ120" s="1074"/>
      <c r="CR120" s="1074"/>
      <c r="CS120" s="1074"/>
      <c r="CT120" s="1074"/>
      <c r="CU120" s="1074"/>
      <c r="CV120" s="1074"/>
      <c r="CW120" s="1074"/>
      <c r="CX120" s="1074"/>
      <c r="CY120" s="1074"/>
      <c r="CZ120" s="1074"/>
      <c r="DA120" s="1074"/>
      <c r="DB120" s="1074"/>
      <c r="DC120" s="1074"/>
      <c r="DD120" s="1074"/>
      <c r="DE120" s="1074"/>
      <c r="DF120" s="1074"/>
      <c r="DG120" s="1074"/>
      <c r="DH120" s="1074"/>
      <c r="DI120" s="1074"/>
      <c r="DJ120" s="1074"/>
      <c r="DK120" s="1074"/>
      <c r="DL120" s="1074"/>
      <c r="DM120" s="1074"/>
      <c r="DN120" s="1074"/>
      <c r="DO120" s="1074"/>
      <c r="DP120" s="1074"/>
      <c r="DQ120" s="1074"/>
      <c r="DR120" s="1075"/>
      <c r="DS120" s="55"/>
      <c r="DT120" s="37"/>
      <c r="DU120" s="37"/>
      <c r="DV120" s="51"/>
      <c r="DW120" s="51"/>
      <c r="DX120" s="51"/>
      <c r="DY120" s="51"/>
      <c r="DZ120" s="51"/>
      <c r="EA120" s="51"/>
      <c r="EB120" s="51"/>
      <c r="EC120" s="51"/>
      <c r="ED120" s="51"/>
      <c r="EE120" s="51"/>
      <c r="EF120" s="51"/>
      <c r="EG120" s="51"/>
      <c r="EH120" s="53"/>
    </row>
    <row r="121" spans="1:138" ht="8.25" customHeight="1">
      <c r="B121" s="1073"/>
      <c r="C121" s="1074"/>
      <c r="D121" s="1074"/>
      <c r="E121" s="1074"/>
      <c r="F121" s="1074"/>
      <c r="G121" s="1074"/>
      <c r="H121" s="1074"/>
      <c r="I121" s="1074"/>
      <c r="J121" s="1074"/>
      <c r="K121" s="1074"/>
      <c r="L121" s="1074"/>
      <c r="M121" s="1074"/>
      <c r="N121" s="1074"/>
      <c r="O121" s="1074"/>
      <c r="P121" s="1074"/>
      <c r="Q121" s="1074"/>
      <c r="R121" s="1074"/>
      <c r="S121" s="1074"/>
      <c r="T121" s="1074"/>
      <c r="U121" s="1074"/>
      <c r="V121" s="1074"/>
      <c r="W121" s="1074"/>
      <c r="X121" s="1074"/>
      <c r="Y121" s="1074"/>
      <c r="Z121" s="1074"/>
      <c r="AA121" s="1074"/>
      <c r="AB121" s="1074"/>
      <c r="AC121" s="1074"/>
      <c r="AD121" s="1074"/>
      <c r="AE121" s="1074"/>
      <c r="AF121" s="1074"/>
      <c r="AG121" s="1074"/>
      <c r="AH121" s="1074"/>
      <c r="AI121" s="1074"/>
      <c r="AJ121" s="1074"/>
      <c r="AK121" s="1074"/>
      <c r="AL121" s="1074"/>
      <c r="AM121" s="1074"/>
      <c r="AN121" s="1074"/>
      <c r="AO121" s="1074"/>
      <c r="AP121" s="1074"/>
      <c r="AQ121" s="1074"/>
      <c r="AR121" s="1074"/>
      <c r="AS121" s="1074"/>
      <c r="AT121" s="1074"/>
      <c r="AU121" s="1074"/>
      <c r="AV121" s="1074"/>
      <c r="AW121" s="1074"/>
      <c r="AX121" s="1074"/>
      <c r="AY121" s="1074"/>
      <c r="AZ121" s="1074"/>
      <c r="BA121" s="1074"/>
      <c r="BB121" s="1074"/>
      <c r="BC121" s="1074"/>
      <c r="BD121" s="1074"/>
      <c r="BE121" s="1074"/>
      <c r="BF121" s="1074"/>
      <c r="BG121" s="1074"/>
      <c r="BH121" s="1074"/>
      <c r="BI121" s="1074"/>
      <c r="BJ121" s="1074"/>
      <c r="BK121" s="1074"/>
      <c r="BL121" s="1074"/>
      <c r="BM121" s="1074"/>
      <c r="BN121" s="1074"/>
      <c r="BO121" s="1074"/>
      <c r="BP121" s="1074"/>
      <c r="BQ121" s="1074"/>
      <c r="BR121" s="1074"/>
      <c r="BS121" s="1074"/>
      <c r="BT121" s="1074"/>
      <c r="BU121" s="1074"/>
      <c r="BV121" s="1074"/>
      <c r="BW121" s="1074"/>
      <c r="BX121" s="1074"/>
      <c r="BY121" s="1074"/>
      <c r="BZ121" s="1074"/>
      <c r="CA121" s="1074"/>
      <c r="CB121" s="1074"/>
      <c r="CC121" s="1074"/>
      <c r="CD121" s="1074"/>
      <c r="CE121" s="1074"/>
      <c r="CF121" s="1074"/>
      <c r="CG121" s="1074"/>
      <c r="CH121" s="1074"/>
      <c r="CI121" s="1074"/>
      <c r="CJ121" s="1074"/>
      <c r="CK121" s="1074"/>
      <c r="CL121" s="1074"/>
      <c r="CM121" s="1074"/>
      <c r="CN121" s="1074"/>
      <c r="CO121" s="1074"/>
      <c r="CP121" s="1074"/>
      <c r="CQ121" s="1074"/>
      <c r="CR121" s="1074"/>
      <c r="CS121" s="1074"/>
      <c r="CT121" s="1074"/>
      <c r="CU121" s="1074"/>
      <c r="CV121" s="1074"/>
      <c r="CW121" s="1074"/>
      <c r="CX121" s="1074"/>
      <c r="CY121" s="1074"/>
      <c r="CZ121" s="1074"/>
      <c r="DA121" s="1074"/>
      <c r="DB121" s="1074"/>
      <c r="DC121" s="1074"/>
      <c r="DD121" s="1074"/>
      <c r="DE121" s="1074"/>
      <c r="DF121" s="1074"/>
      <c r="DG121" s="1074"/>
      <c r="DH121" s="1074"/>
      <c r="DI121" s="1074"/>
      <c r="DJ121" s="1074"/>
      <c r="DK121" s="1074"/>
      <c r="DL121" s="1074"/>
      <c r="DM121" s="1074"/>
      <c r="DN121" s="1074"/>
      <c r="DO121" s="1074"/>
      <c r="DP121" s="1074"/>
      <c r="DQ121" s="1074"/>
      <c r="DR121" s="1075"/>
      <c r="DS121" s="55"/>
      <c r="DT121" s="37"/>
      <c r="DU121" s="37"/>
      <c r="DV121" s="51"/>
      <c r="DW121" s="51"/>
      <c r="DX121" s="51"/>
      <c r="DY121" s="51"/>
      <c r="DZ121" s="51"/>
      <c r="EA121" s="51"/>
      <c r="EB121" s="51"/>
      <c r="EC121" s="51"/>
      <c r="ED121" s="51"/>
      <c r="EE121" s="51"/>
      <c r="EF121" s="51"/>
      <c r="EG121" s="51"/>
      <c r="EH121" s="53"/>
    </row>
    <row r="122" spans="1:138" ht="8.25" customHeight="1">
      <c r="B122" s="1073"/>
      <c r="C122" s="1074"/>
      <c r="D122" s="1074"/>
      <c r="E122" s="1074"/>
      <c r="F122" s="1074"/>
      <c r="G122" s="1074"/>
      <c r="H122" s="1074"/>
      <c r="I122" s="1074"/>
      <c r="J122" s="1074"/>
      <c r="K122" s="1074"/>
      <c r="L122" s="1074"/>
      <c r="M122" s="1074"/>
      <c r="N122" s="1074"/>
      <c r="O122" s="1074"/>
      <c r="P122" s="1074"/>
      <c r="Q122" s="1074"/>
      <c r="R122" s="1074"/>
      <c r="S122" s="1074"/>
      <c r="T122" s="1074"/>
      <c r="U122" s="1074"/>
      <c r="V122" s="1074"/>
      <c r="W122" s="1074"/>
      <c r="X122" s="1074"/>
      <c r="Y122" s="1074"/>
      <c r="Z122" s="1074"/>
      <c r="AA122" s="1074"/>
      <c r="AB122" s="1074"/>
      <c r="AC122" s="1074"/>
      <c r="AD122" s="1074"/>
      <c r="AE122" s="1074"/>
      <c r="AF122" s="1074"/>
      <c r="AG122" s="1074"/>
      <c r="AH122" s="1074"/>
      <c r="AI122" s="1074"/>
      <c r="AJ122" s="1074"/>
      <c r="AK122" s="1074"/>
      <c r="AL122" s="1074"/>
      <c r="AM122" s="1074"/>
      <c r="AN122" s="1074"/>
      <c r="AO122" s="1074"/>
      <c r="AP122" s="1074"/>
      <c r="AQ122" s="1074"/>
      <c r="AR122" s="1074"/>
      <c r="AS122" s="1074"/>
      <c r="AT122" s="1074"/>
      <c r="AU122" s="1074"/>
      <c r="AV122" s="1074"/>
      <c r="AW122" s="1074"/>
      <c r="AX122" s="1074"/>
      <c r="AY122" s="1074"/>
      <c r="AZ122" s="1074"/>
      <c r="BA122" s="1074"/>
      <c r="BB122" s="1074"/>
      <c r="BC122" s="1074"/>
      <c r="BD122" s="1074"/>
      <c r="BE122" s="1074"/>
      <c r="BF122" s="1074"/>
      <c r="BG122" s="1074"/>
      <c r="BH122" s="1074"/>
      <c r="BI122" s="1074"/>
      <c r="BJ122" s="1074"/>
      <c r="BK122" s="1074"/>
      <c r="BL122" s="1074"/>
      <c r="BM122" s="1074"/>
      <c r="BN122" s="1074"/>
      <c r="BO122" s="1074"/>
      <c r="BP122" s="1074"/>
      <c r="BQ122" s="1074"/>
      <c r="BR122" s="1074"/>
      <c r="BS122" s="1074"/>
      <c r="BT122" s="1074"/>
      <c r="BU122" s="1074"/>
      <c r="BV122" s="1074"/>
      <c r="BW122" s="1074"/>
      <c r="BX122" s="1074"/>
      <c r="BY122" s="1074"/>
      <c r="BZ122" s="1074"/>
      <c r="CA122" s="1074"/>
      <c r="CB122" s="1074"/>
      <c r="CC122" s="1074"/>
      <c r="CD122" s="1074"/>
      <c r="CE122" s="1074"/>
      <c r="CF122" s="1074"/>
      <c r="CG122" s="1074"/>
      <c r="CH122" s="1074"/>
      <c r="CI122" s="1074"/>
      <c r="CJ122" s="1074"/>
      <c r="CK122" s="1074"/>
      <c r="CL122" s="1074"/>
      <c r="CM122" s="1074"/>
      <c r="CN122" s="1074"/>
      <c r="CO122" s="1074"/>
      <c r="CP122" s="1074"/>
      <c r="CQ122" s="1074"/>
      <c r="CR122" s="1074"/>
      <c r="CS122" s="1074"/>
      <c r="CT122" s="1074"/>
      <c r="CU122" s="1074"/>
      <c r="CV122" s="1074"/>
      <c r="CW122" s="1074"/>
      <c r="CX122" s="1074"/>
      <c r="CY122" s="1074"/>
      <c r="CZ122" s="1074"/>
      <c r="DA122" s="1074"/>
      <c r="DB122" s="1074"/>
      <c r="DC122" s="1074"/>
      <c r="DD122" s="1074"/>
      <c r="DE122" s="1074"/>
      <c r="DF122" s="1074"/>
      <c r="DG122" s="1074"/>
      <c r="DH122" s="1074"/>
      <c r="DI122" s="1074"/>
      <c r="DJ122" s="1074"/>
      <c r="DK122" s="1074"/>
      <c r="DL122" s="1074"/>
      <c r="DM122" s="1074"/>
      <c r="DN122" s="1074"/>
      <c r="DO122" s="1074"/>
      <c r="DP122" s="1074"/>
      <c r="DQ122" s="1074"/>
      <c r="DR122" s="1075"/>
      <c r="DS122" s="55"/>
      <c r="DT122" s="37"/>
      <c r="DU122" s="37"/>
      <c r="DV122" s="51"/>
      <c r="DW122" s="51"/>
      <c r="DX122" s="51"/>
      <c r="DY122" s="51"/>
      <c r="DZ122" s="51"/>
      <c r="EA122" s="51"/>
      <c r="EB122" s="51"/>
      <c r="EC122" s="51"/>
      <c r="ED122" s="51"/>
      <c r="EE122" s="51"/>
      <c r="EF122" s="51"/>
      <c r="EG122" s="51"/>
      <c r="EH122" s="53"/>
    </row>
    <row r="123" spans="1:138" ht="9" customHeight="1">
      <c r="B123" s="1073"/>
      <c r="C123" s="1074"/>
      <c r="D123" s="1074"/>
      <c r="E123" s="1074"/>
      <c r="F123" s="1074"/>
      <c r="G123" s="1074"/>
      <c r="H123" s="1074"/>
      <c r="I123" s="1074"/>
      <c r="J123" s="1074"/>
      <c r="K123" s="1074"/>
      <c r="L123" s="1074"/>
      <c r="M123" s="1074"/>
      <c r="N123" s="1074"/>
      <c r="O123" s="1074"/>
      <c r="P123" s="1074"/>
      <c r="Q123" s="1074"/>
      <c r="R123" s="1074"/>
      <c r="S123" s="1074"/>
      <c r="T123" s="1074"/>
      <c r="U123" s="1074"/>
      <c r="V123" s="1074"/>
      <c r="W123" s="1074"/>
      <c r="X123" s="1074"/>
      <c r="Y123" s="1074"/>
      <c r="Z123" s="1074"/>
      <c r="AA123" s="1074"/>
      <c r="AB123" s="1074"/>
      <c r="AC123" s="1074"/>
      <c r="AD123" s="1074"/>
      <c r="AE123" s="1074"/>
      <c r="AF123" s="1074"/>
      <c r="AG123" s="1074"/>
      <c r="AH123" s="1074"/>
      <c r="AI123" s="1074"/>
      <c r="AJ123" s="1074"/>
      <c r="AK123" s="1074"/>
      <c r="AL123" s="1074"/>
      <c r="AM123" s="1074"/>
      <c r="AN123" s="1074"/>
      <c r="AO123" s="1074"/>
      <c r="AP123" s="1074"/>
      <c r="AQ123" s="1074"/>
      <c r="AR123" s="1074"/>
      <c r="AS123" s="1074"/>
      <c r="AT123" s="1074"/>
      <c r="AU123" s="1074"/>
      <c r="AV123" s="1074"/>
      <c r="AW123" s="1074"/>
      <c r="AX123" s="1074"/>
      <c r="AY123" s="1074"/>
      <c r="AZ123" s="1074"/>
      <c r="BA123" s="1074"/>
      <c r="BB123" s="1074"/>
      <c r="BC123" s="1074"/>
      <c r="BD123" s="1074"/>
      <c r="BE123" s="1074"/>
      <c r="BF123" s="1074"/>
      <c r="BG123" s="1074"/>
      <c r="BH123" s="1074"/>
      <c r="BI123" s="1074"/>
      <c r="BJ123" s="1074"/>
      <c r="BK123" s="1074"/>
      <c r="BL123" s="1074"/>
      <c r="BM123" s="1074"/>
      <c r="BN123" s="1074"/>
      <c r="BO123" s="1074"/>
      <c r="BP123" s="1074"/>
      <c r="BQ123" s="1074"/>
      <c r="BR123" s="1074"/>
      <c r="BS123" s="1074"/>
      <c r="BT123" s="1074"/>
      <c r="BU123" s="1074"/>
      <c r="BV123" s="1074"/>
      <c r="BW123" s="1074"/>
      <c r="BX123" s="1074"/>
      <c r="BY123" s="1074"/>
      <c r="BZ123" s="1074"/>
      <c r="CA123" s="1074"/>
      <c r="CB123" s="1074"/>
      <c r="CC123" s="1074"/>
      <c r="CD123" s="1074"/>
      <c r="CE123" s="1074"/>
      <c r="CF123" s="1074"/>
      <c r="CG123" s="1074"/>
      <c r="CH123" s="1074"/>
      <c r="CI123" s="1074"/>
      <c r="CJ123" s="1074"/>
      <c r="CK123" s="1074"/>
      <c r="CL123" s="1074"/>
      <c r="CM123" s="1074"/>
      <c r="CN123" s="1074"/>
      <c r="CO123" s="1074"/>
      <c r="CP123" s="1074"/>
      <c r="CQ123" s="1074"/>
      <c r="CR123" s="1074"/>
      <c r="CS123" s="1074"/>
      <c r="CT123" s="1074"/>
      <c r="CU123" s="1074"/>
      <c r="CV123" s="1074"/>
      <c r="CW123" s="1074"/>
      <c r="CX123" s="1074"/>
      <c r="CY123" s="1074"/>
      <c r="CZ123" s="1074"/>
      <c r="DA123" s="1074"/>
      <c r="DB123" s="1074"/>
      <c r="DC123" s="1074"/>
      <c r="DD123" s="1074"/>
      <c r="DE123" s="1074"/>
      <c r="DF123" s="1074"/>
      <c r="DG123" s="1074"/>
      <c r="DH123" s="1074"/>
      <c r="DI123" s="1074"/>
      <c r="DJ123" s="1074"/>
      <c r="DK123" s="1074"/>
      <c r="DL123" s="1074"/>
      <c r="DM123" s="1074"/>
      <c r="DN123" s="1074"/>
      <c r="DO123" s="1074"/>
      <c r="DP123" s="1074"/>
      <c r="DQ123" s="1074"/>
      <c r="DR123" s="1075"/>
      <c r="DS123" s="26"/>
    </row>
    <row r="124" spans="1:138">
      <c r="B124" s="1073"/>
      <c r="C124" s="1074"/>
      <c r="D124" s="1074"/>
      <c r="E124" s="1074"/>
      <c r="F124" s="1074"/>
      <c r="G124" s="1074"/>
      <c r="H124" s="1074"/>
      <c r="I124" s="1074"/>
      <c r="J124" s="1074"/>
      <c r="K124" s="1074"/>
      <c r="L124" s="1074"/>
      <c r="M124" s="1074"/>
      <c r="N124" s="1074"/>
      <c r="O124" s="1074"/>
      <c r="P124" s="1074"/>
      <c r="Q124" s="1074"/>
      <c r="R124" s="1074"/>
      <c r="S124" s="1074"/>
      <c r="T124" s="1074"/>
      <c r="U124" s="1074"/>
      <c r="V124" s="1074"/>
      <c r="W124" s="1074"/>
      <c r="X124" s="1074"/>
      <c r="Y124" s="1074"/>
      <c r="Z124" s="1074"/>
      <c r="AA124" s="1074"/>
      <c r="AB124" s="1074"/>
      <c r="AC124" s="1074"/>
      <c r="AD124" s="1074"/>
      <c r="AE124" s="1074"/>
      <c r="AF124" s="1074"/>
      <c r="AG124" s="1074"/>
      <c r="AH124" s="1074"/>
      <c r="AI124" s="1074"/>
      <c r="AJ124" s="1074"/>
      <c r="AK124" s="1074"/>
      <c r="AL124" s="1074"/>
      <c r="AM124" s="1074"/>
      <c r="AN124" s="1074"/>
      <c r="AO124" s="1074"/>
      <c r="AP124" s="1074"/>
      <c r="AQ124" s="1074"/>
      <c r="AR124" s="1074"/>
      <c r="AS124" s="1074"/>
      <c r="AT124" s="1074"/>
      <c r="AU124" s="1074"/>
      <c r="AV124" s="1074"/>
      <c r="AW124" s="1074"/>
      <c r="AX124" s="1074"/>
      <c r="AY124" s="1074"/>
      <c r="AZ124" s="1074"/>
      <c r="BA124" s="1074"/>
      <c r="BB124" s="1074"/>
      <c r="BC124" s="1074"/>
      <c r="BD124" s="1074"/>
      <c r="BE124" s="1074"/>
      <c r="BF124" s="1074"/>
      <c r="BG124" s="1074"/>
      <c r="BH124" s="1074"/>
      <c r="BI124" s="1074"/>
      <c r="BJ124" s="1074"/>
      <c r="BK124" s="1074"/>
      <c r="BL124" s="1074"/>
      <c r="BM124" s="1074"/>
      <c r="BN124" s="1074"/>
      <c r="BO124" s="1074"/>
      <c r="BP124" s="1074"/>
      <c r="BQ124" s="1074"/>
      <c r="BR124" s="1074"/>
      <c r="BS124" s="1074"/>
      <c r="BT124" s="1074"/>
      <c r="BU124" s="1074"/>
      <c r="BV124" s="1074"/>
      <c r="BW124" s="1074"/>
      <c r="BX124" s="1074"/>
      <c r="BY124" s="1074"/>
      <c r="BZ124" s="1074"/>
      <c r="CA124" s="1074"/>
      <c r="CB124" s="1074"/>
      <c r="CC124" s="1074"/>
      <c r="CD124" s="1074"/>
      <c r="CE124" s="1074"/>
      <c r="CF124" s="1074"/>
      <c r="CG124" s="1074"/>
      <c r="CH124" s="1074"/>
      <c r="CI124" s="1074"/>
      <c r="CJ124" s="1074"/>
      <c r="CK124" s="1074"/>
      <c r="CL124" s="1074"/>
      <c r="CM124" s="1074"/>
      <c r="CN124" s="1074"/>
      <c r="CO124" s="1074"/>
      <c r="CP124" s="1074"/>
      <c r="CQ124" s="1074"/>
      <c r="CR124" s="1074"/>
      <c r="CS124" s="1074"/>
      <c r="CT124" s="1074"/>
      <c r="CU124" s="1074"/>
      <c r="CV124" s="1074"/>
      <c r="CW124" s="1074"/>
      <c r="CX124" s="1074"/>
      <c r="CY124" s="1074"/>
      <c r="CZ124" s="1074"/>
      <c r="DA124" s="1074"/>
      <c r="DB124" s="1074"/>
      <c r="DC124" s="1074"/>
      <c r="DD124" s="1074"/>
      <c r="DE124" s="1074"/>
      <c r="DF124" s="1074"/>
      <c r="DG124" s="1074"/>
      <c r="DH124" s="1074"/>
      <c r="DI124" s="1074"/>
      <c r="DJ124" s="1074"/>
      <c r="DK124" s="1074"/>
      <c r="DL124" s="1074"/>
      <c r="DM124" s="1074"/>
      <c r="DN124" s="1074"/>
      <c r="DO124" s="1074"/>
      <c r="DP124" s="1074"/>
      <c r="DQ124" s="1074"/>
      <c r="DR124" s="1075"/>
    </row>
    <row r="125" spans="1:138">
      <c r="B125" s="1073"/>
      <c r="C125" s="1074"/>
      <c r="D125" s="1074"/>
      <c r="E125" s="1074"/>
      <c r="F125" s="1074"/>
      <c r="G125" s="1074"/>
      <c r="H125" s="1074"/>
      <c r="I125" s="1074"/>
      <c r="J125" s="1074"/>
      <c r="K125" s="1074"/>
      <c r="L125" s="1074"/>
      <c r="M125" s="1074"/>
      <c r="N125" s="1074"/>
      <c r="O125" s="1074"/>
      <c r="P125" s="1074"/>
      <c r="Q125" s="1074"/>
      <c r="R125" s="1074"/>
      <c r="S125" s="1074"/>
      <c r="T125" s="1074"/>
      <c r="U125" s="1074"/>
      <c r="V125" s="1074"/>
      <c r="W125" s="1074"/>
      <c r="X125" s="1074"/>
      <c r="Y125" s="1074"/>
      <c r="Z125" s="1074"/>
      <c r="AA125" s="1074"/>
      <c r="AB125" s="1074"/>
      <c r="AC125" s="1074"/>
      <c r="AD125" s="1074"/>
      <c r="AE125" s="1074"/>
      <c r="AF125" s="1074"/>
      <c r="AG125" s="1074"/>
      <c r="AH125" s="1074"/>
      <c r="AI125" s="1074"/>
      <c r="AJ125" s="1074"/>
      <c r="AK125" s="1074"/>
      <c r="AL125" s="1074"/>
      <c r="AM125" s="1074"/>
      <c r="AN125" s="1074"/>
      <c r="AO125" s="1074"/>
      <c r="AP125" s="1074"/>
      <c r="AQ125" s="1074"/>
      <c r="AR125" s="1074"/>
      <c r="AS125" s="1074"/>
      <c r="AT125" s="1074"/>
      <c r="AU125" s="1074"/>
      <c r="AV125" s="1074"/>
      <c r="AW125" s="1074"/>
      <c r="AX125" s="1074"/>
      <c r="AY125" s="1074"/>
      <c r="AZ125" s="1074"/>
      <c r="BA125" s="1074"/>
      <c r="BB125" s="1074"/>
      <c r="BC125" s="1074"/>
      <c r="BD125" s="1074"/>
      <c r="BE125" s="1074"/>
      <c r="BF125" s="1074"/>
      <c r="BG125" s="1074"/>
      <c r="BH125" s="1074"/>
      <c r="BI125" s="1074"/>
      <c r="BJ125" s="1074"/>
      <c r="BK125" s="1074"/>
      <c r="BL125" s="1074"/>
      <c r="BM125" s="1074"/>
      <c r="BN125" s="1074"/>
      <c r="BO125" s="1074"/>
      <c r="BP125" s="1074"/>
      <c r="BQ125" s="1074"/>
      <c r="BR125" s="1074"/>
      <c r="BS125" s="1074"/>
      <c r="BT125" s="1074"/>
      <c r="BU125" s="1074"/>
      <c r="BV125" s="1074"/>
      <c r="BW125" s="1074"/>
      <c r="BX125" s="1074"/>
      <c r="BY125" s="1074"/>
      <c r="BZ125" s="1074"/>
      <c r="CA125" s="1074"/>
      <c r="CB125" s="1074"/>
      <c r="CC125" s="1074"/>
      <c r="CD125" s="1074"/>
      <c r="CE125" s="1074"/>
      <c r="CF125" s="1074"/>
      <c r="CG125" s="1074"/>
      <c r="CH125" s="1074"/>
      <c r="CI125" s="1074"/>
      <c r="CJ125" s="1074"/>
      <c r="CK125" s="1074"/>
      <c r="CL125" s="1074"/>
      <c r="CM125" s="1074"/>
      <c r="CN125" s="1074"/>
      <c r="CO125" s="1074"/>
      <c r="CP125" s="1074"/>
      <c r="CQ125" s="1074"/>
      <c r="CR125" s="1074"/>
      <c r="CS125" s="1074"/>
      <c r="CT125" s="1074"/>
      <c r="CU125" s="1074"/>
      <c r="CV125" s="1074"/>
      <c r="CW125" s="1074"/>
      <c r="CX125" s="1074"/>
      <c r="CY125" s="1074"/>
      <c r="CZ125" s="1074"/>
      <c r="DA125" s="1074"/>
      <c r="DB125" s="1074"/>
      <c r="DC125" s="1074"/>
      <c r="DD125" s="1074"/>
      <c r="DE125" s="1074"/>
      <c r="DF125" s="1074"/>
      <c r="DG125" s="1074"/>
      <c r="DH125" s="1074"/>
      <c r="DI125" s="1074"/>
      <c r="DJ125" s="1074"/>
      <c r="DK125" s="1074"/>
      <c r="DL125" s="1074"/>
      <c r="DM125" s="1074"/>
      <c r="DN125" s="1074"/>
      <c r="DO125" s="1074"/>
      <c r="DP125" s="1074"/>
      <c r="DQ125" s="1074"/>
      <c r="DR125" s="1075"/>
    </row>
    <row r="126" spans="1:138">
      <c r="B126" s="1073"/>
      <c r="C126" s="1074"/>
      <c r="D126" s="1074"/>
      <c r="E126" s="1074"/>
      <c r="F126" s="1074"/>
      <c r="G126" s="1074"/>
      <c r="H126" s="1074"/>
      <c r="I126" s="1074"/>
      <c r="J126" s="1074"/>
      <c r="K126" s="1074"/>
      <c r="L126" s="1074"/>
      <c r="M126" s="1074"/>
      <c r="N126" s="1074"/>
      <c r="O126" s="1074"/>
      <c r="P126" s="1074"/>
      <c r="Q126" s="1074"/>
      <c r="R126" s="1074"/>
      <c r="S126" s="1074"/>
      <c r="T126" s="1074"/>
      <c r="U126" s="1074"/>
      <c r="V126" s="1074"/>
      <c r="W126" s="1074"/>
      <c r="X126" s="1074"/>
      <c r="Y126" s="1074"/>
      <c r="Z126" s="1074"/>
      <c r="AA126" s="1074"/>
      <c r="AB126" s="1074"/>
      <c r="AC126" s="1074"/>
      <c r="AD126" s="1074"/>
      <c r="AE126" s="1074"/>
      <c r="AF126" s="1074"/>
      <c r="AG126" s="1074"/>
      <c r="AH126" s="1074"/>
      <c r="AI126" s="1074"/>
      <c r="AJ126" s="1074"/>
      <c r="AK126" s="1074"/>
      <c r="AL126" s="1074"/>
      <c r="AM126" s="1074"/>
      <c r="AN126" s="1074"/>
      <c r="AO126" s="1074"/>
      <c r="AP126" s="1074"/>
      <c r="AQ126" s="1074"/>
      <c r="AR126" s="1074"/>
      <c r="AS126" s="1074"/>
      <c r="AT126" s="1074"/>
      <c r="AU126" s="1074"/>
      <c r="AV126" s="1074"/>
      <c r="AW126" s="1074"/>
      <c r="AX126" s="1074"/>
      <c r="AY126" s="1074"/>
      <c r="AZ126" s="1074"/>
      <c r="BA126" s="1074"/>
      <c r="BB126" s="1074"/>
      <c r="BC126" s="1074"/>
      <c r="BD126" s="1074"/>
      <c r="BE126" s="1074"/>
      <c r="BF126" s="1074"/>
      <c r="BG126" s="1074"/>
      <c r="BH126" s="1074"/>
      <c r="BI126" s="1074"/>
      <c r="BJ126" s="1074"/>
      <c r="BK126" s="1074"/>
      <c r="BL126" s="1074"/>
      <c r="BM126" s="1074"/>
      <c r="BN126" s="1074"/>
      <c r="BO126" s="1074"/>
      <c r="BP126" s="1074"/>
      <c r="BQ126" s="1074"/>
      <c r="BR126" s="1074"/>
      <c r="BS126" s="1074"/>
      <c r="BT126" s="1074"/>
      <c r="BU126" s="1074"/>
      <c r="BV126" s="1074"/>
      <c r="BW126" s="1074"/>
      <c r="BX126" s="1074"/>
      <c r="BY126" s="1074"/>
      <c r="BZ126" s="1074"/>
      <c r="CA126" s="1074"/>
      <c r="CB126" s="1074"/>
      <c r="CC126" s="1074"/>
      <c r="CD126" s="1074"/>
      <c r="CE126" s="1074"/>
      <c r="CF126" s="1074"/>
      <c r="CG126" s="1074"/>
      <c r="CH126" s="1074"/>
      <c r="CI126" s="1074"/>
      <c r="CJ126" s="1074"/>
      <c r="CK126" s="1074"/>
      <c r="CL126" s="1074"/>
      <c r="CM126" s="1074"/>
      <c r="CN126" s="1074"/>
      <c r="CO126" s="1074"/>
      <c r="CP126" s="1074"/>
      <c r="CQ126" s="1074"/>
      <c r="CR126" s="1074"/>
      <c r="CS126" s="1074"/>
      <c r="CT126" s="1074"/>
      <c r="CU126" s="1074"/>
      <c r="CV126" s="1074"/>
      <c r="CW126" s="1074"/>
      <c r="CX126" s="1074"/>
      <c r="CY126" s="1074"/>
      <c r="CZ126" s="1074"/>
      <c r="DA126" s="1074"/>
      <c r="DB126" s="1074"/>
      <c r="DC126" s="1074"/>
      <c r="DD126" s="1074"/>
      <c r="DE126" s="1074"/>
      <c r="DF126" s="1074"/>
      <c r="DG126" s="1074"/>
      <c r="DH126" s="1074"/>
      <c r="DI126" s="1074"/>
      <c r="DJ126" s="1074"/>
      <c r="DK126" s="1074"/>
      <c r="DL126" s="1074"/>
      <c r="DM126" s="1074"/>
      <c r="DN126" s="1074"/>
      <c r="DO126" s="1074"/>
      <c r="DP126" s="1074"/>
      <c r="DQ126" s="1074"/>
      <c r="DR126" s="1075"/>
    </row>
    <row r="127" spans="1:138">
      <c r="B127" s="1073"/>
      <c r="C127" s="1074"/>
      <c r="D127" s="1074"/>
      <c r="E127" s="1074"/>
      <c r="F127" s="1074"/>
      <c r="G127" s="1074"/>
      <c r="H127" s="1074"/>
      <c r="I127" s="1074"/>
      <c r="J127" s="1074"/>
      <c r="K127" s="1074"/>
      <c r="L127" s="1074"/>
      <c r="M127" s="1074"/>
      <c r="N127" s="1074"/>
      <c r="O127" s="1074"/>
      <c r="P127" s="1074"/>
      <c r="Q127" s="1074"/>
      <c r="R127" s="1074"/>
      <c r="S127" s="1074"/>
      <c r="T127" s="1074"/>
      <c r="U127" s="1074"/>
      <c r="V127" s="1074"/>
      <c r="W127" s="1074"/>
      <c r="X127" s="1074"/>
      <c r="Y127" s="1074"/>
      <c r="Z127" s="1074"/>
      <c r="AA127" s="1074"/>
      <c r="AB127" s="1074"/>
      <c r="AC127" s="1074"/>
      <c r="AD127" s="1074"/>
      <c r="AE127" s="1074"/>
      <c r="AF127" s="1074"/>
      <c r="AG127" s="1074"/>
      <c r="AH127" s="1074"/>
      <c r="AI127" s="1074"/>
      <c r="AJ127" s="1074"/>
      <c r="AK127" s="1074"/>
      <c r="AL127" s="1074"/>
      <c r="AM127" s="1074"/>
      <c r="AN127" s="1074"/>
      <c r="AO127" s="1074"/>
      <c r="AP127" s="1074"/>
      <c r="AQ127" s="1074"/>
      <c r="AR127" s="1074"/>
      <c r="AS127" s="1074"/>
      <c r="AT127" s="1074"/>
      <c r="AU127" s="1074"/>
      <c r="AV127" s="1074"/>
      <c r="AW127" s="1074"/>
      <c r="AX127" s="1074"/>
      <c r="AY127" s="1074"/>
      <c r="AZ127" s="1074"/>
      <c r="BA127" s="1074"/>
      <c r="BB127" s="1074"/>
      <c r="BC127" s="1074"/>
      <c r="BD127" s="1074"/>
      <c r="BE127" s="1074"/>
      <c r="BF127" s="1074"/>
      <c r="BG127" s="1074"/>
      <c r="BH127" s="1074"/>
      <c r="BI127" s="1074"/>
      <c r="BJ127" s="1074"/>
      <c r="BK127" s="1074"/>
      <c r="BL127" s="1074"/>
      <c r="BM127" s="1074"/>
      <c r="BN127" s="1074"/>
      <c r="BO127" s="1074"/>
      <c r="BP127" s="1074"/>
      <c r="BQ127" s="1074"/>
      <c r="BR127" s="1074"/>
      <c r="BS127" s="1074"/>
      <c r="BT127" s="1074"/>
      <c r="BU127" s="1074"/>
      <c r="BV127" s="1074"/>
      <c r="BW127" s="1074"/>
      <c r="BX127" s="1074"/>
      <c r="BY127" s="1074"/>
      <c r="BZ127" s="1074"/>
      <c r="CA127" s="1074"/>
      <c r="CB127" s="1074"/>
      <c r="CC127" s="1074"/>
      <c r="CD127" s="1074"/>
      <c r="CE127" s="1074"/>
      <c r="CF127" s="1074"/>
      <c r="CG127" s="1074"/>
      <c r="CH127" s="1074"/>
      <c r="CI127" s="1074"/>
      <c r="CJ127" s="1074"/>
      <c r="CK127" s="1074"/>
      <c r="CL127" s="1074"/>
      <c r="CM127" s="1074"/>
      <c r="CN127" s="1074"/>
      <c r="CO127" s="1074"/>
      <c r="CP127" s="1074"/>
      <c r="CQ127" s="1074"/>
      <c r="CR127" s="1074"/>
      <c r="CS127" s="1074"/>
      <c r="CT127" s="1074"/>
      <c r="CU127" s="1074"/>
      <c r="CV127" s="1074"/>
      <c r="CW127" s="1074"/>
      <c r="CX127" s="1074"/>
      <c r="CY127" s="1074"/>
      <c r="CZ127" s="1074"/>
      <c r="DA127" s="1074"/>
      <c r="DB127" s="1074"/>
      <c r="DC127" s="1074"/>
      <c r="DD127" s="1074"/>
      <c r="DE127" s="1074"/>
      <c r="DF127" s="1074"/>
      <c r="DG127" s="1074"/>
      <c r="DH127" s="1074"/>
      <c r="DI127" s="1074"/>
      <c r="DJ127" s="1074"/>
      <c r="DK127" s="1074"/>
      <c r="DL127" s="1074"/>
      <c r="DM127" s="1074"/>
      <c r="DN127" s="1074"/>
      <c r="DO127" s="1074"/>
      <c r="DP127" s="1074"/>
      <c r="DQ127" s="1074"/>
      <c r="DR127" s="1075"/>
    </row>
    <row r="128" spans="1:138">
      <c r="B128" s="1073"/>
      <c r="C128" s="1074"/>
      <c r="D128" s="1074"/>
      <c r="E128" s="1074"/>
      <c r="F128" s="1074"/>
      <c r="G128" s="1074"/>
      <c r="H128" s="1074"/>
      <c r="I128" s="1074"/>
      <c r="J128" s="1074"/>
      <c r="K128" s="1074"/>
      <c r="L128" s="1074"/>
      <c r="M128" s="1074"/>
      <c r="N128" s="1074"/>
      <c r="O128" s="1074"/>
      <c r="P128" s="1074"/>
      <c r="Q128" s="1074"/>
      <c r="R128" s="1074"/>
      <c r="S128" s="1074"/>
      <c r="T128" s="1074"/>
      <c r="U128" s="1074"/>
      <c r="V128" s="1074"/>
      <c r="W128" s="1074"/>
      <c r="X128" s="1074"/>
      <c r="Y128" s="1074"/>
      <c r="Z128" s="1074"/>
      <c r="AA128" s="1074"/>
      <c r="AB128" s="1074"/>
      <c r="AC128" s="1074"/>
      <c r="AD128" s="1074"/>
      <c r="AE128" s="1074"/>
      <c r="AF128" s="1074"/>
      <c r="AG128" s="1074"/>
      <c r="AH128" s="1074"/>
      <c r="AI128" s="1074"/>
      <c r="AJ128" s="1074"/>
      <c r="AK128" s="1074"/>
      <c r="AL128" s="1074"/>
      <c r="AM128" s="1074"/>
      <c r="AN128" s="1074"/>
      <c r="AO128" s="1074"/>
      <c r="AP128" s="1074"/>
      <c r="AQ128" s="1074"/>
      <c r="AR128" s="1074"/>
      <c r="AS128" s="1074"/>
      <c r="AT128" s="1074"/>
      <c r="AU128" s="1074"/>
      <c r="AV128" s="1074"/>
      <c r="AW128" s="1074"/>
      <c r="AX128" s="1074"/>
      <c r="AY128" s="1074"/>
      <c r="AZ128" s="1074"/>
      <c r="BA128" s="1074"/>
      <c r="BB128" s="1074"/>
      <c r="BC128" s="1074"/>
      <c r="BD128" s="1074"/>
      <c r="BE128" s="1074"/>
      <c r="BF128" s="1074"/>
      <c r="BG128" s="1074"/>
      <c r="BH128" s="1074"/>
      <c r="BI128" s="1074"/>
      <c r="BJ128" s="1074"/>
      <c r="BK128" s="1074"/>
      <c r="BL128" s="1074"/>
      <c r="BM128" s="1074"/>
      <c r="BN128" s="1074"/>
      <c r="BO128" s="1074"/>
      <c r="BP128" s="1074"/>
      <c r="BQ128" s="1074"/>
      <c r="BR128" s="1074"/>
      <c r="BS128" s="1074"/>
      <c r="BT128" s="1074"/>
      <c r="BU128" s="1074"/>
      <c r="BV128" s="1074"/>
      <c r="BW128" s="1074"/>
      <c r="BX128" s="1074"/>
      <c r="BY128" s="1074"/>
      <c r="BZ128" s="1074"/>
      <c r="CA128" s="1074"/>
      <c r="CB128" s="1074"/>
      <c r="CC128" s="1074"/>
      <c r="CD128" s="1074"/>
      <c r="CE128" s="1074"/>
      <c r="CF128" s="1074"/>
      <c r="CG128" s="1074"/>
      <c r="CH128" s="1074"/>
      <c r="CI128" s="1074"/>
      <c r="CJ128" s="1074"/>
      <c r="CK128" s="1074"/>
      <c r="CL128" s="1074"/>
      <c r="CM128" s="1074"/>
      <c r="CN128" s="1074"/>
      <c r="CO128" s="1074"/>
      <c r="CP128" s="1074"/>
      <c r="CQ128" s="1074"/>
      <c r="CR128" s="1074"/>
      <c r="CS128" s="1074"/>
      <c r="CT128" s="1074"/>
      <c r="CU128" s="1074"/>
      <c r="CV128" s="1074"/>
      <c r="CW128" s="1074"/>
      <c r="CX128" s="1074"/>
      <c r="CY128" s="1074"/>
      <c r="CZ128" s="1074"/>
      <c r="DA128" s="1074"/>
      <c r="DB128" s="1074"/>
      <c r="DC128" s="1074"/>
      <c r="DD128" s="1074"/>
      <c r="DE128" s="1074"/>
      <c r="DF128" s="1074"/>
      <c r="DG128" s="1074"/>
      <c r="DH128" s="1074"/>
      <c r="DI128" s="1074"/>
      <c r="DJ128" s="1074"/>
      <c r="DK128" s="1074"/>
      <c r="DL128" s="1074"/>
      <c r="DM128" s="1074"/>
      <c r="DN128" s="1074"/>
      <c r="DO128" s="1074"/>
      <c r="DP128" s="1074"/>
      <c r="DQ128" s="1074"/>
      <c r="DR128" s="1075"/>
    </row>
    <row r="129" spans="2:122">
      <c r="B129" s="1073"/>
      <c r="C129" s="1074"/>
      <c r="D129" s="1074"/>
      <c r="E129" s="1074"/>
      <c r="F129" s="1074"/>
      <c r="G129" s="1074"/>
      <c r="H129" s="1074"/>
      <c r="I129" s="1074"/>
      <c r="J129" s="1074"/>
      <c r="K129" s="1074"/>
      <c r="L129" s="1074"/>
      <c r="M129" s="1074"/>
      <c r="N129" s="1074"/>
      <c r="O129" s="1074"/>
      <c r="P129" s="1074"/>
      <c r="Q129" s="1074"/>
      <c r="R129" s="1074"/>
      <c r="S129" s="1074"/>
      <c r="T129" s="1074"/>
      <c r="U129" s="1074"/>
      <c r="V129" s="1074"/>
      <c r="W129" s="1074"/>
      <c r="X129" s="1074"/>
      <c r="Y129" s="1074"/>
      <c r="Z129" s="1074"/>
      <c r="AA129" s="1074"/>
      <c r="AB129" s="1074"/>
      <c r="AC129" s="1074"/>
      <c r="AD129" s="1074"/>
      <c r="AE129" s="1074"/>
      <c r="AF129" s="1074"/>
      <c r="AG129" s="1074"/>
      <c r="AH129" s="1074"/>
      <c r="AI129" s="1074"/>
      <c r="AJ129" s="1074"/>
      <c r="AK129" s="1074"/>
      <c r="AL129" s="1074"/>
      <c r="AM129" s="1074"/>
      <c r="AN129" s="1074"/>
      <c r="AO129" s="1074"/>
      <c r="AP129" s="1074"/>
      <c r="AQ129" s="1074"/>
      <c r="AR129" s="1074"/>
      <c r="AS129" s="1074"/>
      <c r="AT129" s="1074"/>
      <c r="AU129" s="1074"/>
      <c r="AV129" s="1074"/>
      <c r="AW129" s="1074"/>
      <c r="AX129" s="1074"/>
      <c r="AY129" s="1074"/>
      <c r="AZ129" s="1074"/>
      <c r="BA129" s="1074"/>
      <c r="BB129" s="1074"/>
      <c r="BC129" s="1074"/>
      <c r="BD129" s="1074"/>
      <c r="BE129" s="1074"/>
      <c r="BF129" s="1074"/>
      <c r="BG129" s="1074"/>
      <c r="BH129" s="1074"/>
      <c r="BI129" s="1074"/>
      <c r="BJ129" s="1074"/>
      <c r="BK129" s="1074"/>
      <c r="BL129" s="1074"/>
      <c r="BM129" s="1074"/>
      <c r="BN129" s="1074"/>
      <c r="BO129" s="1074"/>
      <c r="BP129" s="1074"/>
      <c r="BQ129" s="1074"/>
      <c r="BR129" s="1074"/>
      <c r="BS129" s="1074"/>
      <c r="BT129" s="1074"/>
      <c r="BU129" s="1074"/>
      <c r="BV129" s="1074"/>
      <c r="BW129" s="1074"/>
      <c r="BX129" s="1074"/>
      <c r="BY129" s="1074"/>
      <c r="BZ129" s="1074"/>
      <c r="CA129" s="1074"/>
      <c r="CB129" s="1074"/>
      <c r="CC129" s="1074"/>
      <c r="CD129" s="1074"/>
      <c r="CE129" s="1074"/>
      <c r="CF129" s="1074"/>
      <c r="CG129" s="1074"/>
      <c r="CH129" s="1074"/>
      <c r="CI129" s="1074"/>
      <c r="CJ129" s="1074"/>
      <c r="CK129" s="1074"/>
      <c r="CL129" s="1074"/>
      <c r="CM129" s="1074"/>
      <c r="CN129" s="1074"/>
      <c r="CO129" s="1074"/>
      <c r="CP129" s="1074"/>
      <c r="CQ129" s="1074"/>
      <c r="CR129" s="1074"/>
      <c r="CS129" s="1074"/>
      <c r="CT129" s="1074"/>
      <c r="CU129" s="1074"/>
      <c r="CV129" s="1074"/>
      <c r="CW129" s="1074"/>
      <c r="CX129" s="1074"/>
      <c r="CY129" s="1074"/>
      <c r="CZ129" s="1074"/>
      <c r="DA129" s="1074"/>
      <c r="DB129" s="1074"/>
      <c r="DC129" s="1074"/>
      <c r="DD129" s="1074"/>
      <c r="DE129" s="1074"/>
      <c r="DF129" s="1074"/>
      <c r="DG129" s="1074"/>
      <c r="DH129" s="1074"/>
      <c r="DI129" s="1074"/>
      <c r="DJ129" s="1074"/>
      <c r="DK129" s="1074"/>
      <c r="DL129" s="1074"/>
      <c r="DM129" s="1074"/>
      <c r="DN129" s="1074"/>
      <c r="DO129" s="1074"/>
      <c r="DP129" s="1074"/>
      <c r="DQ129" s="1074"/>
      <c r="DR129" s="1075"/>
    </row>
    <row r="130" spans="2:122">
      <c r="B130" s="1073"/>
      <c r="C130" s="1074"/>
      <c r="D130" s="1074"/>
      <c r="E130" s="1074"/>
      <c r="F130" s="1074"/>
      <c r="G130" s="1074"/>
      <c r="H130" s="1074"/>
      <c r="I130" s="1074"/>
      <c r="J130" s="1074"/>
      <c r="K130" s="1074"/>
      <c r="L130" s="1074"/>
      <c r="M130" s="1074"/>
      <c r="N130" s="1074"/>
      <c r="O130" s="1074"/>
      <c r="P130" s="1074"/>
      <c r="Q130" s="1074"/>
      <c r="R130" s="1074"/>
      <c r="S130" s="1074"/>
      <c r="T130" s="1074"/>
      <c r="U130" s="1074"/>
      <c r="V130" s="1074"/>
      <c r="W130" s="1074"/>
      <c r="X130" s="1074"/>
      <c r="Y130" s="1074"/>
      <c r="Z130" s="1074"/>
      <c r="AA130" s="1074"/>
      <c r="AB130" s="1074"/>
      <c r="AC130" s="1074"/>
      <c r="AD130" s="1074"/>
      <c r="AE130" s="1074"/>
      <c r="AF130" s="1074"/>
      <c r="AG130" s="1074"/>
      <c r="AH130" s="1074"/>
      <c r="AI130" s="1074"/>
      <c r="AJ130" s="1074"/>
      <c r="AK130" s="1074"/>
      <c r="AL130" s="1074"/>
      <c r="AM130" s="1074"/>
      <c r="AN130" s="1074"/>
      <c r="AO130" s="1074"/>
      <c r="AP130" s="1074"/>
      <c r="AQ130" s="1074"/>
      <c r="AR130" s="1074"/>
      <c r="AS130" s="1074"/>
      <c r="AT130" s="1074"/>
      <c r="AU130" s="1074"/>
      <c r="AV130" s="1074"/>
      <c r="AW130" s="1074"/>
      <c r="AX130" s="1074"/>
      <c r="AY130" s="1074"/>
      <c r="AZ130" s="1074"/>
      <c r="BA130" s="1074"/>
      <c r="BB130" s="1074"/>
      <c r="BC130" s="1074"/>
      <c r="BD130" s="1074"/>
      <c r="BE130" s="1074"/>
      <c r="BF130" s="1074"/>
      <c r="BG130" s="1074"/>
      <c r="BH130" s="1074"/>
      <c r="BI130" s="1074"/>
      <c r="BJ130" s="1074"/>
      <c r="BK130" s="1074"/>
      <c r="BL130" s="1074"/>
      <c r="BM130" s="1074"/>
      <c r="BN130" s="1074"/>
      <c r="BO130" s="1074"/>
      <c r="BP130" s="1074"/>
      <c r="BQ130" s="1074"/>
      <c r="BR130" s="1074"/>
      <c r="BS130" s="1074"/>
      <c r="BT130" s="1074"/>
      <c r="BU130" s="1074"/>
      <c r="BV130" s="1074"/>
      <c r="BW130" s="1074"/>
      <c r="BX130" s="1074"/>
      <c r="BY130" s="1074"/>
      <c r="BZ130" s="1074"/>
      <c r="CA130" s="1074"/>
      <c r="CB130" s="1074"/>
      <c r="CC130" s="1074"/>
      <c r="CD130" s="1074"/>
      <c r="CE130" s="1074"/>
      <c r="CF130" s="1074"/>
      <c r="CG130" s="1074"/>
      <c r="CH130" s="1074"/>
      <c r="CI130" s="1074"/>
      <c r="CJ130" s="1074"/>
      <c r="CK130" s="1074"/>
      <c r="CL130" s="1074"/>
      <c r="CM130" s="1074"/>
      <c r="CN130" s="1074"/>
      <c r="CO130" s="1074"/>
      <c r="CP130" s="1074"/>
      <c r="CQ130" s="1074"/>
      <c r="CR130" s="1074"/>
      <c r="CS130" s="1074"/>
      <c r="CT130" s="1074"/>
      <c r="CU130" s="1074"/>
      <c r="CV130" s="1074"/>
      <c r="CW130" s="1074"/>
      <c r="CX130" s="1074"/>
      <c r="CY130" s="1074"/>
      <c r="CZ130" s="1074"/>
      <c r="DA130" s="1074"/>
      <c r="DB130" s="1074"/>
      <c r="DC130" s="1074"/>
      <c r="DD130" s="1074"/>
      <c r="DE130" s="1074"/>
      <c r="DF130" s="1074"/>
      <c r="DG130" s="1074"/>
      <c r="DH130" s="1074"/>
      <c r="DI130" s="1074"/>
      <c r="DJ130" s="1074"/>
      <c r="DK130" s="1074"/>
      <c r="DL130" s="1074"/>
      <c r="DM130" s="1074"/>
      <c r="DN130" s="1074"/>
      <c r="DO130" s="1074"/>
      <c r="DP130" s="1074"/>
      <c r="DQ130" s="1074"/>
      <c r="DR130" s="1075"/>
    </row>
    <row r="131" spans="2:122">
      <c r="B131" s="1073"/>
      <c r="C131" s="1074"/>
      <c r="D131" s="1074"/>
      <c r="E131" s="1074"/>
      <c r="F131" s="1074"/>
      <c r="G131" s="1074"/>
      <c r="H131" s="1074"/>
      <c r="I131" s="1074"/>
      <c r="J131" s="1074"/>
      <c r="K131" s="1074"/>
      <c r="L131" s="1074"/>
      <c r="M131" s="1074"/>
      <c r="N131" s="1074"/>
      <c r="O131" s="1074"/>
      <c r="P131" s="1074"/>
      <c r="Q131" s="1074"/>
      <c r="R131" s="1074"/>
      <c r="S131" s="1074"/>
      <c r="T131" s="1074"/>
      <c r="U131" s="1074"/>
      <c r="V131" s="1074"/>
      <c r="W131" s="1074"/>
      <c r="X131" s="1074"/>
      <c r="Y131" s="1074"/>
      <c r="Z131" s="1074"/>
      <c r="AA131" s="1074"/>
      <c r="AB131" s="1074"/>
      <c r="AC131" s="1074"/>
      <c r="AD131" s="1074"/>
      <c r="AE131" s="1074"/>
      <c r="AF131" s="1074"/>
      <c r="AG131" s="1074"/>
      <c r="AH131" s="1074"/>
      <c r="AI131" s="1074"/>
      <c r="AJ131" s="1074"/>
      <c r="AK131" s="1074"/>
      <c r="AL131" s="1074"/>
      <c r="AM131" s="1074"/>
      <c r="AN131" s="1074"/>
      <c r="AO131" s="1074"/>
      <c r="AP131" s="1074"/>
      <c r="AQ131" s="1074"/>
      <c r="AR131" s="1074"/>
      <c r="AS131" s="1074"/>
      <c r="AT131" s="1074"/>
      <c r="AU131" s="1074"/>
      <c r="AV131" s="1074"/>
      <c r="AW131" s="1074"/>
      <c r="AX131" s="1074"/>
      <c r="AY131" s="1074"/>
      <c r="AZ131" s="1074"/>
      <c r="BA131" s="1074"/>
      <c r="BB131" s="1074"/>
      <c r="BC131" s="1074"/>
      <c r="BD131" s="1074"/>
      <c r="BE131" s="1074"/>
      <c r="BF131" s="1074"/>
      <c r="BG131" s="1074"/>
      <c r="BH131" s="1074"/>
      <c r="BI131" s="1074"/>
      <c r="BJ131" s="1074"/>
      <c r="BK131" s="1074"/>
      <c r="BL131" s="1074"/>
      <c r="BM131" s="1074"/>
      <c r="BN131" s="1074"/>
      <c r="BO131" s="1074"/>
      <c r="BP131" s="1074"/>
      <c r="BQ131" s="1074"/>
      <c r="BR131" s="1074"/>
      <c r="BS131" s="1074"/>
      <c r="BT131" s="1074"/>
      <c r="BU131" s="1074"/>
      <c r="BV131" s="1074"/>
      <c r="BW131" s="1074"/>
      <c r="BX131" s="1074"/>
      <c r="BY131" s="1074"/>
      <c r="BZ131" s="1074"/>
      <c r="CA131" s="1074"/>
      <c r="CB131" s="1074"/>
      <c r="CC131" s="1074"/>
      <c r="CD131" s="1074"/>
      <c r="CE131" s="1074"/>
      <c r="CF131" s="1074"/>
      <c r="CG131" s="1074"/>
      <c r="CH131" s="1074"/>
      <c r="CI131" s="1074"/>
      <c r="CJ131" s="1074"/>
      <c r="CK131" s="1074"/>
      <c r="CL131" s="1074"/>
      <c r="CM131" s="1074"/>
      <c r="CN131" s="1074"/>
      <c r="CO131" s="1074"/>
      <c r="CP131" s="1074"/>
      <c r="CQ131" s="1074"/>
      <c r="CR131" s="1074"/>
      <c r="CS131" s="1074"/>
      <c r="CT131" s="1074"/>
      <c r="CU131" s="1074"/>
      <c r="CV131" s="1074"/>
      <c r="CW131" s="1074"/>
      <c r="CX131" s="1074"/>
      <c r="CY131" s="1074"/>
      <c r="CZ131" s="1074"/>
      <c r="DA131" s="1074"/>
      <c r="DB131" s="1074"/>
      <c r="DC131" s="1074"/>
      <c r="DD131" s="1074"/>
      <c r="DE131" s="1074"/>
      <c r="DF131" s="1074"/>
      <c r="DG131" s="1074"/>
      <c r="DH131" s="1074"/>
      <c r="DI131" s="1074"/>
      <c r="DJ131" s="1074"/>
      <c r="DK131" s="1074"/>
      <c r="DL131" s="1074"/>
      <c r="DM131" s="1074"/>
      <c r="DN131" s="1074"/>
      <c r="DO131" s="1074"/>
      <c r="DP131" s="1074"/>
      <c r="DQ131" s="1074"/>
      <c r="DR131" s="1075"/>
    </row>
    <row r="132" spans="2:122">
      <c r="B132" s="1073"/>
      <c r="C132" s="1074"/>
      <c r="D132" s="1074"/>
      <c r="E132" s="1074"/>
      <c r="F132" s="1074"/>
      <c r="G132" s="1074"/>
      <c r="H132" s="1074"/>
      <c r="I132" s="1074"/>
      <c r="J132" s="1074"/>
      <c r="K132" s="1074"/>
      <c r="L132" s="1074"/>
      <c r="M132" s="1074"/>
      <c r="N132" s="1074"/>
      <c r="O132" s="1074"/>
      <c r="P132" s="1074"/>
      <c r="Q132" s="1074"/>
      <c r="R132" s="1074"/>
      <c r="S132" s="1074"/>
      <c r="T132" s="1074"/>
      <c r="U132" s="1074"/>
      <c r="V132" s="1074"/>
      <c r="W132" s="1074"/>
      <c r="X132" s="1074"/>
      <c r="Y132" s="1074"/>
      <c r="Z132" s="1074"/>
      <c r="AA132" s="1074"/>
      <c r="AB132" s="1074"/>
      <c r="AC132" s="1074"/>
      <c r="AD132" s="1074"/>
      <c r="AE132" s="1074"/>
      <c r="AF132" s="1074"/>
      <c r="AG132" s="1074"/>
      <c r="AH132" s="1074"/>
      <c r="AI132" s="1074"/>
      <c r="AJ132" s="1074"/>
      <c r="AK132" s="1074"/>
      <c r="AL132" s="1074"/>
      <c r="AM132" s="1074"/>
      <c r="AN132" s="1074"/>
      <c r="AO132" s="1074"/>
      <c r="AP132" s="1074"/>
      <c r="AQ132" s="1074"/>
      <c r="AR132" s="1074"/>
      <c r="AS132" s="1074"/>
      <c r="AT132" s="1074"/>
      <c r="AU132" s="1074"/>
      <c r="AV132" s="1074"/>
      <c r="AW132" s="1074"/>
      <c r="AX132" s="1074"/>
      <c r="AY132" s="1074"/>
      <c r="AZ132" s="1074"/>
      <c r="BA132" s="1074"/>
      <c r="BB132" s="1074"/>
      <c r="BC132" s="1074"/>
      <c r="BD132" s="1074"/>
      <c r="BE132" s="1074"/>
      <c r="BF132" s="1074"/>
      <c r="BG132" s="1074"/>
      <c r="BH132" s="1074"/>
      <c r="BI132" s="1074"/>
      <c r="BJ132" s="1074"/>
      <c r="BK132" s="1074"/>
      <c r="BL132" s="1074"/>
      <c r="BM132" s="1074"/>
      <c r="BN132" s="1074"/>
      <c r="BO132" s="1074"/>
      <c r="BP132" s="1074"/>
      <c r="BQ132" s="1074"/>
      <c r="BR132" s="1074"/>
      <c r="BS132" s="1074"/>
      <c r="BT132" s="1074"/>
      <c r="BU132" s="1074"/>
      <c r="BV132" s="1074"/>
      <c r="BW132" s="1074"/>
      <c r="BX132" s="1074"/>
      <c r="BY132" s="1074"/>
      <c r="BZ132" s="1074"/>
      <c r="CA132" s="1074"/>
      <c r="CB132" s="1074"/>
      <c r="CC132" s="1074"/>
      <c r="CD132" s="1074"/>
      <c r="CE132" s="1074"/>
      <c r="CF132" s="1074"/>
      <c r="CG132" s="1074"/>
      <c r="CH132" s="1074"/>
      <c r="CI132" s="1074"/>
      <c r="CJ132" s="1074"/>
      <c r="CK132" s="1074"/>
      <c r="CL132" s="1074"/>
      <c r="CM132" s="1074"/>
      <c r="CN132" s="1074"/>
      <c r="CO132" s="1074"/>
      <c r="CP132" s="1074"/>
      <c r="CQ132" s="1074"/>
      <c r="CR132" s="1074"/>
      <c r="CS132" s="1074"/>
      <c r="CT132" s="1074"/>
      <c r="CU132" s="1074"/>
      <c r="CV132" s="1074"/>
      <c r="CW132" s="1074"/>
      <c r="CX132" s="1074"/>
      <c r="CY132" s="1074"/>
      <c r="CZ132" s="1074"/>
      <c r="DA132" s="1074"/>
      <c r="DB132" s="1074"/>
      <c r="DC132" s="1074"/>
      <c r="DD132" s="1074"/>
      <c r="DE132" s="1074"/>
      <c r="DF132" s="1074"/>
      <c r="DG132" s="1074"/>
      <c r="DH132" s="1074"/>
      <c r="DI132" s="1074"/>
      <c r="DJ132" s="1074"/>
      <c r="DK132" s="1074"/>
      <c r="DL132" s="1074"/>
      <c r="DM132" s="1074"/>
      <c r="DN132" s="1074"/>
      <c r="DO132" s="1074"/>
      <c r="DP132" s="1074"/>
      <c r="DQ132" s="1074"/>
      <c r="DR132" s="1075"/>
    </row>
    <row r="133" spans="2:122">
      <c r="B133" s="1073"/>
      <c r="C133" s="1074"/>
      <c r="D133" s="1074"/>
      <c r="E133" s="1074"/>
      <c r="F133" s="1074"/>
      <c r="G133" s="1074"/>
      <c r="H133" s="1074"/>
      <c r="I133" s="1074"/>
      <c r="J133" s="1074"/>
      <c r="K133" s="1074"/>
      <c r="L133" s="1074"/>
      <c r="M133" s="1074"/>
      <c r="N133" s="1074"/>
      <c r="O133" s="1074"/>
      <c r="P133" s="1074"/>
      <c r="Q133" s="1074"/>
      <c r="R133" s="1074"/>
      <c r="S133" s="1074"/>
      <c r="T133" s="1074"/>
      <c r="U133" s="1074"/>
      <c r="V133" s="1074"/>
      <c r="W133" s="1074"/>
      <c r="X133" s="1074"/>
      <c r="Y133" s="1074"/>
      <c r="Z133" s="1074"/>
      <c r="AA133" s="1074"/>
      <c r="AB133" s="1074"/>
      <c r="AC133" s="1074"/>
      <c r="AD133" s="1074"/>
      <c r="AE133" s="1074"/>
      <c r="AF133" s="1074"/>
      <c r="AG133" s="1074"/>
      <c r="AH133" s="1074"/>
      <c r="AI133" s="1074"/>
      <c r="AJ133" s="1074"/>
      <c r="AK133" s="1074"/>
      <c r="AL133" s="1074"/>
      <c r="AM133" s="1074"/>
      <c r="AN133" s="1074"/>
      <c r="AO133" s="1074"/>
      <c r="AP133" s="1074"/>
      <c r="AQ133" s="1074"/>
      <c r="AR133" s="1074"/>
      <c r="AS133" s="1074"/>
      <c r="AT133" s="1074"/>
      <c r="AU133" s="1074"/>
      <c r="AV133" s="1074"/>
      <c r="AW133" s="1074"/>
      <c r="AX133" s="1074"/>
      <c r="AY133" s="1074"/>
      <c r="AZ133" s="1074"/>
      <c r="BA133" s="1074"/>
      <c r="BB133" s="1074"/>
      <c r="BC133" s="1074"/>
      <c r="BD133" s="1074"/>
      <c r="BE133" s="1074"/>
      <c r="BF133" s="1074"/>
      <c r="BG133" s="1074"/>
      <c r="BH133" s="1074"/>
      <c r="BI133" s="1074"/>
      <c r="BJ133" s="1074"/>
      <c r="BK133" s="1074"/>
      <c r="BL133" s="1074"/>
      <c r="BM133" s="1074"/>
      <c r="BN133" s="1074"/>
      <c r="BO133" s="1074"/>
      <c r="BP133" s="1074"/>
      <c r="BQ133" s="1074"/>
      <c r="BR133" s="1074"/>
      <c r="BS133" s="1074"/>
      <c r="BT133" s="1074"/>
      <c r="BU133" s="1074"/>
      <c r="BV133" s="1074"/>
      <c r="BW133" s="1074"/>
      <c r="BX133" s="1074"/>
      <c r="BY133" s="1074"/>
      <c r="BZ133" s="1074"/>
      <c r="CA133" s="1074"/>
      <c r="CB133" s="1074"/>
      <c r="CC133" s="1074"/>
      <c r="CD133" s="1074"/>
      <c r="CE133" s="1074"/>
      <c r="CF133" s="1074"/>
      <c r="CG133" s="1074"/>
      <c r="CH133" s="1074"/>
      <c r="CI133" s="1074"/>
      <c r="CJ133" s="1074"/>
      <c r="CK133" s="1074"/>
      <c r="CL133" s="1074"/>
      <c r="CM133" s="1074"/>
      <c r="CN133" s="1074"/>
      <c r="CO133" s="1074"/>
      <c r="CP133" s="1074"/>
      <c r="CQ133" s="1074"/>
      <c r="CR133" s="1074"/>
      <c r="CS133" s="1074"/>
      <c r="CT133" s="1074"/>
      <c r="CU133" s="1074"/>
      <c r="CV133" s="1074"/>
      <c r="CW133" s="1074"/>
      <c r="CX133" s="1074"/>
      <c r="CY133" s="1074"/>
      <c r="CZ133" s="1074"/>
      <c r="DA133" s="1074"/>
      <c r="DB133" s="1074"/>
      <c r="DC133" s="1074"/>
      <c r="DD133" s="1074"/>
      <c r="DE133" s="1074"/>
      <c r="DF133" s="1074"/>
      <c r="DG133" s="1074"/>
      <c r="DH133" s="1074"/>
      <c r="DI133" s="1074"/>
      <c r="DJ133" s="1074"/>
      <c r="DK133" s="1074"/>
      <c r="DL133" s="1074"/>
      <c r="DM133" s="1074"/>
      <c r="DN133" s="1074"/>
      <c r="DO133" s="1074"/>
      <c r="DP133" s="1074"/>
      <c r="DQ133" s="1074"/>
      <c r="DR133" s="1075"/>
    </row>
    <row r="134" spans="2:122">
      <c r="B134" s="1073"/>
      <c r="C134" s="1074"/>
      <c r="D134" s="1074"/>
      <c r="E134" s="1074"/>
      <c r="F134" s="1074"/>
      <c r="G134" s="1074"/>
      <c r="H134" s="1074"/>
      <c r="I134" s="1074"/>
      <c r="J134" s="1074"/>
      <c r="K134" s="1074"/>
      <c r="L134" s="1074"/>
      <c r="M134" s="1074"/>
      <c r="N134" s="1074"/>
      <c r="O134" s="1074"/>
      <c r="P134" s="1074"/>
      <c r="Q134" s="1074"/>
      <c r="R134" s="1074"/>
      <c r="S134" s="1074"/>
      <c r="T134" s="1074"/>
      <c r="U134" s="1074"/>
      <c r="V134" s="1074"/>
      <c r="W134" s="1074"/>
      <c r="X134" s="1074"/>
      <c r="Y134" s="1074"/>
      <c r="Z134" s="1074"/>
      <c r="AA134" s="1074"/>
      <c r="AB134" s="1074"/>
      <c r="AC134" s="1074"/>
      <c r="AD134" s="1074"/>
      <c r="AE134" s="1074"/>
      <c r="AF134" s="1074"/>
      <c r="AG134" s="1074"/>
      <c r="AH134" s="1074"/>
      <c r="AI134" s="1074"/>
      <c r="AJ134" s="1074"/>
      <c r="AK134" s="1074"/>
      <c r="AL134" s="1074"/>
      <c r="AM134" s="1074"/>
      <c r="AN134" s="1074"/>
      <c r="AO134" s="1074"/>
      <c r="AP134" s="1074"/>
      <c r="AQ134" s="1074"/>
      <c r="AR134" s="1074"/>
      <c r="AS134" s="1074"/>
      <c r="AT134" s="1074"/>
      <c r="AU134" s="1074"/>
      <c r="AV134" s="1074"/>
      <c r="AW134" s="1074"/>
      <c r="AX134" s="1074"/>
      <c r="AY134" s="1074"/>
      <c r="AZ134" s="1074"/>
      <c r="BA134" s="1074"/>
      <c r="BB134" s="1074"/>
      <c r="BC134" s="1074"/>
      <c r="BD134" s="1074"/>
      <c r="BE134" s="1074"/>
      <c r="BF134" s="1074"/>
      <c r="BG134" s="1074"/>
      <c r="BH134" s="1074"/>
      <c r="BI134" s="1074"/>
      <c r="BJ134" s="1074"/>
      <c r="BK134" s="1074"/>
      <c r="BL134" s="1074"/>
      <c r="BM134" s="1074"/>
      <c r="BN134" s="1074"/>
      <c r="BO134" s="1074"/>
      <c r="BP134" s="1074"/>
      <c r="BQ134" s="1074"/>
      <c r="BR134" s="1074"/>
      <c r="BS134" s="1074"/>
      <c r="BT134" s="1074"/>
      <c r="BU134" s="1074"/>
      <c r="BV134" s="1074"/>
      <c r="BW134" s="1074"/>
      <c r="BX134" s="1074"/>
      <c r="BY134" s="1074"/>
      <c r="BZ134" s="1074"/>
      <c r="CA134" s="1074"/>
      <c r="CB134" s="1074"/>
      <c r="CC134" s="1074"/>
      <c r="CD134" s="1074"/>
      <c r="CE134" s="1074"/>
      <c r="CF134" s="1074"/>
      <c r="CG134" s="1074"/>
      <c r="CH134" s="1074"/>
      <c r="CI134" s="1074"/>
      <c r="CJ134" s="1074"/>
      <c r="CK134" s="1074"/>
      <c r="CL134" s="1074"/>
      <c r="CM134" s="1074"/>
      <c r="CN134" s="1074"/>
      <c r="CO134" s="1074"/>
      <c r="CP134" s="1074"/>
      <c r="CQ134" s="1074"/>
      <c r="CR134" s="1074"/>
      <c r="CS134" s="1074"/>
      <c r="CT134" s="1074"/>
      <c r="CU134" s="1074"/>
      <c r="CV134" s="1074"/>
      <c r="CW134" s="1074"/>
      <c r="CX134" s="1074"/>
      <c r="CY134" s="1074"/>
      <c r="CZ134" s="1074"/>
      <c r="DA134" s="1074"/>
      <c r="DB134" s="1074"/>
      <c r="DC134" s="1074"/>
      <c r="DD134" s="1074"/>
      <c r="DE134" s="1074"/>
      <c r="DF134" s="1074"/>
      <c r="DG134" s="1074"/>
      <c r="DH134" s="1074"/>
      <c r="DI134" s="1074"/>
      <c r="DJ134" s="1074"/>
      <c r="DK134" s="1074"/>
      <c r="DL134" s="1074"/>
      <c r="DM134" s="1074"/>
      <c r="DN134" s="1074"/>
      <c r="DO134" s="1074"/>
      <c r="DP134" s="1074"/>
      <c r="DQ134" s="1074"/>
      <c r="DR134" s="1075"/>
    </row>
    <row r="135" spans="2:122">
      <c r="B135" s="1073"/>
      <c r="C135" s="1074"/>
      <c r="D135" s="1074"/>
      <c r="E135" s="1074"/>
      <c r="F135" s="1074"/>
      <c r="G135" s="1074"/>
      <c r="H135" s="1074"/>
      <c r="I135" s="1074"/>
      <c r="J135" s="1074"/>
      <c r="K135" s="1074"/>
      <c r="L135" s="1074"/>
      <c r="M135" s="1074"/>
      <c r="N135" s="1074"/>
      <c r="O135" s="1074"/>
      <c r="P135" s="1074"/>
      <c r="Q135" s="1074"/>
      <c r="R135" s="1074"/>
      <c r="S135" s="1074"/>
      <c r="T135" s="1074"/>
      <c r="U135" s="1074"/>
      <c r="V135" s="1074"/>
      <c r="W135" s="1074"/>
      <c r="X135" s="1074"/>
      <c r="Y135" s="1074"/>
      <c r="Z135" s="1074"/>
      <c r="AA135" s="1074"/>
      <c r="AB135" s="1074"/>
      <c r="AC135" s="1074"/>
      <c r="AD135" s="1074"/>
      <c r="AE135" s="1074"/>
      <c r="AF135" s="1074"/>
      <c r="AG135" s="1074"/>
      <c r="AH135" s="1074"/>
      <c r="AI135" s="1074"/>
      <c r="AJ135" s="1074"/>
      <c r="AK135" s="1074"/>
      <c r="AL135" s="1074"/>
      <c r="AM135" s="1074"/>
      <c r="AN135" s="1074"/>
      <c r="AO135" s="1074"/>
      <c r="AP135" s="1074"/>
      <c r="AQ135" s="1074"/>
      <c r="AR135" s="1074"/>
      <c r="AS135" s="1074"/>
      <c r="AT135" s="1074"/>
      <c r="AU135" s="1074"/>
      <c r="AV135" s="1074"/>
      <c r="AW135" s="1074"/>
      <c r="AX135" s="1074"/>
      <c r="AY135" s="1074"/>
      <c r="AZ135" s="1074"/>
      <c r="BA135" s="1074"/>
      <c r="BB135" s="1074"/>
      <c r="BC135" s="1074"/>
      <c r="BD135" s="1074"/>
      <c r="BE135" s="1074"/>
      <c r="BF135" s="1074"/>
      <c r="BG135" s="1074"/>
      <c r="BH135" s="1074"/>
      <c r="BI135" s="1074"/>
      <c r="BJ135" s="1074"/>
      <c r="BK135" s="1074"/>
      <c r="BL135" s="1074"/>
      <c r="BM135" s="1074"/>
      <c r="BN135" s="1074"/>
      <c r="BO135" s="1074"/>
      <c r="BP135" s="1074"/>
      <c r="BQ135" s="1074"/>
      <c r="BR135" s="1074"/>
      <c r="BS135" s="1074"/>
      <c r="BT135" s="1074"/>
      <c r="BU135" s="1074"/>
      <c r="BV135" s="1074"/>
      <c r="BW135" s="1074"/>
      <c r="BX135" s="1074"/>
      <c r="BY135" s="1074"/>
      <c r="BZ135" s="1074"/>
      <c r="CA135" s="1074"/>
      <c r="CB135" s="1074"/>
      <c r="CC135" s="1074"/>
      <c r="CD135" s="1074"/>
      <c r="CE135" s="1074"/>
      <c r="CF135" s="1074"/>
      <c r="CG135" s="1074"/>
      <c r="CH135" s="1074"/>
      <c r="CI135" s="1074"/>
      <c r="CJ135" s="1074"/>
      <c r="CK135" s="1074"/>
      <c r="CL135" s="1074"/>
      <c r="CM135" s="1074"/>
      <c r="CN135" s="1074"/>
      <c r="CO135" s="1074"/>
      <c r="CP135" s="1074"/>
      <c r="CQ135" s="1074"/>
      <c r="CR135" s="1074"/>
      <c r="CS135" s="1074"/>
      <c r="CT135" s="1074"/>
      <c r="CU135" s="1074"/>
      <c r="CV135" s="1074"/>
      <c r="CW135" s="1074"/>
      <c r="CX135" s="1074"/>
      <c r="CY135" s="1074"/>
      <c r="CZ135" s="1074"/>
      <c r="DA135" s="1074"/>
      <c r="DB135" s="1074"/>
      <c r="DC135" s="1074"/>
      <c r="DD135" s="1074"/>
      <c r="DE135" s="1074"/>
      <c r="DF135" s="1074"/>
      <c r="DG135" s="1074"/>
      <c r="DH135" s="1074"/>
      <c r="DI135" s="1074"/>
      <c r="DJ135" s="1074"/>
      <c r="DK135" s="1074"/>
      <c r="DL135" s="1074"/>
      <c r="DM135" s="1074"/>
      <c r="DN135" s="1074"/>
      <c r="DO135" s="1074"/>
      <c r="DP135" s="1074"/>
      <c r="DQ135" s="1074"/>
      <c r="DR135" s="1075"/>
    </row>
    <row r="136" spans="2:122">
      <c r="B136" s="1073"/>
      <c r="C136" s="1074"/>
      <c r="D136" s="1074"/>
      <c r="E136" s="1074"/>
      <c r="F136" s="1074"/>
      <c r="G136" s="1074"/>
      <c r="H136" s="1074"/>
      <c r="I136" s="1074"/>
      <c r="J136" s="1074"/>
      <c r="K136" s="1074"/>
      <c r="L136" s="1074"/>
      <c r="M136" s="1074"/>
      <c r="N136" s="1074"/>
      <c r="O136" s="1074"/>
      <c r="P136" s="1074"/>
      <c r="Q136" s="1074"/>
      <c r="R136" s="1074"/>
      <c r="S136" s="1074"/>
      <c r="T136" s="1074"/>
      <c r="U136" s="1074"/>
      <c r="V136" s="1074"/>
      <c r="W136" s="1074"/>
      <c r="X136" s="1074"/>
      <c r="Y136" s="1074"/>
      <c r="Z136" s="1074"/>
      <c r="AA136" s="1074"/>
      <c r="AB136" s="1074"/>
      <c r="AC136" s="1074"/>
      <c r="AD136" s="1074"/>
      <c r="AE136" s="1074"/>
      <c r="AF136" s="1074"/>
      <c r="AG136" s="1074"/>
      <c r="AH136" s="1074"/>
      <c r="AI136" s="1074"/>
      <c r="AJ136" s="1074"/>
      <c r="AK136" s="1074"/>
      <c r="AL136" s="1074"/>
      <c r="AM136" s="1074"/>
      <c r="AN136" s="1074"/>
      <c r="AO136" s="1074"/>
      <c r="AP136" s="1074"/>
      <c r="AQ136" s="1074"/>
      <c r="AR136" s="1074"/>
      <c r="AS136" s="1074"/>
      <c r="AT136" s="1074"/>
      <c r="AU136" s="1074"/>
      <c r="AV136" s="1074"/>
      <c r="AW136" s="1074"/>
      <c r="AX136" s="1074"/>
      <c r="AY136" s="1074"/>
      <c r="AZ136" s="1074"/>
      <c r="BA136" s="1074"/>
      <c r="BB136" s="1074"/>
      <c r="BC136" s="1074"/>
      <c r="BD136" s="1074"/>
      <c r="BE136" s="1074"/>
      <c r="BF136" s="1074"/>
      <c r="BG136" s="1074"/>
      <c r="BH136" s="1074"/>
      <c r="BI136" s="1074"/>
      <c r="BJ136" s="1074"/>
      <c r="BK136" s="1074"/>
      <c r="BL136" s="1074"/>
      <c r="BM136" s="1074"/>
      <c r="BN136" s="1074"/>
      <c r="BO136" s="1074"/>
      <c r="BP136" s="1074"/>
      <c r="BQ136" s="1074"/>
      <c r="BR136" s="1074"/>
      <c r="BS136" s="1074"/>
      <c r="BT136" s="1074"/>
      <c r="BU136" s="1074"/>
      <c r="BV136" s="1074"/>
      <c r="BW136" s="1074"/>
      <c r="BX136" s="1074"/>
      <c r="BY136" s="1074"/>
      <c r="BZ136" s="1074"/>
      <c r="CA136" s="1074"/>
      <c r="CB136" s="1074"/>
      <c r="CC136" s="1074"/>
      <c r="CD136" s="1074"/>
      <c r="CE136" s="1074"/>
      <c r="CF136" s="1074"/>
      <c r="CG136" s="1074"/>
      <c r="CH136" s="1074"/>
      <c r="CI136" s="1074"/>
      <c r="CJ136" s="1074"/>
      <c r="CK136" s="1074"/>
      <c r="CL136" s="1074"/>
      <c r="CM136" s="1074"/>
      <c r="CN136" s="1074"/>
      <c r="CO136" s="1074"/>
      <c r="CP136" s="1074"/>
      <c r="CQ136" s="1074"/>
      <c r="CR136" s="1074"/>
      <c r="CS136" s="1074"/>
      <c r="CT136" s="1074"/>
      <c r="CU136" s="1074"/>
      <c r="CV136" s="1074"/>
      <c r="CW136" s="1074"/>
      <c r="CX136" s="1074"/>
      <c r="CY136" s="1074"/>
      <c r="CZ136" s="1074"/>
      <c r="DA136" s="1074"/>
      <c r="DB136" s="1074"/>
      <c r="DC136" s="1074"/>
      <c r="DD136" s="1074"/>
      <c r="DE136" s="1074"/>
      <c r="DF136" s="1074"/>
      <c r="DG136" s="1074"/>
      <c r="DH136" s="1074"/>
      <c r="DI136" s="1074"/>
      <c r="DJ136" s="1074"/>
      <c r="DK136" s="1074"/>
      <c r="DL136" s="1074"/>
      <c r="DM136" s="1074"/>
      <c r="DN136" s="1074"/>
      <c r="DO136" s="1074"/>
      <c r="DP136" s="1074"/>
      <c r="DQ136" s="1074"/>
      <c r="DR136" s="1075"/>
    </row>
    <row r="137" spans="2:122">
      <c r="B137" s="1073"/>
      <c r="C137" s="1074"/>
      <c r="D137" s="1074"/>
      <c r="E137" s="1074"/>
      <c r="F137" s="1074"/>
      <c r="G137" s="1074"/>
      <c r="H137" s="1074"/>
      <c r="I137" s="1074"/>
      <c r="J137" s="1074"/>
      <c r="K137" s="1074"/>
      <c r="L137" s="1074"/>
      <c r="M137" s="1074"/>
      <c r="N137" s="1074"/>
      <c r="O137" s="1074"/>
      <c r="P137" s="1074"/>
      <c r="Q137" s="1074"/>
      <c r="R137" s="1074"/>
      <c r="S137" s="1074"/>
      <c r="T137" s="1074"/>
      <c r="U137" s="1074"/>
      <c r="V137" s="1074"/>
      <c r="W137" s="1074"/>
      <c r="X137" s="1074"/>
      <c r="Y137" s="1074"/>
      <c r="Z137" s="1074"/>
      <c r="AA137" s="1074"/>
      <c r="AB137" s="1074"/>
      <c r="AC137" s="1074"/>
      <c r="AD137" s="1074"/>
      <c r="AE137" s="1074"/>
      <c r="AF137" s="1074"/>
      <c r="AG137" s="1074"/>
      <c r="AH137" s="1074"/>
      <c r="AI137" s="1074"/>
      <c r="AJ137" s="1074"/>
      <c r="AK137" s="1074"/>
      <c r="AL137" s="1074"/>
      <c r="AM137" s="1074"/>
      <c r="AN137" s="1074"/>
      <c r="AO137" s="1074"/>
      <c r="AP137" s="1074"/>
      <c r="AQ137" s="1074"/>
      <c r="AR137" s="1074"/>
      <c r="AS137" s="1074"/>
      <c r="AT137" s="1074"/>
      <c r="AU137" s="1074"/>
      <c r="AV137" s="1074"/>
      <c r="AW137" s="1074"/>
      <c r="AX137" s="1074"/>
      <c r="AY137" s="1074"/>
      <c r="AZ137" s="1074"/>
      <c r="BA137" s="1074"/>
      <c r="BB137" s="1074"/>
      <c r="BC137" s="1074"/>
      <c r="BD137" s="1074"/>
      <c r="BE137" s="1074"/>
      <c r="BF137" s="1074"/>
      <c r="BG137" s="1074"/>
      <c r="BH137" s="1074"/>
      <c r="BI137" s="1074"/>
      <c r="BJ137" s="1074"/>
      <c r="BK137" s="1074"/>
      <c r="BL137" s="1074"/>
      <c r="BM137" s="1074"/>
      <c r="BN137" s="1074"/>
      <c r="BO137" s="1074"/>
      <c r="BP137" s="1074"/>
      <c r="BQ137" s="1074"/>
      <c r="BR137" s="1074"/>
      <c r="BS137" s="1074"/>
      <c r="BT137" s="1074"/>
      <c r="BU137" s="1074"/>
      <c r="BV137" s="1074"/>
      <c r="BW137" s="1074"/>
      <c r="BX137" s="1074"/>
      <c r="BY137" s="1074"/>
      <c r="BZ137" s="1074"/>
      <c r="CA137" s="1074"/>
      <c r="CB137" s="1074"/>
      <c r="CC137" s="1074"/>
      <c r="CD137" s="1074"/>
      <c r="CE137" s="1074"/>
      <c r="CF137" s="1074"/>
      <c r="CG137" s="1074"/>
      <c r="CH137" s="1074"/>
      <c r="CI137" s="1074"/>
      <c r="CJ137" s="1074"/>
      <c r="CK137" s="1074"/>
      <c r="CL137" s="1074"/>
      <c r="CM137" s="1074"/>
      <c r="CN137" s="1074"/>
      <c r="CO137" s="1074"/>
      <c r="CP137" s="1074"/>
      <c r="CQ137" s="1074"/>
      <c r="CR137" s="1074"/>
      <c r="CS137" s="1074"/>
      <c r="CT137" s="1074"/>
      <c r="CU137" s="1074"/>
      <c r="CV137" s="1074"/>
      <c r="CW137" s="1074"/>
      <c r="CX137" s="1074"/>
      <c r="CY137" s="1074"/>
      <c r="CZ137" s="1074"/>
      <c r="DA137" s="1074"/>
      <c r="DB137" s="1074"/>
      <c r="DC137" s="1074"/>
      <c r="DD137" s="1074"/>
      <c r="DE137" s="1074"/>
      <c r="DF137" s="1074"/>
      <c r="DG137" s="1074"/>
      <c r="DH137" s="1074"/>
      <c r="DI137" s="1074"/>
      <c r="DJ137" s="1074"/>
      <c r="DK137" s="1074"/>
      <c r="DL137" s="1074"/>
      <c r="DM137" s="1074"/>
      <c r="DN137" s="1074"/>
      <c r="DO137" s="1074"/>
      <c r="DP137" s="1074"/>
      <c r="DQ137" s="1074"/>
      <c r="DR137" s="1075"/>
    </row>
    <row r="138" spans="2:122">
      <c r="B138" s="1073"/>
      <c r="C138" s="1074"/>
      <c r="D138" s="1074"/>
      <c r="E138" s="1074"/>
      <c r="F138" s="1074"/>
      <c r="G138" s="1074"/>
      <c r="H138" s="1074"/>
      <c r="I138" s="1074"/>
      <c r="J138" s="1074"/>
      <c r="K138" s="1074"/>
      <c r="L138" s="1074"/>
      <c r="M138" s="1074"/>
      <c r="N138" s="1074"/>
      <c r="O138" s="1074"/>
      <c r="P138" s="1074"/>
      <c r="Q138" s="1074"/>
      <c r="R138" s="1074"/>
      <c r="S138" s="1074"/>
      <c r="T138" s="1074"/>
      <c r="U138" s="1074"/>
      <c r="V138" s="1074"/>
      <c r="W138" s="1074"/>
      <c r="X138" s="1074"/>
      <c r="Y138" s="1074"/>
      <c r="Z138" s="1074"/>
      <c r="AA138" s="1074"/>
      <c r="AB138" s="1074"/>
      <c r="AC138" s="1074"/>
      <c r="AD138" s="1074"/>
      <c r="AE138" s="1074"/>
      <c r="AF138" s="1074"/>
      <c r="AG138" s="1074"/>
      <c r="AH138" s="1074"/>
      <c r="AI138" s="1074"/>
      <c r="AJ138" s="1074"/>
      <c r="AK138" s="1074"/>
      <c r="AL138" s="1074"/>
      <c r="AM138" s="1074"/>
      <c r="AN138" s="1074"/>
      <c r="AO138" s="1074"/>
      <c r="AP138" s="1074"/>
      <c r="AQ138" s="1074"/>
      <c r="AR138" s="1074"/>
      <c r="AS138" s="1074"/>
      <c r="AT138" s="1074"/>
      <c r="AU138" s="1074"/>
      <c r="AV138" s="1074"/>
      <c r="AW138" s="1074"/>
      <c r="AX138" s="1074"/>
      <c r="AY138" s="1074"/>
      <c r="AZ138" s="1074"/>
      <c r="BA138" s="1074"/>
      <c r="BB138" s="1074"/>
      <c r="BC138" s="1074"/>
      <c r="BD138" s="1074"/>
      <c r="BE138" s="1074"/>
      <c r="BF138" s="1074"/>
      <c r="BG138" s="1074"/>
      <c r="BH138" s="1074"/>
      <c r="BI138" s="1074"/>
      <c r="BJ138" s="1074"/>
      <c r="BK138" s="1074"/>
      <c r="BL138" s="1074"/>
      <c r="BM138" s="1074"/>
      <c r="BN138" s="1074"/>
      <c r="BO138" s="1074"/>
      <c r="BP138" s="1074"/>
      <c r="BQ138" s="1074"/>
      <c r="BR138" s="1074"/>
      <c r="BS138" s="1074"/>
      <c r="BT138" s="1074"/>
      <c r="BU138" s="1074"/>
      <c r="BV138" s="1074"/>
      <c r="BW138" s="1074"/>
      <c r="BX138" s="1074"/>
      <c r="BY138" s="1074"/>
      <c r="BZ138" s="1074"/>
      <c r="CA138" s="1074"/>
      <c r="CB138" s="1074"/>
      <c r="CC138" s="1074"/>
      <c r="CD138" s="1074"/>
      <c r="CE138" s="1074"/>
      <c r="CF138" s="1074"/>
      <c r="CG138" s="1074"/>
      <c r="CH138" s="1074"/>
      <c r="CI138" s="1074"/>
      <c r="CJ138" s="1074"/>
      <c r="CK138" s="1074"/>
      <c r="CL138" s="1074"/>
      <c r="CM138" s="1074"/>
      <c r="CN138" s="1074"/>
      <c r="CO138" s="1074"/>
      <c r="CP138" s="1074"/>
      <c r="CQ138" s="1074"/>
      <c r="CR138" s="1074"/>
      <c r="CS138" s="1074"/>
      <c r="CT138" s="1074"/>
      <c r="CU138" s="1074"/>
      <c r="CV138" s="1074"/>
      <c r="CW138" s="1074"/>
      <c r="CX138" s="1074"/>
      <c r="CY138" s="1074"/>
      <c r="CZ138" s="1074"/>
      <c r="DA138" s="1074"/>
      <c r="DB138" s="1074"/>
      <c r="DC138" s="1074"/>
      <c r="DD138" s="1074"/>
      <c r="DE138" s="1074"/>
      <c r="DF138" s="1074"/>
      <c r="DG138" s="1074"/>
      <c r="DH138" s="1074"/>
      <c r="DI138" s="1074"/>
      <c r="DJ138" s="1074"/>
      <c r="DK138" s="1074"/>
      <c r="DL138" s="1074"/>
      <c r="DM138" s="1074"/>
      <c r="DN138" s="1074"/>
      <c r="DO138" s="1074"/>
      <c r="DP138" s="1074"/>
      <c r="DQ138" s="1074"/>
      <c r="DR138" s="1075"/>
    </row>
    <row r="139" spans="2:122">
      <c r="B139" s="1073"/>
      <c r="C139" s="1074"/>
      <c r="D139" s="1074"/>
      <c r="E139" s="1074"/>
      <c r="F139" s="1074"/>
      <c r="G139" s="1074"/>
      <c r="H139" s="1074"/>
      <c r="I139" s="1074"/>
      <c r="J139" s="1074"/>
      <c r="K139" s="1074"/>
      <c r="L139" s="1074"/>
      <c r="M139" s="1074"/>
      <c r="N139" s="1074"/>
      <c r="O139" s="1074"/>
      <c r="P139" s="1074"/>
      <c r="Q139" s="1074"/>
      <c r="R139" s="1074"/>
      <c r="S139" s="1074"/>
      <c r="T139" s="1074"/>
      <c r="U139" s="1074"/>
      <c r="V139" s="1074"/>
      <c r="W139" s="1074"/>
      <c r="X139" s="1074"/>
      <c r="Y139" s="1074"/>
      <c r="Z139" s="1074"/>
      <c r="AA139" s="1074"/>
      <c r="AB139" s="1074"/>
      <c r="AC139" s="1074"/>
      <c r="AD139" s="1074"/>
      <c r="AE139" s="1074"/>
      <c r="AF139" s="1074"/>
      <c r="AG139" s="1074"/>
      <c r="AH139" s="1074"/>
      <c r="AI139" s="1074"/>
      <c r="AJ139" s="1074"/>
      <c r="AK139" s="1074"/>
      <c r="AL139" s="1074"/>
      <c r="AM139" s="1074"/>
      <c r="AN139" s="1074"/>
      <c r="AO139" s="1074"/>
      <c r="AP139" s="1074"/>
      <c r="AQ139" s="1074"/>
      <c r="AR139" s="1074"/>
      <c r="AS139" s="1074"/>
      <c r="AT139" s="1074"/>
      <c r="AU139" s="1074"/>
      <c r="AV139" s="1074"/>
      <c r="AW139" s="1074"/>
      <c r="AX139" s="1074"/>
      <c r="AY139" s="1074"/>
      <c r="AZ139" s="1074"/>
      <c r="BA139" s="1074"/>
      <c r="BB139" s="1074"/>
      <c r="BC139" s="1074"/>
      <c r="BD139" s="1074"/>
      <c r="BE139" s="1074"/>
      <c r="BF139" s="1074"/>
      <c r="BG139" s="1074"/>
      <c r="BH139" s="1074"/>
      <c r="BI139" s="1074"/>
      <c r="BJ139" s="1074"/>
      <c r="BK139" s="1074"/>
      <c r="BL139" s="1074"/>
      <c r="BM139" s="1074"/>
      <c r="BN139" s="1074"/>
      <c r="BO139" s="1074"/>
      <c r="BP139" s="1074"/>
      <c r="BQ139" s="1074"/>
      <c r="BR139" s="1074"/>
      <c r="BS139" s="1074"/>
      <c r="BT139" s="1074"/>
      <c r="BU139" s="1074"/>
      <c r="BV139" s="1074"/>
      <c r="BW139" s="1074"/>
      <c r="BX139" s="1074"/>
      <c r="BY139" s="1074"/>
      <c r="BZ139" s="1074"/>
      <c r="CA139" s="1074"/>
      <c r="CB139" s="1074"/>
      <c r="CC139" s="1074"/>
      <c r="CD139" s="1074"/>
      <c r="CE139" s="1074"/>
      <c r="CF139" s="1074"/>
      <c r="CG139" s="1074"/>
      <c r="CH139" s="1074"/>
      <c r="CI139" s="1074"/>
      <c r="CJ139" s="1074"/>
      <c r="CK139" s="1074"/>
      <c r="CL139" s="1074"/>
      <c r="CM139" s="1074"/>
      <c r="CN139" s="1074"/>
      <c r="CO139" s="1074"/>
      <c r="CP139" s="1074"/>
      <c r="CQ139" s="1074"/>
      <c r="CR139" s="1074"/>
      <c r="CS139" s="1074"/>
      <c r="CT139" s="1074"/>
      <c r="CU139" s="1074"/>
      <c r="CV139" s="1074"/>
      <c r="CW139" s="1074"/>
      <c r="CX139" s="1074"/>
      <c r="CY139" s="1074"/>
      <c r="CZ139" s="1074"/>
      <c r="DA139" s="1074"/>
      <c r="DB139" s="1074"/>
      <c r="DC139" s="1074"/>
      <c r="DD139" s="1074"/>
      <c r="DE139" s="1074"/>
      <c r="DF139" s="1074"/>
      <c r="DG139" s="1074"/>
      <c r="DH139" s="1074"/>
      <c r="DI139" s="1074"/>
      <c r="DJ139" s="1074"/>
      <c r="DK139" s="1074"/>
      <c r="DL139" s="1074"/>
      <c r="DM139" s="1074"/>
      <c r="DN139" s="1074"/>
      <c r="DO139" s="1074"/>
      <c r="DP139" s="1074"/>
      <c r="DQ139" s="1074"/>
      <c r="DR139" s="1075"/>
    </row>
    <row r="140" spans="2:122">
      <c r="B140" s="1073"/>
      <c r="C140" s="1074"/>
      <c r="D140" s="1074"/>
      <c r="E140" s="1074"/>
      <c r="F140" s="1074"/>
      <c r="G140" s="1074"/>
      <c r="H140" s="1074"/>
      <c r="I140" s="1074"/>
      <c r="J140" s="1074"/>
      <c r="K140" s="1074"/>
      <c r="L140" s="1074"/>
      <c r="M140" s="1074"/>
      <c r="N140" s="1074"/>
      <c r="O140" s="1074"/>
      <c r="P140" s="1074"/>
      <c r="Q140" s="1074"/>
      <c r="R140" s="1074"/>
      <c r="S140" s="1074"/>
      <c r="T140" s="1074"/>
      <c r="U140" s="1074"/>
      <c r="V140" s="1074"/>
      <c r="W140" s="1074"/>
      <c r="X140" s="1074"/>
      <c r="Y140" s="1074"/>
      <c r="Z140" s="1074"/>
      <c r="AA140" s="1074"/>
      <c r="AB140" s="1074"/>
      <c r="AC140" s="1074"/>
      <c r="AD140" s="1074"/>
      <c r="AE140" s="1074"/>
      <c r="AF140" s="1074"/>
      <c r="AG140" s="1074"/>
      <c r="AH140" s="1074"/>
      <c r="AI140" s="1074"/>
      <c r="AJ140" s="1074"/>
      <c r="AK140" s="1074"/>
      <c r="AL140" s="1074"/>
      <c r="AM140" s="1074"/>
      <c r="AN140" s="1074"/>
      <c r="AO140" s="1074"/>
      <c r="AP140" s="1074"/>
      <c r="AQ140" s="1074"/>
      <c r="AR140" s="1074"/>
      <c r="AS140" s="1074"/>
      <c r="AT140" s="1074"/>
      <c r="AU140" s="1074"/>
      <c r="AV140" s="1074"/>
      <c r="AW140" s="1074"/>
      <c r="AX140" s="1074"/>
      <c r="AY140" s="1074"/>
      <c r="AZ140" s="1074"/>
      <c r="BA140" s="1074"/>
      <c r="BB140" s="1074"/>
      <c r="BC140" s="1074"/>
      <c r="BD140" s="1074"/>
      <c r="BE140" s="1074"/>
      <c r="BF140" s="1074"/>
      <c r="BG140" s="1074"/>
      <c r="BH140" s="1074"/>
      <c r="BI140" s="1074"/>
      <c r="BJ140" s="1074"/>
      <c r="BK140" s="1074"/>
      <c r="BL140" s="1074"/>
      <c r="BM140" s="1074"/>
      <c r="BN140" s="1074"/>
      <c r="BO140" s="1074"/>
      <c r="BP140" s="1074"/>
      <c r="BQ140" s="1074"/>
      <c r="BR140" s="1074"/>
      <c r="BS140" s="1074"/>
      <c r="BT140" s="1074"/>
      <c r="BU140" s="1074"/>
      <c r="BV140" s="1074"/>
      <c r="BW140" s="1074"/>
      <c r="BX140" s="1074"/>
      <c r="BY140" s="1074"/>
      <c r="BZ140" s="1074"/>
      <c r="CA140" s="1074"/>
      <c r="CB140" s="1074"/>
      <c r="CC140" s="1074"/>
      <c r="CD140" s="1074"/>
      <c r="CE140" s="1074"/>
      <c r="CF140" s="1074"/>
      <c r="CG140" s="1074"/>
      <c r="CH140" s="1074"/>
      <c r="CI140" s="1074"/>
      <c r="CJ140" s="1074"/>
      <c r="CK140" s="1074"/>
      <c r="CL140" s="1074"/>
      <c r="CM140" s="1074"/>
      <c r="CN140" s="1074"/>
      <c r="CO140" s="1074"/>
      <c r="CP140" s="1074"/>
      <c r="CQ140" s="1074"/>
      <c r="CR140" s="1074"/>
      <c r="CS140" s="1074"/>
      <c r="CT140" s="1074"/>
      <c r="CU140" s="1074"/>
      <c r="CV140" s="1074"/>
      <c r="CW140" s="1074"/>
      <c r="CX140" s="1074"/>
      <c r="CY140" s="1074"/>
      <c r="CZ140" s="1074"/>
      <c r="DA140" s="1074"/>
      <c r="DB140" s="1074"/>
      <c r="DC140" s="1074"/>
      <c r="DD140" s="1074"/>
      <c r="DE140" s="1074"/>
      <c r="DF140" s="1074"/>
      <c r="DG140" s="1074"/>
      <c r="DH140" s="1074"/>
      <c r="DI140" s="1074"/>
      <c r="DJ140" s="1074"/>
      <c r="DK140" s="1074"/>
      <c r="DL140" s="1074"/>
      <c r="DM140" s="1074"/>
      <c r="DN140" s="1074"/>
      <c r="DO140" s="1074"/>
      <c r="DP140" s="1074"/>
      <c r="DQ140" s="1074"/>
      <c r="DR140" s="1075"/>
    </row>
    <row r="141" spans="2:122">
      <c r="B141" s="1073"/>
      <c r="C141" s="1074"/>
      <c r="D141" s="1074"/>
      <c r="E141" s="1074"/>
      <c r="F141" s="1074"/>
      <c r="G141" s="1074"/>
      <c r="H141" s="1074"/>
      <c r="I141" s="1074"/>
      <c r="J141" s="1074"/>
      <c r="K141" s="1074"/>
      <c r="L141" s="1074"/>
      <c r="M141" s="1074"/>
      <c r="N141" s="1074"/>
      <c r="O141" s="1074"/>
      <c r="P141" s="1074"/>
      <c r="Q141" s="1074"/>
      <c r="R141" s="1074"/>
      <c r="S141" s="1074"/>
      <c r="T141" s="1074"/>
      <c r="U141" s="1074"/>
      <c r="V141" s="1074"/>
      <c r="W141" s="1074"/>
      <c r="X141" s="1074"/>
      <c r="Y141" s="1074"/>
      <c r="Z141" s="1074"/>
      <c r="AA141" s="1074"/>
      <c r="AB141" s="1074"/>
      <c r="AC141" s="1074"/>
      <c r="AD141" s="1074"/>
      <c r="AE141" s="1074"/>
      <c r="AF141" s="1074"/>
      <c r="AG141" s="1074"/>
      <c r="AH141" s="1074"/>
      <c r="AI141" s="1074"/>
      <c r="AJ141" s="1074"/>
      <c r="AK141" s="1074"/>
      <c r="AL141" s="1074"/>
      <c r="AM141" s="1074"/>
      <c r="AN141" s="1074"/>
      <c r="AO141" s="1074"/>
      <c r="AP141" s="1074"/>
      <c r="AQ141" s="1074"/>
      <c r="AR141" s="1074"/>
      <c r="AS141" s="1074"/>
      <c r="AT141" s="1074"/>
      <c r="AU141" s="1074"/>
      <c r="AV141" s="1074"/>
      <c r="AW141" s="1074"/>
      <c r="AX141" s="1074"/>
      <c r="AY141" s="1074"/>
      <c r="AZ141" s="1074"/>
      <c r="BA141" s="1074"/>
      <c r="BB141" s="1074"/>
      <c r="BC141" s="1074"/>
      <c r="BD141" s="1074"/>
      <c r="BE141" s="1074"/>
      <c r="BF141" s="1074"/>
      <c r="BG141" s="1074"/>
      <c r="BH141" s="1074"/>
      <c r="BI141" s="1074"/>
      <c r="BJ141" s="1074"/>
      <c r="BK141" s="1074"/>
      <c r="BL141" s="1074"/>
      <c r="BM141" s="1074"/>
      <c r="BN141" s="1074"/>
      <c r="BO141" s="1074"/>
      <c r="BP141" s="1074"/>
      <c r="BQ141" s="1074"/>
      <c r="BR141" s="1074"/>
      <c r="BS141" s="1074"/>
      <c r="BT141" s="1074"/>
      <c r="BU141" s="1074"/>
      <c r="BV141" s="1074"/>
      <c r="BW141" s="1074"/>
      <c r="BX141" s="1074"/>
      <c r="BY141" s="1074"/>
      <c r="BZ141" s="1074"/>
      <c r="CA141" s="1074"/>
      <c r="CB141" s="1074"/>
      <c r="CC141" s="1074"/>
      <c r="CD141" s="1074"/>
      <c r="CE141" s="1074"/>
      <c r="CF141" s="1074"/>
      <c r="CG141" s="1074"/>
      <c r="CH141" s="1074"/>
      <c r="CI141" s="1074"/>
      <c r="CJ141" s="1074"/>
      <c r="CK141" s="1074"/>
      <c r="CL141" s="1074"/>
      <c r="CM141" s="1074"/>
      <c r="CN141" s="1074"/>
      <c r="CO141" s="1074"/>
      <c r="CP141" s="1074"/>
      <c r="CQ141" s="1074"/>
      <c r="CR141" s="1074"/>
      <c r="CS141" s="1074"/>
      <c r="CT141" s="1074"/>
      <c r="CU141" s="1074"/>
      <c r="CV141" s="1074"/>
      <c r="CW141" s="1074"/>
      <c r="CX141" s="1074"/>
      <c r="CY141" s="1074"/>
      <c r="CZ141" s="1074"/>
      <c r="DA141" s="1074"/>
      <c r="DB141" s="1074"/>
      <c r="DC141" s="1074"/>
      <c r="DD141" s="1074"/>
      <c r="DE141" s="1074"/>
      <c r="DF141" s="1074"/>
      <c r="DG141" s="1074"/>
      <c r="DH141" s="1074"/>
      <c r="DI141" s="1074"/>
      <c r="DJ141" s="1074"/>
      <c r="DK141" s="1074"/>
      <c r="DL141" s="1074"/>
      <c r="DM141" s="1074"/>
      <c r="DN141" s="1074"/>
      <c r="DO141" s="1074"/>
      <c r="DP141" s="1074"/>
      <c r="DQ141" s="1074"/>
      <c r="DR141" s="1075"/>
    </row>
    <row r="142" spans="2:122">
      <c r="B142" s="1073"/>
      <c r="C142" s="1074"/>
      <c r="D142" s="1074"/>
      <c r="E142" s="1074"/>
      <c r="F142" s="1074"/>
      <c r="G142" s="1074"/>
      <c r="H142" s="1074"/>
      <c r="I142" s="1074"/>
      <c r="J142" s="1074"/>
      <c r="K142" s="1074"/>
      <c r="L142" s="1074"/>
      <c r="M142" s="1074"/>
      <c r="N142" s="1074"/>
      <c r="O142" s="1074"/>
      <c r="P142" s="1074"/>
      <c r="Q142" s="1074"/>
      <c r="R142" s="1074"/>
      <c r="S142" s="1074"/>
      <c r="T142" s="1074"/>
      <c r="U142" s="1074"/>
      <c r="V142" s="1074"/>
      <c r="W142" s="1074"/>
      <c r="X142" s="1074"/>
      <c r="Y142" s="1074"/>
      <c r="Z142" s="1074"/>
      <c r="AA142" s="1074"/>
      <c r="AB142" s="1074"/>
      <c r="AC142" s="1074"/>
      <c r="AD142" s="1074"/>
      <c r="AE142" s="1074"/>
      <c r="AF142" s="1074"/>
      <c r="AG142" s="1074"/>
      <c r="AH142" s="1074"/>
      <c r="AI142" s="1074"/>
      <c r="AJ142" s="1074"/>
      <c r="AK142" s="1074"/>
      <c r="AL142" s="1074"/>
      <c r="AM142" s="1074"/>
      <c r="AN142" s="1074"/>
      <c r="AO142" s="1074"/>
      <c r="AP142" s="1074"/>
      <c r="AQ142" s="1074"/>
      <c r="AR142" s="1074"/>
      <c r="AS142" s="1074"/>
      <c r="AT142" s="1074"/>
      <c r="AU142" s="1074"/>
      <c r="AV142" s="1074"/>
      <c r="AW142" s="1074"/>
      <c r="AX142" s="1074"/>
      <c r="AY142" s="1074"/>
      <c r="AZ142" s="1074"/>
      <c r="BA142" s="1074"/>
      <c r="BB142" s="1074"/>
      <c r="BC142" s="1074"/>
      <c r="BD142" s="1074"/>
      <c r="BE142" s="1074"/>
      <c r="BF142" s="1074"/>
      <c r="BG142" s="1074"/>
      <c r="BH142" s="1074"/>
      <c r="BI142" s="1074"/>
      <c r="BJ142" s="1074"/>
      <c r="BK142" s="1074"/>
      <c r="BL142" s="1074"/>
      <c r="BM142" s="1074"/>
      <c r="BN142" s="1074"/>
      <c r="BO142" s="1074"/>
      <c r="BP142" s="1074"/>
      <c r="BQ142" s="1074"/>
      <c r="BR142" s="1074"/>
      <c r="BS142" s="1074"/>
      <c r="BT142" s="1074"/>
      <c r="BU142" s="1074"/>
      <c r="BV142" s="1074"/>
      <c r="BW142" s="1074"/>
      <c r="BX142" s="1074"/>
      <c r="BY142" s="1074"/>
      <c r="BZ142" s="1074"/>
      <c r="CA142" s="1074"/>
      <c r="CB142" s="1074"/>
      <c r="CC142" s="1074"/>
      <c r="CD142" s="1074"/>
      <c r="CE142" s="1074"/>
      <c r="CF142" s="1074"/>
      <c r="CG142" s="1074"/>
      <c r="CH142" s="1074"/>
      <c r="CI142" s="1074"/>
      <c r="CJ142" s="1074"/>
      <c r="CK142" s="1074"/>
      <c r="CL142" s="1074"/>
      <c r="CM142" s="1074"/>
      <c r="CN142" s="1074"/>
      <c r="CO142" s="1074"/>
      <c r="CP142" s="1074"/>
      <c r="CQ142" s="1074"/>
      <c r="CR142" s="1074"/>
      <c r="CS142" s="1074"/>
      <c r="CT142" s="1074"/>
      <c r="CU142" s="1074"/>
      <c r="CV142" s="1074"/>
      <c r="CW142" s="1074"/>
      <c r="CX142" s="1074"/>
      <c r="CY142" s="1074"/>
      <c r="CZ142" s="1074"/>
      <c r="DA142" s="1074"/>
      <c r="DB142" s="1074"/>
      <c r="DC142" s="1074"/>
      <c r="DD142" s="1074"/>
      <c r="DE142" s="1074"/>
      <c r="DF142" s="1074"/>
      <c r="DG142" s="1074"/>
      <c r="DH142" s="1074"/>
      <c r="DI142" s="1074"/>
      <c r="DJ142" s="1074"/>
      <c r="DK142" s="1074"/>
      <c r="DL142" s="1074"/>
      <c r="DM142" s="1074"/>
      <c r="DN142" s="1074"/>
      <c r="DO142" s="1074"/>
      <c r="DP142" s="1074"/>
      <c r="DQ142" s="1074"/>
      <c r="DR142" s="1075"/>
    </row>
    <row r="143" spans="2:122">
      <c r="B143" s="1073"/>
      <c r="C143" s="1074"/>
      <c r="D143" s="1074"/>
      <c r="E143" s="1074"/>
      <c r="F143" s="1074"/>
      <c r="G143" s="1074"/>
      <c r="H143" s="1074"/>
      <c r="I143" s="1074"/>
      <c r="J143" s="1074"/>
      <c r="K143" s="1074"/>
      <c r="L143" s="1074"/>
      <c r="M143" s="1074"/>
      <c r="N143" s="1074"/>
      <c r="O143" s="1074"/>
      <c r="P143" s="1074"/>
      <c r="Q143" s="1074"/>
      <c r="R143" s="1074"/>
      <c r="S143" s="1074"/>
      <c r="T143" s="1074"/>
      <c r="U143" s="1074"/>
      <c r="V143" s="1074"/>
      <c r="W143" s="1074"/>
      <c r="X143" s="1074"/>
      <c r="Y143" s="1074"/>
      <c r="Z143" s="1074"/>
      <c r="AA143" s="1074"/>
      <c r="AB143" s="1074"/>
      <c r="AC143" s="1074"/>
      <c r="AD143" s="1074"/>
      <c r="AE143" s="1074"/>
      <c r="AF143" s="1074"/>
      <c r="AG143" s="1074"/>
      <c r="AH143" s="1074"/>
      <c r="AI143" s="1074"/>
      <c r="AJ143" s="1074"/>
      <c r="AK143" s="1074"/>
      <c r="AL143" s="1074"/>
      <c r="AM143" s="1074"/>
      <c r="AN143" s="1074"/>
      <c r="AO143" s="1074"/>
      <c r="AP143" s="1074"/>
      <c r="AQ143" s="1074"/>
      <c r="AR143" s="1074"/>
      <c r="AS143" s="1074"/>
      <c r="AT143" s="1074"/>
      <c r="AU143" s="1074"/>
      <c r="AV143" s="1074"/>
      <c r="AW143" s="1074"/>
      <c r="AX143" s="1074"/>
      <c r="AY143" s="1074"/>
      <c r="AZ143" s="1074"/>
      <c r="BA143" s="1074"/>
      <c r="BB143" s="1074"/>
      <c r="BC143" s="1074"/>
      <c r="BD143" s="1074"/>
      <c r="BE143" s="1074"/>
      <c r="BF143" s="1074"/>
      <c r="BG143" s="1074"/>
      <c r="BH143" s="1074"/>
      <c r="BI143" s="1074"/>
      <c r="BJ143" s="1074"/>
      <c r="BK143" s="1074"/>
      <c r="BL143" s="1074"/>
      <c r="BM143" s="1074"/>
      <c r="BN143" s="1074"/>
      <c r="BO143" s="1074"/>
      <c r="BP143" s="1074"/>
      <c r="BQ143" s="1074"/>
      <c r="BR143" s="1074"/>
      <c r="BS143" s="1074"/>
      <c r="BT143" s="1074"/>
      <c r="BU143" s="1074"/>
      <c r="BV143" s="1074"/>
      <c r="BW143" s="1074"/>
      <c r="BX143" s="1074"/>
      <c r="BY143" s="1074"/>
      <c r="BZ143" s="1074"/>
      <c r="CA143" s="1074"/>
      <c r="CB143" s="1074"/>
      <c r="CC143" s="1074"/>
      <c r="CD143" s="1074"/>
      <c r="CE143" s="1074"/>
      <c r="CF143" s="1074"/>
      <c r="CG143" s="1074"/>
      <c r="CH143" s="1074"/>
      <c r="CI143" s="1074"/>
      <c r="CJ143" s="1074"/>
      <c r="CK143" s="1074"/>
      <c r="CL143" s="1074"/>
      <c r="CM143" s="1074"/>
      <c r="CN143" s="1074"/>
      <c r="CO143" s="1074"/>
      <c r="CP143" s="1074"/>
      <c r="CQ143" s="1074"/>
      <c r="CR143" s="1074"/>
      <c r="CS143" s="1074"/>
      <c r="CT143" s="1074"/>
      <c r="CU143" s="1074"/>
      <c r="CV143" s="1074"/>
      <c r="CW143" s="1074"/>
      <c r="CX143" s="1074"/>
      <c r="CY143" s="1074"/>
      <c r="CZ143" s="1074"/>
      <c r="DA143" s="1074"/>
      <c r="DB143" s="1074"/>
      <c r="DC143" s="1074"/>
      <c r="DD143" s="1074"/>
      <c r="DE143" s="1074"/>
      <c r="DF143" s="1074"/>
      <c r="DG143" s="1074"/>
      <c r="DH143" s="1074"/>
      <c r="DI143" s="1074"/>
      <c r="DJ143" s="1074"/>
      <c r="DK143" s="1074"/>
      <c r="DL143" s="1074"/>
      <c r="DM143" s="1074"/>
      <c r="DN143" s="1074"/>
      <c r="DO143" s="1074"/>
      <c r="DP143" s="1074"/>
      <c r="DQ143" s="1074"/>
      <c r="DR143" s="1075"/>
    </row>
    <row r="144" spans="2:122">
      <c r="B144" s="1073"/>
      <c r="C144" s="1074"/>
      <c r="D144" s="1074"/>
      <c r="E144" s="1074"/>
      <c r="F144" s="1074"/>
      <c r="G144" s="1074"/>
      <c r="H144" s="1074"/>
      <c r="I144" s="1074"/>
      <c r="J144" s="1074"/>
      <c r="K144" s="1074"/>
      <c r="L144" s="1074"/>
      <c r="M144" s="1074"/>
      <c r="N144" s="1074"/>
      <c r="O144" s="1074"/>
      <c r="P144" s="1074"/>
      <c r="Q144" s="1074"/>
      <c r="R144" s="1074"/>
      <c r="S144" s="1074"/>
      <c r="T144" s="1074"/>
      <c r="U144" s="1074"/>
      <c r="V144" s="1074"/>
      <c r="W144" s="1074"/>
      <c r="X144" s="1074"/>
      <c r="Y144" s="1074"/>
      <c r="Z144" s="1074"/>
      <c r="AA144" s="1074"/>
      <c r="AB144" s="1074"/>
      <c r="AC144" s="1074"/>
      <c r="AD144" s="1074"/>
      <c r="AE144" s="1074"/>
      <c r="AF144" s="1074"/>
      <c r="AG144" s="1074"/>
      <c r="AH144" s="1074"/>
      <c r="AI144" s="1074"/>
      <c r="AJ144" s="1074"/>
      <c r="AK144" s="1074"/>
      <c r="AL144" s="1074"/>
      <c r="AM144" s="1074"/>
      <c r="AN144" s="1074"/>
      <c r="AO144" s="1074"/>
      <c r="AP144" s="1074"/>
      <c r="AQ144" s="1074"/>
      <c r="AR144" s="1074"/>
      <c r="AS144" s="1074"/>
      <c r="AT144" s="1074"/>
      <c r="AU144" s="1074"/>
      <c r="AV144" s="1074"/>
      <c r="AW144" s="1074"/>
      <c r="AX144" s="1074"/>
      <c r="AY144" s="1074"/>
      <c r="AZ144" s="1074"/>
      <c r="BA144" s="1074"/>
      <c r="BB144" s="1074"/>
      <c r="BC144" s="1074"/>
      <c r="BD144" s="1074"/>
      <c r="BE144" s="1074"/>
      <c r="BF144" s="1074"/>
      <c r="BG144" s="1074"/>
      <c r="BH144" s="1074"/>
      <c r="BI144" s="1074"/>
      <c r="BJ144" s="1074"/>
      <c r="BK144" s="1074"/>
      <c r="BL144" s="1074"/>
      <c r="BM144" s="1074"/>
      <c r="BN144" s="1074"/>
      <c r="BO144" s="1074"/>
      <c r="BP144" s="1074"/>
      <c r="BQ144" s="1074"/>
      <c r="BR144" s="1074"/>
      <c r="BS144" s="1074"/>
      <c r="BT144" s="1074"/>
      <c r="BU144" s="1074"/>
      <c r="BV144" s="1074"/>
      <c r="BW144" s="1074"/>
      <c r="BX144" s="1074"/>
      <c r="BY144" s="1074"/>
      <c r="BZ144" s="1074"/>
      <c r="CA144" s="1074"/>
      <c r="CB144" s="1074"/>
      <c r="CC144" s="1074"/>
      <c r="CD144" s="1074"/>
      <c r="CE144" s="1074"/>
      <c r="CF144" s="1074"/>
      <c r="CG144" s="1074"/>
      <c r="CH144" s="1074"/>
      <c r="CI144" s="1074"/>
      <c r="CJ144" s="1074"/>
      <c r="CK144" s="1074"/>
      <c r="CL144" s="1074"/>
      <c r="CM144" s="1074"/>
      <c r="CN144" s="1074"/>
      <c r="CO144" s="1074"/>
      <c r="CP144" s="1074"/>
      <c r="CQ144" s="1074"/>
      <c r="CR144" s="1074"/>
      <c r="CS144" s="1074"/>
      <c r="CT144" s="1074"/>
      <c r="CU144" s="1074"/>
      <c r="CV144" s="1074"/>
      <c r="CW144" s="1074"/>
      <c r="CX144" s="1074"/>
      <c r="CY144" s="1074"/>
      <c r="CZ144" s="1074"/>
      <c r="DA144" s="1074"/>
      <c r="DB144" s="1074"/>
      <c r="DC144" s="1074"/>
      <c r="DD144" s="1074"/>
      <c r="DE144" s="1074"/>
      <c r="DF144" s="1074"/>
      <c r="DG144" s="1074"/>
      <c r="DH144" s="1074"/>
      <c r="DI144" s="1074"/>
      <c r="DJ144" s="1074"/>
      <c r="DK144" s="1074"/>
      <c r="DL144" s="1074"/>
      <c r="DM144" s="1074"/>
      <c r="DN144" s="1074"/>
      <c r="DO144" s="1074"/>
      <c r="DP144" s="1074"/>
      <c r="DQ144" s="1074"/>
      <c r="DR144" s="1075"/>
    </row>
    <row r="145" spans="2:122">
      <c r="B145" s="1073"/>
      <c r="C145" s="1074"/>
      <c r="D145" s="1074"/>
      <c r="E145" s="1074"/>
      <c r="F145" s="1074"/>
      <c r="G145" s="1074"/>
      <c r="H145" s="1074"/>
      <c r="I145" s="1074"/>
      <c r="J145" s="1074"/>
      <c r="K145" s="1074"/>
      <c r="L145" s="1074"/>
      <c r="M145" s="1074"/>
      <c r="N145" s="1074"/>
      <c r="O145" s="1074"/>
      <c r="P145" s="1074"/>
      <c r="Q145" s="1074"/>
      <c r="R145" s="1074"/>
      <c r="S145" s="1074"/>
      <c r="T145" s="1074"/>
      <c r="U145" s="1074"/>
      <c r="V145" s="1074"/>
      <c r="W145" s="1074"/>
      <c r="X145" s="1074"/>
      <c r="Y145" s="1074"/>
      <c r="Z145" s="1074"/>
      <c r="AA145" s="1074"/>
      <c r="AB145" s="1074"/>
      <c r="AC145" s="1074"/>
      <c r="AD145" s="1074"/>
      <c r="AE145" s="1074"/>
      <c r="AF145" s="1074"/>
      <c r="AG145" s="1074"/>
      <c r="AH145" s="1074"/>
      <c r="AI145" s="1074"/>
      <c r="AJ145" s="1074"/>
      <c r="AK145" s="1074"/>
      <c r="AL145" s="1074"/>
      <c r="AM145" s="1074"/>
      <c r="AN145" s="1074"/>
      <c r="AO145" s="1074"/>
      <c r="AP145" s="1074"/>
      <c r="AQ145" s="1074"/>
      <c r="AR145" s="1074"/>
      <c r="AS145" s="1074"/>
      <c r="AT145" s="1074"/>
      <c r="AU145" s="1074"/>
      <c r="AV145" s="1074"/>
      <c r="AW145" s="1074"/>
      <c r="AX145" s="1074"/>
      <c r="AY145" s="1074"/>
      <c r="AZ145" s="1074"/>
      <c r="BA145" s="1074"/>
      <c r="BB145" s="1074"/>
      <c r="BC145" s="1074"/>
      <c r="BD145" s="1074"/>
      <c r="BE145" s="1074"/>
      <c r="BF145" s="1074"/>
      <c r="BG145" s="1074"/>
      <c r="BH145" s="1074"/>
      <c r="BI145" s="1074"/>
      <c r="BJ145" s="1074"/>
      <c r="BK145" s="1074"/>
      <c r="BL145" s="1074"/>
      <c r="BM145" s="1074"/>
      <c r="BN145" s="1074"/>
      <c r="BO145" s="1074"/>
      <c r="BP145" s="1074"/>
      <c r="BQ145" s="1074"/>
      <c r="BR145" s="1074"/>
      <c r="BS145" s="1074"/>
      <c r="BT145" s="1074"/>
      <c r="BU145" s="1074"/>
      <c r="BV145" s="1074"/>
      <c r="BW145" s="1074"/>
      <c r="BX145" s="1074"/>
      <c r="BY145" s="1074"/>
      <c r="BZ145" s="1074"/>
      <c r="CA145" s="1074"/>
      <c r="CB145" s="1074"/>
      <c r="CC145" s="1074"/>
      <c r="CD145" s="1074"/>
      <c r="CE145" s="1074"/>
      <c r="CF145" s="1074"/>
      <c r="CG145" s="1074"/>
      <c r="CH145" s="1074"/>
      <c r="CI145" s="1074"/>
      <c r="CJ145" s="1074"/>
      <c r="CK145" s="1074"/>
      <c r="CL145" s="1074"/>
      <c r="CM145" s="1074"/>
      <c r="CN145" s="1074"/>
      <c r="CO145" s="1074"/>
      <c r="CP145" s="1074"/>
      <c r="CQ145" s="1074"/>
      <c r="CR145" s="1074"/>
      <c r="CS145" s="1074"/>
      <c r="CT145" s="1074"/>
      <c r="CU145" s="1074"/>
      <c r="CV145" s="1074"/>
      <c r="CW145" s="1074"/>
      <c r="CX145" s="1074"/>
      <c r="CY145" s="1074"/>
      <c r="CZ145" s="1074"/>
      <c r="DA145" s="1074"/>
      <c r="DB145" s="1074"/>
      <c r="DC145" s="1074"/>
      <c r="DD145" s="1074"/>
      <c r="DE145" s="1074"/>
      <c r="DF145" s="1074"/>
      <c r="DG145" s="1074"/>
      <c r="DH145" s="1074"/>
      <c r="DI145" s="1074"/>
      <c r="DJ145" s="1074"/>
      <c r="DK145" s="1074"/>
      <c r="DL145" s="1074"/>
      <c r="DM145" s="1074"/>
      <c r="DN145" s="1074"/>
      <c r="DO145" s="1074"/>
      <c r="DP145" s="1074"/>
      <c r="DQ145" s="1074"/>
      <c r="DR145" s="1075"/>
    </row>
    <row r="146" spans="2:122">
      <c r="B146" s="1073"/>
      <c r="C146" s="1074"/>
      <c r="D146" s="1074"/>
      <c r="E146" s="1074"/>
      <c r="F146" s="1074"/>
      <c r="G146" s="1074"/>
      <c r="H146" s="1074"/>
      <c r="I146" s="1074"/>
      <c r="J146" s="1074"/>
      <c r="K146" s="1074"/>
      <c r="L146" s="1074"/>
      <c r="M146" s="1074"/>
      <c r="N146" s="1074"/>
      <c r="O146" s="1074"/>
      <c r="P146" s="1074"/>
      <c r="Q146" s="1074"/>
      <c r="R146" s="1074"/>
      <c r="S146" s="1074"/>
      <c r="T146" s="1074"/>
      <c r="U146" s="1074"/>
      <c r="V146" s="1074"/>
      <c r="W146" s="1074"/>
      <c r="X146" s="1074"/>
      <c r="Y146" s="1074"/>
      <c r="Z146" s="1074"/>
      <c r="AA146" s="1074"/>
      <c r="AB146" s="1074"/>
      <c r="AC146" s="1074"/>
      <c r="AD146" s="1074"/>
      <c r="AE146" s="1074"/>
      <c r="AF146" s="1074"/>
      <c r="AG146" s="1074"/>
      <c r="AH146" s="1074"/>
      <c r="AI146" s="1074"/>
      <c r="AJ146" s="1074"/>
      <c r="AK146" s="1074"/>
      <c r="AL146" s="1074"/>
      <c r="AM146" s="1074"/>
      <c r="AN146" s="1074"/>
      <c r="AO146" s="1074"/>
      <c r="AP146" s="1074"/>
      <c r="AQ146" s="1074"/>
      <c r="AR146" s="1074"/>
      <c r="AS146" s="1074"/>
      <c r="AT146" s="1074"/>
      <c r="AU146" s="1074"/>
      <c r="AV146" s="1074"/>
      <c r="AW146" s="1074"/>
      <c r="AX146" s="1074"/>
      <c r="AY146" s="1074"/>
      <c r="AZ146" s="1074"/>
      <c r="BA146" s="1074"/>
      <c r="BB146" s="1074"/>
      <c r="BC146" s="1074"/>
      <c r="BD146" s="1074"/>
      <c r="BE146" s="1074"/>
      <c r="BF146" s="1074"/>
      <c r="BG146" s="1074"/>
      <c r="BH146" s="1074"/>
      <c r="BI146" s="1074"/>
      <c r="BJ146" s="1074"/>
      <c r="BK146" s="1074"/>
      <c r="BL146" s="1074"/>
      <c r="BM146" s="1074"/>
      <c r="BN146" s="1074"/>
      <c r="BO146" s="1074"/>
      <c r="BP146" s="1074"/>
      <c r="BQ146" s="1074"/>
      <c r="BR146" s="1074"/>
      <c r="BS146" s="1074"/>
      <c r="BT146" s="1074"/>
      <c r="BU146" s="1074"/>
      <c r="BV146" s="1074"/>
      <c r="BW146" s="1074"/>
      <c r="BX146" s="1074"/>
      <c r="BY146" s="1074"/>
      <c r="BZ146" s="1074"/>
      <c r="CA146" s="1074"/>
      <c r="CB146" s="1074"/>
      <c r="CC146" s="1074"/>
      <c r="CD146" s="1074"/>
      <c r="CE146" s="1074"/>
      <c r="CF146" s="1074"/>
      <c r="CG146" s="1074"/>
      <c r="CH146" s="1074"/>
      <c r="CI146" s="1074"/>
      <c r="CJ146" s="1074"/>
      <c r="CK146" s="1074"/>
      <c r="CL146" s="1074"/>
      <c r="CM146" s="1074"/>
      <c r="CN146" s="1074"/>
      <c r="CO146" s="1074"/>
      <c r="CP146" s="1074"/>
      <c r="CQ146" s="1074"/>
      <c r="CR146" s="1074"/>
      <c r="CS146" s="1074"/>
      <c r="CT146" s="1074"/>
      <c r="CU146" s="1074"/>
      <c r="CV146" s="1074"/>
      <c r="CW146" s="1074"/>
      <c r="CX146" s="1074"/>
      <c r="CY146" s="1074"/>
      <c r="CZ146" s="1074"/>
      <c r="DA146" s="1074"/>
      <c r="DB146" s="1074"/>
      <c r="DC146" s="1074"/>
      <c r="DD146" s="1074"/>
      <c r="DE146" s="1074"/>
      <c r="DF146" s="1074"/>
      <c r="DG146" s="1074"/>
      <c r="DH146" s="1074"/>
      <c r="DI146" s="1074"/>
      <c r="DJ146" s="1074"/>
      <c r="DK146" s="1074"/>
      <c r="DL146" s="1074"/>
      <c r="DM146" s="1074"/>
      <c r="DN146" s="1074"/>
      <c r="DO146" s="1074"/>
      <c r="DP146" s="1074"/>
      <c r="DQ146" s="1074"/>
      <c r="DR146" s="1075"/>
    </row>
    <row r="147" spans="2:122">
      <c r="B147" s="1073"/>
      <c r="C147" s="1074"/>
      <c r="D147" s="1074"/>
      <c r="E147" s="1074"/>
      <c r="F147" s="1074"/>
      <c r="G147" s="1074"/>
      <c r="H147" s="1074"/>
      <c r="I147" s="1074"/>
      <c r="J147" s="1074"/>
      <c r="K147" s="1074"/>
      <c r="L147" s="1074"/>
      <c r="M147" s="1074"/>
      <c r="N147" s="1074"/>
      <c r="O147" s="1074"/>
      <c r="P147" s="1074"/>
      <c r="Q147" s="1074"/>
      <c r="R147" s="1074"/>
      <c r="S147" s="1074"/>
      <c r="T147" s="1074"/>
      <c r="U147" s="1074"/>
      <c r="V147" s="1074"/>
      <c r="W147" s="1074"/>
      <c r="X147" s="1074"/>
      <c r="Y147" s="1074"/>
      <c r="Z147" s="1074"/>
      <c r="AA147" s="1074"/>
      <c r="AB147" s="1074"/>
      <c r="AC147" s="1074"/>
      <c r="AD147" s="1074"/>
      <c r="AE147" s="1074"/>
      <c r="AF147" s="1074"/>
      <c r="AG147" s="1074"/>
      <c r="AH147" s="1074"/>
      <c r="AI147" s="1074"/>
      <c r="AJ147" s="1074"/>
      <c r="AK147" s="1074"/>
      <c r="AL147" s="1074"/>
      <c r="AM147" s="1074"/>
      <c r="AN147" s="1074"/>
      <c r="AO147" s="1074"/>
      <c r="AP147" s="1074"/>
      <c r="AQ147" s="1074"/>
      <c r="AR147" s="1074"/>
      <c r="AS147" s="1074"/>
      <c r="AT147" s="1074"/>
      <c r="AU147" s="1074"/>
      <c r="AV147" s="1074"/>
      <c r="AW147" s="1074"/>
      <c r="AX147" s="1074"/>
      <c r="AY147" s="1074"/>
      <c r="AZ147" s="1074"/>
      <c r="BA147" s="1074"/>
      <c r="BB147" s="1074"/>
      <c r="BC147" s="1074"/>
      <c r="BD147" s="1074"/>
      <c r="BE147" s="1074"/>
      <c r="BF147" s="1074"/>
      <c r="BG147" s="1074"/>
      <c r="BH147" s="1074"/>
      <c r="BI147" s="1074"/>
      <c r="BJ147" s="1074"/>
      <c r="BK147" s="1074"/>
      <c r="BL147" s="1074"/>
      <c r="BM147" s="1074"/>
      <c r="BN147" s="1074"/>
      <c r="BO147" s="1074"/>
      <c r="BP147" s="1074"/>
      <c r="BQ147" s="1074"/>
      <c r="BR147" s="1074"/>
      <c r="BS147" s="1074"/>
      <c r="BT147" s="1074"/>
      <c r="BU147" s="1074"/>
      <c r="BV147" s="1074"/>
      <c r="BW147" s="1074"/>
      <c r="BX147" s="1074"/>
      <c r="BY147" s="1074"/>
      <c r="BZ147" s="1074"/>
      <c r="CA147" s="1074"/>
      <c r="CB147" s="1074"/>
      <c r="CC147" s="1074"/>
      <c r="CD147" s="1074"/>
      <c r="CE147" s="1074"/>
      <c r="CF147" s="1074"/>
      <c r="CG147" s="1074"/>
      <c r="CH147" s="1074"/>
      <c r="CI147" s="1074"/>
      <c r="CJ147" s="1074"/>
      <c r="CK147" s="1074"/>
      <c r="CL147" s="1074"/>
      <c r="CM147" s="1074"/>
      <c r="CN147" s="1074"/>
      <c r="CO147" s="1074"/>
      <c r="CP147" s="1074"/>
      <c r="CQ147" s="1074"/>
      <c r="CR147" s="1074"/>
      <c r="CS147" s="1074"/>
      <c r="CT147" s="1074"/>
      <c r="CU147" s="1074"/>
      <c r="CV147" s="1074"/>
      <c r="CW147" s="1074"/>
      <c r="CX147" s="1074"/>
      <c r="CY147" s="1074"/>
      <c r="CZ147" s="1074"/>
      <c r="DA147" s="1074"/>
      <c r="DB147" s="1074"/>
      <c r="DC147" s="1074"/>
      <c r="DD147" s="1074"/>
      <c r="DE147" s="1074"/>
      <c r="DF147" s="1074"/>
      <c r="DG147" s="1074"/>
      <c r="DH147" s="1074"/>
      <c r="DI147" s="1074"/>
      <c r="DJ147" s="1074"/>
      <c r="DK147" s="1074"/>
      <c r="DL147" s="1074"/>
      <c r="DM147" s="1074"/>
      <c r="DN147" s="1074"/>
      <c r="DO147" s="1074"/>
      <c r="DP147" s="1074"/>
      <c r="DQ147" s="1074"/>
      <c r="DR147" s="1075"/>
    </row>
    <row r="148" spans="2:122">
      <c r="B148" s="1073"/>
      <c r="C148" s="1074"/>
      <c r="D148" s="1074"/>
      <c r="E148" s="1074"/>
      <c r="F148" s="1074"/>
      <c r="G148" s="1074"/>
      <c r="H148" s="1074"/>
      <c r="I148" s="1074"/>
      <c r="J148" s="1074"/>
      <c r="K148" s="1074"/>
      <c r="L148" s="1074"/>
      <c r="M148" s="1074"/>
      <c r="N148" s="1074"/>
      <c r="O148" s="1074"/>
      <c r="P148" s="1074"/>
      <c r="Q148" s="1074"/>
      <c r="R148" s="1074"/>
      <c r="S148" s="1074"/>
      <c r="T148" s="1074"/>
      <c r="U148" s="1074"/>
      <c r="V148" s="1074"/>
      <c r="W148" s="1074"/>
      <c r="X148" s="1074"/>
      <c r="Y148" s="1074"/>
      <c r="Z148" s="1074"/>
      <c r="AA148" s="1074"/>
      <c r="AB148" s="1074"/>
      <c r="AC148" s="1074"/>
      <c r="AD148" s="1074"/>
      <c r="AE148" s="1074"/>
      <c r="AF148" s="1074"/>
      <c r="AG148" s="1074"/>
      <c r="AH148" s="1074"/>
      <c r="AI148" s="1074"/>
      <c r="AJ148" s="1074"/>
      <c r="AK148" s="1074"/>
      <c r="AL148" s="1074"/>
      <c r="AM148" s="1074"/>
      <c r="AN148" s="1074"/>
      <c r="AO148" s="1074"/>
      <c r="AP148" s="1074"/>
      <c r="AQ148" s="1074"/>
      <c r="AR148" s="1074"/>
      <c r="AS148" s="1074"/>
      <c r="AT148" s="1074"/>
      <c r="AU148" s="1074"/>
      <c r="AV148" s="1074"/>
      <c r="AW148" s="1074"/>
      <c r="AX148" s="1074"/>
      <c r="AY148" s="1074"/>
      <c r="AZ148" s="1074"/>
      <c r="BA148" s="1074"/>
      <c r="BB148" s="1074"/>
      <c r="BC148" s="1074"/>
      <c r="BD148" s="1074"/>
      <c r="BE148" s="1074"/>
      <c r="BF148" s="1074"/>
      <c r="BG148" s="1074"/>
      <c r="BH148" s="1074"/>
      <c r="BI148" s="1074"/>
      <c r="BJ148" s="1074"/>
      <c r="BK148" s="1074"/>
      <c r="BL148" s="1074"/>
      <c r="BM148" s="1074"/>
      <c r="BN148" s="1074"/>
      <c r="BO148" s="1074"/>
      <c r="BP148" s="1074"/>
      <c r="BQ148" s="1074"/>
      <c r="BR148" s="1074"/>
      <c r="BS148" s="1074"/>
      <c r="BT148" s="1074"/>
      <c r="BU148" s="1074"/>
      <c r="BV148" s="1074"/>
      <c r="BW148" s="1074"/>
      <c r="BX148" s="1074"/>
      <c r="BY148" s="1074"/>
      <c r="BZ148" s="1074"/>
      <c r="CA148" s="1074"/>
      <c r="CB148" s="1074"/>
      <c r="CC148" s="1074"/>
      <c r="CD148" s="1074"/>
      <c r="CE148" s="1074"/>
      <c r="CF148" s="1074"/>
      <c r="CG148" s="1074"/>
      <c r="CH148" s="1074"/>
      <c r="CI148" s="1074"/>
      <c r="CJ148" s="1074"/>
      <c r="CK148" s="1074"/>
      <c r="CL148" s="1074"/>
      <c r="CM148" s="1074"/>
      <c r="CN148" s="1074"/>
      <c r="CO148" s="1074"/>
      <c r="CP148" s="1074"/>
      <c r="CQ148" s="1074"/>
      <c r="CR148" s="1074"/>
      <c r="CS148" s="1074"/>
      <c r="CT148" s="1074"/>
      <c r="CU148" s="1074"/>
      <c r="CV148" s="1074"/>
      <c r="CW148" s="1074"/>
      <c r="CX148" s="1074"/>
      <c r="CY148" s="1074"/>
      <c r="CZ148" s="1074"/>
      <c r="DA148" s="1074"/>
      <c r="DB148" s="1074"/>
      <c r="DC148" s="1074"/>
      <c r="DD148" s="1074"/>
      <c r="DE148" s="1074"/>
      <c r="DF148" s="1074"/>
      <c r="DG148" s="1074"/>
      <c r="DH148" s="1074"/>
      <c r="DI148" s="1074"/>
      <c r="DJ148" s="1074"/>
      <c r="DK148" s="1074"/>
      <c r="DL148" s="1074"/>
      <c r="DM148" s="1074"/>
      <c r="DN148" s="1074"/>
      <c r="DO148" s="1074"/>
      <c r="DP148" s="1074"/>
      <c r="DQ148" s="1074"/>
      <c r="DR148" s="1075"/>
    </row>
    <row r="149" spans="2:122">
      <c r="B149" s="1073"/>
      <c r="C149" s="1074"/>
      <c r="D149" s="1074"/>
      <c r="E149" s="1074"/>
      <c r="F149" s="1074"/>
      <c r="G149" s="1074"/>
      <c r="H149" s="1074"/>
      <c r="I149" s="1074"/>
      <c r="J149" s="1074"/>
      <c r="K149" s="1074"/>
      <c r="L149" s="1074"/>
      <c r="M149" s="1074"/>
      <c r="N149" s="1074"/>
      <c r="O149" s="1074"/>
      <c r="P149" s="1074"/>
      <c r="Q149" s="1074"/>
      <c r="R149" s="1074"/>
      <c r="S149" s="1074"/>
      <c r="T149" s="1074"/>
      <c r="U149" s="1074"/>
      <c r="V149" s="1074"/>
      <c r="W149" s="1074"/>
      <c r="X149" s="1074"/>
      <c r="Y149" s="1074"/>
      <c r="Z149" s="1074"/>
      <c r="AA149" s="1074"/>
      <c r="AB149" s="1074"/>
      <c r="AC149" s="1074"/>
      <c r="AD149" s="1074"/>
      <c r="AE149" s="1074"/>
      <c r="AF149" s="1074"/>
      <c r="AG149" s="1074"/>
      <c r="AH149" s="1074"/>
      <c r="AI149" s="1074"/>
      <c r="AJ149" s="1074"/>
      <c r="AK149" s="1074"/>
      <c r="AL149" s="1074"/>
      <c r="AM149" s="1074"/>
      <c r="AN149" s="1074"/>
      <c r="AO149" s="1074"/>
      <c r="AP149" s="1074"/>
      <c r="AQ149" s="1074"/>
      <c r="AR149" s="1074"/>
      <c r="AS149" s="1074"/>
      <c r="AT149" s="1074"/>
      <c r="AU149" s="1074"/>
      <c r="AV149" s="1074"/>
      <c r="AW149" s="1074"/>
      <c r="AX149" s="1074"/>
      <c r="AY149" s="1074"/>
      <c r="AZ149" s="1074"/>
      <c r="BA149" s="1074"/>
      <c r="BB149" s="1074"/>
      <c r="BC149" s="1074"/>
      <c r="BD149" s="1074"/>
      <c r="BE149" s="1074"/>
      <c r="BF149" s="1074"/>
      <c r="BG149" s="1074"/>
      <c r="BH149" s="1074"/>
      <c r="BI149" s="1074"/>
      <c r="BJ149" s="1074"/>
      <c r="BK149" s="1074"/>
      <c r="BL149" s="1074"/>
      <c r="BM149" s="1074"/>
      <c r="BN149" s="1074"/>
      <c r="BO149" s="1074"/>
      <c r="BP149" s="1074"/>
      <c r="BQ149" s="1074"/>
      <c r="BR149" s="1074"/>
      <c r="BS149" s="1074"/>
      <c r="BT149" s="1074"/>
      <c r="BU149" s="1074"/>
      <c r="BV149" s="1074"/>
      <c r="BW149" s="1074"/>
      <c r="BX149" s="1074"/>
      <c r="BY149" s="1074"/>
      <c r="BZ149" s="1074"/>
      <c r="CA149" s="1074"/>
      <c r="CB149" s="1074"/>
      <c r="CC149" s="1074"/>
      <c r="CD149" s="1074"/>
      <c r="CE149" s="1074"/>
      <c r="CF149" s="1074"/>
      <c r="CG149" s="1074"/>
      <c r="CH149" s="1074"/>
      <c r="CI149" s="1074"/>
      <c r="CJ149" s="1074"/>
      <c r="CK149" s="1074"/>
      <c r="CL149" s="1074"/>
      <c r="CM149" s="1074"/>
      <c r="CN149" s="1074"/>
      <c r="CO149" s="1074"/>
      <c r="CP149" s="1074"/>
      <c r="CQ149" s="1074"/>
      <c r="CR149" s="1074"/>
      <c r="CS149" s="1074"/>
      <c r="CT149" s="1074"/>
      <c r="CU149" s="1074"/>
      <c r="CV149" s="1074"/>
      <c r="CW149" s="1074"/>
      <c r="CX149" s="1074"/>
      <c r="CY149" s="1074"/>
      <c r="CZ149" s="1074"/>
      <c r="DA149" s="1074"/>
      <c r="DB149" s="1074"/>
      <c r="DC149" s="1074"/>
      <c r="DD149" s="1074"/>
      <c r="DE149" s="1074"/>
      <c r="DF149" s="1074"/>
      <c r="DG149" s="1074"/>
      <c r="DH149" s="1074"/>
      <c r="DI149" s="1074"/>
      <c r="DJ149" s="1074"/>
      <c r="DK149" s="1074"/>
      <c r="DL149" s="1074"/>
      <c r="DM149" s="1074"/>
      <c r="DN149" s="1074"/>
      <c r="DO149" s="1074"/>
      <c r="DP149" s="1074"/>
      <c r="DQ149" s="1074"/>
      <c r="DR149" s="1075"/>
    </row>
    <row r="150" spans="2:122">
      <c r="B150" s="1073"/>
      <c r="C150" s="1074"/>
      <c r="D150" s="1074"/>
      <c r="E150" s="1074"/>
      <c r="F150" s="1074"/>
      <c r="G150" s="1074"/>
      <c r="H150" s="1074"/>
      <c r="I150" s="1074"/>
      <c r="J150" s="1074"/>
      <c r="K150" s="1074"/>
      <c r="L150" s="1074"/>
      <c r="M150" s="1074"/>
      <c r="N150" s="1074"/>
      <c r="O150" s="1074"/>
      <c r="P150" s="1074"/>
      <c r="Q150" s="1074"/>
      <c r="R150" s="1074"/>
      <c r="S150" s="1074"/>
      <c r="T150" s="1074"/>
      <c r="U150" s="1074"/>
      <c r="V150" s="1074"/>
      <c r="W150" s="1074"/>
      <c r="X150" s="1074"/>
      <c r="Y150" s="1074"/>
      <c r="Z150" s="1074"/>
      <c r="AA150" s="1074"/>
      <c r="AB150" s="1074"/>
      <c r="AC150" s="1074"/>
      <c r="AD150" s="1074"/>
      <c r="AE150" s="1074"/>
      <c r="AF150" s="1074"/>
      <c r="AG150" s="1074"/>
      <c r="AH150" s="1074"/>
      <c r="AI150" s="1074"/>
      <c r="AJ150" s="1074"/>
      <c r="AK150" s="1074"/>
      <c r="AL150" s="1074"/>
      <c r="AM150" s="1074"/>
      <c r="AN150" s="1074"/>
      <c r="AO150" s="1074"/>
      <c r="AP150" s="1074"/>
      <c r="AQ150" s="1074"/>
      <c r="AR150" s="1074"/>
      <c r="AS150" s="1074"/>
      <c r="AT150" s="1074"/>
      <c r="AU150" s="1074"/>
      <c r="AV150" s="1074"/>
      <c r="AW150" s="1074"/>
      <c r="AX150" s="1074"/>
      <c r="AY150" s="1074"/>
      <c r="AZ150" s="1074"/>
      <c r="BA150" s="1074"/>
      <c r="BB150" s="1074"/>
      <c r="BC150" s="1074"/>
      <c r="BD150" s="1074"/>
      <c r="BE150" s="1074"/>
      <c r="BF150" s="1074"/>
      <c r="BG150" s="1074"/>
      <c r="BH150" s="1074"/>
      <c r="BI150" s="1074"/>
      <c r="BJ150" s="1074"/>
      <c r="BK150" s="1074"/>
      <c r="BL150" s="1074"/>
      <c r="BM150" s="1074"/>
      <c r="BN150" s="1074"/>
      <c r="BO150" s="1074"/>
      <c r="BP150" s="1074"/>
      <c r="BQ150" s="1074"/>
      <c r="BR150" s="1074"/>
      <c r="BS150" s="1074"/>
      <c r="BT150" s="1074"/>
      <c r="BU150" s="1074"/>
      <c r="BV150" s="1074"/>
      <c r="BW150" s="1074"/>
      <c r="BX150" s="1074"/>
      <c r="BY150" s="1074"/>
      <c r="BZ150" s="1074"/>
      <c r="CA150" s="1074"/>
      <c r="CB150" s="1074"/>
      <c r="CC150" s="1074"/>
      <c r="CD150" s="1074"/>
      <c r="CE150" s="1074"/>
      <c r="CF150" s="1074"/>
      <c r="CG150" s="1074"/>
      <c r="CH150" s="1074"/>
      <c r="CI150" s="1074"/>
      <c r="CJ150" s="1074"/>
      <c r="CK150" s="1074"/>
      <c r="CL150" s="1074"/>
      <c r="CM150" s="1074"/>
      <c r="CN150" s="1074"/>
      <c r="CO150" s="1074"/>
      <c r="CP150" s="1074"/>
      <c r="CQ150" s="1074"/>
      <c r="CR150" s="1074"/>
      <c r="CS150" s="1074"/>
      <c r="CT150" s="1074"/>
      <c r="CU150" s="1074"/>
      <c r="CV150" s="1074"/>
      <c r="CW150" s="1074"/>
      <c r="CX150" s="1074"/>
      <c r="CY150" s="1074"/>
      <c r="CZ150" s="1074"/>
      <c r="DA150" s="1074"/>
      <c r="DB150" s="1074"/>
      <c r="DC150" s="1074"/>
      <c r="DD150" s="1074"/>
      <c r="DE150" s="1074"/>
      <c r="DF150" s="1074"/>
      <c r="DG150" s="1074"/>
      <c r="DH150" s="1074"/>
      <c r="DI150" s="1074"/>
      <c r="DJ150" s="1074"/>
      <c r="DK150" s="1074"/>
      <c r="DL150" s="1074"/>
      <c r="DM150" s="1074"/>
      <c r="DN150" s="1074"/>
      <c r="DO150" s="1074"/>
      <c r="DP150" s="1074"/>
      <c r="DQ150" s="1074"/>
      <c r="DR150" s="1075"/>
    </row>
    <row r="151" spans="2:122">
      <c r="B151" s="1073"/>
      <c r="C151" s="1074"/>
      <c r="D151" s="1074"/>
      <c r="E151" s="1074"/>
      <c r="F151" s="1074"/>
      <c r="G151" s="1074"/>
      <c r="H151" s="1074"/>
      <c r="I151" s="1074"/>
      <c r="J151" s="1074"/>
      <c r="K151" s="1074"/>
      <c r="L151" s="1074"/>
      <c r="M151" s="1074"/>
      <c r="N151" s="1074"/>
      <c r="O151" s="1074"/>
      <c r="P151" s="1074"/>
      <c r="Q151" s="1074"/>
      <c r="R151" s="1074"/>
      <c r="S151" s="1074"/>
      <c r="T151" s="1074"/>
      <c r="U151" s="1074"/>
      <c r="V151" s="1074"/>
      <c r="W151" s="1074"/>
      <c r="X151" s="1074"/>
      <c r="Y151" s="1074"/>
      <c r="Z151" s="1074"/>
      <c r="AA151" s="1074"/>
      <c r="AB151" s="1074"/>
      <c r="AC151" s="1074"/>
      <c r="AD151" s="1074"/>
      <c r="AE151" s="1074"/>
      <c r="AF151" s="1074"/>
      <c r="AG151" s="1074"/>
      <c r="AH151" s="1074"/>
      <c r="AI151" s="1074"/>
      <c r="AJ151" s="1074"/>
      <c r="AK151" s="1074"/>
      <c r="AL151" s="1074"/>
      <c r="AM151" s="1074"/>
      <c r="AN151" s="1074"/>
      <c r="AO151" s="1074"/>
      <c r="AP151" s="1074"/>
      <c r="AQ151" s="1074"/>
      <c r="AR151" s="1074"/>
      <c r="AS151" s="1074"/>
      <c r="AT151" s="1074"/>
      <c r="AU151" s="1074"/>
      <c r="AV151" s="1074"/>
      <c r="AW151" s="1074"/>
      <c r="AX151" s="1074"/>
      <c r="AY151" s="1074"/>
      <c r="AZ151" s="1074"/>
      <c r="BA151" s="1074"/>
      <c r="BB151" s="1074"/>
      <c r="BC151" s="1074"/>
      <c r="BD151" s="1074"/>
      <c r="BE151" s="1074"/>
      <c r="BF151" s="1074"/>
      <c r="BG151" s="1074"/>
      <c r="BH151" s="1074"/>
      <c r="BI151" s="1074"/>
      <c r="BJ151" s="1074"/>
      <c r="BK151" s="1074"/>
      <c r="BL151" s="1074"/>
      <c r="BM151" s="1074"/>
      <c r="BN151" s="1074"/>
      <c r="BO151" s="1074"/>
      <c r="BP151" s="1074"/>
      <c r="BQ151" s="1074"/>
      <c r="BR151" s="1074"/>
      <c r="BS151" s="1074"/>
      <c r="BT151" s="1074"/>
      <c r="BU151" s="1074"/>
      <c r="BV151" s="1074"/>
      <c r="BW151" s="1074"/>
      <c r="BX151" s="1074"/>
      <c r="BY151" s="1074"/>
      <c r="BZ151" s="1074"/>
      <c r="CA151" s="1074"/>
      <c r="CB151" s="1074"/>
      <c r="CC151" s="1074"/>
      <c r="CD151" s="1074"/>
      <c r="CE151" s="1074"/>
      <c r="CF151" s="1074"/>
      <c r="CG151" s="1074"/>
      <c r="CH151" s="1074"/>
      <c r="CI151" s="1074"/>
      <c r="CJ151" s="1074"/>
      <c r="CK151" s="1074"/>
      <c r="CL151" s="1074"/>
      <c r="CM151" s="1074"/>
      <c r="CN151" s="1074"/>
      <c r="CO151" s="1074"/>
      <c r="CP151" s="1074"/>
      <c r="CQ151" s="1074"/>
      <c r="CR151" s="1074"/>
      <c r="CS151" s="1074"/>
      <c r="CT151" s="1074"/>
      <c r="CU151" s="1074"/>
      <c r="CV151" s="1074"/>
      <c r="CW151" s="1074"/>
      <c r="CX151" s="1074"/>
      <c r="CY151" s="1074"/>
      <c r="CZ151" s="1074"/>
      <c r="DA151" s="1074"/>
      <c r="DB151" s="1074"/>
      <c r="DC151" s="1074"/>
      <c r="DD151" s="1074"/>
      <c r="DE151" s="1074"/>
      <c r="DF151" s="1074"/>
      <c r="DG151" s="1074"/>
      <c r="DH151" s="1074"/>
      <c r="DI151" s="1074"/>
      <c r="DJ151" s="1074"/>
      <c r="DK151" s="1074"/>
      <c r="DL151" s="1074"/>
      <c r="DM151" s="1074"/>
      <c r="DN151" s="1074"/>
      <c r="DO151" s="1074"/>
      <c r="DP151" s="1074"/>
      <c r="DQ151" s="1074"/>
      <c r="DR151" s="1075"/>
    </row>
    <row r="152" spans="2:122">
      <c r="B152" s="1073"/>
      <c r="C152" s="1074"/>
      <c r="D152" s="1074"/>
      <c r="E152" s="1074"/>
      <c r="F152" s="1074"/>
      <c r="G152" s="1074"/>
      <c r="H152" s="1074"/>
      <c r="I152" s="1074"/>
      <c r="J152" s="1074"/>
      <c r="K152" s="1074"/>
      <c r="L152" s="1074"/>
      <c r="M152" s="1074"/>
      <c r="N152" s="1074"/>
      <c r="O152" s="1074"/>
      <c r="P152" s="1074"/>
      <c r="Q152" s="1074"/>
      <c r="R152" s="1074"/>
      <c r="S152" s="1074"/>
      <c r="T152" s="1074"/>
      <c r="U152" s="1074"/>
      <c r="V152" s="1074"/>
      <c r="W152" s="1074"/>
      <c r="X152" s="1074"/>
      <c r="Y152" s="1074"/>
      <c r="Z152" s="1074"/>
      <c r="AA152" s="1074"/>
      <c r="AB152" s="1074"/>
      <c r="AC152" s="1074"/>
      <c r="AD152" s="1074"/>
      <c r="AE152" s="1074"/>
      <c r="AF152" s="1074"/>
      <c r="AG152" s="1074"/>
      <c r="AH152" s="1074"/>
      <c r="AI152" s="1074"/>
      <c r="AJ152" s="1074"/>
      <c r="AK152" s="1074"/>
      <c r="AL152" s="1074"/>
      <c r="AM152" s="1074"/>
      <c r="AN152" s="1074"/>
      <c r="AO152" s="1074"/>
      <c r="AP152" s="1074"/>
      <c r="AQ152" s="1074"/>
      <c r="AR152" s="1074"/>
      <c r="AS152" s="1074"/>
      <c r="AT152" s="1074"/>
      <c r="AU152" s="1074"/>
      <c r="AV152" s="1074"/>
      <c r="AW152" s="1074"/>
      <c r="AX152" s="1074"/>
      <c r="AY152" s="1074"/>
      <c r="AZ152" s="1074"/>
      <c r="BA152" s="1074"/>
      <c r="BB152" s="1074"/>
      <c r="BC152" s="1074"/>
      <c r="BD152" s="1074"/>
      <c r="BE152" s="1074"/>
      <c r="BF152" s="1074"/>
      <c r="BG152" s="1074"/>
      <c r="BH152" s="1074"/>
      <c r="BI152" s="1074"/>
      <c r="BJ152" s="1074"/>
      <c r="BK152" s="1074"/>
      <c r="BL152" s="1074"/>
      <c r="BM152" s="1074"/>
      <c r="BN152" s="1074"/>
      <c r="BO152" s="1074"/>
      <c r="BP152" s="1074"/>
      <c r="BQ152" s="1074"/>
      <c r="BR152" s="1074"/>
      <c r="BS152" s="1074"/>
      <c r="BT152" s="1074"/>
      <c r="BU152" s="1074"/>
      <c r="BV152" s="1074"/>
      <c r="BW152" s="1074"/>
      <c r="BX152" s="1074"/>
      <c r="BY152" s="1074"/>
      <c r="BZ152" s="1074"/>
      <c r="CA152" s="1074"/>
      <c r="CB152" s="1074"/>
      <c r="CC152" s="1074"/>
      <c r="CD152" s="1074"/>
      <c r="CE152" s="1074"/>
      <c r="CF152" s="1074"/>
      <c r="CG152" s="1074"/>
      <c r="CH152" s="1074"/>
      <c r="CI152" s="1074"/>
      <c r="CJ152" s="1074"/>
      <c r="CK152" s="1074"/>
      <c r="CL152" s="1074"/>
      <c r="CM152" s="1074"/>
      <c r="CN152" s="1074"/>
      <c r="CO152" s="1074"/>
      <c r="CP152" s="1074"/>
      <c r="CQ152" s="1074"/>
      <c r="CR152" s="1074"/>
      <c r="CS152" s="1074"/>
      <c r="CT152" s="1074"/>
      <c r="CU152" s="1074"/>
      <c r="CV152" s="1074"/>
      <c r="CW152" s="1074"/>
      <c r="CX152" s="1074"/>
      <c r="CY152" s="1074"/>
      <c r="CZ152" s="1074"/>
      <c r="DA152" s="1074"/>
      <c r="DB152" s="1074"/>
      <c r="DC152" s="1074"/>
      <c r="DD152" s="1074"/>
      <c r="DE152" s="1074"/>
      <c r="DF152" s="1074"/>
      <c r="DG152" s="1074"/>
      <c r="DH152" s="1074"/>
      <c r="DI152" s="1074"/>
      <c r="DJ152" s="1074"/>
      <c r="DK152" s="1074"/>
      <c r="DL152" s="1074"/>
      <c r="DM152" s="1074"/>
      <c r="DN152" s="1074"/>
      <c r="DO152" s="1074"/>
      <c r="DP152" s="1074"/>
      <c r="DQ152" s="1074"/>
      <c r="DR152" s="1075"/>
    </row>
    <row r="153" spans="2:122">
      <c r="B153" s="1073"/>
      <c r="C153" s="1074"/>
      <c r="D153" s="1074"/>
      <c r="E153" s="1074"/>
      <c r="F153" s="1074"/>
      <c r="G153" s="1074"/>
      <c r="H153" s="1074"/>
      <c r="I153" s="1074"/>
      <c r="J153" s="1074"/>
      <c r="K153" s="1074"/>
      <c r="L153" s="1074"/>
      <c r="M153" s="1074"/>
      <c r="N153" s="1074"/>
      <c r="O153" s="1074"/>
      <c r="P153" s="1074"/>
      <c r="Q153" s="1074"/>
      <c r="R153" s="1074"/>
      <c r="S153" s="1074"/>
      <c r="T153" s="1074"/>
      <c r="U153" s="1074"/>
      <c r="V153" s="1074"/>
      <c r="W153" s="1074"/>
      <c r="X153" s="1074"/>
      <c r="Y153" s="1074"/>
      <c r="Z153" s="1074"/>
      <c r="AA153" s="1074"/>
      <c r="AB153" s="1074"/>
      <c r="AC153" s="1074"/>
      <c r="AD153" s="1074"/>
      <c r="AE153" s="1074"/>
      <c r="AF153" s="1074"/>
      <c r="AG153" s="1074"/>
      <c r="AH153" s="1074"/>
      <c r="AI153" s="1074"/>
      <c r="AJ153" s="1074"/>
      <c r="AK153" s="1074"/>
      <c r="AL153" s="1074"/>
      <c r="AM153" s="1074"/>
      <c r="AN153" s="1074"/>
      <c r="AO153" s="1074"/>
      <c r="AP153" s="1074"/>
      <c r="AQ153" s="1074"/>
      <c r="AR153" s="1074"/>
      <c r="AS153" s="1074"/>
      <c r="AT153" s="1074"/>
      <c r="AU153" s="1074"/>
      <c r="AV153" s="1074"/>
      <c r="AW153" s="1074"/>
      <c r="AX153" s="1074"/>
      <c r="AY153" s="1074"/>
      <c r="AZ153" s="1074"/>
      <c r="BA153" s="1074"/>
      <c r="BB153" s="1074"/>
      <c r="BC153" s="1074"/>
      <c r="BD153" s="1074"/>
      <c r="BE153" s="1074"/>
      <c r="BF153" s="1074"/>
      <c r="BG153" s="1074"/>
      <c r="BH153" s="1074"/>
      <c r="BI153" s="1074"/>
      <c r="BJ153" s="1074"/>
      <c r="BK153" s="1074"/>
      <c r="BL153" s="1074"/>
      <c r="BM153" s="1074"/>
      <c r="BN153" s="1074"/>
      <c r="BO153" s="1074"/>
      <c r="BP153" s="1074"/>
      <c r="BQ153" s="1074"/>
      <c r="BR153" s="1074"/>
      <c r="BS153" s="1074"/>
      <c r="BT153" s="1074"/>
      <c r="BU153" s="1074"/>
      <c r="BV153" s="1074"/>
      <c r="BW153" s="1074"/>
      <c r="BX153" s="1074"/>
      <c r="BY153" s="1074"/>
      <c r="BZ153" s="1074"/>
      <c r="CA153" s="1074"/>
      <c r="CB153" s="1074"/>
      <c r="CC153" s="1074"/>
      <c r="CD153" s="1074"/>
      <c r="CE153" s="1074"/>
      <c r="CF153" s="1074"/>
      <c r="CG153" s="1074"/>
      <c r="CH153" s="1074"/>
      <c r="CI153" s="1074"/>
      <c r="CJ153" s="1074"/>
      <c r="CK153" s="1074"/>
      <c r="CL153" s="1074"/>
      <c r="CM153" s="1074"/>
      <c r="CN153" s="1074"/>
      <c r="CO153" s="1074"/>
      <c r="CP153" s="1074"/>
      <c r="CQ153" s="1074"/>
      <c r="CR153" s="1074"/>
      <c r="CS153" s="1074"/>
      <c r="CT153" s="1074"/>
      <c r="CU153" s="1074"/>
      <c r="CV153" s="1074"/>
      <c r="CW153" s="1074"/>
      <c r="CX153" s="1074"/>
      <c r="CY153" s="1074"/>
      <c r="CZ153" s="1074"/>
      <c r="DA153" s="1074"/>
      <c r="DB153" s="1074"/>
      <c r="DC153" s="1074"/>
      <c r="DD153" s="1074"/>
      <c r="DE153" s="1074"/>
      <c r="DF153" s="1074"/>
      <c r="DG153" s="1074"/>
      <c r="DH153" s="1074"/>
      <c r="DI153" s="1074"/>
      <c r="DJ153" s="1074"/>
      <c r="DK153" s="1074"/>
      <c r="DL153" s="1074"/>
      <c r="DM153" s="1074"/>
      <c r="DN153" s="1074"/>
      <c r="DO153" s="1074"/>
      <c r="DP153" s="1074"/>
      <c r="DQ153" s="1074"/>
      <c r="DR153" s="1075"/>
    </row>
    <row r="154" spans="2:122">
      <c r="B154" s="1073"/>
      <c r="C154" s="1074"/>
      <c r="D154" s="1074"/>
      <c r="E154" s="1074"/>
      <c r="F154" s="1074"/>
      <c r="G154" s="1074"/>
      <c r="H154" s="1074"/>
      <c r="I154" s="1074"/>
      <c r="J154" s="1074"/>
      <c r="K154" s="1074"/>
      <c r="L154" s="1074"/>
      <c r="M154" s="1074"/>
      <c r="N154" s="1074"/>
      <c r="O154" s="1074"/>
      <c r="P154" s="1074"/>
      <c r="Q154" s="1074"/>
      <c r="R154" s="1074"/>
      <c r="S154" s="1074"/>
      <c r="T154" s="1074"/>
      <c r="U154" s="1074"/>
      <c r="V154" s="1074"/>
      <c r="W154" s="1074"/>
      <c r="X154" s="1074"/>
      <c r="Y154" s="1074"/>
      <c r="Z154" s="1074"/>
      <c r="AA154" s="1074"/>
      <c r="AB154" s="1074"/>
      <c r="AC154" s="1074"/>
      <c r="AD154" s="1074"/>
      <c r="AE154" s="1074"/>
      <c r="AF154" s="1074"/>
      <c r="AG154" s="1074"/>
      <c r="AH154" s="1074"/>
      <c r="AI154" s="1074"/>
      <c r="AJ154" s="1074"/>
      <c r="AK154" s="1074"/>
      <c r="AL154" s="1074"/>
      <c r="AM154" s="1074"/>
      <c r="AN154" s="1074"/>
      <c r="AO154" s="1074"/>
      <c r="AP154" s="1074"/>
      <c r="AQ154" s="1074"/>
      <c r="AR154" s="1074"/>
      <c r="AS154" s="1074"/>
      <c r="AT154" s="1074"/>
      <c r="AU154" s="1074"/>
      <c r="AV154" s="1074"/>
      <c r="AW154" s="1074"/>
      <c r="AX154" s="1074"/>
      <c r="AY154" s="1074"/>
      <c r="AZ154" s="1074"/>
      <c r="BA154" s="1074"/>
      <c r="BB154" s="1074"/>
      <c r="BC154" s="1074"/>
      <c r="BD154" s="1074"/>
      <c r="BE154" s="1074"/>
      <c r="BF154" s="1074"/>
      <c r="BG154" s="1074"/>
      <c r="BH154" s="1074"/>
      <c r="BI154" s="1074"/>
      <c r="BJ154" s="1074"/>
      <c r="BK154" s="1074"/>
      <c r="BL154" s="1074"/>
      <c r="BM154" s="1074"/>
      <c r="BN154" s="1074"/>
      <c r="BO154" s="1074"/>
      <c r="BP154" s="1074"/>
      <c r="BQ154" s="1074"/>
      <c r="BR154" s="1074"/>
      <c r="BS154" s="1074"/>
      <c r="BT154" s="1074"/>
      <c r="BU154" s="1074"/>
      <c r="BV154" s="1074"/>
      <c r="BW154" s="1074"/>
      <c r="BX154" s="1074"/>
      <c r="BY154" s="1074"/>
      <c r="BZ154" s="1074"/>
      <c r="CA154" s="1074"/>
      <c r="CB154" s="1074"/>
      <c r="CC154" s="1074"/>
      <c r="CD154" s="1074"/>
      <c r="CE154" s="1074"/>
      <c r="CF154" s="1074"/>
      <c r="CG154" s="1074"/>
      <c r="CH154" s="1074"/>
      <c r="CI154" s="1074"/>
      <c r="CJ154" s="1074"/>
      <c r="CK154" s="1074"/>
      <c r="CL154" s="1074"/>
      <c r="CM154" s="1074"/>
      <c r="CN154" s="1074"/>
      <c r="CO154" s="1074"/>
      <c r="CP154" s="1074"/>
      <c r="CQ154" s="1074"/>
      <c r="CR154" s="1074"/>
      <c r="CS154" s="1074"/>
      <c r="CT154" s="1074"/>
      <c r="CU154" s="1074"/>
      <c r="CV154" s="1074"/>
      <c r="CW154" s="1074"/>
      <c r="CX154" s="1074"/>
      <c r="CY154" s="1074"/>
      <c r="CZ154" s="1074"/>
      <c r="DA154" s="1074"/>
      <c r="DB154" s="1074"/>
      <c r="DC154" s="1074"/>
      <c r="DD154" s="1074"/>
      <c r="DE154" s="1074"/>
      <c r="DF154" s="1074"/>
      <c r="DG154" s="1074"/>
      <c r="DH154" s="1074"/>
      <c r="DI154" s="1074"/>
      <c r="DJ154" s="1074"/>
      <c r="DK154" s="1074"/>
      <c r="DL154" s="1074"/>
      <c r="DM154" s="1074"/>
      <c r="DN154" s="1074"/>
      <c r="DO154" s="1074"/>
      <c r="DP154" s="1074"/>
      <c r="DQ154" s="1074"/>
      <c r="DR154" s="1075"/>
    </row>
    <row r="155" spans="2:122">
      <c r="B155" s="1073"/>
      <c r="C155" s="1074"/>
      <c r="D155" s="1074"/>
      <c r="E155" s="1074"/>
      <c r="F155" s="1074"/>
      <c r="G155" s="1074"/>
      <c r="H155" s="1074"/>
      <c r="I155" s="1074"/>
      <c r="J155" s="1074"/>
      <c r="K155" s="1074"/>
      <c r="L155" s="1074"/>
      <c r="M155" s="1074"/>
      <c r="N155" s="1074"/>
      <c r="O155" s="1074"/>
      <c r="P155" s="1074"/>
      <c r="Q155" s="1074"/>
      <c r="R155" s="1074"/>
      <c r="S155" s="1074"/>
      <c r="T155" s="1074"/>
      <c r="U155" s="1074"/>
      <c r="V155" s="1074"/>
      <c r="W155" s="1074"/>
      <c r="X155" s="1074"/>
      <c r="Y155" s="1074"/>
      <c r="Z155" s="1074"/>
      <c r="AA155" s="1074"/>
      <c r="AB155" s="1074"/>
      <c r="AC155" s="1074"/>
      <c r="AD155" s="1074"/>
      <c r="AE155" s="1074"/>
      <c r="AF155" s="1074"/>
      <c r="AG155" s="1074"/>
      <c r="AH155" s="1074"/>
      <c r="AI155" s="1074"/>
      <c r="AJ155" s="1074"/>
      <c r="AK155" s="1074"/>
      <c r="AL155" s="1074"/>
      <c r="AM155" s="1074"/>
      <c r="AN155" s="1074"/>
      <c r="AO155" s="1074"/>
      <c r="AP155" s="1074"/>
      <c r="AQ155" s="1074"/>
      <c r="AR155" s="1074"/>
      <c r="AS155" s="1074"/>
      <c r="AT155" s="1074"/>
      <c r="AU155" s="1074"/>
      <c r="AV155" s="1074"/>
      <c r="AW155" s="1074"/>
      <c r="AX155" s="1074"/>
      <c r="AY155" s="1074"/>
      <c r="AZ155" s="1074"/>
      <c r="BA155" s="1074"/>
      <c r="BB155" s="1074"/>
      <c r="BC155" s="1074"/>
      <c r="BD155" s="1074"/>
      <c r="BE155" s="1074"/>
      <c r="BF155" s="1074"/>
      <c r="BG155" s="1074"/>
      <c r="BH155" s="1074"/>
      <c r="BI155" s="1074"/>
      <c r="BJ155" s="1074"/>
      <c r="BK155" s="1074"/>
      <c r="BL155" s="1074"/>
      <c r="BM155" s="1074"/>
      <c r="BN155" s="1074"/>
      <c r="BO155" s="1074"/>
      <c r="BP155" s="1074"/>
      <c r="BQ155" s="1074"/>
      <c r="BR155" s="1074"/>
      <c r="BS155" s="1074"/>
      <c r="BT155" s="1074"/>
      <c r="BU155" s="1074"/>
      <c r="BV155" s="1074"/>
      <c r="BW155" s="1074"/>
      <c r="BX155" s="1074"/>
      <c r="BY155" s="1074"/>
      <c r="BZ155" s="1074"/>
      <c r="CA155" s="1074"/>
      <c r="CB155" s="1074"/>
      <c r="CC155" s="1074"/>
      <c r="CD155" s="1074"/>
      <c r="CE155" s="1074"/>
      <c r="CF155" s="1074"/>
      <c r="CG155" s="1074"/>
      <c r="CH155" s="1074"/>
      <c r="CI155" s="1074"/>
      <c r="CJ155" s="1074"/>
      <c r="CK155" s="1074"/>
      <c r="CL155" s="1074"/>
      <c r="CM155" s="1074"/>
      <c r="CN155" s="1074"/>
      <c r="CO155" s="1074"/>
      <c r="CP155" s="1074"/>
      <c r="CQ155" s="1074"/>
      <c r="CR155" s="1074"/>
      <c r="CS155" s="1074"/>
      <c r="CT155" s="1074"/>
      <c r="CU155" s="1074"/>
      <c r="CV155" s="1074"/>
      <c r="CW155" s="1074"/>
      <c r="CX155" s="1074"/>
      <c r="CY155" s="1074"/>
      <c r="CZ155" s="1074"/>
      <c r="DA155" s="1074"/>
      <c r="DB155" s="1074"/>
      <c r="DC155" s="1074"/>
      <c r="DD155" s="1074"/>
      <c r="DE155" s="1074"/>
      <c r="DF155" s="1074"/>
      <c r="DG155" s="1074"/>
      <c r="DH155" s="1074"/>
      <c r="DI155" s="1074"/>
      <c r="DJ155" s="1074"/>
      <c r="DK155" s="1074"/>
      <c r="DL155" s="1074"/>
      <c r="DM155" s="1074"/>
      <c r="DN155" s="1074"/>
      <c r="DO155" s="1074"/>
      <c r="DP155" s="1074"/>
      <c r="DQ155" s="1074"/>
      <c r="DR155" s="1075"/>
    </row>
    <row r="156" spans="2:122">
      <c r="B156" s="1073"/>
      <c r="C156" s="1074"/>
      <c r="D156" s="1074"/>
      <c r="E156" s="1074"/>
      <c r="F156" s="1074"/>
      <c r="G156" s="1074"/>
      <c r="H156" s="1074"/>
      <c r="I156" s="1074"/>
      <c r="J156" s="1074"/>
      <c r="K156" s="1074"/>
      <c r="L156" s="1074"/>
      <c r="M156" s="1074"/>
      <c r="N156" s="1074"/>
      <c r="O156" s="1074"/>
      <c r="P156" s="1074"/>
      <c r="Q156" s="1074"/>
      <c r="R156" s="1074"/>
      <c r="S156" s="1074"/>
      <c r="T156" s="1074"/>
      <c r="U156" s="1074"/>
      <c r="V156" s="1074"/>
      <c r="W156" s="1074"/>
      <c r="X156" s="1074"/>
      <c r="Y156" s="1074"/>
      <c r="Z156" s="1074"/>
      <c r="AA156" s="1074"/>
      <c r="AB156" s="1074"/>
      <c r="AC156" s="1074"/>
      <c r="AD156" s="1074"/>
      <c r="AE156" s="1074"/>
      <c r="AF156" s="1074"/>
      <c r="AG156" s="1074"/>
      <c r="AH156" s="1074"/>
      <c r="AI156" s="1074"/>
      <c r="AJ156" s="1074"/>
      <c r="AK156" s="1074"/>
      <c r="AL156" s="1074"/>
      <c r="AM156" s="1074"/>
      <c r="AN156" s="1074"/>
      <c r="AO156" s="1074"/>
      <c r="AP156" s="1074"/>
      <c r="AQ156" s="1074"/>
      <c r="AR156" s="1074"/>
      <c r="AS156" s="1074"/>
      <c r="AT156" s="1074"/>
      <c r="AU156" s="1074"/>
      <c r="AV156" s="1074"/>
      <c r="AW156" s="1074"/>
      <c r="AX156" s="1074"/>
      <c r="AY156" s="1074"/>
      <c r="AZ156" s="1074"/>
      <c r="BA156" s="1074"/>
      <c r="BB156" s="1074"/>
      <c r="BC156" s="1074"/>
      <c r="BD156" s="1074"/>
      <c r="BE156" s="1074"/>
      <c r="BF156" s="1074"/>
      <c r="BG156" s="1074"/>
      <c r="BH156" s="1074"/>
      <c r="BI156" s="1074"/>
      <c r="BJ156" s="1074"/>
      <c r="BK156" s="1074"/>
      <c r="BL156" s="1074"/>
      <c r="BM156" s="1074"/>
      <c r="BN156" s="1074"/>
      <c r="BO156" s="1074"/>
      <c r="BP156" s="1074"/>
      <c r="BQ156" s="1074"/>
      <c r="BR156" s="1074"/>
      <c r="BS156" s="1074"/>
      <c r="BT156" s="1074"/>
      <c r="BU156" s="1074"/>
      <c r="BV156" s="1074"/>
      <c r="BW156" s="1074"/>
      <c r="BX156" s="1074"/>
      <c r="BY156" s="1074"/>
      <c r="BZ156" s="1074"/>
      <c r="CA156" s="1074"/>
      <c r="CB156" s="1074"/>
      <c r="CC156" s="1074"/>
      <c r="CD156" s="1074"/>
      <c r="CE156" s="1074"/>
      <c r="CF156" s="1074"/>
      <c r="CG156" s="1074"/>
      <c r="CH156" s="1074"/>
      <c r="CI156" s="1074"/>
      <c r="CJ156" s="1074"/>
      <c r="CK156" s="1074"/>
      <c r="CL156" s="1074"/>
      <c r="CM156" s="1074"/>
      <c r="CN156" s="1074"/>
      <c r="CO156" s="1074"/>
      <c r="CP156" s="1074"/>
      <c r="CQ156" s="1074"/>
      <c r="CR156" s="1074"/>
      <c r="CS156" s="1074"/>
      <c r="CT156" s="1074"/>
      <c r="CU156" s="1074"/>
      <c r="CV156" s="1074"/>
      <c r="CW156" s="1074"/>
      <c r="CX156" s="1074"/>
      <c r="CY156" s="1074"/>
      <c r="CZ156" s="1074"/>
      <c r="DA156" s="1074"/>
      <c r="DB156" s="1074"/>
      <c r="DC156" s="1074"/>
      <c r="DD156" s="1074"/>
      <c r="DE156" s="1074"/>
      <c r="DF156" s="1074"/>
      <c r="DG156" s="1074"/>
      <c r="DH156" s="1074"/>
      <c r="DI156" s="1074"/>
      <c r="DJ156" s="1074"/>
      <c r="DK156" s="1074"/>
      <c r="DL156" s="1074"/>
      <c r="DM156" s="1074"/>
      <c r="DN156" s="1074"/>
      <c r="DO156" s="1074"/>
      <c r="DP156" s="1074"/>
      <c r="DQ156" s="1074"/>
      <c r="DR156" s="1075"/>
    </row>
    <row r="157" spans="2:122">
      <c r="B157" s="1073"/>
      <c r="C157" s="1074"/>
      <c r="D157" s="1074"/>
      <c r="E157" s="1074"/>
      <c r="F157" s="1074"/>
      <c r="G157" s="1074"/>
      <c r="H157" s="1074"/>
      <c r="I157" s="1074"/>
      <c r="J157" s="1074"/>
      <c r="K157" s="1074"/>
      <c r="L157" s="1074"/>
      <c r="M157" s="1074"/>
      <c r="N157" s="1074"/>
      <c r="O157" s="1074"/>
      <c r="P157" s="1074"/>
      <c r="Q157" s="1074"/>
      <c r="R157" s="1074"/>
      <c r="S157" s="1074"/>
      <c r="T157" s="1074"/>
      <c r="U157" s="1074"/>
      <c r="V157" s="1074"/>
      <c r="W157" s="1074"/>
      <c r="X157" s="1074"/>
      <c r="Y157" s="1074"/>
      <c r="Z157" s="1074"/>
      <c r="AA157" s="1074"/>
      <c r="AB157" s="1074"/>
      <c r="AC157" s="1074"/>
      <c r="AD157" s="1074"/>
      <c r="AE157" s="1074"/>
      <c r="AF157" s="1074"/>
      <c r="AG157" s="1074"/>
      <c r="AH157" s="1074"/>
      <c r="AI157" s="1074"/>
      <c r="AJ157" s="1074"/>
      <c r="AK157" s="1074"/>
      <c r="AL157" s="1074"/>
      <c r="AM157" s="1074"/>
      <c r="AN157" s="1074"/>
      <c r="AO157" s="1074"/>
      <c r="AP157" s="1074"/>
      <c r="AQ157" s="1074"/>
      <c r="AR157" s="1074"/>
      <c r="AS157" s="1074"/>
      <c r="AT157" s="1074"/>
      <c r="AU157" s="1074"/>
      <c r="AV157" s="1074"/>
      <c r="AW157" s="1074"/>
      <c r="AX157" s="1074"/>
      <c r="AY157" s="1074"/>
      <c r="AZ157" s="1074"/>
      <c r="BA157" s="1074"/>
      <c r="BB157" s="1074"/>
      <c r="BC157" s="1074"/>
      <c r="BD157" s="1074"/>
      <c r="BE157" s="1074"/>
      <c r="BF157" s="1074"/>
      <c r="BG157" s="1074"/>
      <c r="BH157" s="1074"/>
      <c r="BI157" s="1074"/>
      <c r="BJ157" s="1074"/>
      <c r="BK157" s="1074"/>
      <c r="BL157" s="1074"/>
      <c r="BM157" s="1074"/>
      <c r="BN157" s="1074"/>
      <c r="BO157" s="1074"/>
      <c r="BP157" s="1074"/>
      <c r="BQ157" s="1074"/>
      <c r="BR157" s="1074"/>
      <c r="BS157" s="1074"/>
      <c r="BT157" s="1074"/>
      <c r="BU157" s="1074"/>
      <c r="BV157" s="1074"/>
      <c r="BW157" s="1074"/>
      <c r="BX157" s="1074"/>
      <c r="BY157" s="1074"/>
      <c r="BZ157" s="1074"/>
      <c r="CA157" s="1074"/>
      <c r="CB157" s="1074"/>
      <c r="CC157" s="1074"/>
      <c r="CD157" s="1074"/>
      <c r="CE157" s="1074"/>
      <c r="CF157" s="1074"/>
      <c r="CG157" s="1074"/>
      <c r="CH157" s="1074"/>
      <c r="CI157" s="1074"/>
      <c r="CJ157" s="1074"/>
      <c r="CK157" s="1074"/>
      <c r="CL157" s="1074"/>
      <c r="CM157" s="1074"/>
      <c r="CN157" s="1074"/>
      <c r="CO157" s="1074"/>
      <c r="CP157" s="1074"/>
      <c r="CQ157" s="1074"/>
      <c r="CR157" s="1074"/>
      <c r="CS157" s="1074"/>
      <c r="CT157" s="1074"/>
      <c r="CU157" s="1074"/>
      <c r="CV157" s="1074"/>
      <c r="CW157" s="1074"/>
      <c r="CX157" s="1074"/>
      <c r="CY157" s="1074"/>
      <c r="CZ157" s="1074"/>
      <c r="DA157" s="1074"/>
      <c r="DB157" s="1074"/>
      <c r="DC157" s="1074"/>
      <c r="DD157" s="1074"/>
      <c r="DE157" s="1074"/>
      <c r="DF157" s="1074"/>
      <c r="DG157" s="1074"/>
      <c r="DH157" s="1074"/>
      <c r="DI157" s="1074"/>
      <c r="DJ157" s="1074"/>
      <c r="DK157" s="1074"/>
      <c r="DL157" s="1074"/>
      <c r="DM157" s="1074"/>
      <c r="DN157" s="1074"/>
      <c r="DO157" s="1074"/>
      <c r="DP157" s="1074"/>
      <c r="DQ157" s="1074"/>
      <c r="DR157" s="1075"/>
    </row>
    <row r="158" spans="2:122">
      <c r="B158" s="1073"/>
      <c r="C158" s="1074"/>
      <c r="D158" s="1074"/>
      <c r="E158" s="1074"/>
      <c r="F158" s="1074"/>
      <c r="G158" s="1074"/>
      <c r="H158" s="1074"/>
      <c r="I158" s="1074"/>
      <c r="J158" s="1074"/>
      <c r="K158" s="1074"/>
      <c r="L158" s="1074"/>
      <c r="M158" s="1074"/>
      <c r="N158" s="1074"/>
      <c r="O158" s="1074"/>
      <c r="P158" s="1074"/>
      <c r="Q158" s="1074"/>
      <c r="R158" s="1074"/>
      <c r="S158" s="1074"/>
      <c r="T158" s="1074"/>
      <c r="U158" s="1074"/>
      <c r="V158" s="1074"/>
      <c r="W158" s="1074"/>
      <c r="X158" s="1074"/>
      <c r="Y158" s="1074"/>
      <c r="Z158" s="1074"/>
      <c r="AA158" s="1074"/>
      <c r="AB158" s="1074"/>
      <c r="AC158" s="1074"/>
      <c r="AD158" s="1074"/>
      <c r="AE158" s="1074"/>
      <c r="AF158" s="1074"/>
      <c r="AG158" s="1074"/>
      <c r="AH158" s="1074"/>
      <c r="AI158" s="1074"/>
      <c r="AJ158" s="1074"/>
      <c r="AK158" s="1074"/>
      <c r="AL158" s="1074"/>
      <c r="AM158" s="1074"/>
      <c r="AN158" s="1074"/>
      <c r="AO158" s="1074"/>
      <c r="AP158" s="1074"/>
      <c r="AQ158" s="1074"/>
      <c r="AR158" s="1074"/>
      <c r="AS158" s="1074"/>
      <c r="AT158" s="1074"/>
      <c r="AU158" s="1074"/>
      <c r="AV158" s="1074"/>
      <c r="AW158" s="1074"/>
      <c r="AX158" s="1074"/>
      <c r="AY158" s="1074"/>
      <c r="AZ158" s="1074"/>
      <c r="BA158" s="1074"/>
      <c r="BB158" s="1074"/>
      <c r="BC158" s="1074"/>
      <c r="BD158" s="1074"/>
      <c r="BE158" s="1074"/>
      <c r="BF158" s="1074"/>
      <c r="BG158" s="1074"/>
      <c r="BH158" s="1074"/>
      <c r="BI158" s="1074"/>
      <c r="BJ158" s="1074"/>
      <c r="BK158" s="1074"/>
      <c r="BL158" s="1074"/>
      <c r="BM158" s="1074"/>
      <c r="BN158" s="1074"/>
      <c r="BO158" s="1074"/>
      <c r="BP158" s="1074"/>
      <c r="BQ158" s="1074"/>
      <c r="BR158" s="1074"/>
      <c r="BS158" s="1074"/>
      <c r="BT158" s="1074"/>
      <c r="BU158" s="1074"/>
      <c r="BV158" s="1074"/>
      <c r="BW158" s="1074"/>
      <c r="BX158" s="1074"/>
      <c r="BY158" s="1074"/>
      <c r="BZ158" s="1074"/>
      <c r="CA158" s="1074"/>
      <c r="CB158" s="1074"/>
      <c r="CC158" s="1074"/>
      <c r="CD158" s="1074"/>
      <c r="CE158" s="1074"/>
      <c r="CF158" s="1074"/>
      <c r="CG158" s="1074"/>
      <c r="CH158" s="1074"/>
      <c r="CI158" s="1074"/>
      <c r="CJ158" s="1074"/>
      <c r="CK158" s="1074"/>
      <c r="CL158" s="1074"/>
      <c r="CM158" s="1074"/>
      <c r="CN158" s="1074"/>
      <c r="CO158" s="1074"/>
      <c r="CP158" s="1074"/>
      <c r="CQ158" s="1074"/>
      <c r="CR158" s="1074"/>
      <c r="CS158" s="1074"/>
      <c r="CT158" s="1074"/>
      <c r="CU158" s="1074"/>
      <c r="CV158" s="1074"/>
      <c r="CW158" s="1074"/>
      <c r="CX158" s="1074"/>
      <c r="CY158" s="1074"/>
      <c r="CZ158" s="1074"/>
      <c r="DA158" s="1074"/>
      <c r="DB158" s="1074"/>
      <c r="DC158" s="1074"/>
      <c r="DD158" s="1074"/>
      <c r="DE158" s="1074"/>
      <c r="DF158" s="1074"/>
      <c r="DG158" s="1074"/>
      <c r="DH158" s="1074"/>
      <c r="DI158" s="1074"/>
      <c r="DJ158" s="1074"/>
      <c r="DK158" s="1074"/>
      <c r="DL158" s="1074"/>
      <c r="DM158" s="1074"/>
      <c r="DN158" s="1074"/>
      <c r="DO158" s="1074"/>
      <c r="DP158" s="1074"/>
      <c r="DQ158" s="1074"/>
      <c r="DR158" s="1075"/>
    </row>
    <row r="159" spans="2:122">
      <c r="B159" s="1073"/>
      <c r="C159" s="1074"/>
      <c r="D159" s="1074"/>
      <c r="E159" s="1074"/>
      <c r="F159" s="1074"/>
      <c r="G159" s="1074"/>
      <c r="H159" s="1074"/>
      <c r="I159" s="1074"/>
      <c r="J159" s="1074"/>
      <c r="K159" s="1074"/>
      <c r="L159" s="1074"/>
      <c r="M159" s="1074"/>
      <c r="N159" s="1074"/>
      <c r="O159" s="1074"/>
      <c r="P159" s="1074"/>
      <c r="Q159" s="1074"/>
      <c r="R159" s="1074"/>
      <c r="S159" s="1074"/>
      <c r="T159" s="1074"/>
      <c r="U159" s="1074"/>
      <c r="V159" s="1074"/>
      <c r="W159" s="1074"/>
      <c r="X159" s="1074"/>
      <c r="Y159" s="1074"/>
      <c r="Z159" s="1074"/>
      <c r="AA159" s="1074"/>
      <c r="AB159" s="1074"/>
      <c r="AC159" s="1074"/>
      <c r="AD159" s="1074"/>
      <c r="AE159" s="1074"/>
      <c r="AF159" s="1074"/>
      <c r="AG159" s="1074"/>
      <c r="AH159" s="1074"/>
      <c r="AI159" s="1074"/>
      <c r="AJ159" s="1074"/>
      <c r="AK159" s="1074"/>
      <c r="AL159" s="1074"/>
      <c r="AM159" s="1074"/>
      <c r="AN159" s="1074"/>
      <c r="AO159" s="1074"/>
      <c r="AP159" s="1074"/>
      <c r="AQ159" s="1074"/>
      <c r="AR159" s="1074"/>
      <c r="AS159" s="1074"/>
      <c r="AT159" s="1074"/>
      <c r="AU159" s="1074"/>
      <c r="AV159" s="1074"/>
      <c r="AW159" s="1074"/>
      <c r="AX159" s="1074"/>
      <c r="AY159" s="1074"/>
      <c r="AZ159" s="1074"/>
      <c r="BA159" s="1074"/>
      <c r="BB159" s="1074"/>
      <c r="BC159" s="1074"/>
      <c r="BD159" s="1074"/>
      <c r="BE159" s="1074"/>
      <c r="BF159" s="1074"/>
      <c r="BG159" s="1074"/>
      <c r="BH159" s="1074"/>
      <c r="BI159" s="1074"/>
      <c r="BJ159" s="1074"/>
      <c r="BK159" s="1074"/>
      <c r="BL159" s="1074"/>
      <c r="BM159" s="1074"/>
      <c r="BN159" s="1074"/>
      <c r="BO159" s="1074"/>
      <c r="BP159" s="1074"/>
      <c r="BQ159" s="1074"/>
      <c r="BR159" s="1074"/>
      <c r="BS159" s="1074"/>
      <c r="BT159" s="1074"/>
      <c r="BU159" s="1074"/>
      <c r="BV159" s="1074"/>
      <c r="BW159" s="1074"/>
      <c r="BX159" s="1074"/>
      <c r="BY159" s="1074"/>
      <c r="BZ159" s="1074"/>
      <c r="CA159" s="1074"/>
      <c r="CB159" s="1074"/>
      <c r="CC159" s="1074"/>
      <c r="CD159" s="1074"/>
      <c r="CE159" s="1074"/>
      <c r="CF159" s="1074"/>
      <c r="CG159" s="1074"/>
      <c r="CH159" s="1074"/>
      <c r="CI159" s="1074"/>
      <c r="CJ159" s="1074"/>
      <c r="CK159" s="1074"/>
      <c r="CL159" s="1074"/>
      <c r="CM159" s="1074"/>
      <c r="CN159" s="1074"/>
      <c r="CO159" s="1074"/>
      <c r="CP159" s="1074"/>
      <c r="CQ159" s="1074"/>
      <c r="CR159" s="1074"/>
      <c r="CS159" s="1074"/>
      <c r="CT159" s="1074"/>
      <c r="CU159" s="1074"/>
      <c r="CV159" s="1074"/>
      <c r="CW159" s="1074"/>
      <c r="CX159" s="1074"/>
      <c r="CY159" s="1074"/>
      <c r="CZ159" s="1074"/>
      <c r="DA159" s="1074"/>
      <c r="DB159" s="1074"/>
      <c r="DC159" s="1074"/>
      <c r="DD159" s="1074"/>
      <c r="DE159" s="1074"/>
      <c r="DF159" s="1074"/>
      <c r="DG159" s="1074"/>
      <c r="DH159" s="1074"/>
      <c r="DI159" s="1074"/>
      <c r="DJ159" s="1074"/>
      <c r="DK159" s="1074"/>
      <c r="DL159" s="1074"/>
      <c r="DM159" s="1074"/>
      <c r="DN159" s="1074"/>
      <c r="DO159" s="1074"/>
      <c r="DP159" s="1074"/>
      <c r="DQ159" s="1074"/>
      <c r="DR159" s="1075"/>
    </row>
    <row r="160" spans="2:122">
      <c r="B160" s="1073"/>
      <c r="C160" s="1074"/>
      <c r="D160" s="1074"/>
      <c r="E160" s="1074"/>
      <c r="F160" s="1074"/>
      <c r="G160" s="1074"/>
      <c r="H160" s="1074"/>
      <c r="I160" s="1074"/>
      <c r="J160" s="1074"/>
      <c r="K160" s="1074"/>
      <c r="L160" s="1074"/>
      <c r="M160" s="1074"/>
      <c r="N160" s="1074"/>
      <c r="O160" s="1074"/>
      <c r="P160" s="1074"/>
      <c r="Q160" s="1074"/>
      <c r="R160" s="1074"/>
      <c r="S160" s="1074"/>
      <c r="T160" s="1074"/>
      <c r="U160" s="1074"/>
      <c r="V160" s="1074"/>
      <c r="W160" s="1074"/>
      <c r="X160" s="1074"/>
      <c r="Y160" s="1074"/>
      <c r="Z160" s="1074"/>
      <c r="AA160" s="1074"/>
      <c r="AB160" s="1074"/>
      <c r="AC160" s="1074"/>
      <c r="AD160" s="1074"/>
      <c r="AE160" s="1074"/>
      <c r="AF160" s="1074"/>
      <c r="AG160" s="1074"/>
      <c r="AH160" s="1074"/>
      <c r="AI160" s="1074"/>
      <c r="AJ160" s="1074"/>
      <c r="AK160" s="1074"/>
      <c r="AL160" s="1074"/>
      <c r="AM160" s="1074"/>
      <c r="AN160" s="1074"/>
      <c r="AO160" s="1074"/>
      <c r="AP160" s="1074"/>
      <c r="AQ160" s="1074"/>
      <c r="AR160" s="1074"/>
      <c r="AS160" s="1074"/>
      <c r="AT160" s="1074"/>
      <c r="AU160" s="1074"/>
      <c r="AV160" s="1074"/>
      <c r="AW160" s="1074"/>
      <c r="AX160" s="1074"/>
      <c r="AY160" s="1074"/>
      <c r="AZ160" s="1074"/>
      <c r="BA160" s="1074"/>
      <c r="BB160" s="1074"/>
      <c r="BC160" s="1074"/>
      <c r="BD160" s="1074"/>
      <c r="BE160" s="1074"/>
      <c r="BF160" s="1074"/>
      <c r="BG160" s="1074"/>
      <c r="BH160" s="1074"/>
      <c r="BI160" s="1074"/>
      <c r="BJ160" s="1074"/>
      <c r="BK160" s="1074"/>
      <c r="BL160" s="1074"/>
      <c r="BM160" s="1074"/>
      <c r="BN160" s="1074"/>
      <c r="BO160" s="1074"/>
      <c r="BP160" s="1074"/>
      <c r="BQ160" s="1074"/>
      <c r="BR160" s="1074"/>
      <c r="BS160" s="1074"/>
      <c r="BT160" s="1074"/>
      <c r="BU160" s="1074"/>
      <c r="BV160" s="1074"/>
      <c r="BW160" s="1074"/>
      <c r="BX160" s="1074"/>
      <c r="BY160" s="1074"/>
      <c r="BZ160" s="1074"/>
      <c r="CA160" s="1074"/>
      <c r="CB160" s="1074"/>
      <c r="CC160" s="1074"/>
      <c r="CD160" s="1074"/>
      <c r="CE160" s="1074"/>
      <c r="CF160" s="1074"/>
      <c r="CG160" s="1074"/>
      <c r="CH160" s="1074"/>
      <c r="CI160" s="1074"/>
      <c r="CJ160" s="1074"/>
      <c r="CK160" s="1074"/>
      <c r="CL160" s="1074"/>
      <c r="CM160" s="1074"/>
      <c r="CN160" s="1074"/>
      <c r="CO160" s="1074"/>
      <c r="CP160" s="1074"/>
      <c r="CQ160" s="1074"/>
      <c r="CR160" s="1074"/>
      <c r="CS160" s="1074"/>
      <c r="CT160" s="1074"/>
      <c r="CU160" s="1074"/>
      <c r="CV160" s="1074"/>
      <c r="CW160" s="1074"/>
      <c r="CX160" s="1074"/>
      <c r="CY160" s="1074"/>
      <c r="CZ160" s="1074"/>
      <c r="DA160" s="1074"/>
      <c r="DB160" s="1074"/>
      <c r="DC160" s="1074"/>
      <c r="DD160" s="1074"/>
      <c r="DE160" s="1074"/>
      <c r="DF160" s="1074"/>
      <c r="DG160" s="1074"/>
      <c r="DH160" s="1074"/>
      <c r="DI160" s="1074"/>
      <c r="DJ160" s="1074"/>
      <c r="DK160" s="1074"/>
      <c r="DL160" s="1074"/>
      <c r="DM160" s="1074"/>
      <c r="DN160" s="1074"/>
      <c r="DO160" s="1074"/>
      <c r="DP160" s="1074"/>
      <c r="DQ160" s="1074"/>
      <c r="DR160" s="1075"/>
    </row>
    <row r="161" spans="2:122">
      <c r="B161" s="1076"/>
      <c r="C161" s="1077"/>
      <c r="D161" s="1077"/>
      <c r="E161" s="1077"/>
      <c r="F161" s="1077"/>
      <c r="G161" s="1077"/>
      <c r="H161" s="1077"/>
      <c r="I161" s="1077"/>
      <c r="J161" s="1077"/>
      <c r="K161" s="1077"/>
      <c r="L161" s="1077"/>
      <c r="M161" s="1077"/>
      <c r="N161" s="1077"/>
      <c r="O161" s="1077"/>
      <c r="P161" s="1077"/>
      <c r="Q161" s="1077"/>
      <c r="R161" s="1077"/>
      <c r="S161" s="1077"/>
      <c r="T161" s="1077"/>
      <c r="U161" s="1077"/>
      <c r="V161" s="1077"/>
      <c r="W161" s="1077"/>
      <c r="X161" s="1077"/>
      <c r="Y161" s="1077"/>
      <c r="Z161" s="1077"/>
      <c r="AA161" s="1077"/>
      <c r="AB161" s="1077"/>
      <c r="AC161" s="1077"/>
      <c r="AD161" s="1077"/>
      <c r="AE161" s="1077"/>
      <c r="AF161" s="1077"/>
      <c r="AG161" s="1077"/>
      <c r="AH161" s="1077"/>
      <c r="AI161" s="1077"/>
      <c r="AJ161" s="1077"/>
      <c r="AK161" s="1077"/>
      <c r="AL161" s="1077"/>
      <c r="AM161" s="1077"/>
      <c r="AN161" s="1077"/>
      <c r="AO161" s="1077"/>
      <c r="AP161" s="1077"/>
      <c r="AQ161" s="1077"/>
      <c r="AR161" s="1077"/>
      <c r="AS161" s="1077"/>
      <c r="AT161" s="1077"/>
      <c r="AU161" s="1077"/>
      <c r="AV161" s="1077"/>
      <c r="AW161" s="1077"/>
      <c r="AX161" s="1077"/>
      <c r="AY161" s="1077"/>
      <c r="AZ161" s="1077"/>
      <c r="BA161" s="1077"/>
      <c r="BB161" s="1077"/>
      <c r="BC161" s="1077"/>
      <c r="BD161" s="1077"/>
      <c r="BE161" s="1077"/>
      <c r="BF161" s="1077"/>
      <c r="BG161" s="1077"/>
      <c r="BH161" s="1077"/>
      <c r="BI161" s="1077"/>
      <c r="BJ161" s="1077"/>
      <c r="BK161" s="1077"/>
      <c r="BL161" s="1077"/>
      <c r="BM161" s="1077"/>
      <c r="BN161" s="1077"/>
      <c r="BO161" s="1077"/>
      <c r="BP161" s="1077"/>
      <c r="BQ161" s="1077"/>
      <c r="BR161" s="1077"/>
      <c r="BS161" s="1077"/>
      <c r="BT161" s="1077"/>
      <c r="BU161" s="1077"/>
      <c r="BV161" s="1077"/>
      <c r="BW161" s="1077"/>
      <c r="BX161" s="1077"/>
      <c r="BY161" s="1077"/>
      <c r="BZ161" s="1077"/>
      <c r="CA161" s="1077"/>
      <c r="CB161" s="1077"/>
      <c r="CC161" s="1077"/>
      <c r="CD161" s="1077"/>
      <c r="CE161" s="1077"/>
      <c r="CF161" s="1077"/>
      <c r="CG161" s="1077"/>
      <c r="CH161" s="1077"/>
      <c r="CI161" s="1077"/>
      <c r="CJ161" s="1077"/>
      <c r="CK161" s="1077"/>
      <c r="CL161" s="1077"/>
      <c r="CM161" s="1077"/>
      <c r="CN161" s="1077"/>
      <c r="CO161" s="1077"/>
      <c r="CP161" s="1077"/>
      <c r="CQ161" s="1077"/>
      <c r="CR161" s="1077"/>
      <c r="CS161" s="1077"/>
      <c r="CT161" s="1077"/>
      <c r="CU161" s="1077"/>
      <c r="CV161" s="1077"/>
      <c r="CW161" s="1077"/>
      <c r="CX161" s="1077"/>
      <c r="CY161" s="1077"/>
      <c r="CZ161" s="1077"/>
      <c r="DA161" s="1077"/>
      <c r="DB161" s="1077"/>
      <c r="DC161" s="1077"/>
      <c r="DD161" s="1077"/>
      <c r="DE161" s="1077"/>
      <c r="DF161" s="1077"/>
      <c r="DG161" s="1077"/>
      <c r="DH161" s="1077"/>
      <c r="DI161" s="1077"/>
      <c r="DJ161" s="1077"/>
      <c r="DK161" s="1077"/>
      <c r="DL161" s="1077"/>
      <c r="DM161" s="1077"/>
      <c r="DN161" s="1077"/>
      <c r="DO161" s="1077"/>
      <c r="DP161" s="1077"/>
      <c r="DQ161" s="1077"/>
      <c r="DR161" s="1078"/>
    </row>
    <row r="1048575" spans="14:14">
      <c r="N1048575" s="36" t="s">
        <v>839</v>
      </c>
    </row>
  </sheetData>
  <sheetProtection algorithmName="SHA-512" hashValue="Mffkd+lGkYDPFfEcX3zpSUzp29mNZkyADI18fo6CRRxo9okR3/opR/um6N6QJlnn6k8TB/XbpHdMePrILg4raw==" saltValue="USAGwOKZR6PGeGEj73XQww==" spinCount="100000" sheet="1" scenarios="1" formatCells="0" formatRows="0" insertHyperlinks="0"/>
  <protectedRanges>
    <protectedRange password="CF58" sqref="EY49:FW49 EY53:FU64 EW56:EX64 HH53:IF63" name="Range1"/>
    <protectedRange password="CF58" sqref="AS48 BT49:BT54 BU48:BZ54 CH48:CR54 CA48:CG48 CB49:CG49 CA50:CG50 CB51:CG51 CA52:CG52 CA54:CG54 CB53:CG53" name="Range1_1"/>
  </protectedRanges>
  <customSheetViews>
    <customSheetView guid="{727552C9-10E3-4948-B2AE-8FE165517887}" scale="55" fitToPage="1" printArea="1" hiddenRows="1">
      <selection activeCell="DD17" sqref="DD17:DR17"/>
      <pageMargins left="0.7" right="0.7" top="0.3046875" bottom="0.78740157499999996" header="0.3" footer="0.3"/>
      <pageSetup paperSize="9" scale="30" fitToWidth="0" orientation="portrait" r:id="rId1"/>
    </customSheetView>
  </customSheetViews>
  <mergeCells count="332">
    <mergeCell ref="L89:R89"/>
    <mergeCell ref="BG88:BM88"/>
    <mergeCell ref="BN88:BV88"/>
    <mergeCell ref="BN89:BV89"/>
    <mergeCell ref="D93:E103"/>
    <mergeCell ref="DD103:DR103"/>
    <mergeCell ref="AU91:CE91"/>
    <mergeCell ref="CH91:DR91"/>
    <mergeCell ref="H91:AR91"/>
    <mergeCell ref="BX93:CB93"/>
    <mergeCell ref="AK93:AO93"/>
    <mergeCell ref="T89:AY89"/>
    <mergeCell ref="AZ88:BF88"/>
    <mergeCell ref="AZ89:BF89"/>
    <mergeCell ref="D87:J89"/>
    <mergeCell ref="CH93:DA93"/>
    <mergeCell ref="BG89:BM89"/>
    <mergeCell ref="DM88:DR88"/>
    <mergeCell ref="BX89:CV89"/>
    <mergeCell ref="CW89:DC89"/>
    <mergeCell ref="DD89:DL89"/>
    <mergeCell ref="DM89:DR89"/>
    <mergeCell ref="DM87:DR87"/>
    <mergeCell ref="BQ93:BT93"/>
    <mergeCell ref="D20:BH20"/>
    <mergeCell ref="BL20:DP20"/>
    <mergeCell ref="D24:DP24"/>
    <mergeCell ref="D21:R21"/>
    <mergeCell ref="BK21:BY21"/>
    <mergeCell ref="T21:AV21"/>
    <mergeCell ref="D58:L58"/>
    <mergeCell ref="CG53:DQ53"/>
    <mergeCell ref="D51:W51"/>
    <mergeCell ref="B33:AR34"/>
    <mergeCell ref="M58:AO58"/>
    <mergeCell ref="AH51:AO51"/>
    <mergeCell ref="V48:AO49"/>
    <mergeCell ref="D26:R26"/>
    <mergeCell ref="S26:AH26"/>
    <mergeCell ref="D22:R22"/>
    <mergeCell ref="AU48:CF48"/>
    <mergeCell ref="BL36:BS44"/>
    <mergeCell ref="D46:U47"/>
    <mergeCell ref="D48:U49"/>
    <mergeCell ref="AU47:CF47"/>
    <mergeCell ref="BL28:BZ28"/>
    <mergeCell ref="CA28:CP28"/>
    <mergeCell ref="CG55:DQ55"/>
    <mergeCell ref="D60:L60"/>
    <mergeCell ref="M60:AO60"/>
    <mergeCell ref="BX86:CV86"/>
    <mergeCell ref="CW86:DC86"/>
    <mergeCell ref="BG86:BM86"/>
    <mergeCell ref="BX84:CV84"/>
    <mergeCell ref="DM81:DR81"/>
    <mergeCell ref="DD81:DL81"/>
    <mergeCell ref="CW81:DC81"/>
    <mergeCell ref="BY66:CK66"/>
    <mergeCell ref="CN75:CT75"/>
    <mergeCell ref="BP75:BV75"/>
    <mergeCell ref="D79:BV79"/>
    <mergeCell ref="BN80:BV80"/>
    <mergeCell ref="BX80:CV80"/>
    <mergeCell ref="CW80:DC80"/>
    <mergeCell ref="DD80:DL80"/>
    <mergeCell ref="DM80:DR80"/>
    <mergeCell ref="DM82:DR82"/>
    <mergeCell ref="DD86:DL86"/>
    <mergeCell ref="DM86:DR86"/>
    <mergeCell ref="T80:AY80"/>
    <mergeCell ref="DM85:DR85"/>
    <mergeCell ref="DM83:DR83"/>
    <mergeCell ref="B18:AD19"/>
    <mergeCell ref="FL31:GK31"/>
    <mergeCell ref="DD101:DR101"/>
    <mergeCell ref="AU98:BK99"/>
    <mergeCell ref="H98:V99"/>
    <mergeCell ref="BQ95:CE96"/>
    <mergeCell ref="BQ98:CE99"/>
    <mergeCell ref="AD95:AR96"/>
    <mergeCell ref="AD98:AR99"/>
    <mergeCell ref="AD101:AR103"/>
    <mergeCell ref="BQ101:CE103"/>
    <mergeCell ref="CH98:DB99"/>
    <mergeCell ref="M62:P62"/>
    <mergeCell ref="D61:P61"/>
    <mergeCell ref="R62:AO62"/>
    <mergeCell ref="V46:AO47"/>
    <mergeCell ref="D56:L56"/>
    <mergeCell ref="M56:AO56"/>
    <mergeCell ref="R61:AO61"/>
    <mergeCell ref="AZ86:BF86"/>
    <mergeCell ref="BX81:CV81"/>
    <mergeCell ref="BX82:CV82"/>
    <mergeCell ref="CW82:DC82"/>
    <mergeCell ref="DD82:DL82"/>
    <mergeCell ref="DY2:EG2"/>
    <mergeCell ref="CG2:CX2"/>
    <mergeCell ref="CY2:DS2"/>
    <mergeCell ref="AI4:AU4"/>
    <mergeCell ref="BN2:BV2"/>
    <mergeCell ref="AZ4:BI4"/>
    <mergeCell ref="BJ4:BV4"/>
    <mergeCell ref="BU8:CJ8"/>
    <mergeCell ref="BU7:CJ7"/>
    <mergeCell ref="CK7:DR7"/>
    <mergeCell ref="R2:BM2"/>
    <mergeCell ref="AF8:AQ8"/>
    <mergeCell ref="AR8:BD8"/>
    <mergeCell ref="AF7:AQ7"/>
    <mergeCell ref="AR7:BD7"/>
    <mergeCell ref="C4:I4"/>
    <mergeCell ref="AA4:AH4"/>
    <mergeCell ref="N16:AH16"/>
    <mergeCell ref="J4:V4"/>
    <mergeCell ref="N7:Z7"/>
    <mergeCell ref="C7:M7"/>
    <mergeCell ref="N8:Z8"/>
    <mergeCell ref="BC16:BU16"/>
    <mergeCell ref="CK8:DR8"/>
    <mergeCell ref="AM14:BB14"/>
    <mergeCell ref="D14:M14"/>
    <mergeCell ref="N14:AH14"/>
    <mergeCell ref="BC14:BU14"/>
    <mergeCell ref="AM16:BB16"/>
    <mergeCell ref="D16:M16"/>
    <mergeCell ref="B11:AR12"/>
    <mergeCell ref="DD14:DQ14"/>
    <mergeCell ref="DD16:DQ16"/>
    <mergeCell ref="CC16:DC16"/>
    <mergeCell ref="EQ79:EU79"/>
    <mergeCell ref="EV79:EZ79"/>
    <mergeCell ref="EB79:EF79"/>
    <mergeCell ref="EG79:EK79"/>
    <mergeCell ref="DV52:DW53"/>
    <mergeCell ref="L36:BJ44"/>
    <mergeCell ref="AR51:AT54"/>
    <mergeCell ref="AR55:AT58"/>
    <mergeCell ref="AU50:CF50"/>
    <mergeCell ref="AU51:CF51"/>
    <mergeCell ref="AU52:CF52"/>
    <mergeCell ref="AU53:CF53"/>
    <mergeCell ref="AU57:CF57"/>
    <mergeCell ref="CG58:DQ58"/>
    <mergeCell ref="AU46:CF46"/>
    <mergeCell ref="AU54:CF54"/>
    <mergeCell ref="CC79:DR79"/>
    <mergeCell ref="AR47:AT50"/>
    <mergeCell ref="CG47:DQ47"/>
    <mergeCell ref="CG48:DQ48"/>
    <mergeCell ref="D75:S75"/>
    <mergeCell ref="D52:AO52"/>
    <mergeCell ref="D59:L59"/>
    <mergeCell ref="D36:K44"/>
    <mergeCell ref="CW84:DC84"/>
    <mergeCell ref="DD85:DL85"/>
    <mergeCell ref="BN82:BV82"/>
    <mergeCell ref="DM84:DR84"/>
    <mergeCell ref="BY69:CK69"/>
    <mergeCell ref="DD88:DL88"/>
    <mergeCell ref="BG83:BM83"/>
    <mergeCell ref="BN83:BV83"/>
    <mergeCell ref="BX83:CV83"/>
    <mergeCell ref="CW83:DC83"/>
    <mergeCell ref="DD83:DL83"/>
    <mergeCell ref="BG87:BM87"/>
    <mergeCell ref="BN87:BV87"/>
    <mergeCell ref="BN86:BV86"/>
    <mergeCell ref="BX85:CV85"/>
    <mergeCell ref="CW85:DC85"/>
    <mergeCell ref="BX88:CV88"/>
    <mergeCell ref="CW88:DC88"/>
    <mergeCell ref="BX87:CV87"/>
    <mergeCell ref="CW87:DC87"/>
    <mergeCell ref="DD87:DL87"/>
    <mergeCell ref="BG84:BM84"/>
    <mergeCell ref="BN84:BV84"/>
    <mergeCell ref="DD84:DL84"/>
    <mergeCell ref="AP93:AR93"/>
    <mergeCell ref="AI26:BH26"/>
    <mergeCell ref="D27:R27"/>
    <mergeCell ref="M54:AO54"/>
    <mergeCell ref="CG49:DQ49"/>
    <mergeCell ref="S27:AH27"/>
    <mergeCell ref="CQ27:DQ27"/>
    <mergeCell ref="CQ28:DQ28"/>
    <mergeCell ref="CQ29:DQ29"/>
    <mergeCell ref="CQ30:DQ30"/>
    <mergeCell ref="CG52:DQ52"/>
    <mergeCell ref="D28:R28"/>
    <mergeCell ref="S28:AH28"/>
    <mergeCell ref="AI28:BH28"/>
    <mergeCell ref="D29:R29"/>
    <mergeCell ref="S29:AH29"/>
    <mergeCell ref="AI29:BH29"/>
    <mergeCell ref="D30:R30"/>
    <mergeCell ref="S30:AH30"/>
    <mergeCell ref="AI30:BH30"/>
    <mergeCell ref="T81:AY81"/>
    <mergeCell ref="T82:AY82"/>
    <mergeCell ref="T83:AY83"/>
    <mergeCell ref="L86:R86"/>
    <mergeCell ref="EV21:FK21"/>
    <mergeCell ref="AU49:CF49"/>
    <mergeCell ref="CG50:DQ50"/>
    <mergeCell ref="CG51:DQ51"/>
    <mergeCell ref="AI27:BH27"/>
    <mergeCell ref="BL26:BZ26"/>
    <mergeCell ref="CA26:CP26"/>
    <mergeCell ref="BL27:BZ27"/>
    <mergeCell ref="CA27:CP27"/>
    <mergeCell ref="CQ22:DQ22"/>
    <mergeCell ref="BT36:DQ44"/>
    <mergeCell ref="CQ26:DQ26"/>
    <mergeCell ref="EC21:EE31"/>
    <mergeCell ref="DV48:DW49"/>
    <mergeCell ref="EG21:EU21"/>
    <mergeCell ref="CG46:DQ46"/>
    <mergeCell ref="BL29:BZ29"/>
    <mergeCell ref="CA29:CP29"/>
    <mergeCell ref="BL30:BZ30"/>
    <mergeCell ref="CA30:CP30"/>
    <mergeCell ref="DV50:DW51"/>
    <mergeCell ref="DX52:EX52"/>
    <mergeCell ref="DX48:EX48"/>
    <mergeCell ref="L88:R88"/>
    <mergeCell ref="T85:AY85"/>
    <mergeCell ref="T86:AY86"/>
    <mergeCell ref="T87:AY87"/>
    <mergeCell ref="T88:AY88"/>
    <mergeCell ref="EL79:EP79"/>
    <mergeCell ref="AZ85:BF85"/>
    <mergeCell ref="BG85:BM85"/>
    <mergeCell ref="BN85:BV85"/>
    <mergeCell ref="AZ87:BF87"/>
    <mergeCell ref="M59:AO59"/>
    <mergeCell ref="AZ75:BO75"/>
    <mergeCell ref="AU56:CF56"/>
    <mergeCell ref="AU55:CF55"/>
    <mergeCell ref="AR59:AT62"/>
    <mergeCell ref="DX49:EX49"/>
    <mergeCell ref="DX51:EW51"/>
    <mergeCell ref="DX55:EW55"/>
    <mergeCell ref="BG81:BM81"/>
    <mergeCell ref="DV54:DW55"/>
    <mergeCell ref="BN81:BV81"/>
    <mergeCell ref="BG82:BM82"/>
    <mergeCell ref="HH53:IF53"/>
    <mergeCell ref="HH64:IF64"/>
    <mergeCell ref="BA69:BI69"/>
    <mergeCell ref="D71:DR71"/>
    <mergeCell ref="AH69:AL69"/>
    <mergeCell ref="BA73:BE73"/>
    <mergeCell ref="EW64:FU64"/>
    <mergeCell ref="B65:AO66"/>
    <mergeCell ref="GN64:GQ64"/>
    <mergeCell ref="AU61:CF61"/>
    <mergeCell ref="AU62:CF62"/>
    <mergeCell ref="AU58:CF58"/>
    <mergeCell ref="AU59:CF59"/>
    <mergeCell ref="AU60:CF60"/>
    <mergeCell ref="CG56:DQ56"/>
    <mergeCell ref="CG57:DQ57"/>
    <mergeCell ref="CG54:DQ54"/>
    <mergeCell ref="CG61:DQ61"/>
    <mergeCell ref="DX54:EW54"/>
    <mergeCell ref="DX53:EX53"/>
    <mergeCell ref="CG62:DQ62"/>
    <mergeCell ref="CG59:DQ59"/>
    <mergeCell ref="DE66:DR66"/>
    <mergeCell ref="CG60:DQ60"/>
    <mergeCell ref="B115:DR161"/>
    <mergeCell ref="DH93:DJ93"/>
    <mergeCell ref="DK93:DO93"/>
    <mergeCell ref="H101:Z101"/>
    <mergeCell ref="CH95:CT96"/>
    <mergeCell ref="CH101:CZ101"/>
    <mergeCell ref="D109:F109"/>
    <mergeCell ref="L106:P106"/>
    <mergeCell ref="AR106:AV106"/>
    <mergeCell ref="AH93:AJ93"/>
    <mergeCell ref="BU93:BW93"/>
    <mergeCell ref="H95:U96"/>
    <mergeCell ref="CC93:CE93"/>
    <mergeCell ref="DD93:DG93"/>
    <mergeCell ref="CB106:CF106"/>
    <mergeCell ref="H109:DR109"/>
    <mergeCell ref="DD98:DR99"/>
    <mergeCell ref="DP93:DR93"/>
    <mergeCell ref="DD95:DR96"/>
    <mergeCell ref="CF95:CF96"/>
    <mergeCell ref="AU95:BG96"/>
    <mergeCell ref="AD93:AG93"/>
    <mergeCell ref="H93:AA93"/>
    <mergeCell ref="AU93:BN93"/>
    <mergeCell ref="FL21:GK21"/>
    <mergeCell ref="BB77:BJ77"/>
    <mergeCell ref="AR75:AX75"/>
    <mergeCell ref="T75:AQ76"/>
    <mergeCell ref="AU77:BA77"/>
    <mergeCell ref="BX75:CM75"/>
    <mergeCell ref="CA22:CP22"/>
    <mergeCell ref="S22:AH22"/>
    <mergeCell ref="AI22:BH22"/>
    <mergeCell ref="EV23:FK23"/>
    <mergeCell ref="FL23:GK23"/>
    <mergeCell ref="EV24:FK24"/>
    <mergeCell ref="FL24:GK24"/>
    <mergeCell ref="EV26:FK26"/>
    <mergeCell ref="FL26:GK26"/>
    <mergeCell ref="EV31:FK31"/>
    <mergeCell ref="FX49:GV49"/>
    <mergeCell ref="M57:AO57"/>
    <mergeCell ref="BL22:BZ22"/>
    <mergeCell ref="EG23:EU23"/>
    <mergeCell ref="EG24:EU24"/>
    <mergeCell ref="EG26:EU26"/>
    <mergeCell ref="EG31:EU31"/>
    <mergeCell ref="DX50:EX50"/>
    <mergeCell ref="L87:R87"/>
    <mergeCell ref="D81:J83"/>
    <mergeCell ref="L81:R81"/>
    <mergeCell ref="L82:R82"/>
    <mergeCell ref="AZ81:BF81"/>
    <mergeCell ref="AZ84:BF84"/>
    <mergeCell ref="T84:AY84"/>
    <mergeCell ref="AZ82:BF82"/>
    <mergeCell ref="D84:J86"/>
    <mergeCell ref="AZ83:BF83"/>
    <mergeCell ref="L83:R83"/>
    <mergeCell ref="L84:R84"/>
    <mergeCell ref="L85:R85"/>
  </mergeCells>
  <phoneticPr fontId="198" type="noConversion"/>
  <conditionalFormatting sqref="I106:DR106">
    <cfRule type="expression" dxfId="1993" priority="46">
      <formula>IF(AND($AP$93="X",$CC$93="X",$DP$93="X"),1,0)</formula>
    </cfRule>
  </conditionalFormatting>
  <conditionalFormatting sqref="D75:CT77">
    <cfRule type="expression" dxfId="1992" priority="43">
      <formula>IF($BA$73=INDIRECT($J$4&amp;"!C42"),1,0)</formula>
    </cfRule>
  </conditionalFormatting>
  <conditionalFormatting sqref="AR69:CK69">
    <cfRule type="expression" dxfId="1991" priority="24">
      <formula>IF($AH$69=INDIRECT($J$4&amp;"!C42"),1,0)</formula>
    </cfRule>
  </conditionalFormatting>
  <conditionalFormatting sqref="H95:AR103 E91:G92 F93:G103">
    <cfRule type="expression" dxfId="1990" priority="23">
      <formula>IF($AD$93=INDIRECT($J$4&amp;"!C42"),1,0)</formula>
    </cfRule>
  </conditionalFormatting>
  <conditionalFormatting sqref="AU95:CE103">
    <cfRule type="expression" dxfId="1989" priority="22">
      <formula>IF($BQ$93=INDIRECT($J$4&amp;"!C42"),1,0)</formula>
    </cfRule>
  </conditionalFormatting>
  <conditionalFormatting sqref="CH95:DR101">
    <cfRule type="expression" dxfId="1988" priority="21">
      <formula>IF($DD$93=INDIRECT($J$4&amp;"!C42"),1,0)</formula>
    </cfRule>
  </conditionalFormatting>
  <conditionalFormatting sqref="R62:AO62">
    <cfRule type="expression" dxfId="1987" priority="12">
      <formula>IF($M$62=INDIRECT($J$4&amp;"!C42"),1,0)</formula>
    </cfRule>
  </conditionalFormatting>
  <conditionalFormatting sqref="R61:AO61">
    <cfRule type="expression" dxfId="1986" priority="11">
      <formula>IF($M$62=INDIRECT($J$4&amp;"!C42"),1,0)</formula>
    </cfRule>
  </conditionalFormatting>
  <dataValidations count="2">
    <dataValidation type="list" allowBlank="1" showInputMessage="1" showErrorMessage="1" sqref="J4:V4">
      <formula1>Sprachen</formula1>
    </dataValidation>
    <dataValidation type="list" allowBlank="1" showInputMessage="1" showErrorMessage="1" sqref="BY66:CK66">
      <formula1>INDIRECT($J$4&amp;"!C94:C95")</formula1>
    </dataValidation>
  </dataValidations>
  <pageMargins left="0.7" right="0.7" top="0.3046875" bottom="0.78740157499999996" header="0.3" footer="0.3"/>
  <pageSetup paperSize="9" scale="29" orientation="portrait" r:id="rId2"/>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7" id="{B9C2FD7E-6614-4CE7-8A61-EF3754094CC1}">
            <xm:f>IF($D$14=DropDown!$N$10,1,0)</xm:f>
            <x14:dxf>
              <font>
                <color theme="0"/>
              </font>
              <border>
                <left/>
                <right/>
                <bottom/>
                <vertical/>
                <horizontal/>
              </border>
            </x14:dxf>
          </x14:cfRule>
          <xm:sqref>AF8:BD8</xm:sqref>
        </x14:conditionalFormatting>
        <x14:conditionalFormatting xmlns:xm="http://schemas.microsoft.com/office/excel/2006/main">
          <x14:cfRule type="expression" priority="8" id="{DEE3815C-71E5-4AEF-9BA9-33FA4C35B85B}">
            <xm:f>IF($D$14=DropDown!$N$10,1,0)</xm:f>
            <x14:dxf>
              <font>
                <color theme="1"/>
              </font>
            </x14:dxf>
          </x14:cfRule>
          <xm:sqref>BU7:CJ7</xm:sqref>
        </x14:conditionalFormatting>
        <x14:conditionalFormatting xmlns:xm="http://schemas.microsoft.com/office/excel/2006/main">
          <x14:cfRule type="expression" priority="7" id="{94E77F0F-3740-4BCB-8717-2D32579F151F}">
            <xm:f>IF($D$14=DropDown!$N$10,1,0)</xm:f>
            <x14:dxf>
              <border>
                <left style="thin">
                  <color auto="1"/>
                </left>
                <right style="thin">
                  <color auto="1"/>
                </right>
                <top style="thin">
                  <color auto="1"/>
                </top>
                <vertical/>
                <horizontal/>
              </border>
            </x14:dxf>
          </x14:cfRule>
          <xm:sqref>CK7:DR7</xm:sqref>
        </x14:conditionalFormatting>
        <x14:conditionalFormatting xmlns:xm="http://schemas.microsoft.com/office/excel/2006/main">
          <x14:cfRule type="expression" priority="16" id="{6C3BFD19-EEFD-468D-A4B3-4A39990EDE60}">
            <xm:f>IF($D$14=DropDown!$N$10,1,0)</xm:f>
            <x14:dxf>
              <font>
                <color theme="0"/>
              </font>
              <border>
                <left/>
                <right/>
                <top/>
                <bottom/>
                <vertical/>
                <horizontal/>
              </border>
            </x14:dxf>
          </x14:cfRule>
          <x14:cfRule type="expression" priority="167" id="{72D0BAC0-5E5B-4835-973C-5A37D88DFB16}">
            <xm:f>IF($D$14=DropDown!$N$9,1,0)</xm:f>
            <x14:dxf>
              <font>
                <color theme="0"/>
              </font>
              <fill>
                <patternFill patternType="solid">
                  <fgColor auto="1"/>
                  <bgColor theme="0"/>
                </patternFill>
              </fill>
              <border>
                <left/>
                <right/>
                <top/>
                <bottom/>
                <vertical/>
                <horizontal/>
              </border>
            </x14:dxf>
          </x14:cfRule>
          <xm:sqref>D16:BU16</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14:formula1>
            <xm:f>DropDown!$H$4:$H$5</xm:f>
          </x14:formula1>
          <xm:sqref>GN64</xm:sqref>
        </x14:dataValidation>
        <x14:dataValidation type="list" allowBlank="1" showInputMessage="1" showErrorMessage="1">
          <x14:formula1>
            <xm:f>DropDown!$N$8:$N$10</xm:f>
          </x14:formula1>
          <xm:sqref>D14:M14</xm:sqref>
        </x14:dataValidation>
        <x14:dataValidation type="list" allowBlank="1" showInputMessage="1" showErrorMessage="1">
          <x14:formula1>
            <xm:f>DropDown!$N$11:$N$12</xm:f>
          </x14:formula1>
          <xm:sqref>BA73:BE73 AH69:AL69 AD93:AG93 DD93:DG93 BQ93:BT93 M62:P62 DD16:DQ16 DR15</xm:sqref>
        </x14:dataValidation>
        <x14:dataValidation type="list" allowBlank="1" showInputMessage="1" showErrorMessage="1">
          <x14:formula1>
            <xm:f>DropDown!$J$15:$J$17</xm:f>
          </x14:formula1>
          <xm:sqref>L81:L89</xm:sqref>
        </x14:dataValidation>
        <x14:dataValidation type="list" allowBlank="1" showInputMessage="1" showErrorMessage="1">
          <x14:formula1>
            <xm:f>DropDown!$C$20:$C$22</xm:f>
          </x14:formula1>
          <xm:sqref>DM81:DR89</xm:sqref>
        </x14:dataValidation>
        <x14:dataValidation type="list" allowBlank="1" showInputMessage="1" showErrorMessage="1">
          <x14:formula1>
            <xm:f>DropDown!$A$2:$A$16</xm:f>
          </x14:formula1>
          <xm:sqref>BJ4:BV4</xm:sqref>
        </x14:dataValidation>
        <x14:dataValidation type="list" allowBlank="1" showInputMessage="1" showErrorMessage="1">
          <x14:formula1>
            <xm:f>DropDown!$L$15:$L$16</xm:f>
          </x14:formula1>
          <xm:sqref>CC16:DC16</xm:sqref>
        </x14:dataValidation>
        <x14:dataValidation type="list" allowBlank="1" showInputMessage="1" showErrorMessage="1">
          <x14:formula1>
            <xm:f>DropDown!$O$1:$O$34</xm:f>
          </x14:formula1>
          <xm:sqref>N7:Z7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CH55"/>
  <sheetViews>
    <sheetView showWhiteSpace="0" view="pageBreakPreview" zoomScale="60" zoomScaleNormal="30" zoomScalePageLayoutView="50" workbookViewId="0">
      <pane ySplit="18" topLeftCell="A19" activePane="bottomLeft" state="frozen"/>
      <selection pane="bottomLeft" activeCell="P2" sqref="P2:AH2"/>
    </sheetView>
  </sheetViews>
  <sheetFormatPr defaultColWidth="12.5546875" defaultRowHeight="13.8"/>
  <cols>
    <col min="1" max="3" width="1.6640625" style="95" customWidth="1"/>
    <col min="4" max="4" width="5.6640625" style="95" customWidth="1"/>
    <col min="5" max="5" width="4.6640625" style="95" customWidth="1"/>
    <col min="6" max="70" width="4.6640625" style="130" customWidth="1"/>
    <col min="71" max="71" width="1.33203125" style="130" customWidth="1"/>
    <col min="72" max="72" width="1.6640625" style="130" customWidth="1"/>
    <col min="73" max="73" width="1.6640625" style="95" customWidth="1"/>
    <col min="74" max="74" width="6.5546875" style="95" hidden="1" customWidth="1"/>
    <col min="75" max="75" width="5.6640625" style="95" hidden="1" customWidth="1"/>
    <col min="76" max="76" width="6.6640625" style="95" hidden="1" customWidth="1"/>
    <col min="77" max="77" width="9.6640625" style="95" hidden="1" customWidth="1"/>
    <col min="78" max="78" width="6.6640625" style="95" hidden="1" customWidth="1"/>
    <col min="79" max="79" width="6.44140625" style="95" hidden="1" customWidth="1"/>
    <col min="80" max="80" width="6.33203125" style="95" hidden="1" customWidth="1"/>
    <col min="81" max="81" width="9" style="95" hidden="1" customWidth="1"/>
    <col min="82" max="82" width="6.6640625" style="95" hidden="1" customWidth="1"/>
    <col min="83" max="83" width="13.109375" style="95" hidden="1" customWidth="1"/>
    <col min="84" max="84" width="10.5546875" style="95" hidden="1" customWidth="1"/>
    <col min="85" max="86" width="6.6640625" style="95" hidden="1" customWidth="1"/>
    <col min="87" max="106" width="6.6640625" style="95" customWidth="1"/>
    <col min="107" max="290" width="10.33203125" style="95" customWidth="1"/>
    <col min="291" max="16384" width="12.5546875" style="95"/>
  </cols>
  <sheetData>
    <row r="1" spans="1:85" ht="9" customHeight="1" thickBot="1">
      <c r="A1" s="90"/>
      <c r="B1" s="91"/>
      <c r="C1" s="91"/>
      <c r="D1" s="91"/>
      <c r="E1" s="91"/>
      <c r="F1" s="91"/>
      <c r="G1" s="91"/>
      <c r="H1" s="91"/>
      <c r="I1" s="91"/>
      <c r="J1" s="91"/>
      <c r="K1" s="91"/>
      <c r="L1" s="91"/>
      <c r="M1" s="91"/>
      <c r="N1" s="92"/>
      <c r="O1" s="92"/>
      <c r="P1" s="92"/>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3"/>
      <c r="BQ1" s="93"/>
      <c r="BR1" s="93"/>
      <c r="BS1" s="93"/>
      <c r="BT1" s="93"/>
      <c r="BU1" s="94"/>
      <c r="BV1" s="94"/>
      <c r="BW1" s="94"/>
      <c r="BX1" s="94"/>
      <c r="BY1" s="94"/>
      <c r="BZ1" s="94"/>
      <c r="CA1" s="94"/>
      <c r="CB1" s="94"/>
      <c r="CC1" s="94"/>
      <c r="CD1" s="94"/>
      <c r="CE1" s="94"/>
      <c r="CF1" s="94"/>
      <c r="CG1" s="94"/>
    </row>
    <row r="2" spans="1:85" ht="48.75" customHeight="1" thickBot="1">
      <c r="A2" s="96"/>
      <c r="B2" s="560"/>
      <c r="C2" s="561"/>
      <c r="D2" s="559"/>
      <c r="E2" s="98"/>
      <c r="F2" s="99"/>
      <c r="G2" s="99"/>
      <c r="H2" s="99"/>
      <c r="I2" s="99"/>
      <c r="J2" s="99"/>
      <c r="K2" s="100"/>
      <c r="L2" s="100"/>
      <c r="M2" s="101"/>
      <c r="N2" s="101"/>
      <c r="O2" s="102"/>
      <c r="P2" s="1364" t="str">
        <f ca="1">INDIRECT('D1-D2-D3'!$J$4&amp;"!C2")&amp;"/ "&amp;'8D-Report (with link)'!R2</f>
        <v>PROBLEM SOLVING SHEET/ 8D-report</v>
      </c>
      <c r="Q2" s="1365"/>
      <c r="R2" s="1365"/>
      <c r="S2" s="1365"/>
      <c r="T2" s="1365"/>
      <c r="U2" s="1365"/>
      <c r="V2" s="1365"/>
      <c r="W2" s="1365"/>
      <c r="X2" s="1365"/>
      <c r="Y2" s="1365"/>
      <c r="Z2" s="1365"/>
      <c r="AA2" s="1365"/>
      <c r="AB2" s="1365"/>
      <c r="AC2" s="1365"/>
      <c r="AD2" s="1365"/>
      <c r="AE2" s="1365"/>
      <c r="AF2" s="1365"/>
      <c r="AG2" s="1365"/>
      <c r="AH2" s="1366"/>
      <c r="AI2" s="1367" t="str">
        <f ca="1">INDIRECT('D1-D2-D3'!$J$4&amp;"!C3")</f>
        <v>PSS No.</v>
      </c>
      <c r="AJ2" s="1368"/>
      <c r="AK2" s="1368"/>
      <c r="AL2" s="1368"/>
      <c r="AM2" s="1368"/>
      <c r="AN2" s="1368"/>
      <c r="AO2" s="1369">
        <f>'D1-D2-D3'!AI4</f>
        <v>0</v>
      </c>
      <c r="AP2" s="1370"/>
      <c r="AQ2" s="1370"/>
      <c r="AR2" s="1370"/>
      <c r="AS2" s="1370"/>
      <c r="AT2" s="1371"/>
      <c r="AU2" s="1221" t="s">
        <v>454</v>
      </c>
      <c r="AV2" s="1222"/>
      <c r="AW2" s="1222"/>
      <c r="AX2" s="1222"/>
      <c r="AY2" s="1222"/>
      <c r="AZ2" s="1222"/>
      <c r="BA2" s="1222"/>
      <c r="BB2" s="1223"/>
      <c r="BC2" s="1372" t="str">
        <f ca="1">INDIRECT('D1-D2-D3'!$J$4&amp;"!C233")</f>
        <v>Risk assessment</v>
      </c>
      <c r="BD2" s="1373"/>
      <c r="BE2" s="1373"/>
      <c r="BF2" s="1373"/>
      <c r="BG2" s="1373"/>
      <c r="BH2" s="1373"/>
      <c r="BI2" s="1373"/>
      <c r="BJ2" s="1373"/>
      <c r="BK2" s="1373"/>
      <c r="BL2" s="1373"/>
      <c r="BM2" s="1373"/>
      <c r="BN2" s="1373"/>
      <c r="BO2" s="1373"/>
      <c r="BP2" s="1373"/>
      <c r="BQ2" s="1373"/>
      <c r="BR2" s="1373"/>
      <c r="BS2" s="1373"/>
      <c r="BT2" s="1374"/>
      <c r="BU2" s="103"/>
      <c r="BV2" s="104"/>
      <c r="BW2" s="104"/>
      <c r="BX2" s="104"/>
      <c r="BY2" s="1363"/>
      <c r="BZ2" s="1363"/>
      <c r="CA2" s="1363"/>
      <c r="CB2" s="1363"/>
      <c r="CC2" s="1363"/>
      <c r="CD2" s="1363"/>
      <c r="CE2" s="1363"/>
      <c r="CF2" s="1363"/>
      <c r="CG2" s="32"/>
    </row>
    <row r="3" spans="1:85" ht="9" customHeight="1" thickBot="1">
      <c r="A3" s="105"/>
      <c r="B3" s="106"/>
      <c r="F3" s="107"/>
      <c r="G3" s="107"/>
      <c r="H3" s="107"/>
      <c r="I3" s="107"/>
      <c r="J3" s="107"/>
      <c r="K3" s="108"/>
      <c r="L3" s="108"/>
      <c r="M3" s="31"/>
      <c r="N3" s="31"/>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821"/>
      <c r="BD3" s="109"/>
      <c r="BE3" s="109"/>
      <c r="BF3" s="109"/>
      <c r="BG3" s="109"/>
      <c r="BH3" s="109"/>
      <c r="BI3" s="109"/>
      <c r="BJ3" s="109"/>
      <c r="BK3" s="109"/>
      <c r="BL3" s="109"/>
      <c r="BM3" s="109"/>
      <c r="BN3" s="109"/>
      <c r="BO3" s="109"/>
      <c r="BP3" s="109"/>
      <c r="BQ3" s="109"/>
      <c r="BR3" s="109"/>
      <c r="BS3" s="109"/>
      <c r="BT3" s="110"/>
      <c r="BU3" s="109"/>
      <c r="BV3" s="109"/>
      <c r="BW3" s="109"/>
      <c r="BX3" s="109"/>
      <c r="BY3" s="32"/>
      <c r="BZ3" s="32"/>
      <c r="CA3" s="32"/>
      <c r="CB3" s="32"/>
      <c r="CC3" s="32"/>
      <c r="CD3" s="32"/>
      <c r="CE3" s="32"/>
      <c r="CF3" s="32"/>
      <c r="CG3" s="32"/>
    </row>
    <row r="4" spans="1:85" ht="10.5" customHeight="1">
      <c r="A4" s="90"/>
      <c r="B4" s="112"/>
      <c r="C4" s="113"/>
      <c r="D4" s="113"/>
      <c r="E4" s="113"/>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5"/>
      <c r="BU4" s="116"/>
      <c r="BV4" s="117"/>
      <c r="BW4" s="117"/>
      <c r="BX4" s="117"/>
      <c r="BY4" s="117"/>
      <c r="BZ4" s="117"/>
      <c r="CA4" s="117"/>
      <c r="CB4" s="117"/>
      <c r="CC4" s="117"/>
      <c r="CD4" s="117"/>
      <c r="CE4" s="117"/>
      <c r="CF4" s="117"/>
      <c r="CG4" s="53"/>
    </row>
    <row r="5" spans="1:85" ht="9.75" customHeight="1">
      <c r="A5" s="118"/>
      <c r="B5" s="384"/>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0"/>
      <c r="BT5" s="125"/>
      <c r="BU5" s="126"/>
      <c r="BV5" s="126"/>
      <c r="BW5" s="126"/>
      <c r="BX5" s="126"/>
      <c r="BY5" s="126"/>
      <c r="BZ5" s="126"/>
      <c r="CA5" s="126"/>
      <c r="CB5" s="126"/>
      <c r="CC5" s="126"/>
      <c r="CD5" s="126"/>
      <c r="CE5" s="126"/>
      <c r="CF5" s="126"/>
      <c r="CG5" s="127"/>
    </row>
    <row r="6" spans="1:85" ht="39" customHeight="1">
      <c r="A6" s="118"/>
      <c r="B6" s="384"/>
      <c r="C6" s="190"/>
      <c r="D6" s="1323" t="str">
        <f ca="1">INDIRECT('D1-D2-D3'!$J$4&amp;"!C234")</f>
        <v>Probability</v>
      </c>
      <c r="E6" s="1323"/>
      <c r="F6" s="1323"/>
      <c r="G6" s="1323"/>
      <c r="H6" s="1323"/>
      <c r="I6" s="1323"/>
      <c r="J6" s="1323"/>
      <c r="K6" s="1323"/>
      <c r="L6" s="1323"/>
      <c r="M6" s="1323"/>
      <c r="N6" s="1323"/>
      <c r="O6" s="1323"/>
      <c r="P6" s="1323"/>
      <c r="Q6" s="1323"/>
      <c r="R6" s="567"/>
      <c r="S6" s="1323" t="str">
        <f ca="1">INDIRECT('D1-D2-D3'!$J$4&amp;"!C235")</f>
        <v>Effect</v>
      </c>
      <c r="T6" s="1323"/>
      <c r="U6" s="1323"/>
      <c r="V6" s="1323"/>
      <c r="W6" s="1323"/>
      <c r="X6" s="1323"/>
      <c r="Y6" s="1323"/>
      <c r="Z6" s="1323"/>
      <c r="AA6" s="1323"/>
      <c r="AB6" s="1323"/>
      <c r="AC6" s="1323"/>
      <c r="AG6" s="1362" t="str">
        <f ca="1">INDIRECT('D1-D2-D3'!$J$4&amp;"!C246")</f>
        <v>Level</v>
      </c>
      <c r="AH6" s="1362"/>
      <c r="AI6" s="1362"/>
      <c r="AJ6" s="1362"/>
      <c r="AK6" s="1362"/>
      <c r="AL6" s="1362"/>
      <c r="AM6" s="1362"/>
      <c r="AN6" s="1362"/>
      <c r="AO6" s="1362"/>
      <c r="AP6" s="1362"/>
      <c r="AQ6" s="1362"/>
      <c r="AR6" s="1362"/>
      <c r="AS6" s="1362"/>
      <c r="AT6" s="1362"/>
      <c r="AU6" s="1362"/>
      <c r="AV6" s="1362"/>
      <c r="AW6" s="1362"/>
      <c r="AX6" s="1362"/>
      <c r="AY6" s="1362"/>
      <c r="BD6" s="1323" t="s">
        <v>940</v>
      </c>
      <c r="BE6" s="1323"/>
      <c r="BF6" s="1323"/>
      <c r="BG6" s="1323"/>
      <c r="BH6" s="1323"/>
      <c r="BI6" s="1323"/>
      <c r="BJ6" s="1323"/>
      <c r="BK6" s="1323"/>
      <c r="BL6" s="1323"/>
      <c r="BM6" s="1323"/>
      <c r="BN6" s="1323"/>
      <c r="BO6" s="1323"/>
      <c r="BP6" s="1323"/>
      <c r="BQ6" s="1323"/>
      <c r="BR6" s="1323"/>
      <c r="BS6" s="190"/>
      <c r="BT6" s="125"/>
      <c r="BU6" s="126"/>
      <c r="BV6" s="126"/>
      <c r="BW6" s="126"/>
      <c r="BX6" s="126"/>
      <c r="BY6" s="126"/>
      <c r="BZ6" s="126"/>
      <c r="CA6" s="126"/>
      <c r="CB6" s="126"/>
      <c r="CC6" s="126"/>
      <c r="CD6" s="126"/>
      <c r="CE6" s="126"/>
      <c r="CF6" s="126"/>
      <c r="CG6" s="127"/>
    </row>
    <row r="7" spans="1:85" ht="8.1" customHeight="1">
      <c r="A7" s="118"/>
      <c r="B7" s="384"/>
      <c r="C7" s="130"/>
      <c r="D7" s="130"/>
      <c r="E7" s="130"/>
      <c r="BG7" s="557"/>
      <c r="BH7" s="557"/>
      <c r="BI7" s="557"/>
      <c r="BJ7" s="557"/>
      <c r="BK7" s="557"/>
      <c r="BL7" s="557"/>
      <c r="BM7" s="557"/>
      <c r="BN7" s="557"/>
      <c r="BO7" s="557"/>
      <c r="BP7" s="557"/>
      <c r="BQ7" s="557"/>
      <c r="BR7" s="557"/>
      <c r="BS7" s="190"/>
      <c r="BT7" s="125"/>
      <c r="BU7" s="126"/>
      <c r="BV7" s="126"/>
      <c r="BW7" s="126"/>
      <c r="BX7" s="126"/>
      <c r="BY7" s="126"/>
      <c r="BZ7" s="126"/>
      <c r="CA7" s="126"/>
      <c r="CB7" s="126"/>
      <c r="CC7" s="126"/>
      <c r="CD7" s="126"/>
      <c r="CE7" s="126"/>
      <c r="CF7" s="126"/>
      <c r="CG7" s="127"/>
    </row>
    <row r="8" spans="1:85" ht="36" customHeight="1">
      <c r="A8" s="118"/>
      <c r="B8" s="384"/>
      <c r="C8" s="190"/>
      <c r="D8" s="614">
        <v>1</v>
      </c>
      <c r="E8" s="1347" t="str">
        <f ca="1">INDIRECT('D1-D2-D3'!$J$4&amp;"!C236")</f>
        <v>Remote - Chance for this event is almost 0</v>
      </c>
      <c r="F8" s="1347"/>
      <c r="G8" s="1347"/>
      <c r="H8" s="1347"/>
      <c r="I8" s="1347"/>
      <c r="J8" s="1347"/>
      <c r="K8" s="1347"/>
      <c r="L8" s="1347"/>
      <c r="M8" s="1347"/>
      <c r="N8" s="1347"/>
      <c r="O8" s="1347"/>
      <c r="P8" s="1347"/>
      <c r="Q8" s="1347"/>
      <c r="R8" s="190"/>
      <c r="S8" s="614">
        <v>1</v>
      </c>
      <c r="T8" s="1347" t="str">
        <f ca="1">INDIRECT('D1-D2-D3'!$J$4&amp;"!C241")</f>
        <v>ignorable - ignorable damages without impact</v>
      </c>
      <c r="U8" s="1347"/>
      <c r="V8" s="1347"/>
      <c r="W8" s="1347"/>
      <c r="X8" s="1347"/>
      <c r="Y8" s="1347"/>
      <c r="Z8" s="1347"/>
      <c r="AA8" s="1347"/>
      <c r="AB8" s="1347"/>
      <c r="AC8" s="1347"/>
      <c r="BB8" s="1346" t="str">
        <f ca="1">INDIRECT('D1-D2-D3'!$J$4&amp;"!C234")</f>
        <v>Probability</v>
      </c>
      <c r="BC8" s="1346"/>
      <c r="BD8" s="1329">
        <v>5</v>
      </c>
      <c r="BE8" s="1330"/>
      <c r="BF8" s="1330"/>
      <c r="BG8" s="1335">
        <v>10</v>
      </c>
      <c r="BH8" s="1335"/>
      <c r="BI8" s="1335"/>
      <c r="BJ8" s="1338">
        <v>15</v>
      </c>
      <c r="BK8" s="1338"/>
      <c r="BL8" s="1338"/>
      <c r="BM8" s="1338">
        <v>20</v>
      </c>
      <c r="BN8" s="1338"/>
      <c r="BO8" s="1338"/>
      <c r="BP8" s="1338">
        <v>25</v>
      </c>
      <c r="BQ8" s="1338"/>
      <c r="BR8" s="1376"/>
      <c r="BS8" s="190"/>
      <c r="BT8" s="125"/>
      <c r="BU8" s="126"/>
      <c r="BV8" s="126"/>
      <c r="BW8" s="126"/>
      <c r="BX8" s="126"/>
      <c r="BY8" s="126"/>
      <c r="BZ8" s="126"/>
      <c r="CA8" s="126"/>
      <c r="CB8" s="126"/>
      <c r="CC8" s="126"/>
      <c r="CD8" s="126"/>
      <c r="CE8" s="126"/>
      <c r="CF8" s="126"/>
      <c r="CG8" s="127"/>
    </row>
    <row r="9" spans="1:85" ht="36" customHeight="1">
      <c r="A9" s="118"/>
      <c r="B9" s="384"/>
      <c r="C9" s="190"/>
      <c r="D9" s="614">
        <v>2</v>
      </c>
      <c r="E9" s="1347" t="str">
        <f ca="1">INDIRECT('D1-D2-D3'!$J$4&amp;"!C237")</f>
        <v>Unlikely - Eventaulity exists but is not going to happen</v>
      </c>
      <c r="F9" s="1347"/>
      <c r="G9" s="1347"/>
      <c r="H9" s="1347"/>
      <c r="I9" s="1347"/>
      <c r="J9" s="1347"/>
      <c r="K9" s="1347"/>
      <c r="L9" s="1347"/>
      <c r="M9" s="1347"/>
      <c r="N9" s="1347"/>
      <c r="O9" s="1347"/>
      <c r="P9" s="1347"/>
      <c r="Q9" s="1347"/>
      <c r="R9" s="190"/>
      <c r="S9" s="614">
        <v>2</v>
      </c>
      <c r="T9" s="1347" t="str">
        <f ca="1">INDIRECT('D1-D2-D3'!$J$4&amp;"!C242")</f>
        <v>low - slightly damages outside visible are</v>
      </c>
      <c r="U9" s="1347"/>
      <c r="V9" s="1347"/>
      <c r="W9" s="1347"/>
      <c r="X9" s="1347"/>
      <c r="Y9" s="1347"/>
      <c r="Z9" s="1347"/>
      <c r="AA9" s="1347"/>
      <c r="AB9" s="1347"/>
      <c r="AC9" s="1347"/>
      <c r="AG9" s="1348" t="s">
        <v>941</v>
      </c>
      <c r="AH9" s="1348"/>
      <c r="AI9" s="1352" t="str">
        <f ca="1">INDIRECT('D1-D2-D3'!$J$4&amp;"!C247")</f>
        <v>12 or higher</v>
      </c>
      <c r="AJ9" s="1352"/>
      <c r="AK9" s="1352"/>
      <c r="AL9" s="1352"/>
      <c r="AM9" s="1377" t="str">
        <f ca="1">INDIRECT('D1-D2-D3'!$J$4&amp;"!C251")</f>
        <v>measures to be discussed with customer</v>
      </c>
      <c r="AN9" s="1378"/>
      <c r="AO9" s="1378"/>
      <c r="AP9" s="1378"/>
      <c r="AQ9" s="1378"/>
      <c r="AR9" s="1378"/>
      <c r="AS9" s="1378"/>
      <c r="AT9" s="1378"/>
      <c r="AU9" s="1378"/>
      <c r="AV9" s="1378"/>
      <c r="AW9" s="1378"/>
      <c r="AX9" s="1378"/>
      <c r="AY9" s="1379"/>
      <c r="BB9" s="1346"/>
      <c r="BC9" s="1346"/>
      <c r="BD9" s="1331">
        <v>4</v>
      </c>
      <c r="BE9" s="1332"/>
      <c r="BF9" s="1332"/>
      <c r="BG9" s="1336">
        <v>8</v>
      </c>
      <c r="BH9" s="1336"/>
      <c r="BI9" s="1336"/>
      <c r="BJ9" s="1339">
        <v>12</v>
      </c>
      <c r="BK9" s="1339"/>
      <c r="BL9" s="1339"/>
      <c r="BM9" s="1339">
        <v>16</v>
      </c>
      <c r="BN9" s="1339"/>
      <c r="BO9" s="1339"/>
      <c r="BP9" s="1339">
        <v>20</v>
      </c>
      <c r="BQ9" s="1339"/>
      <c r="BR9" s="1340"/>
      <c r="BS9" s="190"/>
      <c r="BT9" s="125"/>
      <c r="BU9" s="126"/>
      <c r="BV9" s="126"/>
      <c r="BW9" s="126"/>
      <c r="BX9" s="126"/>
      <c r="BY9" s="126"/>
      <c r="BZ9" s="126"/>
      <c r="CA9" s="126"/>
      <c r="CB9" s="126"/>
      <c r="CC9" s="126"/>
      <c r="CD9" s="126"/>
      <c r="CE9" s="126"/>
      <c r="CF9" s="126"/>
      <c r="CG9" s="127"/>
    </row>
    <row r="10" spans="1:85" ht="36" customHeight="1">
      <c r="A10" s="118"/>
      <c r="B10" s="384"/>
      <c r="C10" s="190"/>
      <c r="D10" s="614">
        <v>3</v>
      </c>
      <c r="E10" s="1347" t="str">
        <f ca="1">INDIRECT('D1-D2-D3'!$J$4&amp;"!C238")</f>
        <v>Possible - Event can occurre sometime</v>
      </c>
      <c r="F10" s="1347"/>
      <c r="G10" s="1347"/>
      <c r="H10" s="1347"/>
      <c r="I10" s="1347"/>
      <c r="J10" s="1347"/>
      <c r="K10" s="1347"/>
      <c r="L10" s="1347"/>
      <c r="M10" s="1347"/>
      <c r="N10" s="1347"/>
      <c r="O10" s="1347"/>
      <c r="P10" s="1347"/>
      <c r="Q10" s="1347"/>
      <c r="R10" s="190"/>
      <c r="S10" s="614">
        <v>3</v>
      </c>
      <c r="T10" s="1347" t="str">
        <f ca="1">INDIRECT('D1-D2-D3'!$J$4&amp;"!C243")</f>
        <v>mid - noticable damages in visible area</v>
      </c>
      <c r="U10" s="1347"/>
      <c r="V10" s="1347"/>
      <c r="W10" s="1347"/>
      <c r="X10" s="1347"/>
      <c r="Y10" s="1347"/>
      <c r="Z10" s="1347"/>
      <c r="AA10" s="1347"/>
      <c r="AB10" s="1347"/>
      <c r="AC10" s="1347"/>
      <c r="AG10" s="1349" t="s">
        <v>946</v>
      </c>
      <c r="AH10" s="1349"/>
      <c r="AI10" s="1353" t="str">
        <f ca="1">INDIRECT('D1-D2-D3'!$J$4&amp;"!C248")</f>
        <v>7 till 11</v>
      </c>
      <c r="AJ10" s="1354"/>
      <c r="AK10" s="1354"/>
      <c r="AL10" s="1355"/>
      <c r="AM10" s="1380" t="str">
        <f ca="1">INDIRECT('D1-D2-D3'!$J$4&amp;"!C252")</f>
        <v>measures upon request of customer</v>
      </c>
      <c r="AN10" s="1381"/>
      <c r="AO10" s="1381"/>
      <c r="AP10" s="1381"/>
      <c r="AQ10" s="1381"/>
      <c r="AR10" s="1381"/>
      <c r="AS10" s="1381"/>
      <c r="AT10" s="1381"/>
      <c r="AU10" s="1381"/>
      <c r="AV10" s="1381"/>
      <c r="AW10" s="1381"/>
      <c r="AX10" s="1381"/>
      <c r="AY10" s="1382"/>
      <c r="BB10" s="1346"/>
      <c r="BC10" s="1346"/>
      <c r="BD10" s="1331">
        <v>3</v>
      </c>
      <c r="BE10" s="1332"/>
      <c r="BF10" s="1332"/>
      <c r="BG10" s="1337">
        <v>6</v>
      </c>
      <c r="BH10" s="1337"/>
      <c r="BI10" s="1337"/>
      <c r="BJ10" s="1336">
        <v>9</v>
      </c>
      <c r="BK10" s="1336"/>
      <c r="BL10" s="1336"/>
      <c r="BM10" s="1339">
        <v>12</v>
      </c>
      <c r="BN10" s="1339"/>
      <c r="BO10" s="1339"/>
      <c r="BP10" s="1339">
        <v>15</v>
      </c>
      <c r="BQ10" s="1339"/>
      <c r="BR10" s="1340"/>
      <c r="BS10" s="190"/>
      <c r="BT10" s="125"/>
      <c r="BU10" s="126"/>
      <c r="BV10" s="126"/>
      <c r="BW10" s="126"/>
      <c r="BX10" s="126"/>
      <c r="BY10" s="126"/>
      <c r="BZ10" s="126"/>
      <c r="CA10" s="126"/>
      <c r="CB10" s="126"/>
      <c r="CC10" s="126"/>
      <c r="CD10" s="126"/>
      <c r="CE10" s="126"/>
      <c r="CF10" s="126"/>
      <c r="CG10" s="127"/>
    </row>
    <row r="11" spans="1:85" ht="36" customHeight="1">
      <c r="A11" s="118"/>
      <c r="B11" s="384"/>
      <c r="C11" s="190"/>
      <c r="D11" s="614">
        <v>4</v>
      </c>
      <c r="E11" s="1347" t="str">
        <f ca="1">INDIRECT('D1-D2-D3'!$J$4&amp;"!C239")</f>
        <v>Probable - Event will happen sometimes and can be expected</v>
      </c>
      <c r="F11" s="1347"/>
      <c r="G11" s="1347"/>
      <c r="H11" s="1347"/>
      <c r="I11" s="1347"/>
      <c r="J11" s="1347"/>
      <c r="K11" s="1347"/>
      <c r="L11" s="1347"/>
      <c r="M11" s="1347"/>
      <c r="N11" s="1347"/>
      <c r="O11" s="1347"/>
      <c r="P11" s="1347"/>
      <c r="Q11" s="1347"/>
      <c r="R11" s="190"/>
      <c r="S11" s="614">
        <v>4</v>
      </c>
      <c r="T11" s="1347" t="str">
        <f ca="1">INDIRECT('D1-D2-D3'!$J$4&amp;"!C244")</f>
        <v>high - damage with functional impact</v>
      </c>
      <c r="U11" s="1347"/>
      <c r="V11" s="1347"/>
      <c r="W11" s="1347"/>
      <c r="X11" s="1347"/>
      <c r="Y11" s="1347"/>
      <c r="Z11" s="1347"/>
      <c r="AA11" s="1347"/>
      <c r="AB11" s="1347"/>
      <c r="AC11" s="1347"/>
      <c r="AG11" s="1350" t="s">
        <v>947</v>
      </c>
      <c r="AH11" s="1350"/>
      <c r="AI11" s="1356" t="str">
        <f ca="1">INDIRECT('D1-D2-D3'!$J$4&amp;"!C249")</f>
        <v>5 till 6</v>
      </c>
      <c r="AJ11" s="1357"/>
      <c r="AK11" s="1357"/>
      <c r="AL11" s="1358"/>
      <c r="AM11" s="1383" t="str">
        <f ca="1">INDIRECT('D1-D2-D3'!$J$4&amp;"!C253")</f>
        <v>as low as reasonable practicable</v>
      </c>
      <c r="AN11" s="1384"/>
      <c r="AO11" s="1384"/>
      <c r="AP11" s="1384"/>
      <c r="AQ11" s="1384"/>
      <c r="AR11" s="1384"/>
      <c r="AS11" s="1384"/>
      <c r="AT11" s="1384"/>
      <c r="AU11" s="1384"/>
      <c r="AV11" s="1384"/>
      <c r="AW11" s="1384"/>
      <c r="AX11" s="1384"/>
      <c r="AY11" s="1385"/>
      <c r="BB11" s="1346"/>
      <c r="BC11" s="1346"/>
      <c r="BD11" s="1331">
        <v>2</v>
      </c>
      <c r="BE11" s="1332"/>
      <c r="BF11" s="1332"/>
      <c r="BG11" s="1332">
        <v>4</v>
      </c>
      <c r="BH11" s="1332"/>
      <c r="BI11" s="1332"/>
      <c r="BJ11" s="1337">
        <v>6</v>
      </c>
      <c r="BK11" s="1337"/>
      <c r="BL11" s="1337"/>
      <c r="BM11" s="1336">
        <v>8</v>
      </c>
      <c r="BN11" s="1336"/>
      <c r="BO11" s="1336"/>
      <c r="BP11" s="1336">
        <v>10</v>
      </c>
      <c r="BQ11" s="1336"/>
      <c r="BR11" s="1341"/>
      <c r="BS11" s="190"/>
      <c r="BT11" s="125"/>
      <c r="BU11" s="126"/>
      <c r="BV11" s="126"/>
      <c r="BW11" s="126"/>
      <c r="BX11" s="126"/>
      <c r="BY11" s="126"/>
      <c r="BZ11" s="126"/>
      <c r="CA11" s="126"/>
      <c r="CB11" s="126"/>
      <c r="CC11" s="126"/>
      <c r="CD11" s="126"/>
      <c r="CE11" s="126"/>
      <c r="CF11" s="126"/>
      <c r="CG11" s="127"/>
    </row>
    <row r="12" spans="1:85" ht="36" customHeight="1">
      <c r="A12" s="118"/>
      <c r="B12" s="384"/>
      <c r="C12" s="190"/>
      <c r="D12" s="614">
        <v>5</v>
      </c>
      <c r="E12" s="1347" t="str">
        <f ca="1">INDIRECT('D1-D2-D3'!$J$4&amp;"!C240")</f>
        <v>Almost certain - Event happens often and is expected</v>
      </c>
      <c r="F12" s="1347"/>
      <c r="G12" s="1347"/>
      <c r="H12" s="1347"/>
      <c r="I12" s="1347"/>
      <c r="J12" s="1347"/>
      <c r="K12" s="1347"/>
      <c r="L12" s="1347"/>
      <c r="M12" s="1347"/>
      <c r="N12" s="1347"/>
      <c r="O12" s="1347"/>
      <c r="P12" s="1347"/>
      <c r="Q12" s="1347"/>
      <c r="R12" s="190"/>
      <c r="S12" s="614">
        <v>5</v>
      </c>
      <c r="T12" s="1347" t="str">
        <f ca="1">INDIRECT('D1-D2-D3'!$J$4&amp;"!C245")</f>
        <v>catastrophic - catastrophic damage with consequences</v>
      </c>
      <c r="U12" s="1347"/>
      <c r="V12" s="1347"/>
      <c r="W12" s="1347"/>
      <c r="X12" s="1347"/>
      <c r="Y12" s="1347"/>
      <c r="Z12" s="1347"/>
      <c r="AA12" s="1347"/>
      <c r="AB12" s="1347"/>
      <c r="AC12" s="1347"/>
      <c r="AG12" s="1351" t="s">
        <v>948</v>
      </c>
      <c r="AH12" s="1351"/>
      <c r="AI12" s="1359" t="str">
        <f ca="1">INDIRECT('D1-D2-D3'!$J$4&amp;"!C250")</f>
        <v>1 till 4</v>
      </c>
      <c r="AJ12" s="1360"/>
      <c r="AK12" s="1360"/>
      <c r="AL12" s="1361"/>
      <c r="AM12" s="1386" t="str">
        <f ca="1">INDIRECT('D1-D2-D3'!$J$4&amp;"!C254")</f>
        <v>no further action needed</v>
      </c>
      <c r="AN12" s="1387"/>
      <c r="AO12" s="1387"/>
      <c r="AP12" s="1387"/>
      <c r="AQ12" s="1387"/>
      <c r="AR12" s="1387"/>
      <c r="AS12" s="1387"/>
      <c r="AT12" s="1387"/>
      <c r="AU12" s="1387"/>
      <c r="AV12" s="1387"/>
      <c r="AW12" s="1387"/>
      <c r="AX12" s="1387"/>
      <c r="AY12" s="1388"/>
      <c r="BB12" s="1346"/>
      <c r="BC12" s="1346"/>
      <c r="BD12" s="1333">
        <v>1</v>
      </c>
      <c r="BE12" s="1334"/>
      <c r="BF12" s="1334"/>
      <c r="BG12" s="1334">
        <v>2</v>
      </c>
      <c r="BH12" s="1334"/>
      <c r="BI12" s="1334"/>
      <c r="BJ12" s="1334">
        <v>3</v>
      </c>
      <c r="BK12" s="1334"/>
      <c r="BL12" s="1334"/>
      <c r="BM12" s="1334">
        <v>4</v>
      </c>
      <c r="BN12" s="1334"/>
      <c r="BO12" s="1334"/>
      <c r="BP12" s="1342">
        <v>5</v>
      </c>
      <c r="BQ12" s="1342"/>
      <c r="BR12" s="1343"/>
      <c r="BS12" s="190"/>
      <c r="BT12" s="125"/>
      <c r="BU12" s="126"/>
      <c r="BV12" s="126"/>
      <c r="BW12" s="126"/>
      <c r="BX12" s="126"/>
      <c r="BY12" s="126"/>
      <c r="BZ12" s="126"/>
      <c r="CA12" s="126"/>
      <c r="CB12" s="126"/>
      <c r="CC12" s="126"/>
      <c r="CD12" s="126"/>
      <c r="CE12" s="126"/>
      <c r="CF12" s="126"/>
      <c r="CG12" s="127"/>
    </row>
    <row r="13" spans="1:85" ht="36" customHeight="1">
      <c r="A13" s="118"/>
      <c r="B13" s="384"/>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BB13" s="1346"/>
      <c r="BC13" s="1346"/>
      <c r="BD13" s="1345" t="str">
        <f ca="1">INDIRECT('D1-D2-D3'!$J$4&amp;"!C235")</f>
        <v>Effect</v>
      </c>
      <c r="BE13" s="1345"/>
      <c r="BF13" s="1345"/>
      <c r="BG13" s="1345"/>
      <c r="BH13" s="1345"/>
      <c r="BI13" s="1345"/>
      <c r="BJ13" s="1345"/>
      <c r="BK13" s="1345"/>
      <c r="BL13" s="1345"/>
      <c r="BM13" s="1345"/>
      <c r="BN13" s="1345"/>
      <c r="BO13" s="1345"/>
      <c r="BP13" s="1345"/>
      <c r="BQ13" s="1345"/>
      <c r="BR13" s="1345"/>
      <c r="BS13" s="190"/>
      <c r="BT13" s="125"/>
      <c r="BU13" s="126"/>
      <c r="BV13" s="126"/>
      <c r="BW13" s="126"/>
      <c r="BX13" s="126"/>
      <c r="BY13" s="126"/>
      <c r="BZ13" s="126"/>
      <c r="CA13" s="126"/>
      <c r="CB13" s="126"/>
      <c r="CC13" s="126"/>
      <c r="CD13" s="126"/>
      <c r="CE13" s="126"/>
      <c r="CF13" s="126"/>
      <c r="CG13" s="127"/>
    </row>
    <row r="14" spans="1:85" ht="6" customHeight="1">
      <c r="A14" s="118"/>
      <c r="B14" s="384"/>
      <c r="C14" s="190"/>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BS14" s="190"/>
      <c r="BT14" s="125"/>
      <c r="BU14" s="126"/>
      <c r="BV14" s="126"/>
      <c r="BW14" s="126"/>
      <c r="BX14" s="126"/>
      <c r="BY14" s="126"/>
      <c r="BZ14" s="126"/>
      <c r="CA14" s="126"/>
      <c r="CB14" s="126"/>
      <c r="CC14" s="126"/>
      <c r="CD14" s="126"/>
      <c r="CE14" s="126"/>
      <c r="CF14" s="126"/>
      <c r="CG14" s="127"/>
    </row>
    <row r="15" spans="1:85" ht="6" customHeight="1">
      <c r="A15" s="118"/>
      <c r="B15" s="384"/>
      <c r="C15" s="190"/>
      <c r="D15" s="190"/>
      <c r="E15" s="1375"/>
      <c r="F15" s="1375"/>
      <c r="G15" s="1375"/>
      <c r="H15" s="1375"/>
      <c r="I15" s="1375"/>
      <c r="J15" s="1375"/>
      <c r="K15" s="1375"/>
      <c r="L15" s="1375"/>
      <c r="M15" s="1375"/>
      <c r="N15" s="1375"/>
      <c r="O15" s="1375"/>
      <c r="P15" s="1375"/>
      <c r="Q15" s="1375"/>
      <c r="R15" s="1375"/>
      <c r="S15" s="1375"/>
      <c r="T15" s="1375"/>
      <c r="U15" s="1375"/>
      <c r="V15" s="1375"/>
      <c r="W15" s="1375"/>
      <c r="X15" s="1375"/>
      <c r="Y15" s="1375"/>
      <c r="Z15" s="1375"/>
      <c r="AA15" s="1375"/>
      <c r="AB15" s="1375"/>
      <c r="AC15" s="1375"/>
      <c r="AD15" s="1375"/>
      <c r="AE15" s="1375"/>
      <c r="AF15" s="1375"/>
      <c r="AG15" s="1375"/>
      <c r="AH15" s="1375"/>
      <c r="AI15" s="1375"/>
      <c r="AJ15" s="1375"/>
      <c r="AK15" s="1375"/>
      <c r="AL15" s="1375"/>
      <c r="AM15" s="1375"/>
      <c r="AN15" s="1375"/>
      <c r="AO15" s="1375"/>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0"/>
      <c r="BT15" s="125"/>
      <c r="BU15" s="126"/>
      <c r="BV15" s="126"/>
      <c r="BW15" s="126"/>
      <c r="BX15" s="126"/>
      <c r="BY15" s="126"/>
      <c r="BZ15" s="126"/>
      <c r="CA15" s="126"/>
      <c r="CB15" s="126"/>
      <c r="CC15" s="126"/>
      <c r="CD15" s="126"/>
      <c r="CE15" s="126"/>
      <c r="CF15" s="126"/>
      <c r="CG15" s="127"/>
    </row>
    <row r="16" spans="1:85" ht="6" customHeight="1">
      <c r="A16" s="118"/>
      <c r="B16" s="384"/>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c r="AA16" s="190"/>
      <c r="AB16" s="190"/>
      <c r="AC16" s="190"/>
      <c r="AD16" s="190"/>
      <c r="AE16" s="190"/>
      <c r="AF16" s="190"/>
      <c r="AG16" s="190"/>
      <c r="AH16" s="190"/>
      <c r="AI16" s="190"/>
      <c r="AJ16" s="190"/>
      <c r="AK16" s="190"/>
      <c r="AL16" s="190"/>
      <c r="AM16" s="190"/>
      <c r="AN16" s="190"/>
      <c r="AO16" s="190"/>
      <c r="AP16" s="190"/>
      <c r="AQ16" s="190"/>
      <c r="AR16" s="190"/>
      <c r="AS16" s="190"/>
      <c r="AT16" s="190"/>
      <c r="AU16" s="190"/>
      <c r="AV16" s="190"/>
      <c r="AW16" s="190"/>
      <c r="AX16" s="190"/>
      <c r="AY16" s="190"/>
      <c r="AZ16" s="190"/>
      <c r="BA16" s="190"/>
      <c r="BB16" s="190"/>
      <c r="BC16" s="190"/>
      <c r="BD16" s="190"/>
      <c r="BE16" s="190"/>
      <c r="BF16" s="190"/>
      <c r="BG16" s="190"/>
      <c r="BH16" s="190"/>
      <c r="BI16" s="190"/>
      <c r="BJ16" s="190"/>
      <c r="BK16" s="190"/>
      <c r="BL16" s="190"/>
      <c r="BM16" s="190"/>
      <c r="BN16" s="190"/>
      <c r="BO16" s="190"/>
      <c r="BP16" s="190"/>
      <c r="BQ16" s="190"/>
      <c r="BR16" s="190"/>
      <c r="BS16" s="190"/>
      <c r="BT16" s="125"/>
      <c r="BU16" s="126"/>
      <c r="BV16" s="126"/>
      <c r="BW16" s="126"/>
      <c r="BX16" s="126"/>
      <c r="BY16" s="126"/>
      <c r="BZ16" s="126"/>
      <c r="CA16" s="126"/>
      <c r="CB16" s="126"/>
      <c r="CC16" s="126"/>
      <c r="CD16" s="126"/>
      <c r="CE16" s="126"/>
      <c r="CF16" s="126"/>
      <c r="CG16" s="127"/>
    </row>
    <row r="17" spans="1:86" ht="24.9" customHeight="1">
      <c r="A17" s="118"/>
      <c r="B17" s="384"/>
      <c r="C17" s="190"/>
      <c r="D17" s="1313" t="str">
        <f ca="1">'D1-D2-D3'!B65</f>
        <v>D3 - Immediate action(s)</v>
      </c>
      <c r="E17" s="1313"/>
      <c r="F17" s="1313"/>
      <c r="G17" s="1313"/>
      <c r="H17" s="1313"/>
      <c r="I17" s="1313"/>
      <c r="J17" s="1313"/>
      <c r="K17" s="1313"/>
      <c r="L17" s="1313"/>
      <c r="M17" s="1313"/>
      <c r="N17" s="1313"/>
      <c r="O17" s="1313"/>
      <c r="P17" s="1313"/>
      <c r="Q17" s="1313"/>
      <c r="R17" s="1313"/>
      <c r="S17" s="1313"/>
      <c r="T17" s="1313"/>
      <c r="U17" s="1391"/>
      <c r="V17" s="1392"/>
      <c r="W17" s="1392"/>
      <c r="X17" s="1392"/>
      <c r="Y17" s="1392"/>
      <c r="Z17" s="1392"/>
      <c r="AA17" s="1392"/>
      <c r="AB17" s="1392"/>
      <c r="AC17" s="1392"/>
      <c r="AD17" s="1393"/>
      <c r="AE17" s="1324" t="str">
        <f ca="1">INDIRECT('D1-D2-D3'!$J$4&amp;"!C258")</f>
        <v>Initial evaluation</v>
      </c>
      <c r="AF17" s="1324"/>
      <c r="AG17" s="1324"/>
      <c r="AH17" s="1324"/>
      <c r="AI17" s="1324"/>
      <c r="AJ17" s="1324"/>
      <c r="AK17" s="1324"/>
      <c r="AL17" s="1324"/>
      <c r="AM17" s="1324"/>
      <c r="AN17" s="1324"/>
      <c r="AO17" s="1324"/>
      <c r="AP17" s="1324"/>
      <c r="AQ17" s="1324"/>
      <c r="AR17" s="1325"/>
      <c r="AS17" s="688"/>
      <c r="AT17" s="686"/>
      <c r="AU17" s="686"/>
      <c r="AV17" s="686"/>
      <c r="AW17" s="686"/>
      <c r="AX17" s="686"/>
      <c r="AY17" s="686"/>
      <c r="AZ17" s="686"/>
      <c r="BA17" s="686"/>
      <c r="BB17" s="686"/>
      <c r="BC17" s="686"/>
      <c r="BD17" s="687"/>
      <c r="BE17" s="1324" t="str">
        <f ca="1">INDIRECT('D1-D2-D3'!$J$4&amp;"!C260")</f>
        <v>New evaluation</v>
      </c>
      <c r="BF17" s="1324"/>
      <c r="BG17" s="1324"/>
      <c r="BH17" s="1324"/>
      <c r="BI17" s="1324"/>
      <c r="BJ17" s="1324"/>
      <c r="BK17" s="1324"/>
      <c r="BL17" s="1324"/>
      <c r="BM17" s="1324"/>
      <c r="BN17" s="1324"/>
      <c r="BO17" s="1324"/>
      <c r="BP17" s="1324"/>
      <c r="BQ17" s="1324"/>
      <c r="BR17" s="1324"/>
      <c r="BS17" s="190"/>
      <c r="BT17" s="125"/>
      <c r="BU17" s="126"/>
      <c r="BV17" s="126"/>
      <c r="BW17" s="126"/>
      <c r="BX17" s="126"/>
      <c r="BY17" s="126"/>
      <c r="BZ17" s="126"/>
      <c r="CA17" s="126"/>
      <c r="CB17" s="126"/>
      <c r="CC17" s="126"/>
      <c r="CD17" s="126"/>
      <c r="CE17" s="126"/>
      <c r="CF17" s="126"/>
      <c r="CG17" s="127"/>
    </row>
    <row r="18" spans="1:86" ht="48.75" customHeight="1">
      <c r="A18" s="118"/>
      <c r="B18" s="384"/>
      <c r="C18" s="190"/>
      <c r="D18" s="1313"/>
      <c r="E18" s="1313"/>
      <c r="F18" s="1313"/>
      <c r="G18" s="1313"/>
      <c r="H18" s="1313"/>
      <c r="I18" s="1313"/>
      <c r="J18" s="1313"/>
      <c r="K18" s="1313"/>
      <c r="L18" s="1313"/>
      <c r="M18" s="1313"/>
      <c r="N18" s="1313"/>
      <c r="O18" s="1313"/>
      <c r="P18" s="1313"/>
      <c r="Q18" s="1313"/>
      <c r="R18" s="1313"/>
      <c r="S18" s="1313"/>
      <c r="T18" s="1313"/>
      <c r="U18" s="1389" t="str">
        <f ca="1">INDIRECT('D1-D2-D3'!$J$4&amp;"!C256")</f>
        <v>Hazard/ Risk</v>
      </c>
      <c r="V18" s="1390"/>
      <c r="W18" s="1390"/>
      <c r="X18" s="1390"/>
      <c r="Y18" s="1390"/>
      <c r="Z18" s="1390"/>
      <c r="AA18" s="1390"/>
      <c r="AB18" s="1390"/>
      <c r="AC18" s="1390"/>
      <c r="AD18" s="1390"/>
      <c r="AE18" s="1326" t="str">
        <f ca="1">INDIRECT('D1-D2-D3'!$J$4&amp;"!C234")&amp;"
P"</f>
        <v>Probability
P</v>
      </c>
      <c r="AF18" s="1327"/>
      <c r="AG18" s="1327"/>
      <c r="AH18" s="1328"/>
      <c r="AI18" s="1344" t="str">
        <f ca="1">INDIRECT('D1-D2-D3'!$J$4&amp;"!C235")&amp;"
E"</f>
        <v>Effect
E</v>
      </c>
      <c r="AJ18" s="1344"/>
      <c r="AK18" s="1344"/>
      <c r="AL18" s="1344" t="str">
        <f ca="1">INDIRECT('D1-D2-D3'!$J$4&amp;"!C257")&amp;"
PxE"</f>
        <v>Risk height
PxE</v>
      </c>
      <c r="AM18" s="1344"/>
      <c r="AN18" s="1344"/>
      <c r="AO18" s="1344" t="str">
        <f ca="1">INDIRECT('D1-D2-D3'!$J$4&amp;"!C246")</f>
        <v>Level</v>
      </c>
      <c r="AP18" s="1344"/>
      <c r="AQ18" s="1344"/>
      <c r="AR18" s="1326"/>
      <c r="AS18" s="1389" t="str">
        <f ca="1">INDIRECT('D1-D2-D3'!$J$4&amp;"!C259")</f>
        <v>Measures</v>
      </c>
      <c r="AT18" s="1390"/>
      <c r="AU18" s="1390"/>
      <c r="AV18" s="1390"/>
      <c r="AW18" s="1390"/>
      <c r="AX18" s="1390"/>
      <c r="AY18" s="1390"/>
      <c r="AZ18" s="1390"/>
      <c r="BA18" s="1390"/>
      <c r="BB18" s="1390"/>
      <c r="BC18" s="1390"/>
      <c r="BD18" s="1394"/>
      <c r="BE18" s="1326" t="str">
        <f ca="1">INDIRECT('D1-D2-D3'!$J$4&amp;"!C234")&amp;"
P"</f>
        <v>Probability
P</v>
      </c>
      <c r="BF18" s="1327"/>
      <c r="BG18" s="1327"/>
      <c r="BH18" s="1328"/>
      <c r="BI18" s="1344" t="str">
        <f ca="1">INDIRECT('D1-D2-D3'!$J$4&amp;"!C235")&amp;"
E"</f>
        <v>Effect
E</v>
      </c>
      <c r="BJ18" s="1344"/>
      <c r="BK18" s="1344"/>
      <c r="BL18" s="1344" t="str">
        <f ca="1">INDIRECT('D1-D2-D3'!$J$4&amp;"!C257")&amp;"
PxE"</f>
        <v>Risk height
PxE</v>
      </c>
      <c r="BM18" s="1344"/>
      <c r="BN18" s="1344"/>
      <c r="BO18" s="1344" t="str">
        <f ca="1">INDIRECT('D1-D2-D3'!$J$4&amp;"!C246")</f>
        <v>Level</v>
      </c>
      <c r="BP18" s="1344"/>
      <c r="BQ18" s="1344"/>
      <c r="BR18" s="1326"/>
      <c r="BS18" s="190"/>
      <c r="BT18" s="125"/>
      <c r="BU18" s="126"/>
      <c r="BV18" s="126"/>
      <c r="BY18" s="901" t="s">
        <v>1753</v>
      </c>
      <c r="CC18" s="901" t="s">
        <v>1752</v>
      </c>
      <c r="CE18" s="126"/>
      <c r="CF18" s="126"/>
      <c r="CG18" s="127"/>
    </row>
    <row r="19" spans="1:86" ht="36.9" customHeight="1">
      <c r="A19" s="118"/>
      <c r="B19" s="384"/>
      <c r="C19" s="190"/>
      <c r="D19" s="1293" t="str">
        <f ca="1">'D1-D2-D3'!D81</f>
        <v>Measures for continuing secure production at customer</v>
      </c>
      <c r="E19" s="1294"/>
      <c r="F19" s="1295"/>
      <c r="H19" s="1299" t="str">
        <f>IF('D1-D2-D3'!L81="","",'D1-D2-D3'!L81)</f>
        <v/>
      </c>
      <c r="I19" s="1300"/>
      <c r="J19" s="1301"/>
      <c r="K19" s="1314" t="str">
        <f>IF('D1-D2-D3'!T81="","",'D1-D2-D3'!T81)</f>
        <v/>
      </c>
      <c r="L19" s="1314"/>
      <c r="M19" s="1314"/>
      <c r="N19" s="1314"/>
      <c r="O19" s="1314"/>
      <c r="P19" s="1314"/>
      <c r="Q19" s="1314"/>
      <c r="R19" s="1314"/>
      <c r="S19" s="1314"/>
      <c r="T19" s="1314"/>
      <c r="U19" s="1306"/>
      <c r="V19" s="1306"/>
      <c r="W19" s="1306"/>
      <c r="X19" s="1306"/>
      <c r="Y19" s="1306"/>
      <c r="Z19" s="1306"/>
      <c r="AA19" s="1306"/>
      <c r="AB19" s="1306"/>
      <c r="AC19" s="1306"/>
      <c r="AD19" s="1306"/>
      <c r="AE19" s="1315"/>
      <c r="AF19" s="1316"/>
      <c r="AG19" s="1316"/>
      <c r="AH19" s="1317"/>
      <c r="AI19" s="1322"/>
      <c r="AJ19" s="1322"/>
      <c r="AK19" s="1322"/>
      <c r="AL19" s="1321" t="str">
        <f t="shared" ref="AL19:AL27" si="0">BX19</f>
        <v/>
      </c>
      <c r="AM19" s="1321"/>
      <c r="AN19" s="1321"/>
      <c r="AO19" s="1318" t="str">
        <f t="shared" ref="AO19:AO27" si="1">IF(BW19&gt;11,"high",IF(BW19&gt;6,"mid",IF(BW19&gt;4,"ALARP",IF(BW19=0,"",IF(BW19&gt;=1,"low")))))</f>
        <v/>
      </c>
      <c r="AP19" s="1319"/>
      <c r="AQ19" s="1319"/>
      <c r="AR19" s="1320"/>
      <c r="AS19" s="1306"/>
      <c r="AT19" s="1306"/>
      <c r="AU19" s="1306"/>
      <c r="AV19" s="1306"/>
      <c r="AW19" s="1306"/>
      <c r="AX19" s="1306"/>
      <c r="AY19" s="1306"/>
      <c r="AZ19" s="1306"/>
      <c r="BA19" s="1306"/>
      <c r="BB19" s="1306"/>
      <c r="BC19" s="1306"/>
      <c r="BD19" s="1306"/>
      <c r="BE19" s="1315"/>
      <c r="BF19" s="1316"/>
      <c r="BG19" s="1316"/>
      <c r="BH19" s="1317"/>
      <c r="BI19" s="1322"/>
      <c r="BJ19" s="1322"/>
      <c r="BK19" s="1322"/>
      <c r="BL19" s="1308" t="str">
        <f>CB19</f>
        <v/>
      </c>
      <c r="BM19" s="1308"/>
      <c r="BN19" s="1308"/>
      <c r="BO19" s="1302" t="str">
        <f>CC19</f>
        <v/>
      </c>
      <c r="BP19" s="1302"/>
      <c r="BQ19" s="1302"/>
      <c r="BR19" s="1302"/>
      <c r="BS19" s="190"/>
      <c r="BT19" s="125"/>
      <c r="BU19" s="126"/>
      <c r="BV19" s="126"/>
      <c r="BW19" s="570">
        <f t="shared" ref="BW19:BW27" si="2">AE19*AI19</f>
        <v>0</v>
      </c>
      <c r="BX19" s="569" t="str">
        <f>IF(BW19=0,"",IF(BW19&gt;=1,BW19))</f>
        <v/>
      </c>
      <c r="BY19" s="569" t="str">
        <f>IF(BW19&gt;11,"high",IF(BW19&gt;6,"mid",IF(BW19&gt;4,"ALARP",IF(BW19=0,"",IF(BW19&gt;=1,"low")))))</f>
        <v/>
      </c>
      <c r="CA19" s="577">
        <f>BE19*BI19</f>
        <v>0</v>
      </c>
      <c r="CB19" s="577" t="str">
        <f>IF(CA19=0,"",IF(CA19&gt;=1,CA19))</f>
        <v/>
      </c>
      <c r="CC19" s="577" t="str">
        <f>IF(CA19&gt;11,"high",IF(CA19&gt;6,"mid",IF(CA19&gt;4,"ALARP",IF(CA19=0,"",IF(CA19&gt;=1,"low")))))</f>
        <v/>
      </c>
      <c r="CE19" s="126"/>
      <c r="CF19" s="126"/>
      <c r="CG19" s="127"/>
    </row>
    <row r="20" spans="1:86" ht="36.9" customHeight="1">
      <c r="A20" s="118"/>
      <c r="B20" s="384"/>
      <c r="C20" s="190"/>
      <c r="D20" s="1293"/>
      <c r="E20" s="1294"/>
      <c r="F20" s="1295"/>
      <c r="H20" s="1299" t="str">
        <f>IF('D1-D2-D3'!L82="","",'D1-D2-D3'!L82)</f>
        <v/>
      </c>
      <c r="I20" s="1300"/>
      <c r="J20" s="1301"/>
      <c r="K20" s="1314" t="str">
        <f>IF('D1-D2-D3'!T82="","",'D1-D2-D3'!T82)</f>
        <v/>
      </c>
      <c r="L20" s="1314"/>
      <c r="M20" s="1314"/>
      <c r="N20" s="1314"/>
      <c r="O20" s="1314"/>
      <c r="P20" s="1314"/>
      <c r="Q20" s="1314"/>
      <c r="R20" s="1314"/>
      <c r="S20" s="1314"/>
      <c r="T20" s="1314"/>
      <c r="U20" s="1306"/>
      <c r="V20" s="1306"/>
      <c r="W20" s="1306"/>
      <c r="X20" s="1306"/>
      <c r="Y20" s="1306"/>
      <c r="Z20" s="1306"/>
      <c r="AA20" s="1306"/>
      <c r="AB20" s="1306"/>
      <c r="AC20" s="1306"/>
      <c r="AD20" s="1306"/>
      <c r="AE20" s="1315"/>
      <c r="AF20" s="1316"/>
      <c r="AG20" s="1316"/>
      <c r="AH20" s="1317"/>
      <c r="AI20" s="1322"/>
      <c r="AJ20" s="1322"/>
      <c r="AK20" s="1322"/>
      <c r="AL20" s="1321" t="str">
        <f t="shared" si="0"/>
        <v/>
      </c>
      <c r="AM20" s="1321"/>
      <c r="AN20" s="1321"/>
      <c r="AO20" s="1302" t="str">
        <f t="shared" si="1"/>
        <v/>
      </c>
      <c r="AP20" s="1302"/>
      <c r="AQ20" s="1302"/>
      <c r="AR20" s="1302"/>
      <c r="AS20" s="1306"/>
      <c r="AT20" s="1306"/>
      <c r="AU20" s="1306"/>
      <c r="AV20" s="1306"/>
      <c r="AW20" s="1306"/>
      <c r="AX20" s="1306"/>
      <c r="AY20" s="1306"/>
      <c r="AZ20" s="1306"/>
      <c r="BA20" s="1306"/>
      <c r="BB20" s="1306"/>
      <c r="BC20" s="1306"/>
      <c r="BD20" s="1306"/>
      <c r="BE20" s="1315"/>
      <c r="BF20" s="1316"/>
      <c r="BG20" s="1316"/>
      <c r="BH20" s="1317"/>
      <c r="BI20" s="1322"/>
      <c r="BJ20" s="1322"/>
      <c r="BK20" s="1322"/>
      <c r="BL20" s="1308" t="str">
        <f t="shared" ref="BL20:BL27" si="3">CB20</f>
        <v/>
      </c>
      <c r="BM20" s="1308"/>
      <c r="BN20" s="1308"/>
      <c r="BO20" s="1302" t="str">
        <f t="shared" ref="BO20:BO27" si="4">CC20</f>
        <v/>
      </c>
      <c r="BP20" s="1302"/>
      <c r="BQ20" s="1302"/>
      <c r="BR20" s="1302"/>
      <c r="BS20" s="190"/>
      <c r="BT20" s="125"/>
      <c r="BU20" s="126"/>
      <c r="BV20" s="126"/>
      <c r="BW20" s="570">
        <f t="shared" si="2"/>
        <v>0</v>
      </c>
      <c r="BX20" s="569" t="str">
        <f t="shared" ref="BX20:BX27" si="5">IF(BW20=0,"",IF(BW20&gt;=1,BW20))</f>
        <v/>
      </c>
      <c r="BY20" s="569" t="str">
        <f t="shared" ref="BY20:BY27" si="6">IF(BW20&gt;11,"high",IF(BW20&gt;6,"mid",IF(BW20&gt;4,"ALARP",IF(BW20=0,"",IF(BW20&gt;=1,"low")))))</f>
        <v/>
      </c>
      <c r="CA20" s="577">
        <f t="shared" ref="CA20:CA27" si="7">BE20*BI20</f>
        <v>0</v>
      </c>
      <c r="CB20" s="577" t="str">
        <f t="shared" ref="CB20:CB27" si="8">IF(CA20=0,"",IF(CA20&gt;=1,CA20))</f>
        <v/>
      </c>
      <c r="CC20" s="577" t="str">
        <f t="shared" ref="CC20:CC27" si="9">IF(CA20&gt;11,"high",IF(CA20&gt;6,"mid",IF(CA20&gt;4,"ALARP",IF(CA20=0,"",IF(CA20&gt;=1,"low")))))</f>
        <v/>
      </c>
      <c r="CE20" s="126"/>
      <c r="CF20" s="126"/>
      <c r="CG20" s="127"/>
    </row>
    <row r="21" spans="1:86" ht="36.9" customHeight="1">
      <c r="A21" s="118"/>
      <c r="B21" s="384"/>
      <c r="C21" s="190"/>
      <c r="D21" s="1293"/>
      <c r="E21" s="1294"/>
      <c r="F21" s="1295"/>
      <c r="H21" s="1299" t="str">
        <f>IF('D1-D2-D3'!L83="","",'D1-D2-D3'!L83)</f>
        <v/>
      </c>
      <c r="I21" s="1300"/>
      <c r="J21" s="1301"/>
      <c r="K21" s="1314" t="str">
        <f>IF('D1-D2-D3'!T83="","",'D1-D2-D3'!T83)</f>
        <v/>
      </c>
      <c r="L21" s="1314"/>
      <c r="M21" s="1314"/>
      <c r="N21" s="1314"/>
      <c r="O21" s="1314"/>
      <c r="P21" s="1314"/>
      <c r="Q21" s="1314"/>
      <c r="R21" s="1314"/>
      <c r="S21" s="1314"/>
      <c r="T21" s="1314"/>
      <c r="U21" s="1306"/>
      <c r="V21" s="1306"/>
      <c r="W21" s="1306"/>
      <c r="X21" s="1306"/>
      <c r="Y21" s="1306"/>
      <c r="Z21" s="1306"/>
      <c r="AA21" s="1306"/>
      <c r="AB21" s="1306"/>
      <c r="AC21" s="1306"/>
      <c r="AD21" s="1306"/>
      <c r="AE21" s="1315"/>
      <c r="AF21" s="1316"/>
      <c r="AG21" s="1316"/>
      <c r="AH21" s="1317"/>
      <c r="AI21" s="1322"/>
      <c r="AJ21" s="1322"/>
      <c r="AK21" s="1322"/>
      <c r="AL21" s="1321" t="str">
        <f t="shared" si="0"/>
        <v/>
      </c>
      <c r="AM21" s="1321"/>
      <c r="AN21" s="1321"/>
      <c r="AO21" s="1302" t="str">
        <f t="shared" si="1"/>
        <v/>
      </c>
      <c r="AP21" s="1302"/>
      <c r="AQ21" s="1302"/>
      <c r="AR21" s="1302"/>
      <c r="AS21" s="1306"/>
      <c r="AT21" s="1306"/>
      <c r="AU21" s="1306"/>
      <c r="AV21" s="1306"/>
      <c r="AW21" s="1306"/>
      <c r="AX21" s="1306"/>
      <c r="AY21" s="1306"/>
      <c r="AZ21" s="1306"/>
      <c r="BA21" s="1306"/>
      <c r="BB21" s="1306"/>
      <c r="BC21" s="1306"/>
      <c r="BD21" s="1306"/>
      <c r="BE21" s="1315"/>
      <c r="BF21" s="1316"/>
      <c r="BG21" s="1316"/>
      <c r="BH21" s="1317"/>
      <c r="BI21" s="1322"/>
      <c r="BJ21" s="1322"/>
      <c r="BK21" s="1322"/>
      <c r="BL21" s="1308" t="str">
        <f t="shared" si="3"/>
        <v/>
      </c>
      <c r="BM21" s="1308"/>
      <c r="BN21" s="1308"/>
      <c r="BO21" s="1302" t="str">
        <f t="shared" si="4"/>
        <v/>
      </c>
      <c r="BP21" s="1302"/>
      <c r="BQ21" s="1302"/>
      <c r="BR21" s="1302"/>
      <c r="BS21" s="190"/>
      <c r="BT21" s="125"/>
      <c r="BU21" s="126"/>
      <c r="BV21" s="126"/>
      <c r="BW21" s="570">
        <f t="shared" si="2"/>
        <v>0</v>
      </c>
      <c r="BX21" s="569" t="str">
        <f t="shared" si="5"/>
        <v/>
      </c>
      <c r="BY21" s="569" t="str">
        <f t="shared" si="6"/>
        <v/>
      </c>
      <c r="BZ21" s="126"/>
      <c r="CA21" s="577">
        <f t="shared" si="7"/>
        <v>0</v>
      </c>
      <c r="CB21" s="577" t="str">
        <f t="shared" si="8"/>
        <v/>
      </c>
      <c r="CC21" s="577" t="str">
        <f t="shared" si="9"/>
        <v/>
      </c>
      <c r="CD21" s="126"/>
      <c r="CE21" s="126"/>
      <c r="CF21" s="126"/>
      <c r="CG21" s="127"/>
    </row>
    <row r="22" spans="1:86" ht="36.9" customHeight="1">
      <c r="A22" s="118"/>
      <c r="B22" s="384"/>
      <c r="C22" s="190"/>
      <c r="D22" s="1296" t="str">
        <f ca="1">'D1-D2-D3'!D84</f>
        <v>Measures for continuing delivery</v>
      </c>
      <c r="E22" s="1297"/>
      <c r="F22" s="1298"/>
      <c r="H22" s="1299" t="str">
        <f>IF('D1-D2-D3'!L84="","",'D1-D2-D3'!L84)</f>
        <v/>
      </c>
      <c r="I22" s="1300"/>
      <c r="J22" s="1301"/>
      <c r="K22" s="1314" t="str">
        <f>IF('D1-D2-D3'!T84="","",'D1-D2-D3'!T84)</f>
        <v/>
      </c>
      <c r="L22" s="1314"/>
      <c r="M22" s="1314"/>
      <c r="N22" s="1314"/>
      <c r="O22" s="1314"/>
      <c r="P22" s="1314"/>
      <c r="Q22" s="1314"/>
      <c r="R22" s="1314"/>
      <c r="S22" s="1314"/>
      <c r="T22" s="1314"/>
      <c r="U22" s="1306"/>
      <c r="V22" s="1306"/>
      <c r="W22" s="1306"/>
      <c r="X22" s="1306"/>
      <c r="Y22" s="1306"/>
      <c r="Z22" s="1306"/>
      <c r="AA22" s="1306"/>
      <c r="AB22" s="1306"/>
      <c r="AC22" s="1306"/>
      <c r="AD22" s="1306"/>
      <c r="AE22" s="1315"/>
      <c r="AF22" s="1316"/>
      <c r="AG22" s="1316"/>
      <c r="AH22" s="1317"/>
      <c r="AI22" s="1322"/>
      <c r="AJ22" s="1322"/>
      <c r="AK22" s="1322"/>
      <c r="AL22" s="1321" t="str">
        <f t="shared" si="0"/>
        <v/>
      </c>
      <c r="AM22" s="1321"/>
      <c r="AN22" s="1321"/>
      <c r="AO22" s="1302" t="str">
        <f t="shared" si="1"/>
        <v/>
      </c>
      <c r="AP22" s="1302"/>
      <c r="AQ22" s="1302"/>
      <c r="AR22" s="1302"/>
      <c r="AS22" s="1306"/>
      <c r="AT22" s="1306"/>
      <c r="AU22" s="1306"/>
      <c r="AV22" s="1306"/>
      <c r="AW22" s="1306"/>
      <c r="AX22" s="1306"/>
      <c r="AY22" s="1306"/>
      <c r="AZ22" s="1306"/>
      <c r="BA22" s="1306"/>
      <c r="BB22" s="1306"/>
      <c r="BC22" s="1306"/>
      <c r="BD22" s="1306"/>
      <c r="BE22" s="1315"/>
      <c r="BF22" s="1316"/>
      <c r="BG22" s="1316"/>
      <c r="BH22" s="1317"/>
      <c r="BI22" s="1322"/>
      <c r="BJ22" s="1322"/>
      <c r="BK22" s="1322"/>
      <c r="BL22" s="1308" t="str">
        <f t="shared" si="3"/>
        <v/>
      </c>
      <c r="BM22" s="1308"/>
      <c r="BN22" s="1308"/>
      <c r="BO22" s="1302" t="str">
        <f t="shared" si="4"/>
        <v/>
      </c>
      <c r="BP22" s="1302"/>
      <c r="BQ22" s="1302"/>
      <c r="BR22" s="1302"/>
      <c r="BS22" s="190"/>
      <c r="BT22" s="125"/>
      <c r="BU22" s="126"/>
      <c r="BV22" s="126"/>
      <c r="BW22" s="570">
        <f t="shared" si="2"/>
        <v>0</v>
      </c>
      <c r="BX22" s="569" t="str">
        <f t="shared" si="5"/>
        <v/>
      </c>
      <c r="BY22" s="569" t="str">
        <f t="shared" si="6"/>
        <v/>
      </c>
      <c r="BZ22" s="126"/>
      <c r="CA22" s="577">
        <f t="shared" si="7"/>
        <v>0</v>
      </c>
      <c r="CB22" s="577" t="str">
        <f t="shared" si="8"/>
        <v/>
      </c>
      <c r="CC22" s="577" t="str">
        <f t="shared" si="9"/>
        <v/>
      </c>
      <c r="CD22" s="126"/>
      <c r="CE22" s="126"/>
      <c r="CF22" s="126"/>
      <c r="CG22" s="127"/>
    </row>
    <row r="23" spans="1:86" ht="36.9" customHeight="1">
      <c r="A23" s="118"/>
      <c r="B23" s="384"/>
      <c r="C23" s="190"/>
      <c r="D23" s="1296"/>
      <c r="E23" s="1297"/>
      <c r="F23" s="1298"/>
      <c r="H23" s="1299" t="str">
        <f>IF('D1-D2-D3'!L85="","",'D1-D2-D3'!L85)</f>
        <v/>
      </c>
      <c r="I23" s="1300"/>
      <c r="J23" s="1301"/>
      <c r="K23" s="1314" t="str">
        <f>IF('D1-D2-D3'!T85="","",'D1-D2-D3'!T85)</f>
        <v/>
      </c>
      <c r="L23" s="1314"/>
      <c r="M23" s="1314"/>
      <c r="N23" s="1314"/>
      <c r="O23" s="1314"/>
      <c r="P23" s="1314"/>
      <c r="Q23" s="1314"/>
      <c r="R23" s="1314"/>
      <c r="S23" s="1314"/>
      <c r="T23" s="1314"/>
      <c r="U23" s="1306"/>
      <c r="V23" s="1306"/>
      <c r="W23" s="1306"/>
      <c r="X23" s="1306"/>
      <c r="Y23" s="1306"/>
      <c r="Z23" s="1306"/>
      <c r="AA23" s="1306"/>
      <c r="AB23" s="1306"/>
      <c r="AC23" s="1306"/>
      <c r="AD23" s="1306"/>
      <c r="AE23" s="1315"/>
      <c r="AF23" s="1316"/>
      <c r="AG23" s="1316"/>
      <c r="AH23" s="1317"/>
      <c r="AI23" s="1322"/>
      <c r="AJ23" s="1322"/>
      <c r="AK23" s="1322"/>
      <c r="AL23" s="1321" t="str">
        <f t="shared" si="0"/>
        <v/>
      </c>
      <c r="AM23" s="1321"/>
      <c r="AN23" s="1321"/>
      <c r="AO23" s="1302" t="str">
        <f t="shared" si="1"/>
        <v/>
      </c>
      <c r="AP23" s="1302"/>
      <c r="AQ23" s="1302"/>
      <c r="AR23" s="1302"/>
      <c r="AS23" s="1306"/>
      <c r="AT23" s="1306"/>
      <c r="AU23" s="1306"/>
      <c r="AV23" s="1306"/>
      <c r="AW23" s="1306"/>
      <c r="AX23" s="1306"/>
      <c r="AY23" s="1306"/>
      <c r="AZ23" s="1306"/>
      <c r="BA23" s="1306"/>
      <c r="BB23" s="1306"/>
      <c r="BC23" s="1306"/>
      <c r="BD23" s="1306"/>
      <c r="BE23" s="1315"/>
      <c r="BF23" s="1316"/>
      <c r="BG23" s="1316"/>
      <c r="BH23" s="1317"/>
      <c r="BI23" s="1322"/>
      <c r="BJ23" s="1322"/>
      <c r="BK23" s="1322"/>
      <c r="BL23" s="1308" t="str">
        <f t="shared" si="3"/>
        <v/>
      </c>
      <c r="BM23" s="1308"/>
      <c r="BN23" s="1308"/>
      <c r="BO23" s="1302" t="str">
        <f t="shared" si="4"/>
        <v/>
      </c>
      <c r="BP23" s="1302"/>
      <c r="BQ23" s="1302"/>
      <c r="BR23" s="1302"/>
      <c r="BS23" s="190"/>
      <c r="BT23" s="125"/>
      <c r="BU23" s="126"/>
      <c r="BV23" s="126"/>
      <c r="BW23" s="570">
        <f t="shared" si="2"/>
        <v>0</v>
      </c>
      <c r="BX23" s="569" t="str">
        <f t="shared" si="5"/>
        <v/>
      </c>
      <c r="BY23" s="569" t="str">
        <f t="shared" si="6"/>
        <v/>
      </c>
      <c r="BZ23" s="126"/>
      <c r="CA23" s="577">
        <f t="shared" si="7"/>
        <v>0</v>
      </c>
      <c r="CB23" s="577" t="str">
        <f t="shared" si="8"/>
        <v/>
      </c>
      <c r="CC23" s="577" t="str">
        <f t="shared" si="9"/>
        <v/>
      </c>
      <c r="CD23" s="126"/>
      <c r="CE23" s="126"/>
      <c r="CF23" s="126"/>
      <c r="CG23" s="127"/>
    </row>
    <row r="24" spans="1:86" ht="36.9" customHeight="1">
      <c r="A24" s="118"/>
      <c r="B24" s="384"/>
      <c r="C24" s="190"/>
      <c r="D24" s="1296"/>
      <c r="E24" s="1297"/>
      <c r="F24" s="1298"/>
      <c r="H24" s="1299" t="str">
        <f>IF('D1-D2-D3'!L86="","",'D1-D2-D3'!L86)</f>
        <v/>
      </c>
      <c r="I24" s="1300"/>
      <c r="J24" s="1301"/>
      <c r="K24" s="1314" t="str">
        <f>IF('D1-D2-D3'!T86="","",'D1-D2-D3'!T86)</f>
        <v/>
      </c>
      <c r="L24" s="1314"/>
      <c r="M24" s="1314"/>
      <c r="N24" s="1314"/>
      <c r="O24" s="1314"/>
      <c r="P24" s="1314"/>
      <c r="Q24" s="1314"/>
      <c r="R24" s="1314"/>
      <c r="S24" s="1314"/>
      <c r="T24" s="1314"/>
      <c r="U24" s="1306"/>
      <c r="V24" s="1306"/>
      <c r="W24" s="1306"/>
      <c r="X24" s="1306"/>
      <c r="Y24" s="1306"/>
      <c r="Z24" s="1306"/>
      <c r="AA24" s="1306"/>
      <c r="AB24" s="1306"/>
      <c r="AC24" s="1306"/>
      <c r="AD24" s="1306"/>
      <c r="AE24" s="1315"/>
      <c r="AF24" s="1316"/>
      <c r="AG24" s="1316"/>
      <c r="AH24" s="1317"/>
      <c r="AI24" s="1322"/>
      <c r="AJ24" s="1322"/>
      <c r="AK24" s="1322"/>
      <c r="AL24" s="1321" t="str">
        <f t="shared" si="0"/>
        <v/>
      </c>
      <c r="AM24" s="1321"/>
      <c r="AN24" s="1321"/>
      <c r="AO24" s="1302" t="str">
        <f t="shared" si="1"/>
        <v/>
      </c>
      <c r="AP24" s="1302"/>
      <c r="AQ24" s="1302"/>
      <c r="AR24" s="1302"/>
      <c r="AS24" s="1306"/>
      <c r="AT24" s="1306"/>
      <c r="AU24" s="1306"/>
      <c r="AV24" s="1306"/>
      <c r="AW24" s="1306"/>
      <c r="AX24" s="1306"/>
      <c r="AY24" s="1306"/>
      <c r="AZ24" s="1306"/>
      <c r="BA24" s="1306"/>
      <c r="BB24" s="1306"/>
      <c r="BC24" s="1306"/>
      <c r="BD24" s="1306"/>
      <c r="BE24" s="1315"/>
      <c r="BF24" s="1316"/>
      <c r="BG24" s="1316"/>
      <c r="BH24" s="1317"/>
      <c r="BI24" s="1322"/>
      <c r="BJ24" s="1322"/>
      <c r="BK24" s="1322"/>
      <c r="BL24" s="1308" t="str">
        <f t="shared" si="3"/>
        <v/>
      </c>
      <c r="BM24" s="1308"/>
      <c r="BN24" s="1308"/>
      <c r="BO24" s="1302" t="str">
        <f t="shared" si="4"/>
        <v/>
      </c>
      <c r="BP24" s="1302"/>
      <c r="BQ24" s="1302"/>
      <c r="BR24" s="1302"/>
      <c r="BS24" s="190"/>
      <c r="BT24" s="125"/>
      <c r="BU24" s="126"/>
      <c r="BV24" s="126"/>
      <c r="BW24" s="570">
        <f t="shared" si="2"/>
        <v>0</v>
      </c>
      <c r="BX24" s="569" t="str">
        <f t="shared" si="5"/>
        <v/>
      </c>
      <c r="BY24" s="569" t="str">
        <f t="shared" si="6"/>
        <v/>
      </c>
      <c r="BZ24" s="126"/>
      <c r="CA24" s="577">
        <f t="shared" si="7"/>
        <v>0</v>
      </c>
      <c r="CB24" s="577" t="str">
        <f t="shared" si="8"/>
        <v/>
      </c>
      <c r="CC24" s="577" t="str">
        <f t="shared" si="9"/>
        <v/>
      </c>
      <c r="CD24" s="126"/>
      <c r="CE24" s="126"/>
      <c r="CF24" s="126"/>
      <c r="CG24" s="127"/>
    </row>
    <row r="25" spans="1:86" ht="36.9" customHeight="1">
      <c r="A25" s="118"/>
      <c r="B25" s="384"/>
      <c r="C25" s="190"/>
      <c r="D25" s="1293" t="str">
        <f ca="1">'D1-D2-D3'!D87</f>
        <v>Measures for continuing Kroschu-production</v>
      </c>
      <c r="E25" s="1294"/>
      <c r="F25" s="1295"/>
      <c r="H25" s="1299" t="str">
        <f>IF('D1-D2-D3'!L87="","",'D1-D2-D3'!L87)</f>
        <v/>
      </c>
      <c r="I25" s="1300"/>
      <c r="J25" s="1301"/>
      <c r="K25" s="1314" t="str">
        <f>IF('D1-D2-D3'!T87="","",'D1-D2-D3'!T87)</f>
        <v/>
      </c>
      <c r="L25" s="1314"/>
      <c r="M25" s="1314"/>
      <c r="N25" s="1314"/>
      <c r="O25" s="1314"/>
      <c r="P25" s="1314"/>
      <c r="Q25" s="1314"/>
      <c r="R25" s="1314"/>
      <c r="S25" s="1314"/>
      <c r="T25" s="1314"/>
      <c r="U25" s="1306"/>
      <c r="V25" s="1306"/>
      <c r="W25" s="1306"/>
      <c r="X25" s="1306"/>
      <c r="Y25" s="1306"/>
      <c r="Z25" s="1306"/>
      <c r="AA25" s="1306"/>
      <c r="AB25" s="1306"/>
      <c r="AC25" s="1306"/>
      <c r="AD25" s="1306"/>
      <c r="AE25" s="1315"/>
      <c r="AF25" s="1316"/>
      <c r="AG25" s="1316"/>
      <c r="AH25" s="1317"/>
      <c r="AI25" s="1322"/>
      <c r="AJ25" s="1322"/>
      <c r="AK25" s="1322"/>
      <c r="AL25" s="1321" t="str">
        <f t="shared" si="0"/>
        <v/>
      </c>
      <c r="AM25" s="1321"/>
      <c r="AN25" s="1321"/>
      <c r="AO25" s="1302" t="str">
        <f t="shared" si="1"/>
        <v/>
      </c>
      <c r="AP25" s="1302"/>
      <c r="AQ25" s="1302"/>
      <c r="AR25" s="1302"/>
      <c r="AS25" s="1306"/>
      <c r="AT25" s="1306"/>
      <c r="AU25" s="1306"/>
      <c r="AV25" s="1306"/>
      <c r="AW25" s="1306"/>
      <c r="AX25" s="1306"/>
      <c r="AY25" s="1306"/>
      <c r="AZ25" s="1306"/>
      <c r="BA25" s="1306"/>
      <c r="BB25" s="1306"/>
      <c r="BC25" s="1306"/>
      <c r="BD25" s="1306"/>
      <c r="BE25" s="1315"/>
      <c r="BF25" s="1316"/>
      <c r="BG25" s="1316"/>
      <c r="BH25" s="1317"/>
      <c r="BI25" s="1322"/>
      <c r="BJ25" s="1322"/>
      <c r="BK25" s="1322"/>
      <c r="BL25" s="1308" t="str">
        <f t="shared" si="3"/>
        <v/>
      </c>
      <c r="BM25" s="1308"/>
      <c r="BN25" s="1308"/>
      <c r="BO25" s="1302" t="str">
        <f t="shared" si="4"/>
        <v/>
      </c>
      <c r="BP25" s="1302"/>
      <c r="BQ25" s="1302"/>
      <c r="BR25" s="1302"/>
      <c r="BS25" s="190"/>
      <c r="BT25" s="125"/>
      <c r="BW25" s="570">
        <f t="shared" si="2"/>
        <v>0</v>
      </c>
      <c r="BX25" s="569" t="str">
        <f t="shared" si="5"/>
        <v/>
      </c>
      <c r="BY25" s="569" t="str">
        <f t="shared" si="6"/>
        <v/>
      </c>
      <c r="CA25" s="577">
        <f t="shared" si="7"/>
        <v>0</v>
      </c>
      <c r="CB25" s="577" t="str">
        <f t="shared" si="8"/>
        <v/>
      </c>
      <c r="CC25" s="577" t="str">
        <f t="shared" si="9"/>
        <v/>
      </c>
    </row>
    <row r="26" spans="1:86" ht="36.9" customHeight="1">
      <c r="A26" s="118"/>
      <c r="B26" s="384"/>
      <c r="C26" s="190"/>
      <c r="D26" s="1293"/>
      <c r="E26" s="1294"/>
      <c r="F26" s="1295"/>
      <c r="H26" s="1299" t="str">
        <f>IF('D1-D2-D3'!L88="","",'D1-D2-D3'!L88)</f>
        <v/>
      </c>
      <c r="I26" s="1300"/>
      <c r="J26" s="1301"/>
      <c r="K26" s="1314" t="str">
        <f>IF('D1-D2-D3'!T88="","",'D1-D2-D3'!T88)</f>
        <v/>
      </c>
      <c r="L26" s="1314"/>
      <c r="M26" s="1314"/>
      <c r="N26" s="1314"/>
      <c r="O26" s="1314"/>
      <c r="P26" s="1314"/>
      <c r="Q26" s="1314"/>
      <c r="R26" s="1314"/>
      <c r="S26" s="1314"/>
      <c r="T26" s="1314"/>
      <c r="U26" s="1306"/>
      <c r="V26" s="1306"/>
      <c r="W26" s="1306"/>
      <c r="X26" s="1306"/>
      <c r="Y26" s="1306"/>
      <c r="Z26" s="1306"/>
      <c r="AA26" s="1306"/>
      <c r="AB26" s="1306"/>
      <c r="AC26" s="1306"/>
      <c r="AD26" s="1306"/>
      <c r="AE26" s="1315"/>
      <c r="AF26" s="1316"/>
      <c r="AG26" s="1316"/>
      <c r="AH26" s="1317"/>
      <c r="AI26" s="1322"/>
      <c r="AJ26" s="1322"/>
      <c r="AK26" s="1322"/>
      <c r="AL26" s="1321" t="str">
        <f t="shared" si="0"/>
        <v/>
      </c>
      <c r="AM26" s="1321"/>
      <c r="AN26" s="1321"/>
      <c r="AO26" s="1302" t="str">
        <f t="shared" si="1"/>
        <v/>
      </c>
      <c r="AP26" s="1302"/>
      <c r="AQ26" s="1302"/>
      <c r="AR26" s="1302"/>
      <c r="AS26" s="1306"/>
      <c r="AT26" s="1306"/>
      <c r="AU26" s="1306"/>
      <c r="AV26" s="1306"/>
      <c r="AW26" s="1306"/>
      <c r="AX26" s="1306"/>
      <c r="AY26" s="1306"/>
      <c r="AZ26" s="1306"/>
      <c r="BA26" s="1306"/>
      <c r="BB26" s="1306"/>
      <c r="BC26" s="1306"/>
      <c r="BD26" s="1306"/>
      <c r="BE26" s="1315"/>
      <c r="BF26" s="1316"/>
      <c r="BG26" s="1316"/>
      <c r="BH26" s="1317"/>
      <c r="BI26" s="1322"/>
      <c r="BJ26" s="1322"/>
      <c r="BK26" s="1322"/>
      <c r="BL26" s="1308" t="str">
        <f t="shared" si="3"/>
        <v/>
      </c>
      <c r="BM26" s="1308"/>
      <c r="BN26" s="1308"/>
      <c r="BO26" s="1302" t="str">
        <f t="shared" si="4"/>
        <v/>
      </c>
      <c r="BP26" s="1302"/>
      <c r="BQ26" s="1302"/>
      <c r="BR26" s="1302"/>
      <c r="BS26" s="190"/>
      <c r="BT26" s="125"/>
      <c r="BW26" s="570">
        <f t="shared" si="2"/>
        <v>0</v>
      </c>
      <c r="BX26" s="569" t="str">
        <f t="shared" si="5"/>
        <v/>
      </c>
      <c r="BY26" s="569" t="str">
        <f t="shared" si="6"/>
        <v/>
      </c>
      <c r="CA26" s="577">
        <f t="shared" si="7"/>
        <v>0</v>
      </c>
      <c r="CB26" s="577" t="str">
        <f t="shared" si="8"/>
        <v/>
      </c>
      <c r="CC26" s="577" t="str">
        <f t="shared" si="9"/>
        <v/>
      </c>
    </row>
    <row r="27" spans="1:86" ht="36.9" customHeight="1">
      <c r="A27" s="118"/>
      <c r="B27" s="384"/>
      <c r="C27" s="190"/>
      <c r="D27" s="1293"/>
      <c r="E27" s="1294"/>
      <c r="F27" s="1295"/>
      <c r="H27" s="1299" t="str">
        <f>IF('D1-D2-D3'!L89="","",'D1-D2-D3'!L89)</f>
        <v/>
      </c>
      <c r="I27" s="1300"/>
      <c r="J27" s="1301"/>
      <c r="K27" s="1314" t="str">
        <f>IF('D1-D2-D3'!T89="","",'D1-D2-D3'!T89)</f>
        <v/>
      </c>
      <c r="L27" s="1314"/>
      <c r="M27" s="1314"/>
      <c r="N27" s="1314"/>
      <c r="O27" s="1314"/>
      <c r="P27" s="1314"/>
      <c r="Q27" s="1314"/>
      <c r="R27" s="1314"/>
      <c r="S27" s="1314"/>
      <c r="T27" s="1314"/>
      <c r="U27" s="1306"/>
      <c r="V27" s="1306"/>
      <c r="W27" s="1306"/>
      <c r="X27" s="1306"/>
      <c r="Y27" s="1306"/>
      <c r="Z27" s="1306"/>
      <c r="AA27" s="1306"/>
      <c r="AB27" s="1306"/>
      <c r="AC27" s="1306"/>
      <c r="AD27" s="1306"/>
      <c r="AE27" s="1307"/>
      <c r="AF27" s="1307"/>
      <c r="AG27" s="1307"/>
      <c r="AH27" s="1307"/>
      <c r="AI27" s="1307"/>
      <c r="AJ27" s="1307"/>
      <c r="AK27" s="1307"/>
      <c r="AL27" s="1321" t="str">
        <f t="shared" si="0"/>
        <v/>
      </c>
      <c r="AM27" s="1321"/>
      <c r="AN27" s="1321"/>
      <c r="AO27" s="1302" t="str">
        <f t="shared" si="1"/>
        <v/>
      </c>
      <c r="AP27" s="1302"/>
      <c r="AQ27" s="1302"/>
      <c r="AR27" s="1302"/>
      <c r="AS27" s="1306"/>
      <c r="AT27" s="1306"/>
      <c r="AU27" s="1306"/>
      <c r="AV27" s="1306"/>
      <c r="AW27" s="1306"/>
      <c r="AX27" s="1306"/>
      <c r="AY27" s="1306"/>
      <c r="AZ27" s="1306"/>
      <c r="BA27" s="1306"/>
      <c r="BB27" s="1306"/>
      <c r="BC27" s="1306"/>
      <c r="BD27" s="1306"/>
      <c r="BE27" s="1315"/>
      <c r="BF27" s="1316"/>
      <c r="BG27" s="1316"/>
      <c r="BH27" s="1317"/>
      <c r="BI27" s="1322"/>
      <c r="BJ27" s="1322"/>
      <c r="BK27" s="1322"/>
      <c r="BL27" s="1308" t="str">
        <f t="shared" si="3"/>
        <v/>
      </c>
      <c r="BM27" s="1308"/>
      <c r="BN27" s="1308"/>
      <c r="BO27" s="1302" t="str">
        <f t="shared" si="4"/>
        <v/>
      </c>
      <c r="BP27" s="1302"/>
      <c r="BQ27" s="1302"/>
      <c r="BR27" s="1302"/>
      <c r="BS27" s="190"/>
      <c r="BT27" s="125"/>
      <c r="BW27" s="570">
        <f t="shared" si="2"/>
        <v>0</v>
      </c>
      <c r="BX27" s="569" t="str">
        <f t="shared" si="5"/>
        <v/>
      </c>
      <c r="BY27" s="569" t="str">
        <f t="shared" si="6"/>
        <v/>
      </c>
      <c r="CA27" s="577">
        <f t="shared" si="7"/>
        <v>0</v>
      </c>
      <c r="CB27" s="577" t="str">
        <f t="shared" si="8"/>
        <v/>
      </c>
      <c r="CC27" s="577" t="str">
        <f t="shared" si="9"/>
        <v/>
      </c>
    </row>
    <row r="28" spans="1:86" ht="24.9" customHeight="1">
      <c r="A28" s="118"/>
      <c r="B28" s="384"/>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c r="AA28" s="190"/>
      <c r="AB28" s="190"/>
      <c r="AC28" s="190"/>
      <c r="AD28" s="190"/>
      <c r="AE28" s="190"/>
      <c r="AF28" s="190"/>
      <c r="AG28" s="190"/>
      <c r="AH28" s="190"/>
      <c r="AI28" s="190"/>
      <c r="AJ28" s="190"/>
      <c r="AK28" s="190"/>
      <c r="AL28" s="190"/>
      <c r="AM28" s="190"/>
      <c r="AN28" s="190"/>
      <c r="AO28" s="190"/>
      <c r="AP28" s="190"/>
      <c r="AQ28" s="190"/>
      <c r="AR28" s="190"/>
      <c r="AS28" s="190"/>
      <c r="AT28" s="190"/>
      <c r="AU28" s="190"/>
      <c r="AV28" s="190"/>
      <c r="AW28" s="190"/>
      <c r="AX28" s="190"/>
      <c r="AY28" s="190"/>
      <c r="AZ28" s="190"/>
      <c r="BA28" s="190"/>
      <c r="BB28" s="190"/>
      <c r="BC28" s="190"/>
      <c r="BD28" s="190"/>
      <c r="BE28" s="190"/>
      <c r="BF28" s="190"/>
      <c r="BG28" s="190"/>
      <c r="BH28" s="190"/>
      <c r="BI28" s="190"/>
      <c r="BJ28" s="190"/>
      <c r="BK28" s="190"/>
      <c r="BL28" s="190"/>
      <c r="BM28" s="190"/>
      <c r="BN28" s="190"/>
      <c r="BO28" s="190"/>
      <c r="BP28" s="190"/>
      <c r="BQ28" s="190"/>
      <c r="BR28" s="190"/>
      <c r="BS28" s="190"/>
      <c r="BT28" s="125"/>
    </row>
    <row r="29" spans="1:86" ht="24.9" customHeight="1">
      <c r="A29" s="118"/>
      <c r="B29" s="384"/>
      <c r="C29" s="190"/>
      <c r="D29" s="660" t="str">
        <f ca="1">'D4.5Why''s-D5-D6'!AB6</f>
        <v>D5 - Corrective Action(s)</v>
      </c>
      <c r="E29" s="678"/>
      <c r="F29" s="678"/>
      <c r="G29" s="678"/>
      <c r="H29" s="678"/>
      <c r="I29" s="678"/>
      <c r="J29" s="678"/>
      <c r="K29" s="678"/>
      <c r="L29" s="678"/>
      <c r="M29" s="678"/>
      <c r="N29" s="678"/>
      <c r="O29" s="678"/>
      <c r="P29" s="678"/>
      <c r="Q29" s="678"/>
      <c r="R29" s="678"/>
      <c r="S29" s="678"/>
      <c r="T29" s="678"/>
      <c r="U29" s="679"/>
      <c r="V29" s="679"/>
      <c r="W29" s="679"/>
      <c r="X29" s="679"/>
      <c r="Y29" s="679"/>
      <c r="Z29" s="679"/>
      <c r="AA29" s="679"/>
      <c r="AB29" s="679"/>
      <c r="AC29" s="679"/>
      <c r="AD29" s="679"/>
      <c r="AE29" s="1310"/>
      <c r="AF29" s="1310"/>
      <c r="AG29" s="1310"/>
      <c r="AH29" s="1310"/>
      <c r="AI29" s="1310"/>
      <c r="AJ29" s="1310"/>
      <c r="AK29" s="1310"/>
      <c r="AL29" s="1311"/>
      <c r="AM29" s="1311"/>
      <c r="AN29" s="1311"/>
      <c r="AO29" s="1312"/>
      <c r="AP29" s="1312"/>
      <c r="AQ29" s="1312"/>
      <c r="AR29" s="1312"/>
      <c r="AS29" s="1309"/>
      <c r="AT29" s="1309"/>
      <c r="AU29" s="1309"/>
      <c r="AV29" s="1309"/>
      <c r="AW29" s="1309"/>
      <c r="AX29" s="1309"/>
      <c r="AY29" s="1309"/>
      <c r="AZ29" s="1309"/>
      <c r="BA29" s="1309"/>
      <c r="BB29" s="1309"/>
      <c r="BC29" s="1309"/>
      <c r="BD29" s="1309"/>
      <c r="BE29" s="1310"/>
      <c r="BF29" s="1310"/>
      <c r="BG29" s="1310"/>
      <c r="BH29" s="1310"/>
      <c r="BI29" s="1310"/>
      <c r="BJ29" s="1310"/>
      <c r="BK29" s="1310"/>
      <c r="BL29" s="1311"/>
      <c r="BM29" s="1311"/>
      <c r="BN29" s="1311"/>
      <c r="BO29" s="1312"/>
      <c r="BP29" s="1312"/>
      <c r="BQ29" s="1312"/>
      <c r="BR29" s="1312"/>
      <c r="BS29" s="190"/>
      <c r="BT29" s="125"/>
      <c r="BW29" s="580"/>
      <c r="BX29" s="580"/>
      <c r="BY29" s="580"/>
      <c r="BZ29" s="580"/>
      <c r="CA29" s="580"/>
      <c r="CB29" s="580"/>
      <c r="CC29" s="578"/>
      <c r="CD29" s="578"/>
      <c r="CE29" s="578"/>
    </row>
    <row r="30" spans="1:86" ht="24.9" customHeight="1">
      <c r="A30" s="118"/>
      <c r="B30" s="384"/>
      <c r="C30" s="190"/>
      <c r="D30" s="190"/>
      <c r="E30" s="190"/>
      <c r="F30" s="190"/>
      <c r="G30" s="190"/>
      <c r="H30" s="190"/>
      <c r="I30" s="190"/>
      <c r="J30" s="190"/>
      <c r="K30" s="190"/>
      <c r="L30" s="190"/>
      <c r="M30" s="190"/>
      <c r="N30" s="190"/>
      <c r="O30" s="190"/>
      <c r="P30" s="190"/>
      <c r="Q30" s="190"/>
      <c r="R30" s="190"/>
      <c r="S30" s="190"/>
      <c r="T30" s="190"/>
      <c r="U30" s="1309"/>
      <c r="V30" s="1309"/>
      <c r="W30" s="1309"/>
      <c r="X30" s="1309"/>
      <c r="Y30" s="1309"/>
      <c r="Z30" s="1309"/>
      <c r="AA30" s="1309"/>
      <c r="AB30" s="1309"/>
      <c r="AC30" s="1309"/>
      <c r="AD30" s="1309"/>
      <c r="AE30" s="1310"/>
      <c r="AF30" s="1310"/>
      <c r="AG30" s="1310"/>
      <c r="AH30" s="1310"/>
      <c r="AI30" s="1310"/>
      <c r="AJ30" s="1310"/>
      <c r="AK30" s="1310"/>
      <c r="AL30" s="1311"/>
      <c r="AM30" s="1311"/>
      <c r="AN30" s="1311"/>
      <c r="AO30" s="1312"/>
      <c r="AP30" s="1312"/>
      <c r="AQ30" s="1312"/>
      <c r="AR30" s="1312"/>
      <c r="AS30" s="1309"/>
      <c r="AT30" s="1309"/>
      <c r="AU30" s="1309"/>
      <c r="AV30" s="1309"/>
      <c r="AW30" s="1309"/>
      <c r="AX30" s="1309"/>
      <c r="AY30" s="1309"/>
      <c r="AZ30" s="1309"/>
      <c r="BA30" s="1309"/>
      <c r="BB30" s="1309"/>
      <c r="BC30" s="1309"/>
      <c r="BD30" s="1309"/>
      <c r="BE30" s="1310"/>
      <c r="BF30" s="1310"/>
      <c r="BG30" s="1310"/>
      <c r="BH30" s="1310"/>
      <c r="BI30" s="1310"/>
      <c r="BJ30" s="1310"/>
      <c r="BK30" s="1310"/>
      <c r="BL30" s="1311"/>
      <c r="BM30" s="1311"/>
      <c r="BN30" s="1311"/>
      <c r="BO30" s="1312"/>
      <c r="BP30" s="1312"/>
      <c r="BQ30" s="1312"/>
      <c r="BR30" s="1312"/>
      <c r="BS30" s="190"/>
      <c r="BT30" s="125"/>
      <c r="BW30" s="568" t="s">
        <v>957</v>
      </c>
      <c r="BX30" s="568" t="s">
        <v>958</v>
      </c>
      <c r="BY30" s="571" t="s">
        <v>959</v>
      </c>
      <c r="CA30" s="576" t="s">
        <v>960</v>
      </c>
      <c r="CC30" s="576" t="s">
        <v>961</v>
      </c>
      <c r="CD30" s="581"/>
      <c r="CE30" s="581"/>
      <c r="CF30" s="581" t="s">
        <v>1103</v>
      </c>
      <c r="CG30" s="581" t="s">
        <v>939</v>
      </c>
      <c r="CH30" s="581" t="s">
        <v>943</v>
      </c>
    </row>
    <row r="31" spans="1:86" ht="34.5" customHeight="1">
      <c r="A31" s="118"/>
      <c r="B31" s="384"/>
      <c r="C31" s="190"/>
      <c r="D31" s="1395" t="str">
        <f ca="1">INDIRECT('D1-D2-D3'!$J$4&amp;"!C137")</f>
        <v>Technical consideration</v>
      </c>
      <c r="E31" s="1303" t="str">
        <f>IF(ISNA('D4.5Why''s-D5-D6'!BY19),"",'D4.5Why''s-D5-D6'!BY19)</f>
        <v/>
      </c>
      <c r="F31" s="1304"/>
      <c r="G31" s="1304"/>
      <c r="H31" s="1304"/>
      <c r="I31" s="1304"/>
      <c r="J31" s="1304"/>
      <c r="K31" s="1304"/>
      <c r="L31" s="1304"/>
      <c r="M31" s="1304"/>
      <c r="N31" s="1304"/>
      <c r="O31" s="1304"/>
      <c r="P31" s="1304"/>
      <c r="Q31" s="1304"/>
      <c r="R31" s="1304"/>
      <c r="S31" s="1304"/>
      <c r="T31" s="1305"/>
      <c r="U31" s="1306"/>
      <c r="V31" s="1306"/>
      <c r="W31" s="1306"/>
      <c r="X31" s="1306"/>
      <c r="Y31" s="1306"/>
      <c r="Z31" s="1306"/>
      <c r="AA31" s="1306"/>
      <c r="AB31" s="1306"/>
      <c r="AC31" s="1306"/>
      <c r="AD31" s="1306"/>
      <c r="AE31" s="1307"/>
      <c r="AF31" s="1307"/>
      <c r="AG31" s="1307"/>
      <c r="AH31" s="1307"/>
      <c r="AI31" s="1307"/>
      <c r="AJ31" s="1307"/>
      <c r="AK31" s="1307"/>
      <c r="AL31" s="1308" t="str">
        <f t="shared" ref="AL31:AL37" si="10">BX31</f>
        <v/>
      </c>
      <c r="AM31" s="1308"/>
      <c r="AN31" s="1308"/>
      <c r="AO31" s="1302" t="str">
        <f t="shared" ref="AO31:AO37" si="11">IF(BW31&gt;11,"high",IF(BW31&gt;6,"mid",IF(BW31&gt;4,"ALARP",IF(BW31=0,"",IF(BW31&gt;=1,"low")))))</f>
        <v/>
      </c>
      <c r="AP31" s="1302"/>
      <c r="AQ31" s="1302"/>
      <c r="AR31" s="1302"/>
      <c r="AS31" s="1306"/>
      <c r="AT31" s="1306"/>
      <c r="AU31" s="1306"/>
      <c r="AV31" s="1306"/>
      <c r="AW31" s="1306"/>
      <c r="AX31" s="1306"/>
      <c r="AY31" s="1306"/>
      <c r="AZ31" s="1306"/>
      <c r="BA31" s="1306"/>
      <c r="BB31" s="1306"/>
      <c r="BC31" s="1306"/>
      <c r="BD31" s="1306"/>
      <c r="BE31" s="1307"/>
      <c r="BF31" s="1307"/>
      <c r="BG31" s="1307"/>
      <c r="BH31" s="1307"/>
      <c r="BI31" s="1307"/>
      <c r="BJ31" s="1307"/>
      <c r="BK31" s="1307"/>
      <c r="BL31" s="1308" t="str">
        <f>CB31</f>
        <v/>
      </c>
      <c r="BM31" s="1308"/>
      <c r="BN31" s="1308"/>
      <c r="BO31" s="1302" t="str">
        <f>CC31</f>
        <v/>
      </c>
      <c r="BP31" s="1302"/>
      <c r="BQ31" s="1302"/>
      <c r="BR31" s="1302"/>
      <c r="BS31" s="190"/>
      <c r="BT31" s="125"/>
      <c r="BV31" s="433"/>
      <c r="BW31" s="570">
        <f t="shared" ref="BW31:BW40" si="12">AE31*AI31</f>
        <v>0</v>
      </c>
      <c r="BX31" s="569" t="str">
        <f>IF(BW31=0,"",IF(BW31&gt;=1,BW31))</f>
        <v/>
      </c>
      <c r="BY31" s="569" t="str">
        <f>IF(BW31&gt;11,"high",IF(BW31&gt;6,"mid",IF(BW31&gt;4,"ALARP",IF(BW31=0,"",IF(BW31&gt;=1,"low")))))</f>
        <v/>
      </c>
      <c r="CA31" s="577">
        <f>BE31*BI31</f>
        <v>0</v>
      </c>
      <c r="CB31" s="577" t="str">
        <f>IF(CA31=0,"",IF(CA31&gt;=1,CA31))</f>
        <v/>
      </c>
      <c r="CC31" s="577" t="str">
        <f>IF(CA31&gt;11,"high",IF(CA31&gt;6,"mid",IF(CA31&gt;4,"ALARP",IF(CA31=0,"",IF(CA31&gt;=1,"low")))))</f>
        <v/>
      </c>
      <c r="CD31" s="578"/>
      <c r="CF31" s="759" t="str">
        <f>IF(U31=0,"",IF(ISNA(U31),"",IF(E31&lt;&gt;"",U31,"")))</f>
        <v/>
      </c>
      <c r="CG31" s="759" t="str">
        <f>IF(AO31=0,"",IF(ISNA(AO31),"",IF(E31&lt;&gt;"",AO31,"")))</f>
        <v/>
      </c>
      <c r="CH31" s="759" t="str">
        <f>IF(AS31=0,"",IF(ISNA(AS31),"",IF(E31&lt;&gt;"",AS31,"")))</f>
        <v/>
      </c>
    </row>
    <row r="32" spans="1:86" ht="34.5" customHeight="1">
      <c r="A32" s="118"/>
      <c r="B32" s="384"/>
      <c r="C32" s="190"/>
      <c r="D32" s="1396"/>
      <c r="E32" s="1303" t="str">
        <f>IF(ISNA('D4.5Why''s-D5-D6'!BY20),"",'D4.5Why''s-D5-D6'!BY20)</f>
        <v/>
      </c>
      <c r="F32" s="1304"/>
      <c r="G32" s="1304"/>
      <c r="H32" s="1304"/>
      <c r="I32" s="1304"/>
      <c r="J32" s="1304"/>
      <c r="K32" s="1304"/>
      <c r="L32" s="1304"/>
      <c r="M32" s="1304"/>
      <c r="N32" s="1304"/>
      <c r="O32" s="1304"/>
      <c r="P32" s="1304"/>
      <c r="Q32" s="1304"/>
      <c r="R32" s="1304"/>
      <c r="S32" s="1304"/>
      <c r="T32" s="1305"/>
      <c r="U32" s="1306"/>
      <c r="V32" s="1306"/>
      <c r="W32" s="1306"/>
      <c r="X32" s="1306"/>
      <c r="Y32" s="1306"/>
      <c r="Z32" s="1306"/>
      <c r="AA32" s="1306"/>
      <c r="AB32" s="1306"/>
      <c r="AC32" s="1306"/>
      <c r="AD32" s="1306"/>
      <c r="AE32" s="1307"/>
      <c r="AF32" s="1307"/>
      <c r="AG32" s="1307"/>
      <c r="AH32" s="1307"/>
      <c r="AI32" s="1307"/>
      <c r="AJ32" s="1307"/>
      <c r="AK32" s="1307"/>
      <c r="AL32" s="1308" t="str">
        <f t="shared" si="10"/>
        <v/>
      </c>
      <c r="AM32" s="1308"/>
      <c r="AN32" s="1308"/>
      <c r="AO32" s="1302" t="str">
        <f t="shared" si="11"/>
        <v/>
      </c>
      <c r="AP32" s="1302"/>
      <c r="AQ32" s="1302"/>
      <c r="AR32" s="1302"/>
      <c r="AS32" s="1306"/>
      <c r="AT32" s="1306"/>
      <c r="AU32" s="1306"/>
      <c r="AV32" s="1306"/>
      <c r="AW32" s="1306"/>
      <c r="AX32" s="1306"/>
      <c r="AY32" s="1306"/>
      <c r="AZ32" s="1306"/>
      <c r="BA32" s="1306"/>
      <c r="BB32" s="1306"/>
      <c r="BC32" s="1306"/>
      <c r="BD32" s="1306"/>
      <c r="BE32" s="1307"/>
      <c r="BF32" s="1307"/>
      <c r="BG32" s="1307"/>
      <c r="BH32" s="1307"/>
      <c r="BI32" s="1307"/>
      <c r="BJ32" s="1307"/>
      <c r="BK32" s="1307"/>
      <c r="BL32" s="1308" t="str">
        <f t="shared" ref="BL32:BL37" si="13">CB32</f>
        <v/>
      </c>
      <c r="BM32" s="1308"/>
      <c r="BN32" s="1308"/>
      <c r="BO32" s="1302" t="str">
        <f t="shared" ref="BO32:BO37" si="14">CC32</f>
        <v/>
      </c>
      <c r="BP32" s="1302"/>
      <c r="BQ32" s="1302"/>
      <c r="BR32" s="1302"/>
      <c r="BS32" s="190"/>
      <c r="BT32" s="125"/>
      <c r="BV32" s="433"/>
      <c r="BW32" s="570">
        <f t="shared" si="12"/>
        <v>0</v>
      </c>
      <c r="BX32" s="569" t="str">
        <f t="shared" ref="BX32:BX40" si="15">IF(BW32=0,"",IF(BW32&gt;=1,BW32))</f>
        <v/>
      </c>
      <c r="BY32" s="569" t="str">
        <f t="shared" ref="BY32:BY40" si="16">IF(BW32&gt;11,"high",IF(BW32&gt;6,"mid",IF(BW32&gt;4,"ALARP",IF(BW32=0,"",IF(BW32&gt;=1,"low")))))</f>
        <v/>
      </c>
      <c r="CA32" s="577">
        <f t="shared" ref="CA32:CA40" si="17">BE32*BI32</f>
        <v>0</v>
      </c>
      <c r="CB32" s="577" t="str">
        <f t="shared" ref="CB32:CB40" si="18">IF(CA32=0,"",IF(CA32&gt;=1,CA32))</f>
        <v/>
      </c>
      <c r="CC32" s="577" t="str">
        <f t="shared" ref="CC32:CC40" si="19">IF(CA32&gt;11,"high",IF(CA32&gt;6,"mid",IF(CA32&gt;4,"ALARP",IF(CA32=0,"",IF(CA32&gt;=1,"low")))))</f>
        <v/>
      </c>
      <c r="CD32" s="578"/>
      <c r="CE32" s="578"/>
      <c r="CF32" s="759" t="str">
        <f t="shared" ref="CF32:CF40" si="20">IF(U32=0,"",IF(ISNA(U32),"",IF(E32&lt;&gt;"",U32,"")))</f>
        <v/>
      </c>
      <c r="CG32" s="759" t="str">
        <f t="shared" ref="CG32:CG40" si="21">IF(AO32=0,"",IF(ISNA(AO32),"",IF(E32&lt;&gt;"",AO32,"")))</f>
        <v/>
      </c>
      <c r="CH32" s="759" t="str">
        <f t="shared" ref="CH32:CH40" si="22">IF(AS32=0,"",IF(ISNA(AS32),"",IF(E32&lt;&gt;"",AS32,"")))</f>
        <v/>
      </c>
    </row>
    <row r="33" spans="1:86" ht="34.5" customHeight="1">
      <c r="A33" s="118"/>
      <c r="B33" s="384"/>
      <c r="C33" s="190"/>
      <c r="D33" s="1396"/>
      <c r="E33" s="1303" t="str">
        <f>IF(ISNA('D4.5Why''s-D5-D6'!BY21),"",'D4.5Why''s-D5-D6'!BY21)</f>
        <v/>
      </c>
      <c r="F33" s="1304"/>
      <c r="G33" s="1304"/>
      <c r="H33" s="1304"/>
      <c r="I33" s="1304"/>
      <c r="J33" s="1304"/>
      <c r="K33" s="1304"/>
      <c r="L33" s="1304"/>
      <c r="M33" s="1304"/>
      <c r="N33" s="1304"/>
      <c r="O33" s="1304"/>
      <c r="P33" s="1304"/>
      <c r="Q33" s="1304"/>
      <c r="R33" s="1304"/>
      <c r="S33" s="1304"/>
      <c r="T33" s="1305"/>
      <c r="U33" s="1306"/>
      <c r="V33" s="1306"/>
      <c r="W33" s="1306"/>
      <c r="X33" s="1306"/>
      <c r="Y33" s="1306"/>
      <c r="Z33" s="1306"/>
      <c r="AA33" s="1306"/>
      <c r="AB33" s="1306"/>
      <c r="AC33" s="1306"/>
      <c r="AD33" s="1306"/>
      <c r="AE33" s="1307"/>
      <c r="AF33" s="1307"/>
      <c r="AG33" s="1307"/>
      <c r="AH33" s="1307"/>
      <c r="AI33" s="1307"/>
      <c r="AJ33" s="1307"/>
      <c r="AK33" s="1307"/>
      <c r="AL33" s="1308" t="str">
        <f t="shared" si="10"/>
        <v/>
      </c>
      <c r="AM33" s="1308"/>
      <c r="AN33" s="1308"/>
      <c r="AO33" s="1302" t="str">
        <f t="shared" si="11"/>
        <v/>
      </c>
      <c r="AP33" s="1302"/>
      <c r="AQ33" s="1302"/>
      <c r="AR33" s="1302"/>
      <c r="AS33" s="1306"/>
      <c r="AT33" s="1306"/>
      <c r="AU33" s="1306"/>
      <c r="AV33" s="1306"/>
      <c r="AW33" s="1306"/>
      <c r="AX33" s="1306"/>
      <c r="AY33" s="1306"/>
      <c r="AZ33" s="1306"/>
      <c r="BA33" s="1306"/>
      <c r="BB33" s="1306"/>
      <c r="BC33" s="1306"/>
      <c r="BD33" s="1306"/>
      <c r="BE33" s="1307"/>
      <c r="BF33" s="1307"/>
      <c r="BG33" s="1307"/>
      <c r="BH33" s="1307"/>
      <c r="BI33" s="1307"/>
      <c r="BJ33" s="1307"/>
      <c r="BK33" s="1307"/>
      <c r="BL33" s="1308" t="str">
        <f t="shared" si="13"/>
        <v/>
      </c>
      <c r="BM33" s="1308"/>
      <c r="BN33" s="1308"/>
      <c r="BO33" s="1302" t="str">
        <f t="shared" si="14"/>
        <v/>
      </c>
      <c r="BP33" s="1302"/>
      <c r="BQ33" s="1302"/>
      <c r="BR33" s="1302"/>
      <c r="BS33" s="190"/>
      <c r="BT33" s="125"/>
      <c r="BU33" s="133"/>
      <c r="BV33" s="579"/>
      <c r="BW33" s="570">
        <f t="shared" si="12"/>
        <v>0</v>
      </c>
      <c r="BX33" s="569" t="str">
        <f t="shared" si="15"/>
        <v/>
      </c>
      <c r="BY33" s="569" t="str">
        <f t="shared" si="16"/>
        <v/>
      </c>
      <c r="BZ33" s="126"/>
      <c r="CA33" s="577">
        <f t="shared" si="17"/>
        <v>0</v>
      </c>
      <c r="CB33" s="577" t="str">
        <f t="shared" si="18"/>
        <v/>
      </c>
      <c r="CC33" s="577" t="str">
        <f t="shared" si="19"/>
        <v/>
      </c>
      <c r="CD33" s="582"/>
      <c r="CE33" s="582"/>
      <c r="CF33" s="759" t="str">
        <f t="shared" si="20"/>
        <v/>
      </c>
      <c r="CG33" s="759" t="str">
        <f t="shared" si="21"/>
        <v/>
      </c>
      <c r="CH33" s="759" t="str">
        <f t="shared" si="22"/>
        <v/>
      </c>
    </row>
    <row r="34" spans="1:86" ht="35.1" customHeight="1">
      <c r="A34" s="118"/>
      <c r="B34" s="384"/>
      <c r="C34" s="190"/>
      <c r="D34" s="1396"/>
      <c r="E34" s="1303" t="str">
        <f>IF(ISNA('D4.5Why''s-D5-D6'!BY22),"",'D4.5Why''s-D5-D6'!BY22)</f>
        <v/>
      </c>
      <c r="F34" s="1304"/>
      <c r="G34" s="1304"/>
      <c r="H34" s="1304"/>
      <c r="I34" s="1304"/>
      <c r="J34" s="1304"/>
      <c r="K34" s="1304"/>
      <c r="L34" s="1304"/>
      <c r="M34" s="1304"/>
      <c r="N34" s="1304"/>
      <c r="O34" s="1304"/>
      <c r="P34" s="1304"/>
      <c r="Q34" s="1304"/>
      <c r="R34" s="1304"/>
      <c r="S34" s="1304"/>
      <c r="T34" s="1305"/>
      <c r="U34" s="1306"/>
      <c r="V34" s="1306"/>
      <c r="W34" s="1306"/>
      <c r="X34" s="1306"/>
      <c r="Y34" s="1306"/>
      <c r="Z34" s="1306"/>
      <c r="AA34" s="1306"/>
      <c r="AB34" s="1306"/>
      <c r="AC34" s="1306"/>
      <c r="AD34" s="1306"/>
      <c r="AE34" s="1307"/>
      <c r="AF34" s="1307"/>
      <c r="AG34" s="1307"/>
      <c r="AH34" s="1307"/>
      <c r="AI34" s="1307"/>
      <c r="AJ34" s="1307"/>
      <c r="AK34" s="1307"/>
      <c r="AL34" s="1308" t="str">
        <f t="shared" si="10"/>
        <v/>
      </c>
      <c r="AM34" s="1308"/>
      <c r="AN34" s="1308"/>
      <c r="AO34" s="1302" t="str">
        <f t="shared" si="11"/>
        <v/>
      </c>
      <c r="AP34" s="1302"/>
      <c r="AQ34" s="1302"/>
      <c r="AR34" s="1302"/>
      <c r="AS34" s="1306"/>
      <c r="AT34" s="1306"/>
      <c r="AU34" s="1306"/>
      <c r="AV34" s="1306"/>
      <c r="AW34" s="1306"/>
      <c r="AX34" s="1306"/>
      <c r="AY34" s="1306"/>
      <c r="AZ34" s="1306"/>
      <c r="BA34" s="1306"/>
      <c r="BB34" s="1306"/>
      <c r="BC34" s="1306"/>
      <c r="BD34" s="1306"/>
      <c r="BE34" s="1307"/>
      <c r="BF34" s="1307"/>
      <c r="BG34" s="1307"/>
      <c r="BH34" s="1307"/>
      <c r="BI34" s="1307"/>
      <c r="BJ34" s="1307"/>
      <c r="BK34" s="1307"/>
      <c r="BL34" s="1308" t="str">
        <f t="shared" si="13"/>
        <v/>
      </c>
      <c r="BM34" s="1308"/>
      <c r="BN34" s="1308"/>
      <c r="BO34" s="1302" t="str">
        <f t="shared" si="14"/>
        <v/>
      </c>
      <c r="BP34" s="1302"/>
      <c r="BQ34" s="1302"/>
      <c r="BR34" s="1302"/>
      <c r="BS34" s="190"/>
      <c r="BT34" s="125"/>
      <c r="BU34" s="133"/>
      <c r="BV34" s="579"/>
      <c r="BW34" s="570">
        <f t="shared" si="12"/>
        <v>0</v>
      </c>
      <c r="BX34" s="569" t="str">
        <f t="shared" si="15"/>
        <v/>
      </c>
      <c r="BY34" s="569" t="str">
        <f t="shared" si="16"/>
        <v/>
      </c>
      <c r="BZ34" s="126"/>
      <c r="CA34" s="577">
        <f t="shared" si="17"/>
        <v>0</v>
      </c>
      <c r="CB34" s="577" t="str">
        <f t="shared" si="18"/>
        <v/>
      </c>
      <c r="CC34" s="577" t="str">
        <f t="shared" si="19"/>
        <v/>
      </c>
      <c r="CD34" s="582"/>
      <c r="CE34" s="582"/>
      <c r="CF34" s="759" t="str">
        <f t="shared" si="20"/>
        <v/>
      </c>
      <c r="CG34" s="759" t="str">
        <f t="shared" si="21"/>
        <v/>
      </c>
      <c r="CH34" s="759" t="str">
        <f t="shared" si="22"/>
        <v/>
      </c>
    </row>
    <row r="35" spans="1:86" ht="35.1" customHeight="1">
      <c r="A35" s="118"/>
      <c r="B35" s="384"/>
      <c r="C35" s="190"/>
      <c r="D35" s="1396"/>
      <c r="E35" s="1303" t="str">
        <f>IF(ISNA('D4.5Why''s-D5-D6'!BY23),"",'D4.5Why''s-D5-D6'!BY23)</f>
        <v/>
      </c>
      <c r="F35" s="1304"/>
      <c r="G35" s="1304"/>
      <c r="H35" s="1304"/>
      <c r="I35" s="1304"/>
      <c r="J35" s="1304"/>
      <c r="K35" s="1304"/>
      <c r="L35" s="1304"/>
      <c r="M35" s="1304"/>
      <c r="N35" s="1304"/>
      <c r="O35" s="1304"/>
      <c r="P35" s="1304"/>
      <c r="Q35" s="1304"/>
      <c r="R35" s="1304"/>
      <c r="S35" s="1304"/>
      <c r="T35" s="1305"/>
      <c r="U35" s="1306"/>
      <c r="V35" s="1306"/>
      <c r="W35" s="1306"/>
      <c r="X35" s="1306"/>
      <c r="Y35" s="1306"/>
      <c r="Z35" s="1306"/>
      <c r="AA35" s="1306"/>
      <c r="AB35" s="1306"/>
      <c r="AC35" s="1306"/>
      <c r="AD35" s="1306"/>
      <c r="AE35" s="1307"/>
      <c r="AF35" s="1307"/>
      <c r="AG35" s="1307"/>
      <c r="AH35" s="1307"/>
      <c r="AI35" s="1307"/>
      <c r="AJ35" s="1307"/>
      <c r="AK35" s="1307"/>
      <c r="AL35" s="1308" t="str">
        <f t="shared" si="10"/>
        <v/>
      </c>
      <c r="AM35" s="1308"/>
      <c r="AN35" s="1308"/>
      <c r="AO35" s="1302" t="str">
        <f t="shared" si="11"/>
        <v/>
      </c>
      <c r="AP35" s="1302"/>
      <c r="AQ35" s="1302"/>
      <c r="AR35" s="1302"/>
      <c r="AS35" s="1306"/>
      <c r="AT35" s="1306"/>
      <c r="AU35" s="1306"/>
      <c r="AV35" s="1306"/>
      <c r="AW35" s="1306"/>
      <c r="AX35" s="1306"/>
      <c r="AY35" s="1306"/>
      <c r="AZ35" s="1306"/>
      <c r="BA35" s="1306"/>
      <c r="BB35" s="1306"/>
      <c r="BC35" s="1306"/>
      <c r="BD35" s="1306"/>
      <c r="BE35" s="1307"/>
      <c r="BF35" s="1307"/>
      <c r="BG35" s="1307"/>
      <c r="BH35" s="1307"/>
      <c r="BI35" s="1307"/>
      <c r="BJ35" s="1307"/>
      <c r="BK35" s="1307"/>
      <c r="BL35" s="1308" t="str">
        <f t="shared" si="13"/>
        <v/>
      </c>
      <c r="BM35" s="1308"/>
      <c r="BN35" s="1308"/>
      <c r="BO35" s="1302" t="str">
        <f t="shared" si="14"/>
        <v/>
      </c>
      <c r="BP35" s="1302"/>
      <c r="BQ35" s="1302"/>
      <c r="BR35" s="1302"/>
      <c r="BS35" s="190"/>
      <c r="BT35" s="125"/>
      <c r="BU35" s="133"/>
      <c r="BV35" s="579"/>
      <c r="BW35" s="570">
        <f t="shared" si="12"/>
        <v>0</v>
      </c>
      <c r="BX35" s="569" t="str">
        <f t="shared" si="15"/>
        <v/>
      </c>
      <c r="BY35" s="569" t="str">
        <f t="shared" si="16"/>
        <v/>
      </c>
      <c r="BZ35" s="126"/>
      <c r="CA35" s="577">
        <f t="shared" si="17"/>
        <v>0</v>
      </c>
      <c r="CB35" s="577" t="str">
        <f t="shared" si="18"/>
        <v/>
      </c>
      <c r="CC35" s="577" t="str">
        <f t="shared" si="19"/>
        <v/>
      </c>
      <c r="CD35" s="582"/>
      <c r="CE35" s="582"/>
      <c r="CF35" s="759" t="str">
        <f t="shared" si="20"/>
        <v/>
      </c>
      <c r="CG35" s="759" t="str">
        <f t="shared" si="21"/>
        <v/>
      </c>
      <c r="CH35" s="759" t="str">
        <f t="shared" si="22"/>
        <v/>
      </c>
    </row>
    <row r="36" spans="1:86" ht="35.1" customHeight="1">
      <c r="A36" s="118"/>
      <c r="B36" s="384"/>
      <c r="C36" s="190"/>
      <c r="D36" s="1396"/>
      <c r="E36" s="1303" t="str">
        <f>IF(ISNA('D4.5Why''s-D5-D6'!BY24),"",'D4.5Why''s-D5-D6'!BY24)</f>
        <v/>
      </c>
      <c r="F36" s="1304"/>
      <c r="G36" s="1304"/>
      <c r="H36" s="1304"/>
      <c r="I36" s="1304"/>
      <c r="J36" s="1304"/>
      <c r="K36" s="1304"/>
      <c r="L36" s="1304"/>
      <c r="M36" s="1304"/>
      <c r="N36" s="1304"/>
      <c r="O36" s="1304"/>
      <c r="P36" s="1304"/>
      <c r="Q36" s="1304"/>
      <c r="R36" s="1304"/>
      <c r="S36" s="1304"/>
      <c r="T36" s="1305"/>
      <c r="U36" s="1306"/>
      <c r="V36" s="1306"/>
      <c r="W36" s="1306"/>
      <c r="X36" s="1306"/>
      <c r="Y36" s="1306"/>
      <c r="Z36" s="1306"/>
      <c r="AA36" s="1306"/>
      <c r="AB36" s="1306"/>
      <c r="AC36" s="1306"/>
      <c r="AD36" s="1306"/>
      <c r="AE36" s="1307"/>
      <c r="AF36" s="1307"/>
      <c r="AG36" s="1307"/>
      <c r="AH36" s="1307"/>
      <c r="AI36" s="1307"/>
      <c r="AJ36" s="1307"/>
      <c r="AK36" s="1307"/>
      <c r="AL36" s="1308" t="str">
        <f t="shared" si="10"/>
        <v/>
      </c>
      <c r="AM36" s="1308"/>
      <c r="AN36" s="1308"/>
      <c r="AO36" s="1302" t="str">
        <f t="shared" si="11"/>
        <v/>
      </c>
      <c r="AP36" s="1302"/>
      <c r="AQ36" s="1302"/>
      <c r="AR36" s="1302"/>
      <c r="AS36" s="1306"/>
      <c r="AT36" s="1306"/>
      <c r="AU36" s="1306"/>
      <c r="AV36" s="1306"/>
      <c r="AW36" s="1306"/>
      <c r="AX36" s="1306"/>
      <c r="AY36" s="1306"/>
      <c r="AZ36" s="1306"/>
      <c r="BA36" s="1306"/>
      <c r="BB36" s="1306"/>
      <c r="BC36" s="1306"/>
      <c r="BD36" s="1306"/>
      <c r="BE36" s="1307"/>
      <c r="BF36" s="1307"/>
      <c r="BG36" s="1307"/>
      <c r="BH36" s="1307"/>
      <c r="BI36" s="1307"/>
      <c r="BJ36" s="1307"/>
      <c r="BK36" s="1307"/>
      <c r="BL36" s="1308" t="str">
        <f t="shared" si="13"/>
        <v/>
      </c>
      <c r="BM36" s="1308"/>
      <c r="BN36" s="1308"/>
      <c r="BO36" s="1302" t="str">
        <f t="shared" si="14"/>
        <v/>
      </c>
      <c r="BP36" s="1302"/>
      <c r="BQ36" s="1302"/>
      <c r="BR36" s="1302"/>
      <c r="BS36" s="190"/>
      <c r="BT36" s="125"/>
      <c r="BU36" s="133"/>
      <c r="BV36" s="579"/>
      <c r="BW36" s="570">
        <f t="shared" si="12"/>
        <v>0</v>
      </c>
      <c r="BX36" s="569" t="str">
        <f t="shared" si="15"/>
        <v/>
      </c>
      <c r="BY36" s="569" t="str">
        <f t="shared" si="16"/>
        <v/>
      </c>
      <c r="BZ36" s="126"/>
      <c r="CA36" s="577">
        <f t="shared" si="17"/>
        <v>0</v>
      </c>
      <c r="CB36" s="577" t="str">
        <f t="shared" si="18"/>
        <v/>
      </c>
      <c r="CC36" s="577" t="str">
        <f t="shared" si="19"/>
        <v/>
      </c>
      <c r="CD36" s="582"/>
      <c r="CE36" s="582"/>
      <c r="CF36" s="759" t="str">
        <f t="shared" si="20"/>
        <v/>
      </c>
      <c r="CG36" s="759" t="str">
        <f t="shared" si="21"/>
        <v/>
      </c>
      <c r="CH36" s="759" t="str">
        <f t="shared" si="22"/>
        <v/>
      </c>
    </row>
    <row r="37" spans="1:86" ht="35.1" customHeight="1">
      <c r="A37" s="118"/>
      <c r="B37" s="384"/>
      <c r="C37" s="190"/>
      <c r="D37" s="1396"/>
      <c r="E37" s="1303" t="str">
        <f>IF(ISNA('D4.5Why''s-D5-D6'!BY25),"",'D4.5Why''s-D5-D6'!BY25)</f>
        <v/>
      </c>
      <c r="F37" s="1304"/>
      <c r="G37" s="1304"/>
      <c r="H37" s="1304"/>
      <c r="I37" s="1304"/>
      <c r="J37" s="1304"/>
      <c r="K37" s="1304"/>
      <c r="L37" s="1304"/>
      <c r="M37" s="1304"/>
      <c r="N37" s="1304"/>
      <c r="O37" s="1304"/>
      <c r="P37" s="1304"/>
      <c r="Q37" s="1304"/>
      <c r="R37" s="1304"/>
      <c r="S37" s="1304"/>
      <c r="T37" s="1305"/>
      <c r="U37" s="1306"/>
      <c r="V37" s="1306"/>
      <c r="W37" s="1306"/>
      <c r="X37" s="1306"/>
      <c r="Y37" s="1306"/>
      <c r="Z37" s="1306"/>
      <c r="AA37" s="1306"/>
      <c r="AB37" s="1306"/>
      <c r="AC37" s="1306"/>
      <c r="AD37" s="1306"/>
      <c r="AE37" s="1307"/>
      <c r="AF37" s="1307"/>
      <c r="AG37" s="1307"/>
      <c r="AH37" s="1307"/>
      <c r="AI37" s="1307"/>
      <c r="AJ37" s="1307"/>
      <c r="AK37" s="1307"/>
      <c r="AL37" s="1308" t="str">
        <f t="shared" si="10"/>
        <v/>
      </c>
      <c r="AM37" s="1308"/>
      <c r="AN37" s="1308"/>
      <c r="AO37" s="1302" t="str">
        <f t="shared" si="11"/>
        <v/>
      </c>
      <c r="AP37" s="1302"/>
      <c r="AQ37" s="1302"/>
      <c r="AR37" s="1302"/>
      <c r="AS37" s="1306"/>
      <c r="AT37" s="1306"/>
      <c r="AU37" s="1306"/>
      <c r="AV37" s="1306"/>
      <c r="AW37" s="1306"/>
      <c r="AX37" s="1306"/>
      <c r="AY37" s="1306"/>
      <c r="AZ37" s="1306"/>
      <c r="BA37" s="1306"/>
      <c r="BB37" s="1306"/>
      <c r="BC37" s="1306"/>
      <c r="BD37" s="1306"/>
      <c r="BE37" s="1307"/>
      <c r="BF37" s="1307"/>
      <c r="BG37" s="1307"/>
      <c r="BH37" s="1307"/>
      <c r="BI37" s="1307"/>
      <c r="BJ37" s="1307"/>
      <c r="BK37" s="1307"/>
      <c r="BL37" s="1308" t="str">
        <f t="shared" si="13"/>
        <v/>
      </c>
      <c r="BM37" s="1308"/>
      <c r="BN37" s="1308"/>
      <c r="BO37" s="1302" t="str">
        <f t="shared" si="14"/>
        <v/>
      </c>
      <c r="BP37" s="1302"/>
      <c r="BQ37" s="1302"/>
      <c r="BR37" s="1302"/>
      <c r="BS37" s="190"/>
      <c r="BT37" s="125"/>
      <c r="BU37" s="133"/>
      <c r="BV37" s="579"/>
      <c r="BW37" s="570">
        <f t="shared" si="12"/>
        <v>0</v>
      </c>
      <c r="BX37" s="569" t="str">
        <f t="shared" si="15"/>
        <v/>
      </c>
      <c r="BY37" s="569" t="str">
        <f t="shared" si="16"/>
        <v/>
      </c>
      <c r="CA37" s="577">
        <f t="shared" si="17"/>
        <v>0</v>
      </c>
      <c r="CB37" s="577" t="str">
        <f t="shared" si="18"/>
        <v/>
      </c>
      <c r="CC37" s="577" t="str">
        <f t="shared" si="19"/>
        <v/>
      </c>
      <c r="CD37" s="582"/>
      <c r="CE37" s="582"/>
      <c r="CF37" s="759" t="str">
        <f t="shared" si="20"/>
        <v/>
      </c>
      <c r="CG37" s="759" t="str">
        <f t="shared" si="21"/>
        <v/>
      </c>
      <c r="CH37" s="759" t="str">
        <f t="shared" si="22"/>
        <v/>
      </c>
    </row>
    <row r="38" spans="1:86" ht="35.1" customHeight="1">
      <c r="A38" s="118"/>
      <c r="B38" s="384"/>
      <c r="C38" s="190"/>
      <c r="D38" s="1396"/>
      <c r="E38" s="1303" t="str">
        <f>IF(ISNA('D4.5Why''s-D5-D6'!BY26),"",'D4.5Why''s-D5-D6'!BY26)</f>
        <v/>
      </c>
      <c r="F38" s="1304"/>
      <c r="G38" s="1304"/>
      <c r="H38" s="1304"/>
      <c r="I38" s="1304"/>
      <c r="J38" s="1304"/>
      <c r="K38" s="1304"/>
      <c r="L38" s="1304"/>
      <c r="M38" s="1304"/>
      <c r="N38" s="1304"/>
      <c r="O38" s="1304"/>
      <c r="P38" s="1304"/>
      <c r="Q38" s="1304"/>
      <c r="R38" s="1304"/>
      <c r="S38" s="1304"/>
      <c r="T38" s="1305"/>
      <c r="U38" s="1306"/>
      <c r="V38" s="1306"/>
      <c r="W38" s="1306"/>
      <c r="X38" s="1306"/>
      <c r="Y38" s="1306"/>
      <c r="Z38" s="1306"/>
      <c r="AA38" s="1306"/>
      <c r="AB38" s="1306"/>
      <c r="AC38" s="1306"/>
      <c r="AD38" s="1306"/>
      <c r="AE38" s="1307"/>
      <c r="AF38" s="1307"/>
      <c r="AG38" s="1307"/>
      <c r="AH38" s="1307"/>
      <c r="AI38" s="1307"/>
      <c r="AJ38" s="1307"/>
      <c r="AK38" s="1307"/>
      <c r="AL38" s="1308" t="str">
        <f t="shared" ref="AL38:AL40" si="23">BX38</f>
        <v/>
      </c>
      <c r="AM38" s="1308"/>
      <c r="AN38" s="1308"/>
      <c r="AO38" s="1302" t="str">
        <f t="shared" ref="AO38:AO40" si="24">IF(BW38&gt;11,"high",IF(BW38&gt;6,"mid",IF(BW38&gt;4,"ALARP",IF(BW38=0,"",IF(BW38&gt;=1,"low")))))</f>
        <v/>
      </c>
      <c r="AP38" s="1302"/>
      <c r="AQ38" s="1302"/>
      <c r="AR38" s="1302"/>
      <c r="AS38" s="1306"/>
      <c r="AT38" s="1306"/>
      <c r="AU38" s="1306"/>
      <c r="AV38" s="1306"/>
      <c r="AW38" s="1306"/>
      <c r="AX38" s="1306"/>
      <c r="AY38" s="1306"/>
      <c r="AZ38" s="1306"/>
      <c r="BA38" s="1306"/>
      <c r="BB38" s="1306"/>
      <c r="BC38" s="1306"/>
      <c r="BD38" s="1306"/>
      <c r="BE38" s="1307"/>
      <c r="BF38" s="1307"/>
      <c r="BG38" s="1307"/>
      <c r="BH38" s="1307"/>
      <c r="BI38" s="1307"/>
      <c r="BJ38" s="1307"/>
      <c r="BK38" s="1307"/>
      <c r="BL38" s="1308" t="str">
        <f t="shared" ref="BL38:BL40" si="25">CB38</f>
        <v/>
      </c>
      <c r="BM38" s="1308"/>
      <c r="BN38" s="1308"/>
      <c r="BO38" s="1302" t="str">
        <f t="shared" ref="BO38:BO40" si="26">CC38</f>
        <v/>
      </c>
      <c r="BP38" s="1302"/>
      <c r="BQ38" s="1302"/>
      <c r="BR38" s="1302"/>
      <c r="BS38" s="190"/>
      <c r="BT38" s="125"/>
      <c r="BU38" s="133"/>
      <c r="BV38" s="579"/>
      <c r="BW38" s="570">
        <f t="shared" si="12"/>
        <v>0</v>
      </c>
      <c r="BX38" s="569" t="str">
        <f t="shared" si="15"/>
        <v/>
      </c>
      <c r="BY38" s="569" t="str">
        <f t="shared" si="16"/>
        <v/>
      </c>
      <c r="CA38" s="577">
        <f t="shared" si="17"/>
        <v>0</v>
      </c>
      <c r="CB38" s="577" t="str">
        <f t="shared" si="18"/>
        <v/>
      </c>
      <c r="CC38" s="577" t="str">
        <f t="shared" si="19"/>
        <v/>
      </c>
      <c r="CD38" s="582"/>
      <c r="CE38" s="582"/>
      <c r="CF38" s="759" t="str">
        <f t="shared" si="20"/>
        <v/>
      </c>
      <c r="CG38" s="759" t="str">
        <f t="shared" si="21"/>
        <v/>
      </c>
      <c r="CH38" s="759" t="str">
        <f t="shared" si="22"/>
        <v/>
      </c>
    </row>
    <row r="39" spans="1:86" ht="35.1" customHeight="1">
      <c r="A39" s="118"/>
      <c r="B39" s="384"/>
      <c r="C39" s="190"/>
      <c r="D39" s="1396"/>
      <c r="E39" s="1303" t="str">
        <f>IF(ISNA('D4.5Why''s-D5-D6'!BY27),"",'D4.5Why''s-D5-D6'!BY27)</f>
        <v/>
      </c>
      <c r="F39" s="1304"/>
      <c r="G39" s="1304"/>
      <c r="H39" s="1304"/>
      <c r="I39" s="1304"/>
      <c r="J39" s="1304"/>
      <c r="K39" s="1304"/>
      <c r="L39" s="1304"/>
      <c r="M39" s="1304"/>
      <c r="N39" s="1304"/>
      <c r="O39" s="1304"/>
      <c r="P39" s="1304"/>
      <c r="Q39" s="1304"/>
      <c r="R39" s="1304"/>
      <c r="S39" s="1304"/>
      <c r="T39" s="1305"/>
      <c r="U39" s="1306"/>
      <c r="V39" s="1306"/>
      <c r="W39" s="1306"/>
      <c r="X39" s="1306"/>
      <c r="Y39" s="1306"/>
      <c r="Z39" s="1306"/>
      <c r="AA39" s="1306"/>
      <c r="AB39" s="1306"/>
      <c r="AC39" s="1306"/>
      <c r="AD39" s="1306"/>
      <c r="AE39" s="1307"/>
      <c r="AF39" s="1307"/>
      <c r="AG39" s="1307"/>
      <c r="AH39" s="1307"/>
      <c r="AI39" s="1307"/>
      <c r="AJ39" s="1307"/>
      <c r="AK39" s="1307"/>
      <c r="AL39" s="1308" t="str">
        <f t="shared" si="23"/>
        <v/>
      </c>
      <c r="AM39" s="1308"/>
      <c r="AN39" s="1308"/>
      <c r="AO39" s="1302" t="str">
        <f t="shared" si="24"/>
        <v/>
      </c>
      <c r="AP39" s="1302"/>
      <c r="AQ39" s="1302"/>
      <c r="AR39" s="1302"/>
      <c r="AS39" s="1306"/>
      <c r="AT39" s="1306"/>
      <c r="AU39" s="1306"/>
      <c r="AV39" s="1306"/>
      <c r="AW39" s="1306"/>
      <c r="AX39" s="1306"/>
      <c r="AY39" s="1306"/>
      <c r="AZ39" s="1306"/>
      <c r="BA39" s="1306"/>
      <c r="BB39" s="1306"/>
      <c r="BC39" s="1306"/>
      <c r="BD39" s="1306"/>
      <c r="BE39" s="1307"/>
      <c r="BF39" s="1307"/>
      <c r="BG39" s="1307"/>
      <c r="BH39" s="1307"/>
      <c r="BI39" s="1307"/>
      <c r="BJ39" s="1307"/>
      <c r="BK39" s="1307"/>
      <c r="BL39" s="1308" t="str">
        <f t="shared" si="25"/>
        <v/>
      </c>
      <c r="BM39" s="1308"/>
      <c r="BN39" s="1308"/>
      <c r="BO39" s="1302" t="str">
        <f t="shared" si="26"/>
        <v/>
      </c>
      <c r="BP39" s="1302"/>
      <c r="BQ39" s="1302"/>
      <c r="BR39" s="1302"/>
      <c r="BS39" s="190"/>
      <c r="BT39" s="125"/>
      <c r="BU39" s="133"/>
      <c r="BV39" s="579"/>
      <c r="BW39" s="570">
        <f t="shared" si="12"/>
        <v>0</v>
      </c>
      <c r="BX39" s="569" t="str">
        <f t="shared" si="15"/>
        <v/>
      </c>
      <c r="BY39" s="569" t="str">
        <f t="shared" si="16"/>
        <v/>
      </c>
      <c r="CA39" s="577">
        <f t="shared" si="17"/>
        <v>0</v>
      </c>
      <c r="CB39" s="577" t="str">
        <f t="shared" si="18"/>
        <v/>
      </c>
      <c r="CC39" s="577" t="str">
        <f t="shared" si="19"/>
        <v/>
      </c>
      <c r="CD39" s="582"/>
      <c r="CE39" s="582"/>
      <c r="CF39" s="759" t="str">
        <f t="shared" si="20"/>
        <v/>
      </c>
      <c r="CG39" s="759" t="str">
        <f t="shared" si="21"/>
        <v/>
      </c>
      <c r="CH39" s="759" t="str">
        <f t="shared" si="22"/>
        <v/>
      </c>
    </row>
    <row r="40" spans="1:86" ht="35.1" customHeight="1">
      <c r="A40" s="118"/>
      <c r="B40" s="384"/>
      <c r="C40" s="190"/>
      <c r="D40" s="1397"/>
      <c r="E40" s="1303" t="str">
        <f>IF(ISNA('D4.5Why''s-D5-D6'!BY28),"",'D4.5Why''s-D5-D6'!BY28)</f>
        <v/>
      </c>
      <c r="F40" s="1304"/>
      <c r="G40" s="1304"/>
      <c r="H40" s="1304"/>
      <c r="I40" s="1304"/>
      <c r="J40" s="1304"/>
      <c r="K40" s="1304"/>
      <c r="L40" s="1304"/>
      <c r="M40" s="1304"/>
      <c r="N40" s="1304"/>
      <c r="O40" s="1304"/>
      <c r="P40" s="1304"/>
      <c r="Q40" s="1304"/>
      <c r="R40" s="1304"/>
      <c r="S40" s="1304"/>
      <c r="T40" s="1305"/>
      <c r="U40" s="1306"/>
      <c r="V40" s="1306"/>
      <c r="W40" s="1306"/>
      <c r="X40" s="1306"/>
      <c r="Y40" s="1306"/>
      <c r="Z40" s="1306"/>
      <c r="AA40" s="1306"/>
      <c r="AB40" s="1306"/>
      <c r="AC40" s="1306"/>
      <c r="AD40" s="1306"/>
      <c r="AE40" s="1307"/>
      <c r="AF40" s="1307"/>
      <c r="AG40" s="1307"/>
      <c r="AH40" s="1307"/>
      <c r="AI40" s="1307"/>
      <c r="AJ40" s="1307"/>
      <c r="AK40" s="1307"/>
      <c r="AL40" s="1308" t="str">
        <f t="shared" si="23"/>
        <v/>
      </c>
      <c r="AM40" s="1308"/>
      <c r="AN40" s="1308"/>
      <c r="AO40" s="1302" t="str">
        <f t="shared" si="24"/>
        <v/>
      </c>
      <c r="AP40" s="1302"/>
      <c r="AQ40" s="1302"/>
      <c r="AR40" s="1302"/>
      <c r="AS40" s="1306"/>
      <c r="AT40" s="1306"/>
      <c r="AU40" s="1306"/>
      <c r="AV40" s="1306"/>
      <c r="AW40" s="1306"/>
      <c r="AX40" s="1306"/>
      <c r="AY40" s="1306"/>
      <c r="AZ40" s="1306"/>
      <c r="BA40" s="1306"/>
      <c r="BB40" s="1306"/>
      <c r="BC40" s="1306"/>
      <c r="BD40" s="1306"/>
      <c r="BE40" s="1307"/>
      <c r="BF40" s="1307"/>
      <c r="BG40" s="1307"/>
      <c r="BH40" s="1307"/>
      <c r="BI40" s="1307"/>
      <c r="BJ40" s="1307"/>
      <c r="BK40" s="1307"/>
      <c r="BL40" s="1308" t="str">
        <f t="shared" si="25"/>
        <v/>
      </c>
      <c r="BM40" s="1308"/>
      <c r="BN40" s="1308"/>
      <c r="BO40" s="1302" t="str">
        <f t="shared" si="26"/>
        <v/>
      </c>
      <c r="BP40" s="1302"/>
      <c r="BQ40" s="1302"/>
      <c r="BR40" s="1302"/>
      <c r="BS40" s="190"/>
      <c r="BT40" s="125"/>
      <c r="BU40" s="133"/>
      <c r="BV40" s="579"/>
      <c r="BW40" s="570">
        <f t="shared" si="12"/>
        <v>0</v>
      </c>
      <c r="BX40" s="569" t="str">
        <f t="shared" si="15"/>
        <v/>
      </c>
      <c r="BY40" s="569" t="str">
        <f t="shared" si="16"/>
        <v/>
      </c>
      <c r="CA40" s="577">
        <f t="shared" si="17"/>
        <v>0</v>
      </c>
      <c r="CB40" s="577" t="str">
        <f t="shared" si="18"/>
        <v/>
      </c>
      <c r="CC40" s="577" t="str">
        <f t="shared" si="19"/>
        <v/>
      </c>
      <c r="CD40" s="582"/>
      <c r="CE40" s="582"/>
      <c r="CF40" s="759" t="str">
        <f t="shared" si="20"/>
        <v/>
      </c>
      <c r="CG40" s="759" t="str">
        <f t="shared" si="21"/>
        <v/>
      </c>
      <c r="CH40" s="759" t="str">
        <f t="shared" si="22"/>
        <v/>
      </c>
    </row>
    <row r="41" spans="1:86" ht="6" customHeight="1">
      <c r="A41" s="118"/>
      <c r="B41" s="384"/>
      <c r="C41" s="190"/>
      <c r="D41" s="190"/>
      <c r="E41" s="190"/>
      <c r="F41" s="190"/>
      <c r="G41" s="190"/>
      <c r="H41" s="190"/>
      <c r="I41" s="190"/>
      <c r="J41" s="190"/>
      <c r="K41" s="190"/>
      <c r="L41" s="190"/>
      <c r="M41" s="190"/>
      <c r="N41" s="190"/>
      <c r="O41" s="190"/>
      <c r="P41" s="190"/>
      <c r="Q41" s="190"/>
      <c r="R41" s="190"/>
      <c r="S41" s="190"/>
      <c r="T41" s="190"/>
      <c r="AL41" s="771"/>
      <c r="AM41" s="771"/>
      <c r="AN41" s="771"/>
      <c r="BL41" s="771"/>
      <c r="BM41" s="771"/>
      <c r="BN41" s="771"/>
      <c r="BS41" s="190"/>
      <c r="BT41" s="125"/>
      <c r="BU41" s="133"/>
      <c r="BV41" s="579"/>
      <c r="BW41" s="609"/>
      <c r="BX41" s="610"/>
      <c r="BY41" s="610"/>
      <c r="CD41" s="582"/>
      <c r="CE41" s="582"/>
      <c r="CF41" s="582"/>
      <c r="CG41" s="911"/>
      <c r="CH41" s="759"/>
    </row>
    <row r="42" spans="1:86" ht="35.1" customHeight="1">
      <c r="A42" s="118"/>
      <c r="B42" s="384"/>
      <c r="C42" s="190"/>
      <c r="D42" s="1395" t="str">
        <f ca="1">INDIRECT('D1-D2-D3'!$J$4&amp;"!C138")</f>
        <v>Systemic consideration</v>
      </c>
      <c r="E42" s="1303" t="str">
        <f>IF(ISNA('D4.5Why''s-D5-D6'!BY44),"",'D4.5Why''s-D5-D6'!BY44)</f>
        <v/>
      </c>
      <c r="F42" s="1304"/>
      <c r="G42" s="1304"/>
      <c r="H42" s="1304"/>
      <c r="I42" s="1304"/>
      <c r="J42" s="1304"/>
      <c r="K42" s="1304"/>
      <c r="L42" s="1304"/>
      <c r="M42" s="1304"/>
      <c r="N42" s="1304"/>
      <c r="O42" s="1304"/>
      <c r="P42" s="1304"/>
      <c r="Q42" s="1304"/>
      <c r="R42" s="1304"/>
      <c r="S42" s="1304"/>
      <c r="T42" s="1305"/>
      <c r="U42" s="1306"/>
      <c r="V42" s="1306"/>
      <c r="W42" s="1306"/>
      <c r="X42" s="1306"/>
      <c r="Y42" s="1306"/>
      <c r="Z42" s="1306"/>
      <c r="AA42" s="1306"/>
      <c r="AB42" s="1306"/>
      <c r="AC42" s="1306"/>
      <c r="AD42" s="1306"/>
      <c r="AE42" s="1307"/>
      <c r="AF42" s="1307"/>
      <c r="AG42" s="1307"/>
      <c r="AH42" s="1307"/>
      <c r="AI42" s="1307"/>
      <c r="AJ42" s="1307"/>
      <c r="AK42" s="1307"/>
      <c r="AL42" s="1308" t="str">
        <f>BX42</f>
        <v/>
      </c>
      <c r="AM42" s="1308"/>
      <c r="AN42" s="1308"/>
      <c r="AO42" s="1302" t="str">
        <f>IF(BW42&gt;11,"high",IF(BW42&gt;6,"mid",IF(BW42&gt;4,"ALARP",IF(BW42=0,"",IF(BW42&gt;=1,"low")))))</f>
        <v/>
      </c>
      <c r="AP42" s="1302"/>
      <c r="AQ42" s="1302"/>
      <c r="AR42" s="1302"/>
      <c r="AS42" s="1306"/>
      <c r="AT42" s="1306"/>
      <c r="AU42" s="1306"/>
      <c r="AV42" s="1306"/>
      <c r="AW42" s="1306"/>
      <c r="AX42" s="1306"/>
      <c r="AY42" s="1306"/>
      <c r="AZ42" s="1306"/>
      <c r="BA42" s="1306"/>
      <c r="BB42" s="1306"/>
      <c r="BC42" s="1306"/>
      <c r="BD42" s="1306"/>
      <c r="BE42" s="1307"/>
      <c r="BF42" s="1307"/>
      <c r="BG42" s="1307"/>
      <c r="BH42" s="1307"/>
      <c r="BI42" s="1307"/>
      <c r="BJ42" s="1307"/>
      <c r="BK42" s="1307"/>
      <c r="BL42" s="1308" t="str">
        <f>CB42</f>
        <v/>
      </c>
      <c r="BM42" s="1308"/>
      <c r="BN42" s="1308"/>
      <c r="BO42" s="1302" t="str">
        <f>CC42</f>
        <v/>
      </c>
      <c r="BP42" s="1302"/>
      <c r="BQ42" s="1302"/>
      <c r="BR42" s="1302"/>
      <c r="BS42" s="190"/>
      <c r="BT42" s="125"/>
      <c r="BU42" s="133"/>
      <c r="BV42" s="579"/>
      <c r="BW42" s="570">
        <f t="shared" ref="BW42:BW51" si="27">AE42*AI42</f>
        <v>0</v>
      </c>
      <c r="BX42" s="569" t="str">
        <f t="shared" ref="BX42:BX51" si="28">IF(BW42=0,"",IF(BW42&gt;=1,BW42))</f>
        <v/>
      </c>
      <c r="BY42" s="569" t="str">
        <f t="shared" ref="BY42:BY51" si="29">IF(BW42&gt;11,"high",IF(BW42&gt;6,"mid",IF(BW42&gt;4,"ALARP",IF(BW42=0,"",IF(BW42&gt;=1,"low")))))</f>
        <v/>
      </c>
      <c r="CA42" s="577">
        <f t="shared" ref="CA42:CA51" si="30">BE42*BI42</f>
        <v>0</v>
      </c>
      <c r="CB42" s="577" t="str">
        <f t="shared" ref="CB42:CB51" si="31">IF(CA42=0,"",IF(CA42&gt;=1,CA42))</f>
        <v/>
      </c>
      <c r="CC42" s="577" t="str">
        <f t="shared" ref="CC42:CC51" si="32">IF(CA42&gt;11,"high",IF(CA42&gt;6,"mid",IF(CA42&gt;4,"ALARP",IF(CA42=0,"",IF(CA42&gt;=1,"low")))))</f>
        <v/>
      </c>
      <c r="CD42" s="582"/>
      <c r="CE42" s="582"/>
      <c r="CF42" s="759" t="str">
        <f>IF(U42=0,"",IF(ISNA(U42),"",IF(E42&lt;&gt;"",U42,"")))</f>
        <v/>
      </c>
      <c r="CG42" s="759" t="str">
        <f>IF(AO42=0,"",IF(ISNA(AO42),"",IF(E42&lt;&gt;"",AO42,"")))</f>
        <v/>
      </c>
      <c r="CH42" s="759" t="str">
        <f>IF(AS42=0,"",IF(ISNA(AS42),"",IF(E42&lt;&gt;"",AS42,"")))</f>
        <v/>
      </c>
    </row>
    <row r="43" spans="1:86" ht="35.1" customHeight="1">
      <c r="A43" s="118"/>
      <c r="B43" s="384"/>
      <c r="C43" s="190"/>
      <c r="D43" s="1396"/>
      <c r="E43" s="1303" t="str">
        <f>IF(ISNA('D4.5Why''s-D5-D6'!BY45),"",'D4.5Why''s-D5-D6'!BY45)</f>
        <v/>
      </c>
      <c r="F43" s="1304"/>
      <c r="G43" s="1304"/>
      <c r="H43" s="1304"/>
      <c r="I43" s="1304"/>
      <c r="J43" s="1304"/>
      <c r="K43" s="1304"/>
      <c r="L43" s="1304"/>
      <c r="M43" s="1304"/>
      <c r="N43" s="1304"/>
      <c r="O43" s="1304"/>
      <c r="P43" s="1304"/>
      <c r="Q43" s="1304"/>
      <c r="R43" s="1304"/>
      <c r="S43" s="1304"/>
      <c r="T43" s="1305"/>
      <c r="U43" s="1306"/>
      <c r="V43" s="1306"/>
      <c r="W43" s="1306"/>
      <c r="X43" s="1306"/>
      <c r="Y43" s="1306"/>
      <c r="Z43" s="1306"/>
      <c r="AA43" s="1306"/>
      <c r="AB43" s="1306"/>
      <c r="AC43" s="1306"/>
      <c r="AD43" s="1306"/>
      <c r="AE43" s="1307"/>
      <c r="AF43" s="1307"/>
      <c r="AG43" s="1307"/>
      <c r="AH43" s="1307"/>
      <c r="AI43" s="1307"/>
      <c r="AJ43" s="1307"/>
      <c r="AK43" s="1307"/>
      <c r="AL43" s="1308" t="str">
        <f t="shared" ref="AL43:AL48" si="33">BX43</f>
        <v/>
      </c>
      <c r="AM43" s="1308"/>
      <c r="AN43" s="1308"/>
      <c r="AO43" s="1302" t="str">
        <f t="shared" ref="AO43:AO48" si="34">IF(BW43&gt;11,"high",IF(BW43&gt;6,"mid",IF(BW43&gt;4,"ALARP",IF(BW43=0,"",IF(BW43&gt;=1,"low")))))</f>
        <v/>
      </c>
      <c r="AP43" s="1302"/>
      <c r="AQ43" s="1302"/>
      <c r="AR43" s="1302"/>
      <c r="AS43" s="1306"/>
      <c r="AT43" s="1306"/>
      <c r="AU43" s="1306"/>
      <c r="AV43" s="1306"/>
      <c r="AW43" s="1306"/>
      <c r="AX43" s="1306"/>
      <c r="AY43" s="1306"/>
      <c r="AZ43" s="1306"/>
      <c r="BA43" s="1306"/>
      <c r="BB43" s="1306"/>
      <c r="BC43" s="1306"/>
      <c r="BD43" s="1306"/>
      <c r="BE43" s="1307"/>
      <c r="BF43" s="1307"/>
      <c r="BG43" s="1307"/>
      <c r="BH43" s="1307"/>
      <c r="BI43" s="1307"/>
      <c r="BJ43" s="1307"/>
      <c r="BK43" s="1307"/>
      <c r="BL43" s="1308" t="str">
        <f t="shared" ref="BL43:BL48" si="35">CB43</f>
        <v/>
      </c>
      <c r="BM43" s="1308"/>
      <c r="BN43" s="1308"/>
      <c r="BO43" s="1302" t="str">
        <f t="shared" ref="BO43:BO48" si="36">CC43</f>
        <v/>
      </c>
      <c r="BP43" s="1302"/>
      <c r="BQ43" s="1302"/>
      <c r="BR43" s="1302"/>
      <c r="BS43" s="190"/>
      <c r="BT43" s="125"/>
      <c r="BU43" s="133"/>
      <c r="BV43" s="133"/>
      <c r="BW43" s="570">
        <f t="shared" si="27"/>
        <v>0</v>
      </c>
      <c r="BX43" s="569" t="str">
        <f t="shared" si="28"/>
        <v/>
      </c>
      <c r="BY43" s="569" t="str">
        <f t="shared" si="29"/>
        <v/>
      </c>
      <c r="BZ43" s="133"/>
      <c r="CA43" s="577">
        <f t="shared" si="30"/>
        <v>0</v>
      </c>
      <c r="CB43" s="577" t="str">
        <f t="shared" si="31"/>
        <v/>
      </c>
      <c r="CC43" s="577" t="str">
        <f t="shared" si="32"/>
        <v/>
      </c>
      <c r="CD43" s="133"/>
      <c r="CE43" s="133"/>
      <c r="CF43" s="759" t="str">
        <f t="shared" ref="CF43:CF51" si="37">IF(U43=0,"",IF(ISNA(U43),"",IF(E43&lt;&gt;"",U43,"")))</f>
        <v/>
      </c>
      <c r="CG43" s="759" t="str">
        <f t="shared" ref="CG43:CG51" si="38">IF(AO43=0,"",IF(ISNA(AO43),"",IF(E43&lt;&gt;"",AO43,"")))</f>
        <v/>
      </c>
      <c r="CH43" s="759" t="str">
        <f t="shared" ref="CH43:CH51" si="39">IF(AS43=0,"",IF(ISNA(AS43),"",IF(E43&lt;&gt;"",AS43,"")))</f>
        <v/>
      </c>
    </row>
    <row r="44" spans="1:86" ht="34.5" customHeight="1">
      <c r="A44" s="118"/>
      <c r="B44" s="384"/>
      <c r="C44" s="190"/>
      <c r="D44" s="1396"/>
      <c r="E44" s="1303" t="str">
        <f>IF(ISNA('D4.5Why''s-D5-D6'!BY46),"",'D4.5Why''s-D5-D6'!BY46)</f>
        <v/>
      </c>
      <c r="F44" s="1304"/>
      <c r="G44" s="1304"/>
      <c r="H44" s="1304"/>
      <c r="I44" s="1304"/>
      <c r="J44" s="1304"/>
      <c r="K44" s="1304"/>
      <c r="L44" s="1304"/>
      <c r="M44" s="1304"/>
      <c r="N44" s="1304"/>
      <c r="O44" s="1304"/>
      <c r="P44" s="1304"/>
      <c r="Q44" s="1304"/>
      <c r="R44" s="1304"/>
      <c r="S44" s="1304"/>
      <c r="T44" s="1305"/>
      <c r="U44" s="1306"/>
      <c r="V44" s="1306"/>
      <c r="W44" s="1306"/>
      <c r="X44" s="1306"/>
      <c r="Y44" s="1306"/>
      <c r="Z44" s="1306"/>
      <c r="AA44" s="1306"/>
      <c r="AB44" s="1306"/>
      <c r="AC44" s="1306"/>
      <c r="AD44" s="1306"/>
      <c r="AE44" s="1307"/>
      <c r="AF44" s="1307"/>
      <c r="AG44" s="1307"/>
      <c r="AH44" s="1307"/>
      <c r="AI44" s="1307"/>
      <c r="AJ44" s="1307"/>
      <c r="AK44" s="1307"/>
      <c r="AL44" s="1308" t="str">
        <f t="shared" si="33"/>
        <v/>
      </c>
      <c r="AM44" s="1308"/>
      <c r="AN44" s="1308"/>
      <c r="AO44" s="1302" t="str">
        <f t="shared" si="34"/>
        <v/>
      </c>
      <c r="AP44" s="1302"/>
      <c r="AQ44" s="1302"/>
      <c r="AR44" s="1302"/>
      <c r="AS44" s="1306"/>
      <c r="AT44" s="1306"/>
      <c r="AU44" s="1306"/>
      <c r="AV44" s="1306"/>
      <c r="AW44" s="1306"/>
      <c r="AX44" s="1306"/>
      <c r="AY44" s="1306"/>
      <c r="AZ44" s="1306"/>
      <c r="BA44" s="1306"/>
      <c r="BB44" s="1306"/>
      <c r="BC44" s="1306"/>
      <c r="BD44" s="1306"/>
      <c r="BE44" s="1307"/>
      <c r="BF44" s="1307"/>
      <c r="BG44" s="1307"/>
      <c r="BH44" s="1307"/>
      <c r="BI44" s="1307"/>
      <c r="BJ44" s="1307"/>
      <c r="BK44" s="1307"/>
      <c r="BL44" s="1308" t="str">
        <f t="shared" si="35"/>
        <v/>
      </c>
      <c r="BM44" s="1308"/>
      <c r="BN44" s="1308"/>
      <c r="BO44" s="1302" t="str">
        <f t="shared" si="36"/>
        <v/>
      </c>
      <c r="BP44" s="1302"/>
      <c r="BQ44" s="1302"/>
      <c r="BR44" s="1302"/>
      <c r="BS44" s="190"/>
      <c r="BT44" s="125"/>
      <c r="BU44" s="133"/>
      <c r="BV44" s="133"/>
      <c r="BW44" s="570">
        <f t="shared" si="27"/>
        <v>0</v>
      </c>
      <c r="BX44" s="569" t="str">
        <f t="shared" si="28"/>
        <v/>
      </c>
      <c r="BY44" s="569" t="str">
        <f t="shared" si="29"/>
        <v/>
      </c>
      <c r="BZ44" s="133"/>
      <c r="CA44" s="577">
        <f t="shared" si="30"/>
        <v>0</v>
      </c>
      <c r="CB44" s="577" t="str">
        <f t="shared" si="31"/>
        <v/>
      </c>
      <c r="CC44" s="577" t="str">
        <f t="shared" si="32"/>
        <v/>
      </c>
      <c r="CD44" s="133"/>
      <c r="CE44" s="133"/>
      <c r="CF44" s="759" t="str">
        <f t="shared" si="37"/>
        <v/>
      </c>
      <c r="CG44" s="759" t="str">
        <f t="shared" si="38"/>
        <v/>
      </c>
      <c r="CH44" s="759" t="str">
        <f t="shared" si="39"/>
        <v/>
      </c>
    </row>
    <row r="45" spans="1:86" ht="35.1" customHeight="1">
      <c r="A45" s="118"/>
      <c r="B45" s="384"/>
      <c r="C45" s="190"/>
      <c r="D45" s="1396"/>
      <c r="E45" s="1303" t="str">
        <f>IF(ISNA('D4.5Why''s-D5-D6'!BY47),"",'D4.5Why''s-D5-D6'!BY47)</f>
        <v/>
      </c>
      <c r="F45" s="1304"/>
      <c r="G45" s="1304"/>
      <c r="H45" s="1304"/>
      <c r="I45" s="1304"/>
      <c r="J45" s="1304"/>
      <c r="K45" s="1304"/>
      <c r="L45" s="1304"/>
      <c r="M45" s="1304"/>
      <c r="N45" s="1304"/>
      <c r="O45" s="1304"/>
      <c r="P45" s="1304"/>
      <c r="Q45" s="1304"/>
      <c r="R45" s="1304"/>
      <c r="S45" s="1304"/>
      <c r="T45" s="1305"/>
      <c r="U45" s="1306"/>
      <c r="V45" s="1306"/>
      <c r="W45" s="1306"/>
      <c r="X45" s="1306"/>
      <c r="Y45" s="1306"/>
      <c r="Z45" s="1306"/>
      <c r="AA45" s="1306"/>
      <c r="AB45" s="1306"/>
      <c r="AC45" s="1306"/>
      <c r="AD45" s="1306"/>
      <c r="AE45" s="1307"/>
      <c r="AF45" s="1307"/>
      <c r="AG45" s="1307"/>
      <c r="AH45" s="1307"/>
      <c r="AI45" s="1307"/>
      <c r="AJ45" s="1307"/>
      <c r="AK45" s="1307"/>
      <c r="AL45" s="1308" t="str">
        <f t="shared" si="33"/>
        <v/>
      </c>
      <c r="AM45" s="1308"/>
      <c r="AN45" s="1308"/>
      <c r="AO45" s="1302" t="str">
        <f t="shared" si="34"/>
        <v/>
      </c>
      <c r="AP45" s="1302"/>
      <c r="AQ45" s="1302"/>
      <c r="AR45" s="1302"/>
      <c r="AS45" s="1306"/>
      <c r="AT45" s="1306"/>
      <c r="AU45" s="1306"/>
      <c r="AV45" s="1306"/>
      <c r="AW45" s="1306"/>
      <c r="AX45" s="1306"/>
      <c r="AY45" s="1306"/>
      <c r="AZ45" s="1306"/>
      <c r="BA45" s="1306"/>
      <c r="BB45" s="1306"/>
      <c r="BC45" s="1306"/>
      <c r="BD45" s="1306"/>
      <c r="BE45" s="1307"/>
      <c r="BF45" s="1307"/>
      <c r="BG45" s="1307"/>
      <c r="BH45" s="1307"/>
      <c r="BI45" s="1307"/>
      <c r="BJ45" s="1307"/>
      <c r="BK45" s="1307"/>
      <c r="BL45" s="1308" t="str">
        <f t="shared" si="35"/>
        <v/>
      </c>
      <c r="BM45" s="1308"/>
      <c r="BN45" s="1308"/>
      <c r="BO45" s="1302" t="str">
        <f t="shared" si="36"/>
        <v/>
      </c>
      <c r="BP45" s="1302"/>
      <c r="BQ45" s="1302"/>
      <c r="BR45" s="1302"/>
      <c r="BS45" s="190"/>
      <c r="BT45" s="125"/>
      <c r="BU45" s="133"/>
      <c r="BV45" s="133"/>
      <c r="BW45" s="570">
        <f t="shared" si="27"/>
        <v>0</v>
      </c>
      <c r="BX45" s="569" t="str">
        <f t="shared" si="28"/>
        <v/>
      </c>
      <c r="BY45" s="569" t="str">
        <f t="shared" si="29"/>
        <v/>
      </c>
      <c r="BZ45" s="133"/>
      <c r="CA45" s="577">
        <f t="shared" si="30"/>
        <v>0</v>
      </c>
      <c r="CB45" s="577" t="str">
        <f t="shared" si="31"/>
        <v/>
      </c>
      <c r="CC45" s="577" t="str">
        <f t="shared" si="32"/>
        <v/>
      </c>
      <c r="CD45" s="133"/>
      <c r="CE45" s="133"/>
      <c r="CF45" s="759" t="str">
        <f t="shared" si="37"/>
        <v/>
      </c>
      <c r="CG45" s="759" t="str">
        <f t="shared" si="38"/>
        <v/>
      </c>
      <c r="CH45" s="759" t="str">
        <f t="shared" si="39"/>
        <v/>
      </c>
    </row>
    <row r="46" spans="1:86" ht="35.1" customHeight="1">
      <c r="A46" s="118"/>
      <c r="B46" s="384"/>
      <c r="C46" s="190"/>
      <c r="D46" s="1396"/>
      <c r="E46" s="1303" t="str">
        <f>IF(ISNA('D4.5Why''s-D5-D6'!BY48),"",'D4.5Why''s-D5-D6'!BY48)</f>
        <v/>
      </c>
      <c r="F46" s="1304"/>
      <c r="G46" s="1304"/>
      <c r="H46" s="1304"/>
      <c r="I46" s="1304"/>
      <c r="J46" s="1304"/>
      <c r="K46" s="1304"/>
      <c r="L46" s="1304"/>
      <c r="M46" s="1304"/>
      <c r="N46" s="1304"/>
      <c r="O46" s="1304"/>
      <c r="P46" s="1304"/>
      <c r="Q46" s="1304"/>
      <c r="R46" s="1304"/>
      <c r="S46" s="1304"/>
      <c r="T46" s="1305"/>
      <c r="U46" s="1306"/>
      <c r="V46" s="1306"/>
      <c r="W46" s="1306"/>
      <c r="X46" s="1306"/>
      <c r="Y46" s="1306"/>
      <c r="Z46" s="1306"/>
      <c r="AA46" s="1306"/>
      <c r="AB46" s="1306"/>
      <c r="AC46" s="1306"/>
      <c r="AD46" s="1306"/>
      <c r="AE46" s="1307"/>
      <c r="AF46" s="1307"/>
      <c r="AG46" s="1307"/>
      <c r="AH46" s="1307"/>
      <c r="AI46" s="1307"/>
      <c r="AJ46" s="1307"/>
      <c r="AK46" s="1307"/>
      <c r="AL46" s="1308" t="str">
        <f t="shared" si="33"/>
        <v/>
      </c>
      <c r="AM46" s="1308"/>
      <c r="AN46" s="1308"/>
      <c r="AO46" s="1302" t="str">
        <f t="shared" si="34"/>
        <v/>
      </c>
      <c r="AP46" s="1302"/>
      <c r="AQ46" s="1302"/>
      <c r="AR46" s="1302"/>
      <c r="AS46" s="1306"/>
      <c r="AT46" s="1306"/>
      <c r="AU46" s="1306"/>
      <c r="AV46" s="1306"/>
      <c r="AW46" s="1306"/>
      <c r="AX46" s="1306"/>
      <c r="AY46" s="1306"/>
      <c r="AZ46" s="1306"/>
      <c r="BA46" s="1306"/>
      <c r="BB46" s="1306"/>
      <c r="BC46" s="1306"/>
      <c r="BD46" s="1306"/>
      <c r="BE46" s="1307"/>
      <c r="BF46" s="1307"/>
      <c r="BG46" s="1307"/>
      <c r="BH46" s="1307"/>
      <c r="BI46" s="1307"/>
      <c r="BJ46" s="1307"/>
      <c r="BK46" s="1307"/>
      <c r="BL46" s="1308" t="str">
        <f t="shared" si="35"/>
        <v/>
      </c>
      <c r="BM46" s="1308"/>
      <c r="BN46" s="1308"/>
      <c r="BO46" s="1302" t="str">
        <f t="shared" si="36"/>
        <v/>
      </c>
      <c r="BP46" s="1302"/>
      <c r="BQ46" s="1302"/>
      <c r="BR46" s="1302"/>
      <c r="BS46" s="190"/>
      <c r="BT46" s="125"/>
      <c r="BU46" s="133"/>
      <c r="BV46" s="133"/>
      <c r="BW46" s="570">
        <f t="shared" si="27"/>
        <v>0</v>
      </c>
      <c r="BX46" s="569" t="str">
        <f t="shared" si="28"/>
        <v/>
      </c>
      <c r="BY46" s="569" t="str">
        <f t="shared" si="29"/>
        <v/>
      </c>
      <c r="BZ46" s="133"/>
      <c r="CA46" s="577">
        <f t="shared" si="30"/>
        <v>0</v>
      </c>
      <c r="CB46" s="577" t="str">
        <f t="shared" si="31"/>
        <v/>
      </c>
      <c r="CC46" s="577" t="str">
        <f t="shared" si="32"/>
        <v/>
      </c>
      <c r="CD46" s="133"/>
      <c r="CE46" s="133"/>
      <c r="CF46" s="759" t="str">
        <f t="shared" si="37"/>
        <v/>
      </c>
      <c r="CG46" s="759" t="str">
        <f t="shared" si="38"/>
        <v/>
      </c>
      <c r="CH46" s="759" t="str">
        <f t="shared" si="39"/>
        <v/>
      </c>
    </row>
    <row r="47" spans="1:86" ht="35.1" customHeight="1">
      <c r="A47" s="118"/>
      <c r="B47" s="384"/>
      <c r="C47" s="190"/>
      <c r="D47" s="1396"/>
      <c r="E47" s="1303" t="str">
        <f>IF(ISNA('D4.5Why''s-D5-D6'!BY49),"",'D4.5Why''s-D5-D6'!BY49)</f>
        <v/>
      </c>
      <c r="F47" s="1304"/>
      <c r="G47" s="1304"/>
      <c r="H47" s="1304"/>
      <c r="I47" s="1304"/>
      <c r="J47" s="1304"/>
      <c r="K47" s="1304"/>
      <c r="L47" s="1304"/>
      <c r="M47" s="1304"/>
      <c r="N47" s="1304"/>
      <c r="O47" s="1304"/>
      <c r="P47" s="1304"/>
      <c r="Q47" s="1304"/>
      <c r="R47" s="1304"/>
      <c r="S47" s="1304"/>
      <c r="T47" s="1305"/>
      <c r="U47" s="1306"/>
      <c r="V47" s="1306"/>
      <c r="W47" s="1306"/>
      <c r="X47" s="1306"/>
      <c r="Y47" s="1306"/>
      <c r="Z47" s="1306"/>
      <c r="AA47" s="1306"/>
      <c r="AB47" s="1306"/>
      <c r="AC47" s="1306"/>
      <c r="AD47" s="1306"/>
      <c r="AE47" s="1307"/>
      <c r="AF47" s="1307"/>
      <c r="AG47" s="1307"/>
      <c r="AH47" s="1307"/>
      <c r="AI47" s="1307"/>
      <c r="AJ47" s="1307"/>
      <c r="AK47" s="1307"/>
      <c r="AL47" s="1308" t="str">
        <f t="shared" si="33"/>
        <v/>
      </c>
      <c r="AM47" s="1308"/>
      <c r="AN47" s="1308"/>
      <c r="AO47" s="1302" t="str">
        <f t="shared" si="34"/>
        <v/>
      </c>
      <c r="AP47" s="1302"/>
      <c r="AQ47" s="1302"/>
      <c r="AR47" s="1302"/>
      <c r="AS47" s="1306"/>
      <c r="AT47" s="1306"/>
      <c r="AU47" s="1306"/>
      <c r="AV47" s="1306"/>
      <c r="AW47" s="1306"/>
      <c r="AX47" s="1306"/>
      <c r="AY47" s="1306"/>
      <c r="AZ47" s="1306"/>
      <c r="BA47" s="1306"/>
      <c r="BB47" s="1306"/>
      <c r="BC47" s="1306"/>
      <c r="BD47" s="1306"/>
      <c r="BE47" s="1307"/>
      <c r="BF47" s="1307"/>
      <c r="BG47" s="1307"/>
      <c r="BH47" s="1307"/>
      <c r="BI47" s="1307"/>
      <c r="BJ47" s="1307"/>
      <c r="BK47" s="1307"/>
      <c r="BL47" s="1308" t="str">
        <f t="shared" si="35"/>
        <v/>
      </c>
      <c r="BM47" s="1308"/>
      <c r="BN47" s="1308"/>
      <c r="BO47" s="1302" t="str">
        <f t="shared" si="36"/>
        <v/>
      </c>
      <c r="BP47" s="1302"/>
      <c r="BQ47" s="1302"/>
      <c r="BR47" s="1302"/>
      <c r="BS47" s="190"/>
      <c r="BT47" s="125"/>
      <c r="BU47" s="133"/>
      <c r="BV47" s="133"/>
      <c r="BW47" s="570">
        <f t="shared" si="27"/>
        <v>0</v>
      </c>
      <c r="BX47" s="569" t="str">
        <f t="shared" si="28"/>
        <v/>
      </c>
      <c r="BY47" s="569" t="str">
        <f t="shared" si="29"/>
        <v/>
      </c>
      <c r="BZ47" s="133"/>
      <c r="CA47" s="577">
        <f t="shared" si="30"/>
        <v>0</v>
      </c>
      <c r="CB47" s="577" t="str">
        <f t="shared" si="31"/>
        <v/>
      </c>
      <c r="CC47" s="577" t="str">
        <f t="shared" si="32"/>
        <v/>
      </c>
      <c r="CD47" s="133"/>
      <c r="CE47" s="133"/>
      <c r="CF47" s="759" t="str">
        <f t="shared" si="37"/>
        <v/>
      </c>
      <c r="CG47" s="759" t="str">
        <f t="shared" si="38"/>
        <v/>
      </c>
      <c r="CH47" s="759" t="str">
        <f t="shared" si="39"/>
        <v/>
      </c>
    </row>
    <row r="48" spans="1:86" ht="35.1" customHeight="1">
      <c r="A48" s="118"/>
      <c r="B48" s="384"/>
      <c r="C48" s="190"/>
      <c r="D48" s="1396"/>
      <c r="E48" s="1303" t="str">
        <f>IF(ISNA('D4.5Why''s-D5-D6'!BY50),"",'D4.5Why''s-D5-D6'!BY50)</f>
        <v/>
      </c>
      <c r="F48" s="1304"/>
      <c r="G48" s="1304"/>
      <c r="H48" s="1304"/>
      <c r="I48" s="1304"/>
      <c r="J48" s="1304"/>
      <c r="K48" s="1304"/>
      <c r="L48" s="1304"/>
      <c r="M48" s="1304"/>
      <c r="N48" s="1304"/>
      <c r="O48" s="1304"/>
      <c r="P48" s="1304"/>
      <c r="Q48" s="1304"/>
      <c r="R48" s="1304"/>
      <c r="S48" s="1304"/>
      <c r="T48" s="1305"/>
      <c r="U48" s="1306"/>
      <c r="V48" s="1306"/>
      <c r="W48" s="1306"/>
      <c r="X48" s="1306"/>
      <c r="Y48" s="1306"/>
      <c r="Z48" s="1306"/>
      <c r="AA48" s="1306"/>
      <c r="AB48" s="1306"/>
      <c r="AC48" s="1306"/>
      <c r="AD48" s="1306"/>
      <c r="AE48" s="1307"/>
      <c r="AF48" s="1307"/>
      <c r="AG48" s="1307"/>
      <c r="AH48" s="1307"/>
      <c r="AI48" s="1307"/>
      <c r="AJ48" s="1307"/>
      <c r="AK48" s="1307"/>
      <c r="AL48" s="1308" t="str">
        <f t="shared" si="33"/>
        <v/>
      </c>
      <c r="AM48" s="1308"/>
      <c r="AN48" s="1308"/>
      <c r="AO48" s="1302" t="str">
        <f t="shared" si="34"/>
        <v/>
      </c>
      <c r="AP48" s="1302"/>
      <c r="AQ48" s="1302"/>
      <c r="AR48" s="1302"/>
      <c r="AS48" s="1306"/>
      <c r="AT48" s="1306"/>
      <c r="AU48" s="1306"/>
      <c r="AV48" s="1306"/>
      <c r="AW48" s="1306"/>
      <c r="AX48" s="1306"/>
      <c r="AY48" s="1306"/>
      <c r="AZ48" s="1306"/>
      <c r="BA48" s="1306"/>
      <c r="BB48" s="1306"/>
      <c r="BC48" s="1306"/>
      <c r="BD48" s="1306"/>
      <c r="BE48" s="1307"/>
      <c r="BF48" s="1307"/>
      <c r="BG48" s="1307"/>
      <c r="BH48" s="1307"/>
      <c r="BI48" s="1307"/>
      <c r="BJ48" s="1307"/>
      <c r="BK48" s="1307"/>
      <c r="BL48" s="1308" t="str">
        <f t="shared" si="35"/>
        <v/>
      </c>
      <c r="BM48" s="1308"/>
      <c r="BN48" s="1308"/>
      <c r="BO48" s="1302" t="str">
        <f t="shared" si="36"/>
        <v/>
      </c>
      <c r="BP48" s="1302"/>
      <c r="BQ48" s="1302"/>
      <c r="BR48" s="1302"/>
      <c r="BS48" s="190"/>
      <c r="BT48" s="125"/>
      <c r="BU48" s="133"/>
      <c r="BV48" s="133"/>
      <c r="BW48" s="570">
        <f t="shared" si="27"/>
        <v>0</v>
      </c>
      <c r="BX48" s="569" t="str">
        <f t="shared" si="28"/>
        <v/>
      </c>
      <c r="BY48" s="569" t="str">
        <f t="shared" si="29"/>
        <v/>
      </c>
      <c r="BZ48" s="133"/>
      <c r="CA48" s="577">
        <f t="shared" si="30"/>
        <v>0</v>
      </c>
      <c r="CB48" s="577" t="str">
        <f t="shared" si="31"/>
        <v/>
      </c>
      <c r="CC48" s="577" t="str">
        <f t="shared" si="32"/>
        <v/>
      </c>
      <c r="CD48" s="133"/>
      <c r="CE48" s="133"/>
      <c r="CF48" s="759" t="str">
        <f t="shared" si="37"/>
        <v/>
      </c>
      <c r="CG48" s="759" t="str">
        <f t="shared" si="38"/>
        <v/>
      </c>
      <c r="CH48" s="759" t="str">
        <f t="shared" si="39"/>
        <v/>
      </c>
    </row>
    <row r="49" spans="1:86" ht="35.1" customHeight="1">
      <c r="A49" s="118"/>
      <c r="B49" s="384"/>
      <c r="C49" s="190"/>
      <c r="D49" s="1396"/>
      <c r="E49" s="1303" t="str">
        <f>IF(ISNA('D4.5Why''s-D5-D6'!BY51),"",'D4.5Why''s-D5-D6'!BY51)</f>
        <v/>
      </c>
      <c r="F49" s="1304"/>
      <c r="G49" s="1304"/>
      <c r="H49" s="1304"/>
      <c r="I49" s="1304"/>
      <c r="J49" s="1304"/>
      <c r="K49" s="1304"/>
      <c r="L49" s="1304"/>
      <c r="M49" s="1304"/>
      <c r="N49" s="1304"/>
      <c r="O49" s="1304"/>
      <c r="P49" s="1304"/>
      <c r="Q49" s="1304"/>
      <c r="R49" s="1304"/>
      <c r="S49" s="1304"/>
      <c r="T49" s="1305"/>
      <c r="U49" s="1306"/>
      <c r="V49" s="1306"/>
      <c r="W49" s="1306"/>
      <c r="X49" s="1306"/>
      <c r="Y49" s="1306"/>
      <c r="Z49" s="1306"/>
      <c r="AA49" s="1306"/>
      <c r="AB49" s="1306"/>
      <c r="AC49" s="1306"/>
      <c r="AD49" s="1306"/>
      <c r="AE49" s="1307"/>
      <c r="AF49" s="1307"/>
      <c r="AG49" s="1307"/>
      <c r="AH49" s="1307"/>
      <c r="AI49" s="1307"/>
      <c r="AJ49" s="1307"/>
      <c r="AK49" s="1307"/>
      <c r="AL49" s="1308" t="str">
        <f t="shared" ref="AL49:AL51" si="40">BX49</f>
        <v/>
      </c>
      <c r="AM49" s="1308"/>
      <c r="AN49" s="1308"/>
      <c r="AO49" s="1302" t="str">
        <f t="shared" ref="AO49:AO51" si="41">IF(BW49&gt;11,"high",IF(BW49&gt;6,"mid",IF(BW49&gt;4,"ALARP",IF(BW49=0,"",IF(BW49&gt;=1,"low")))))</f>
        <v/>
      </c>
      <c r="AP49" s="1302"/>
      <c r="AQ49" s="1302"/>
      <c r="AR49" s="1302"/>
      <c r="AS49" s="1306"/>
      <c r="AT49" s="1306"/>
      <c r="AU49" s="1306"/>
      <c r="AV49" s="1306"/>
      <c r="AW49" s="1306"/>
      <c r="AX49" s="1306"/>
      <c r="AY49" s="1306"/>
      <c r="AZ49" s="1306"/>
      <c r="BA49" s="1306"/>
      <c r="BB49" s="1306"/>
      <c r="BC49" s="1306"/>
      <c r="BD49" s="1306"/>
      <c r="BE49" s="1307"/>
      <c r="BF49" s="1307"/>
      <c r="BG49" s="1307"/>
      <c r="BH49" s="1307"/>
      <c r="BI49" s="1307"/>
      <c r="BJ49" s="1307"/>
      <c r="BK49" s="1307"/>
      <c r="BL49" s="1308" t="str">
        <f t="shared" ref="BL49:BL51" si="42">CB49</f>
        <v/>
      </c>
      <c r="BM49" s="1308"/>
      <c r="BN49" s="1308"/>
      <c r="BO49" s="1302" t="str">
        <f t="shared" ref="BO49:BO51" si="43">CC49</f>
        <v/>
      </c>
      <c r="BP49" s="1302"/>
      <c r="BQ49" s="1302"/>
      <c r="BR49" s="1302"/>
      <c r="BS49" s="190"/>
      <c r="BT49" s="125"/>
      <c r="BU49" s="133"/>
      <c r="BV49" s="133"/>
      <c r="BW49" s="570">
        <f t="shared" si="27"/>
        <v>0</v>
      </c>
      <c r="BX49" s="569" t="str">
        <f t="shared" si="28"/>
        <v/>
      </c>
      <c r="BY49" s="569" t="str">
        <f t="shared" si="29"/>
        <v/>
      </c>
      <c r="BZ49" s="133"/>
      <c r="CA49" s="577">
        <f t="shared" si="30"/>
        <v>0</v>
      </c>
      <c r="CB49" s="577" t="str">
        <f t="shared" si="31"/>
        <v/>
      </c>
      <c r="CC49" s="577" t="str">
        <f t="shared" si="32"/>
        <v/>
      </c>
      <c r="CD49" s="133"/>
      <c r="CE49" s="133"/>
      <c r="CF49" s="759" t="str">
        <f t="shared" si="37"/>
        <v/>
      </c>
      <c r="CG49" s="759" t="str">
        <f t="shared" si="38"/>
        <v/>
      </c>
      <c r="CH49" s="759" t="str">
        <f t="shared" si="39"/>
        <v/>
      </c>
    </row>
    <row r="50" spans="1:86" ht="35.1" customHeight="1">
      <c r="A50" s="118"/>
      <c r="B50" s="384"/>
      <c r="C50" s="190"/>
      <c r="D50" s="1396"/>
      <c r="E50" s="1303" t="str">
        <f>IF(ISNA('D4.5Why''s-D5-D6'!BY52),"",'D4.5Why''s-D5-D6'!BY52)</f>
        <v/>
      </c>
      <c r="F50" s="1304"/>
      <c r="G50" s="1304"/>
      <c r="H50" s="1304"/>
      <c r="I50" s="1304"/>
      <c r="J50" s="1304"/>
      <c r="K50" s="1304"/>
      <c r="L50" s="1304"/>
      <c r="M50" s="1304"/>
      <c r="N50" s="1304"/>
      <c r="O50" s="1304"/>
      <c r="P50" s="1304"/>
      <c r="Q50" s="1304"/>
      <c r="R50" s="1304"/>
      <c r="S50" s="1304"/>
      <c r="T50" s="1305"/>
      <c r="U50" s="1306"/>
      <c r="V50" s="1306"/>
      <c r="W50" s="1306"/>
      <c r="X50" s="1306"/>
      <c r="Y50" s="1306"/>
      <c r="Z50" s="1306"/>
      <c r="AA50" s="1306"/>
      <c r="AB50" s="1306"/>
      <c r="AC50" s="1306"/>
      <c r="AD50" s="1306"/>
      <c r="AE50" s="1307"/>
      <c r="AF50" s="1307"/>
      <c r="AG50" s="1307"/>
      <c r="AH50" s="1307"/>
      <c r="AI50" s="1307"/>
      <c r="AJ50" s="1307"/>
      <c r="AK50" s="1307"/>
      <c r="AL50" s="1308" t="str">
        <f t="shared" si="40"/>
        <v/>
      </c>
      <c r="AM50" s="1308"/>
      <c r="AN50" s="1308"/>
      <c r="AO50" s="1302" t="str">
        <f t="shared" si="41"/>
        <v/>
      </c>
      <c r="AP50" s="1302"/>
      <c r="AQ50" s="1302"/>
      <c r="AR50" s="1302"/>
      <c r="AS50" s="1306"/>
      <c r="AT50" s="1306"/>
      <c r="AU50" s="1306"/>
      <c r="AV50" s="1306"/>
      <c r="AW50" s="1306"/>
      <c r="AX50" s="1306"/>
      <c r="AY50" s="1306"/>
      <c r="AZ50" s="1306"/>
      <c r="BA50" s="1306"/>
      <c r="BB50" s="1306"/>
      <c r="BC50" s="1306"/>
      <c r="BD50" s="1306"/>
      <c r="BE50" s="1307"/>
      <c r="BF50" s="1307"/>
      <c r="BG50" s="1307"/>
      <c r="BH50" s="1307"/>
      <c r="BI50" s="1307"/>
      <c r="BJ50" s="1307"/>
      <c r="BK50" s="1307"/>
      <c r="BL50" s="1308" t="str">
        <f t="shared" si="42"/>
        <v/>
      </c>
      <c r="BM50" s="1308"/>
      <c r="BN50" s="1308"/>
      <c r="BO50" s="1302" t="str">
        <f t="shared" si="43"/>
        <v/>
      </c>
      <c r="BP50" s="1302"/>
      <c r="BQ50" s="1302"/>
      <c r="BR50" s="1302"/>
      <c r="BS50" s="190"/>
      <c r="BT50" s="125"/>
      <c r="BU50" s="133"/>
      <c r="BV50" s="133"/>
      <c r="BW50" s="570">
        <f t="shared" si="27"/>
        <v>0</v>
      </c>
      <c r="BX50" s="569" t="str">
        <f t="shared" si="28"/>
        <v/>
      </c>
      <c r="BY50" s="569" t="str">
        <f t="shared" si="29"/>
        <v/>
      </c>
      <c r="BZ50" s="133"/>
      <c r="CA50" s="577">
        <f t="shared" si="30"/>
        <v>0</v>
      </c>
      <c r="CB50" s="577" t="str">
        <f t="shared" si="31"/>
        <v/>
      </c>
      <c r="CC50" s="577" t="str">
        <f t="shared" si="32"/>
        <v/>
      </c>
      <c r="CD50" s="133"/>
      <c r="CE50" s="133"/>
      <c r="CF50" s="759" t="str">
        <f t="shared" si="37"/>
        <v/>
      </c>
      <c r="CG50" s="759" t="str">
        <f t="shared" si="38"/>
        <v/>
      </c>
      <c r="CH50" s="759" t="str">
        <f t="shared" si="39"/>
        <v/>
      </c>
    </row>
    <row r="51" spans="1:86" ht="35.1" customHeight="1">
      <c r="A51" s="118"/>
      <c r="B51" s="384"/>
      <c r="C51" s="190"/>
      <c r="D51" s="1397"/>
      <c r="E51" s="1303" t="str">
        <f>IF(ISNA('D4.5Why''s-D5-D6'!BY53),"",'D4.5Why''s-D5-D6'!BY53)</f>
        <v/>
      </c>
      <c r="F51" s="1304"/>
      <c r="G51" s="1304"/>
      <c r="H51" s="1304"/>
      <c r="I51" s="1304"/>
      <c r="J51" s="1304"/>
      <c r="K51" s="1304"/>
      <c r="L51" s="1304"/>
      <c r="M51" s="1304"/>
      <c r="N51" s="1304"/>
      <c r="O51" s="1304"/>
      <c r="P51" s="1304"/>
      <c r="Q51" s="1304"/>
      <c r="R51" s="1304"/>
      <c r="S51" s="1304"/>
      <c r="T51" s="1305"/>
      <c r="U51" s="1306"/>
      <c r="V51" s="1306"/>
      <c r="W51" s="1306"/>
      <c r="X51" s="1306"/>
      <c r="Y51" s="1306"/>
      <c r="Z51" s="1306"/>
      <c r="AA51" s="1306"/>
      <c r="AB51" s="1306"/>
      <c r="AC51" s="1306"/>
      <c r="AD51" s="1306"/>
      <c r="AE51" s="1307"/>
      <c r="AF51" s="1307"/>
      <c r="AG51" s="1307"/>
      <c r="AH51" s="1307"/>
      <c r="AI51" s="1307"/>
      <c r="AJ51" s="1307"/>
      <c r="AK51" s="1307"/>
      <c r="AL51" s="1308" t="str">
        <f t="shared" si="40"/>
        <v/>
      </c>
      <c r="AM51" s="1308"/>
      <c r="AN51" s="1308"/>
      <c r="AO51" s="1302" t="str">
        <f t="shared" si="41"/>
        <v/>
      </c>
      <c r="AP51" s="1302"/>
      <c r="AQ51" s="1302"/>
      <c r="AR51" s="1302"/>
      <c r="AS51" s="1306"/>
      <c r="AT51" s="1306"/>
      <c r="AU51" s="1306"/>
      <c r="AV51" s="1306"/>
      <c r="AW51" s="1306"/>
      <c r="AX51" s="1306"/>
      <c r="AY51" s="1306"/>
      <c r="AZ51" s="1306"/>
      <c r="BA51" s="1306"/>
      <c r="BB51" s="1306"/>
      <c r="BC51" s="1306"/>
      <c r="BD51" s="1306"/>
      <c r="BE51" s="1307"/>
      <c r="BF51" s="1307"/>
      <c r="BG51" s="1307"/>
      <c r="BH51" s="1307"/>
      <c r="BI51" s="1307"/>
      <c r="BJ51" s="1307"/>
      <c r="BK51" s="1307"/>
      <c r="BL51" s="1308" t="str">
        <f t="shared" si="42"/>
        <v/>
      </c>
      <c r="BM51" s="1308"/>
      <c r="BN51" s="1308"/>
      <c r="BO51" s="1302" t="str">
        <f t="shared" si="43"/>
        <v/>
      </c>
      <c r="BP51" s="1302"/>
      <c r="BQ51" s="1302"/>
      <c r="BR51" s="1302"/>
      <c r="BS51" s="190"/>
      <c r="BT51" s="125"/>
      <c r="BU51" s="133"/>
      <c r="BV51" s="133"/>
      <c r="BW51" s="570">
        <f t="shared" si="27"/>
        <v>0</v>
      </c>
      <c r="BX51" s="569" t="str">
        <f t="shared" si="28"/>
        <v/>
      </c>
      <c r="BY51" s="569" t="str">
        <f t="shared" si="29"/>
        <v/>
      </c>
      <c r="BZ51" s="133"/>
      <c r="CA51" s="577">
        <f t="shared" si="30"/>
        <v>0</v>
      </c>
      <c r="CB51" s="577" t="str">
        <f t="shared" si="31"/>
        <v/>
      </c>
      <c r="CC51" s="577" t="str">
        <f t="shared" si="32"/>
        <v/>
      </c>
      <c r="CD51" s="133"/>
      <c r="CE51" s="133"/>
      <c r="CF51" s="759" t="str">
        <f t="shared" si="37"/>
        <v/>
      </c>
      <c r="CG51" s="759" t="str">
        <f t="shared" si="38"/>
        <v/>
      </c>
      <c r="CH51" s="759" t="str">
        <f t="shared" si="39"/>
        <v/>
      </c>
    </row>
    <row r="52" spans="1:86" ht="12.15" customHeight="1">
      <c r="A52" s="118"/>
      <c r="B52" s="384"/>
      <c r="C52" s="190"/>
      <c r="D52" s="190"/>
      <c r="E52" s="190"/>
      <c r="F52" s="190"/>
      <c r="G52" s="190"/>
      <c r="H52" s="190"/>
      <c r="I52" s="190"/>
      <c r="J52" s="190"/>
      <c r="K52" s="190"/>
      <c r="L52" s="190"/>
      <c r="M52" s="190"/>
      <c r="N52" s="190"/>
      <c r="O52" s="190"/>
      <c r="P52" s="190"/>
      <c r="Q52" s="190"/>
      <c r="R52" s="190"/>
      <c r="S52" s="190"/>
      <c r="T52" s="190"/>
      <c r="U52" s="1309"/>
      <c r="V52" s="1309"/>
      <c r="W52" s="1309"/>
      <c r="X52" s="1309"/>
      <c r="Y52" s="1309"/>
      <c r="Z52" s="1309"/>
      <c r="AA52" s="1309"/>
      <c r="AB52" s="1309"/>
      <c r="AC52" s="1309"/>
      <c r="AD52" s="1309"/>
      <c r="AE52" s="1310"/>
      <c r="AF52" s="1310"/>
      <c r="AG52" s="1310"/>
      <c r="AH52" s="1310"/>
      <c r="AI52" s="1310"/>
      <c r="AJ52" s="1310"/>
      <c r="AK52" s="1310"/>
      <c r="AL52" s="1311"/>
      <c r="AM52" s="1311"/>
      <c r="AN52" s="1311"/>
      <c r="AO52" s="1312"/>
      <c r="AP52" s="1312"/>
      <c r="AQ52" s="1312"/>
      <c r="AR52" s="1312"/>
      <c r="AS52" s="1309"/>
      <c r="AT52" s="1309"/>
      <c r="AU52" s="1309"/>
      <c r="AV52" s="1309"/>
      <c r="AW52" s="1309"/>
      <c r="AX52" s="1309"/>
      <c r="AY52" s="1309"/>
      <c r="AZ52" s="1309"/>
      <c r="BA52" s="1309"/>
      <c r="BB52" s="1309"/>
      <c r="BC52" s="1309"/>
      <c r="BD52" s="1309"/>
      <c r="BE52" s="1310"/>
      <c r="BF52" s="1310"/>
      <c r="BG52" s="1310"/>
      <c r="BH52" s="1310"/>
      <c r="BI52" s="1310"/>
      <c r="BJ52" s="1310"/>
      <c r="BK52" s="1310"/>
      <c r="BL52" s="1311"/>
      <c r="BM52" s="1311"/>
      <c r="BN52" s="1311"/>
      <c r="BO52" s="1312"/>
      <c r="BP52" s="1312"/>
      <c r="BQ52" s="1312"/>
      <c r="BR52" s="1312"/>
      <c r="BS52" s="190"/>
      <c r="BT52" s="125"/>
      <c r="BU52" s="133"/>
      <c r="BV52" s="133"/>
      <c r="BW52" s="133"/>
      <c r="BX52" s="133"/>
      <c r="BY52" s="133"/>
      <c r="BZ52" s="133"/>
      <c r="CA52" s="133"/>
      <c r="CB52" s="133"/>
      <c r="CC52" s="133"/>
      <c r="CD52" s="133"/>
      <c r="CE52" s="133"/>
      <c r="CF52" s="133"/>
      <c r="CG52" s="134"/>
    </row>
    <row r="53" spans="1:86" ht="12.75" customHeight="1" thickBot="1">
      <c r="A53" s="90"/>
      <c r="B53" s="555"/>
      <c r="C53" s="556"/>
      <c r="D53" s="556"/>
      <c r="E53" s="556"/>
      <c r="F53" s="556"/>
      <c r="G53" s="556"/>
      <c r="H53" s="556"/>
      <c r="I53" s="556"/>
      <c r="J53" s="556"/>
      <c r="K53" s="556"/>
      <c r="L53" s="556"/>
      <c r="M53" s="556"/>
      <c r="N53" s="556"/>
      <c r="O53" s="556"/>
      <c r="P53" s="556"/>
      <c r="Q53" s="556"/>
      <c r="R53" s="556"/>
      <c r="S53" s="556"/>
      <c r="T53" s="556"/>
      <c r="U53" s="556"/>
      <c r="V53" s="556"/>
      <c r="W53" s="556"/>
      <c r="X53" s="556"/>
      <c r="Y53" s="556"/>
      <c r="Z53" s="556"/>
      <c r="AA53" s="556"/>
      <c r="AB53" s="556"/>
      <c r="AC53" s="556"/>
      <c r="AD53" s="556"/>
      <c r="AE53" s="556"/>
      <c r="AF53" s="556"/>
      <c r="AG53" s="556"/>
      <c r="AH53" s="556"/>
      <c r="AI53" s="556"/>
      <c r="AJ53" s="556"/>
      <c r="AK53" s="556"/>
      <c r="AL53" s="556"/>
      <c r="AM53" s="556"/>
      <c r="AN53" s="556"/>
      <c r="AO53" s="556"/>
      <c r="AP53" s="556"/>
      <c r="AQ53" s="556"/>
      <c r="AR53" s="556"/>
      <c r="AS53" s="556"/>
      <c r="AT53" s="556"/>
      <c r="AU53" s="556"/>
      <c r="AV53" s="556"/>
      <c r="AW53" s="556"/>
      <c r="AX53" s="556"/>
      <c r="AY53" s="556"/>
      <c r="AZ53" s="556"/>
      <c r="BA53" s="556"/>
      <c r="BB53" s="556"/>
      <c r="BC53" s="556"/>
      <c r="BD53" s="556"/>
      <c r="BE53" s="556"/>
      <c r="BF53" s="556"/>
      <c r="BG53" s="556"/>
      <c r="BH53" s="556"/>
      <c r="BI53" s="556"/>
      <c r="BJ53" s="556"/>
      <c r="BK53" s="556"/>
      <c r="BL53" s="556"/>
      <c r="BM53" s="556"/>
      <c r="BN53" s="556"/>
      <c r="BO53" s="556"/>
      <c r="BP53" s="556"/>
      <c r="BQ53" s="556"/>
      <c r="BR53" s="556"/>
      <c r="BS53" s="556"/>
      <c r="BT53" s="615"/>
    </row>
    <row r="54" spans="1:86" ht="11.25" customHeight="1">
      <c r="A54" s="90"/>
      <c r="B54" s="90"/>
      <c r="C54" s="90"/>
      <c r="D54" s="90"/>
      <c r="F54" s="116"/>
      <c r="G54" s="116"/>
      <c r="H54" s="116"/>
      <c r="I54" s="116"/>
      <c r="J54" s="116"/>
      <c r="K54" s="116"/>
      <c r="L54" s="116"/>
      <c r="M54" s="116"/>
      <c r="N54" s="116"/>
      <c r="O54" s="116"/>
      <c r="P54" s="116"/>
      <c r="Q54" s="116"/>
      <c r="R54" s="116"/>
      <c r="S54" s="116"/>
      <c r="T54" s="116"/>
      <c r="U54" s="116"/>
      <c r="V54" s="116"/>
      <c r="W54" s="116"/>
      <c r="X54" s="116"/>
      <c r="Y54" s="117"/>
      <c r="Z54" s="117"/>
      <c r="AA54" s="117"/>
      <c r="AB54" s="117"/>
      <c r="AC54" s="117"/>
      <c r="AD54" s="117"/>
      <c r="AE54" s="117"/>
      <c r="AF54" s="117"/>
      <c r="AG54" s="117"/>
      <c r="AH54" s="117"/>
      <c r="AI54" s="117"/>
      <c r="AJ54" s="53"/>
      <c r="AK54" s="95"/>
      <c r="AL54" s="95"/>
      <c r="AM54" s="95"/>
      <c r="AN54" s="95"/>
      <c r="AO54" s="95"/>
      <c r="AP54" s="95"/>
      <c r="AQ54" s="95"/>
      <c r="AR54" s="95"/>
      <c r="AS54" s="95"/>
      <c r="AT54" s="95"/>
      <c r="AU54" s="95"/>
      <c r="AV54" s="95"/>
      <c r="AW54" s="95"/>
      <c r="AX54" s="95"/>
      <c r="AY54" s="95"/>
      <c r="AZ54" s="95"/>
      <c r="BT54" s="95"/>
    </row>
    <row r="55" spans="1:86">
      <c r="AL55" s="95"/>
      <c r="AM55" s="95"/>
      <c r="AN55" s="95"/>
      <c r="AO55" s="95"/>
      <c r="AP55" s="95"/>
      <c r="AQ55" s="95"/>
      <c r="AR55" s="95"/>
      <c r="AS55" s="95"/>
      <c r="AT55" s="95"/>
      <c r="AU55" s="95"/>
      <c r="AV55" s="95"/>
      <c r="AW55" s="95"/>
      <c r="AX55" s="95"/>
      <c r="AY55" s="95"/>
      <c r="AZ55" s="95"/>
      <c r="BT55" s="95"/>
    </row>
  </sheetData>
  <sheetProtection algorithmName="SHA-512" hashValue="dYSl9FwwPiC8NWq3vOOxqN9oWorK/RiQ6aXUgaundB27tYNYnweHY1EbGiJm1nWeCGcl19USo2nitDCjOuE0+Q==" saltValue="oMLcjavrikkzGZ1zvTquBg==" spinCount="100000" sheet="1" objects="1" scenarios="1" formatCells="0" formatRows="0"/>
  <mergeCells count="436">
    <mergeCell ref="BL40:BN40"/>
    <mergeCell ref="BO40:BR40"/>
    <mergeCell ref="D31:D40"/>
    <mergeCell ref="D42:D51"/>
    <mergeCell ref="E40:T40"/>
    <mergeCell ref="U40:AD40"/>
    <mergeCell ref="AE40:AH40"/>
    <mergeCell ref="AI40:AK40"/>
    <mergeCell ref="AL40:AN40"/>
    <mergeCell ref="AO40:AR40"/>
    <mergeCell ref="AS40:BD40"/>
    <mergeCell ref="BE40:BH40"/>
    <mergeCell ref="BI40:BK40"/>
    <mergeCell ref="BL51:BN51"/>
    <mergeCell ref="BO51:BR51"/>
    <mergeCell ref="E38:T38"/>
    <mergeCell ref="U38:AD38"/>
    <mergeCell ref="AE38:AH38"/>
    <mergeCell ref="AI38:AK38"/>
    <mergeCell ref="AL38:AN38"/>
    <mergeCell ref="AO38:AR38"/>
    <mergeCell ref="AS38:BD38"/>
    <mergeCell ref="BE38:BH38"/>
    <mergeCell ref="BI38:BK38"/>
    <mergeCell ref="BL38:BN38"/>
    <mergeCell ref="BO38:BR38"/>
    <mergeCell ref="E39:T39"/>
    <mergeCell ref="U39:AD39"/>
    <mergeCell ref="AE39:AH39"/>
    <mergeCell ref="AI39:AK39"/>
    <mergeCell ref="AL39:AN39"/>
    <mergeCell ref="AO39:AR39"/>
    <mergeCell ref="AS39:BD39"/>
    <mergeCell ref="BE39:BH39"/>
    <mergeCell ref="BI39:BK39"/>
    <mergeCell ref="BL39:BN39"/>
    <mergeCell ref="BO39:BR39"/>
    <mergeCell ref="E51:T51"/>
    <mergeCell ref="U51:AD51"/>
    <mergeCell ref="AE51:AH51"/>
    <mergeCell ref="AI51:AK51"/>
    <mergeCell ref="AL51:AN51"/>
    <mergeCell ref="AO51:AR51"/>
    <mergeCell ref="AS51:BD51"/>
    <mergeCell ref="BE51:BH51"/>
    <mergeCell ref="BI51:BK51"/>
    <mergeCell ref="BL49:BN49"/>
    <mergeCell ref="BO49:BR49"/>
    <mergeCell ref="E50:T50"/>
    <mergeCell ref="U50:AD50"/>
    <mergeCell ref="AE50:AH50"/>
    <mergeCell ref="AI50:AK50"/>
    <mergeCell ref="AL50:AN50"/>
    <mergeCell ref="AO50:AR50"/>
    <mergeCell ref="AS50:BD50"/>
    <mergeCell ref="BE50:BH50"/>
    <mergeCell ref="BI50:BK50"/>
    <mergeCell ref="BL50:BN50"/>
    <mergeCell ref="BO50:BR50"/>
    <mergeCell ref="E49:T49"/>
    <mergeCell ref="U49:AD49"/>
    <mergeCell ref="AE49:AH49"/>
    <mergeCell ref="AI49:AK49"/>
    <mergeCell ref="AL49:AN49"/>
    <mergeCell ref="AO49:AR49"/>
    <mergeCell ref="AS49:BD49"/>
    <mergeCell ref="BE49:BH49"/>
    <mergeCell ref="BI49:BK49"/>
    <mergeCell ref="U18:AD18"/>
    <mergeCell ref="U17:AD17"/>
    <mergeCell ref="AS18:BD18"/>
    <mergeCell ref="AI27:AK27"/>
    <mergeCell ref="AL27:AN27"/>
    <mergeCell ref="BE27:BH27"/>
    <mergeCell ref="BI27:BK27"/>
    <mergeCell ref="BL27:BN27"/>
    <mergeCell ref="AO26:AR26"/>
    <mergeCell ref="AO27:AR27"/>
    <mergeCell ref="AI26:AK26"/>
    <mergeCell ref="AL26:AN26"/>
    <mergeCell ref="BE26:BH26"/>
    <mergeCell ref="BI26:BK26"/>
    <mergeCell ref="BL26:BN26"/>
    <mergeCell ref="AS27:BD27"/>
    <mergeCell ref="AE21:AH21"/>
    <mergeCell ref="AE22:AH22"/>
    <mergeCell ref="AE23:AH23"/>
    <mergeCell ref="AE24:AH24"/>
    <mergeCell ref="AI25:AK25"/>
    <mergeCell ref="U19:AD19"/>
    <mergeCell ref="U23:AD23"/>
    <mergeCell ref="BY2:CF2"/>
    <mergeCell ref="AI19:AK19"/>
    <mergeCell ref="AL19:AN19"/>
    <mergeCell ref="P2:AH2"/>
    <mergeCell ref="AI2:AN2"/>
    <mergeCell ref="AO2:AT2"/>
    <mergeCell ref="AU2:BB2"/>
    <mergeCell ref="BE19:BH19"/>
    <mergeCell ref="BI19:BK19"/>
    <mergeCell ref="AL18:AN18"/>
    <mergeCell ref="AI18:AK18"/>
    <mergeCell ref="BC2:BT2"/>
    <mergeCell ref="BL18:BN18"/>
    <mergeCell ref="E15:AO15"/>
    <mergeCell ref="BO19:BR19"/>
    <mergeCell ref="BP8:BR8"/>
    <mergeCell ref="BP9:BR9"/>
    <mergeCell ref="AM9:AY9"/>
    <mergeCell ref="AM10:AY10"/>
    <mergeCell ref="AM11:AY11"/>
    <mergeCell ref="AM12:AY12"/>
    <mergeCell ref="BE18:BH18"/>
    <mergeCell ref="BI18:BK18"/>
    <mergeCell ref="AO18:AR18"/>
    <mergeCell ref="BO26:BR26"/>
    <mergeCell ref="BE21:BH21"/>
    <mergeCell ref="BI21:BK21"/>
    <mergeCell ref="BL23:BN23"/>
    <mergeCell ref="AO22:AR22"/>
    <mergeCell ref="AO23:AR23"/>
    <mergeCell ref="BE25:BH25"/>
    <mergeCell ref="BI25:BK25"/>
    <mergeCell ref="BL25:BN25"/>
    <mergeCell ref="BL21:BN21"/>
    <mergeCell ref="AS25:BD25"/>
    <mergeCell ref="AS26:BD26"/>
    <mergeCell ref="BL24:BN24"/>
    <mergeCell ref="BL22:BN22"/>
    <mergeCell ref="AO25:AR25"/>
    <mergeCell ref="BE24:BH24"/>
    <mergeCell ref="BI24:BK24"/>
    <mergeCell ref="BE22:BH22"/>
    <mergeCell ref="BI22:BK22"/>
    <mergeCell ref="AO24:AR24"/>
    <mergeCell ref="BE23:BH23"/>
    <mergeCell ref="BI23:BK23"/>
    <mergeCell ref="AO21:AR21"/>
    <mergeCell ref="BO21:BR21"/>
    <mergeCell ref="BO27:BR27"/>
    <mergeCell ref="E8:Q8"/>
    <mergeCell ref="E9:Q9"/>
    <mergeCell ref="E10:Q10"/>
    <mergeCell ref="E11:Q11"/>
    <mergeCell ref="E12:Q12"/>
    <mergeCell ref="D6:Q6"/>
    <mergeCell ref="S6:AC6"/>
    <mergeCell ref="AG9:AH9"/>
    <mergeCell ref="AG10:AH10"/>
    <mergeCell ref="AG11:AH11"/>
    <mergeCell ref="AG12:AH12"/>
    <mergeCell ref="AI9:AL9"/>
    <mergeCell ref="AI10:AL10"/>
    <mergeCell ref="AI11:AL11"/>
    <mergeCell ref="AI12:AL12"/>
    <mergeCell ref="T8:AC8"/>
    <mergeCell ref="T9:AC9"/>
    <mergeCell ref="T10:AC10"/>
    <mergeCell ref="T11:AC11"/>
    <mergeCell ref="T12:AC12"/>
    <mergeCell ref="AG6:AY6"/>
    <mergeCell ref="BE17:BR17"/>
    <mergeCell ref="BO25:BR25"/>
    <mergeCell ref="BO22:BR22"/>
    <mergeCell ref="BO23:BR23"/>
    <mergeCell ref="BO24:BR24"/>
    <mergeCell ref="BP10:BR10"/>
    <mergeCell ref="BP11:BR11"/>
    <mergeCell ref="BP12:BR12"/>
    <mergeCell ref="BM11:BO11"/>
    <mergeCell ref="BM12:BO12"/>
    <mergeCell ref="BO18:BR18"/>
    <mergeCell ref="BD13:BR13"/>
    <mergeCell ref="AS22:BD22"/>
    <mergeCell ref="AS23:BD23"/>
    <mergeCell ref="AS24:BD24"/>
    <mergeCell ref="AS19:BD19"/>
    <mergeCell ref="BL20:BN20"/>
    <mergeCell ref="BL19:BN19"/>
    <mergeCell ref="AS20:BD20"/>
    <mergeCell ref="AS21:BD21"/>
    <mergeCell ref="BE20:BH20"/>
    <mergeCell ref="BI20:BK20"/>
    <mergeCell ref="BB8:BC13"/>
    <mergeCell ref="BD6:BR6"/>
    <mergeCell ref="AE17:AR17"/>
    <mergeCell ref="AE18:AH18"/>
    <mergeCell ref="AE19:AH19"/>
    <mergeCell ref="AE20:AH20"/>
    <mergeCell ref="BD8:BF8"/>
    <mergeCell ref="BD9:BF9"/>
    <mergeCell ref="BD10:BF10"/>
    <mergeCell ref="BD11:BF11"/>
    <mergeCell ref="BD12:BF12"/>
    <mergeCell ref="BG8:BI8"/>
    <mergeCell ref="BG9:BI9"/>
    <mergeCell ref="BG10:BI10"/>
    <mergeCell ref="BG11:BI11"/>
    <mergeCell ref="BG12:BI12"/>
    <mergeCell ref="BJ8:BL8"/>
    <mergeCell ref="BJ9:BL9"/>
    <mergeCell ref="BJ10:BL10"/>
    <mergeCell ref="BJ11:BL11"/>
    <mergeCell ref="BJ12:BL12"/>
    <mergeCell ref="BM8:BO8"/>
    <mergeCell ref="BM9:BO9"/>
    <mergeCell ref="BM10:BO10"/>
    <mergeCell ref="BO20:BR20"/>
    <mergeCell ref="K24:T24"/>
    <mergeCell ref="U25:AD25"/>
    <mergeCell ref="AI20:AK20"/>
    <mergeCell ref="BE31:BH31"/>
    <mergeCell ref="BI31:BK31"/>
    <mergeCell ref="AL25:AN25"/>
    <mergeCell ref="AI21:AK21"/>
    <mergeCell ref="AL21:AN21"/>
    <mergeCell ref="AI24:AK24"/>
    <mergeCell ref="AL24:AN24"/>
    <mergeCell ref="AI23:AK23"/>
    <mergeCell ref="AL23:AN23"/>
    <mergeCell ref="AI22:AK22"/>
    <mergeCell ref="AL22:AN22"/>
    <mergeCell ref="U31:AD31"/>
    <mergeCell ref="AE31:AH31"/>
    <mergeCell ref="AI31:AK31"/>
    <mergeCell ref="AL31:AN31"/>
    <mergeCell ref="AO31:AR31"/>
    <mergeCell ref="AS31:BD31"/>
    <mergeCell ref="K26:T26"/>
    <mergeCell ref="BL31:BN31"/>
    <mergeCell ref="BO31:BR31"/>
    <mergeCell ref="U26:AD26"/>
    <mergeCell ref="D17:T18"/>
    <mergeCell ref="K19:T19"/>
    <mergeCell ref="K20:T20"/>
    <mergeCell ref="U20:AD20"/>
    <mergeCell ref="K21:T21"/>
    <mergeCell ref="U21:AD21"/>
    <mergeCell ref="U24:AD24"/>
    <mergeCell ref="K25:T25"/>
    <mergeCell ref="AE26:AH26"/>
    <mergeCell ref="AE25:AH25"/>
    <mergeCell ref="K27:T27"/>
    <mergeCell ref="U27:AD27"/>
    <mergeCell ref="AE27:AH27"/>
    <mergeCell ref="AO19:AR19"/>
    <mergeCell ref="AL20:AN20"/>
    <mergeCell ref="AO20:AR20"/>
    <mergeCell ref="BE29:BH29"/>
    <mergeCell ref="BI29:BK29"/>
    <mergeCell ref="K22:T22"/>
    <mergeCell ref="U22:AD22"/>
    <mergeCell ref="K23:T23"/>
    <mergeCell ref="BL29:BN29"/>
    <mergeCell ref="BO29:BR29"/>
    <mergeCell ref="U30:AD30"/>
    <mergeCell ref="AE30:AH30"/>
    <mergeCell ref="AI30:AK30"/>
    <mergeCell ref="AL30:AN30"/>
    <mergeCell ref="AO30:AR30"/>
    <mergeCell ref="AS30:BD30"/>
    <mergeCell ref="BE30:BH30"/>
    <mergeCell ref="BI30:BK30"/>
    <mergeCell ref="BL30:BN30"/>
    <mergeCell ref="BO30:BR30"/>
    <mergeCell ref="AE29:AH29"/>
    <mergeCell ref="AI29:AK29"/>
    <mergeCell ref="AL29:AN29"/>
    <mergeCell ref="AO29:AR29"/>
    <mergeCell ref="AS29:BD29"/>
    <mergeCell ref="BO34:BR34"/>
    <mergeCell ref="U32:AD32"/>
    <mergeCell ref="AE32:AH32"/>
    <mergeCell ref="AI32:AK32"/>
    <mergeCell ref="AL32:AN32"/>
    <mergeCell ref="AO32:AR32"/>
    <mergeCell ref="AS32:BD32"/>
    <mergeCell ref="BE32:BH32"/>
    <mergeCell ref="BI32:BK32"/>
    <mergeCell ref="BL32:BN32"/>
    <mergeCell ref="U34:AD34"/>
    <mergeCell ref="AE34:AH34"/>
    <mergeCell ref="AI34:AK34"/>
    <mergeCell ref="AL34:AN34"/>
    <mergeCell ref="AO34:AR34"/>
    <mergeCell ref="AS34:BD34"/>
    <mergeCell ref="BE34:BH34"/>
    <mergeCell ref="BI34:BK34"/>
    <mergeCell ref="BL34:BN34"/>
    <mergeCell ref="BO32:BR32"/>
    <mergeCell ref="U33:AD33"/>
    <mergeCell ref="AE33:AH33"/>
    <mergeCell ref="AI33:AK33"/>
    <mergeCell ref="AL33:AN33"/>
    <mergeCell ref="U37:AD37"/>
    <mergeCell ref="AE37:AH37"/>
    <mergeCell ref="AI37:AK37"/>
    <mergeCell ref="AL37:AN37"/>
    <mergeCell ref="AO37:AR37"/>
    <mergeCell ref="AS37:BD37"/>
    <mergeCell ref="BE37:BH37"/>
    <mergeCell ref="BI37:BK37"/>
    <mergeCell ref="BL37:BN37"/>
    <mergeCell ref="BE44:BH44"/>
    <mergeCell ref="BI44:BK44"/>
    <mergeCell ref="BL44:BN44"/>
    <mergeCell ref="BE45:BH45"/>
    <mergeCell ref="BI45:BK45"/>
    <mergeCell ref="BL45:BN45"/>
    <mergeCell ref="U43:AD43"/>
    <mergeCell ref="AE43:AH43"/>
    <mergeCell ref="AI43:AK43"/>
    <mergeCell ref="AL43:AN43"/>
    <mergeCell ref="AO43:AR43"/>
    <mergeCell ref="AS43:BD43"/>
    <mergeCell ref="BE43:BH43"/>
    <mergeCell ref="BI43:BK43"/>
    <mergeCell ref="BL43:BN43"/>
    <mergeCell ref="BO33:BR33"/>
    <mergeCell ref="AL36:AN36"/>
    <mergeCell ref="AO36:AR36"/>
    <mergeCell ref="AS36:BD36"/>
    <mergeCell ref="BE36:BH36"/>
    <mergeCell ref="BI36:BK36"/>
    <mergeCell ref="BL36:BN36"/>
    <mergeCell ref="BO36:BR36"/>
    <mergeCell ref="U48:AD48"/>
    <mergeCell ref="AE48:AH48"/>
    <mergeCell ref="AI48:AK48"/>
    <mergeCell ref="AL48:AN48"/>
    <mergeCell ref="AO48:AR48"/>
    <mergeCell ref="AS48:BD48"/>
    <mergeCell ref="BE48:BH48"/>
    <mergeCell ref="BI48:BK48"/>
    <mergeCell ref="BL48:BN48"/>
    <mergeCell ref="BL46:BN46"/>
    <mergeCell ref="AO45:AR45"/>
    <mergeCell ref="AS45:BD45"/>
    <mergeCell ref="U44:AD44"/>
    <mergeCell ref="AE44:AH44"/>
    <mergeCell ref="AI44:AK44"/>
    <mergeCell ref="AL44:AN44"/>
    <mergeCell ref="AO35:AR35"/>
    <mergeCell ref="AS35:BD35"/>
    <mergeCell ref="BE35:BH35"/>
    <mergeCell ref="BI35:BK35"/>
    <mergeCell ref="BL35:BN35"/>
    <mergeCell ref="AO33:AR33"/>
    <mergeCell ref="AS33:BD33"/>
    <mergeCell ref="BE33:BH33"/>
    <mergeCell ref="BI33:BK33"/>
    <mergeCell ref="BL33:BN33"/>
    <mergeCell ref="BO47:BR47"/>
    <mergeCell ref="BO44:BR44"/>
    <mergeCell ref="BO43:BR43"/>
    <mergeCell ref="BO37:BR37"/>
    <mergeCell ref="U42:AD42"/>
    <mergeCell ref="AE42:AH42"/>
    <mergeCell ref="AI42:AK42"/>
    <mergeCell ref="AL42:AN42"/>
    <mergeCell ref="AO42:AR42"/>
    <mergeCell ref="AS42:BD42"/>
    <mergeCell ref="BE42:BH42"/>
    <mergeCell ref="BI42:BK42"/>
    <mergeCell ref="BL42:BN42"/>
    <mergeCell ref="BO42:BR42"/>
    <mergeCell ref="U46:AD46"/>
    <mergeCell ref="AE46:AH46"/>
    <mergeCell ref="AI46:AK46"/>
    <mergeCell ref="AL46:AN46"/>
    <mergeCell ref="AO46:AR46"/>
    <mergeCell ref="AS46:BD46"/>
    <mergeCell ref="BE46:BH46"/>
    <mergeCell ref="BI46:BK46"/>
    <mergeCell ref="AO44:AR44"/>
    <mergeCell ref="AS44:BD44"/>
    <mergeCell ref="E46:T46"/>
    <mergeCell ref="E47:T47"/>
    <mergeCell ref="E48:T48"/>
    <mergeCell ref="BO48:BR48"/>
    <mergeCell ref="U52:AD52"/>
    <mergeCell ref="AE52:AH52"/>
    <mergeCell ref="AI52:AK52"/>
    <mergeCell ref="AL52:AN52"/>
    <mergeCell ref="AO52:AR52"/>
    <mergeCell ref="AS52:BD52"/>
    <mergeCell ref="BE52:BH52"/>
    <mergeCell ref="BI52:BK52"/>
    <mergeCell ref="BL52:BN52"/>
    <mergeCell ref="BO52:BR52"/>
    <mergeCell ref="BO46:BR46"/>
    <mergeCell ref="U47:AD47"/>
    <mergeCell ref="AE47:AH47"/>
    <mergeCell ref="AI47:AK47"/>
    <mergeCell ref="AL47:AN47"/>
    <mergeCell ref="AO47:AR47"/>
    <mergeCell ref="AS47:BD47"/>
    <mergeCell ref="BE47:BH47"/>
    <mergeCell ref="BI47:BK47"/>
    <mergeCell ref="BL47:BN47"/>
    <mergeCell ref="BO45:BR45"/>
    <mergeCell ref="E31:T31"/>
    <mergeCell ref="E32:T32"/>
    <mergeCell ref="E33:T33"/>
    <mergeCell ref="E34:T34"/>
    <mergeCell ref="E35:T35"/>
    <mergeCell ref="E36:T36"/>
    <mergeCell ref="E37:T37"/>
    <mergeCell ref="E42:T42"/>
    <mergeCell ref="E43:T43"/>
    <mergeCell ref="E44:T44"/>
    <mergeCell ref="E45:T45"/>
    <mergeCell ref="U45:AD45"/>
    <mergeCell ref="AE45:AH45"/>
    <mergeCell ref="AI45:AK45"/>
    <mergeCell ref="AL45:AN45"/>
    <mergeCell ref="BO35:BR35"/>
    <mergeCell ref="U36:AD36"/>
    <mergeCell ref="AE36:AH36"/>
    <mergeCell ref="AI36:AK36"/>
    <mergeCell ref="U35:AD35"/>
    <mergeCell ref="AE35:AH35"/>
    <mergeCell ref="AI35:AK35"/>
    <mergeCell ref="AL35:AN35"/>
    <mergeCell ref="D19:F21"/>
    <mergeCell ref="D22:F24"/>
    <mergeCell ref="D25:F27"/>
    <mergeCell ref="H19:J19"/>
    <mergeCell ref="H20:J20"/>
    <mergeCell ref="H21:J21"/>
    <mergeCell ref="H22:J22"/>
    <mergeCell ref="H23:J23"/>
    <mergeCell ref="H24:J24"/>
    <mergeCell ref="H25:J25"/>
    <mergeCell ref="H26:J26"/>
    <mergeCell ref="H27:J27"/>
  </mergeCells>
  <phoneticPr fontId="198" type="noConversion"/>
  <conditionalFormatting sqref="AS18 AI18:AI27 AL18:AL27 AO18:AO27 AE17:AE27 BG8:BG12 BD8:BD13 BB8 BM8:BM12 BJ8:BJ12 BG7:BR7 BP8:BP12 F16:AO16 E13:AY14 BS6:BS14 AP15:BS16 B53:BS53 B5:C6 B8:C52 B7 D8:D17 D6 S6 B2:C2 E15:E16 BL19:BL27 D28:BR28 BE17 BI19:BI27 BO19:BO27 D22 D30:T30 BS17:BS52 D25 D19 D31 AE29:AE37 AI29:AI37 AL29:AL37 AO29:AO37 BL29:BL37 BE29:BE37 BI29:BI37 BO29:BO37 D41:T41 D52:T52 AE42:AE48 AI42:AI48 AL42:AL48 AO42:AO48 BE42:BE48 BI42:BI48 BL42:BL48 BO42:BO48 D29 D42 BE19:BE27 E8:E12 R8:T12 D5:BS5 BO52 BL52 BI52 BE52 AO52 AL52 AI52 AE52">
    <cfRule type="expression" dxfId="1980" priority="478">
      <formula>IF($BF$56=INDIRECT($O$4&amp;"!C42"),1,0)</formula>
    </cfRule>
  </conditionalFormatting>
  <conditionalFormatting sqref="U18">
    <cfRule type="expression" dxfId="1979" priority="35">
      <formula>IF($BF$56=INDIRECT($O$4&amp;"!C42"),1,0)</formula>
    </cfRule>
  </conditionalFormatting>
  <conditionalFormatting sqref="BE18">
    <cfRule type="expression" dxfId="1978" priority="34">
      <formula>IF($BF$56=INDIRECT($O$4&amp;"!C42"),1,0)</formula>
    </cfRule>
  </conditionalFormatting>
  <conditionalFormatting sqref="BI18">
    <cfRule type="expression" dxfId="1977" priority="33">
      <formula>IF($BF$56=INDIRECT($O$4&amp;"!C42"),1,0)</formula>
    </cfRule>
  </conditionalFormatting>
  <conditionalFormatting sqref="BL18">
    <cfRule type="expression" dxfId="1976" priority="32">
      <formula>IF($BF$56=INDIRECT($O$4&amp;"!C42"),1,0)</formula>
    </cfRule>
  </conditionalFormatting>
  <conditionalFormatting sqref="BO18">
    <cfRule type="expression" dxfId="1975" priority="31">
      <formula>IF($BF$56=INDIRECT($O$4&amp;"!C42"),1,0)</formula>
    </cfRule>
  </conditionalFormatting>
  <conditionalFormatting sqref="AE49 AI49 AL49 AO49 BE49 BI49 BL49 BO49">
    <cfRule type="expression" dxfId="1974" priority="30">
      <formula>IF($BF$56=INDIRECT($O$4&amp;"!C42"),1,0)</formula>
    </cfRule>
  </conditionalFormatting>
  <conditionalFormatting sqref="AE50 AI50 AL50 AO50 BE50 BI50 BL50 BO50">
    <cfRule type="expression" dxfId="1973" priority="25">
      <formula>IF($BF$56=INDIRECT($O$4&amp;"!C42"),1,0)</formula>
    </cfRule>
  </conditionalFormatting>
  <conditionalFormatting sqref="AE51 AI51 AL51 AO51 BE51 BI51 BL51 BO51">
    <cfRule type="expression" dxfId="1972" priority="20">
      <formula>IF($BF$56=INDIRECT($O$4&amp;"!C42"),1,0)</formula>
    </cfRule>
  </conditionalFormatting>
  <conditionalFormatting sqref="AE38 AI38 AL38 AO38 BL38 BE38 BI38 BO38">
    <cfRule type="expression" dxfId="1971" priority="15">
      <formula>IF($BF$56=INDIRECT($O$4&amp;"!C42"),1,0)</formula>
    </cfRule>
  </conditionalFormatting>
  <conditionalFormatting sqref="AE39 AI39 AL39 AO39 BL39 BE39 BI39 BO39">
    <cfRule type="expression" dxfId="1970" priority="10">
      <formula>IF($BF$56=INDIRECT($O$4&amp;"!C42"),1,0)</formula>
    </cfRule>
  </conditionalFormatting>
  <conditionalFormatting sqref="AE40 AI40 AL40 AO40 BL40 BE40 BI40 BO40">
    <cfRule type="expression" dxfId="1969" priority="5">
      <formula>IF($BF$56=INDIRECT($O$4&amp;"!C42"),1,0)</formula>
    </cfRule>
  </conditionalFormatting>
  <dataValidations count="2">
    <dataValidation type="list" allowBlank="1" showInputMessage="1" showErrorMessage="1" sqref="BI19:BK27 BI42:BK51 AI19:AK27 AI42:AK51 AI31:AK40 BI31:BK40">
      <formula1>$S$8:$S$12</formula1>
    </dataValidation>
    <dataValidation type="list" allowBlank="1" showInputMessage="1" showErrorMessage="1" sqref="BE19:BE27 AE19:AE27 BE42:BE51 AE42:AE51 AE31:AE40 BE31:BE40">
      <formula1>$D$8:$D$12</formula1>
    </dataValidation>
  </dataValidations>
  <pageMargins left="0.7" right="0.7" top="0.3046875" bottom="0.78740157499999996" header="0.3" footer="0.3"/>
  <pageSetup paperSize="9" scale="34"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91" operator="containsText" id="{1F807044-3334-4D97-99CB-D5AD77D423E5}">
            <xm:f>NOT(ISERROR(SEARCH("ALARP",AO19)))</xm:f>
            <xm:f>"ALARP"</xm:f>
            <x14:dxf>
              <font>
                <color auto="1"/>
              </font>
              <fill>
                <patternFill>
                  <bgColor rgb="FFFFFF00"/>
                </patternFill>
              </fill>
            </x14:dxf>
          </x14:cfRule>
          <x14:cfRule type="containsText" priority="92" operator="containsText" id="{C2003E88-A085-466D-975A-AEE415D22A11}">
            <xm:f>NOT(ISERROR(SEARCH("mid",AO19)))</xm:f>
            <xm:f>"mid"</xm:f>
            <x14:dxf>
              <font>
                <color auto="1"/>
              </font>
              <fill>
                <patternFill>
                  <bgColor rgb="FFFFC000"/>
                </patternFill>
              </fill>
            </x14:dxf>
          </x14:cfRule>
          <x14:cfRule type="containsText" priority="93" operator="containsText" id="{6A6C3B41-9CE4-4F79-9E26-5DCE46091A39}">
            <xm:f>NOT(ISERROR(SEARCH("low",AO19)))</xm:f>
            <xm:f>"low"</xm:f>
            <x14:dxf>
              <font>
                <color theme="1"/>
              </font>
              <fill>
                <patternFill>
                  <bgColor rgb="FF00B050"/>
                </patternFill>
              </fill>
            </x14:dxf>
          </x14:cfRule>
          <x14:cfRule type="containsText" priority="94" operator="containsText" id="{F9918140-6E35-4581-AE99-0469A9F85C66}">
            <xm:f>NOT(ISERROR(SEARCH("high",AO19)))</xm:f>
            <xm:f>"high"</xm:f>
            <x14:dxf>
              <font>
                <color auto="1"/>
              </font>
              <fill>
                <patternFill>
                  <bgColor rgb="FFFF0000"/>
                </patternFill>
              </fill>
            </x14:dxf>
          </x14:cfRule>
          <xm:sqref>AO20:AR27 AO31:AR37 BO31:BR37 AO42:AR48 BO42:BR48 AO19</xm:sqref>
        </x14:conditionalFormatting>
        <x14:conditionalFormatting xmlns:xm="http://schemas.microsoft.com/office/excel/2006/main">
          <x14:cfRule type="containsText" priority="85" operator="containsText" id="{09A3ECE3-0594-4D12-B2C6-DABD60CFFB94}">
            <xm:f>NOT(ISERROR(SEARCH("ALARP",BO19)))</xm:f>
            <xm:f>"ALARP"</xm:f>
            <x14:dxf>
              <font>
                <color auto="1"/>
              </font>
              <fill>
                <patternFill>
                  <bgColor rgb="FFFFFF00"/>
                </patternFill>
              </fill>
            </x14:dxf>
          </x14:cfRule>
          <x14:cfRule type="containsText" priority="86" operator="containsText" id="{46D4E4BE-1027-49B3-8F75-62D435CD8E3C}">
            <xm:f>NOT(ISERROR(SEARCH("mid",BO19)))</xm:f>
            <xm:f>"mid"</xm:f>
            <x14:dxf>
              <font>
                <color auto="1"/>
              </font>
              <fill>
                <patternFill>
                  <bgColor rgb="FFFFC000"/>
                </patternFill>
              </fill>
            </x14:dxf>
          </x14:cfRule>
          <x14:cfRule type="containsText" priority="87" operator="containsText" id="{8A31CE0E-1BB8-484C-8746-EDAA5E2A2CF0}">
            <xm:f>NOT(ISERROR(SEARCH("low",BO19)))</xm:f>
            <xm:f>"low"</xm:f>
            <x14:dxf>
              <font>
                <color theme="1"/>
              </font>
              <fill>
                <patternFill>
                  <bgColor rgb="FF00B050"/>
                </patternFill>
              </fill>
            </x14:dxf>
          </x14:cfRule>
          <x14:cfRule type="containsText" priority="88" operator="containsText" id="{9850ACC5-3A55-43EE-B87A-D060F72734B9}">
            <xm:f>NOT(ISERROR(SEARCH("high",BO19)))</xm:f>
            <xm:f>"high"</xm:f>
            <x14:dxf>
              <font>
                <color auto="1"/>
              </font>
              <fill>
                <patternFill>
                  <bgColor rgb="FFFF0000"/>
                </patternFill>
              </fill>
            </x14:dxf>
          </x14:cfRule>
          <xm:sqref>BO19:BR27</xm:sqref>
        </x14:conditionalFormatting>
        <x14:conditionalFormatting xmlns:xm="http://schemas.microsoft.com/office/excel/2006/main">
          <x14:cfRule type="containsText" priority="77" operator="containsText" id="{1B0616E2-F9BF-4A29-A6DD-712DDD79835A}">
            <xm:f>NOT(ISERROR(SEARCH("ALARP",AO29)))</xm:f>
            <xm:f>"ALARP"</xm:f>
            <x14:dxf>
              <font>
                <color auto="1"/>
              </font>
              <fill>
                <patternFill>
                  <bgColor rgb="FFFFFF00"/>
                </patternFill>
              </fill>
            </x14:dxf>
          </x14:cfRule>
          <x14:cfRule type="containsText" priority="78" operator="containsText" id="{24213EFE-EFD5-439B-A5EA-721DBF65C2D0}">
            <xm:f>NOT(ISERROR(SEARCH("mid",AO29)))</xm:f>
            <xm:f>"mid"</xm:f>
            <x14:dxf>
              <font>
                <color auto="1"/>
              </font>
              <fill>
                <patternFill>
                  <bgColor rgb="FFFFC000"/>
                </patternFill>
              </fill>
            </x14:dxf>
          </x14:cfRule>
          <x14:cfRule type="containsText" priority="79" operator="containsText" id="{D93C2A99-8E23-45D9-AC5F-477EB209D4E1}">
            <xm:f>NOT(ISERROR(SEARCH("low",AO29)))</xm:f>
            <xm:f>"low"</xm:f>
            <x14:dxf>
              <font>
                <color theme="1"/>
              </font>
              <fill>
                <patternFill>
                  <bgColor rgb="FF00B050"/>
                </patternFill>
              </fill>
            </x14:dxf>
          </x14:cfRule>
          <x14:cfRule type="containsText" priority="80" operator="containsText" id="{1DFC2426-0FF2-471B-A900-DA1C6F7D3ADD}">
            <xm:f>NOT(ISERROR(SEARCH("high",AO29)))</xm:f>
            <xm:f>"high"</xm:f>
            <x14:dxf>
              <font>
                <color auto="1"/>
              </font>
              <fill>
                <patternFill>
                  <bgColor rgb="FFFF0000"/>
                </patternFill>
              </fill>
            </x14:dxf>
          </x14:cfRule>
          <xm:sqref>AO29:AR29</xm:sqref>
        </x14:conditionalFormatting>
        <x14:conditionalFormatting xmlns:xm="http://schemas.microsoft.com/office/excel/2006/main">
          <x14:cfRule type="containsText" priority="73" operator="containsText" id="{6BEE3847-BCF7-485C-95F1-F05F0BADA7D1}">
            <xm:f>NOT(ISERROR(SEARCH("ALARP",BO29)))</xm:f>
            <xm:f>"ALARP"</xm:f>
            <x14:dxf>
              <font>
                <color auto="1"/>
              </font>
              <fill>
                <patternFill>
                  <bgColor rgb="FFFFFF00"/>
                </patternFill>
              </fill>
            </x14:dxf>
          </x14:cfRule>
          <x14:cfRule type="containsText" priority="74" operator="containsText" id="{7023BA9D-3D6E-457C-AA7B-8981A568D7C6}">
            <xm:f>NOT(ISERROR(SEARCH("mid",BO29)))</xm:f>
            <xm:f>"mid"</xm:f>
            <x14:dxf>
              <font>
                <color auto="1"/>
              </font>
              <fill>
                <patternFill>
                  <bgColor rgb="FFFFC000"/>
                </patternFill>
              </fill>
            </x14:dxf>
          </x14:cfRule>
          <x14:cfRule type="containsText" priority="75" operator="containsText" id="{7E707F76-3239-454D-A90D-7C89400275F3}">
            <xm:f>NOT(ISERROR(SEARCH("low",BO29)))</xm:f>
            <xm:f>"low"</xm:f>
            <x14:dxf>
              <font>
                <color theme="1"/>
              </font>
              <fill>
                <patternFill>
                  <bgColor rgb="FF00B050"/>
                </patternFill>
              </fill>
            </x14:dxf>
          </x14:cfRule>
          <x14:cfRule type="containsText" priority="76" operator="containsText" id="{7AE0040E-7F7D-48BE-AB68-D9FCFDCE9D52}">
            <xm:f>NOT(ISERROR(SEARCH("high",BO29)))</xm:f>
            <xm:f>"high"</xm:f>
            <x14:dxf>
              <font>
                <color auto="1"/>
              </font>
              <fill>
                <patternFill>
                  <bgColor rgb="FFFF0000"/>
                </patternFill>
              </fill>
            </x14:dxf>
          </x14:cfRule>
          <xm:sqref>BO29:BR29</xm:sqref>
        </x14:conditionalFormatting>
        <x14:conditionalFormatting xmlns:xm="http://schemas.microsoft.com/office/excel/2006/main">
          <x14:cfRule type="containsText" priority="68" operator="containsText" id="{7DCACB63-DBF4-4D9F-A319-52B5340E8DC4}">
            <xm:f>NOT(ISERROR(SEARCH("ALARP",AO30)))</xm:f>
            <xm:f>"ALARP"</xm:f>
            <x14:dxf>
              <font>
                <color auto="1"/>
              </font>
              <fill>
                <patternFill>
                  <bgColor rgb="FFFFFF00"/>
                </patternFill>
              </fill>
            </x14:dxf>
          </x14:cfRule>
          <x14:cfRule type="containsText" priority="69" operator="containsText" id="{EC7C9AF3-C1F2-4819-A91D-80BAC01E306E}">
            <xm:f>NOT(ISERROR(SEARCH("mid",AO30)))</xm:f>
            <xm:f>"mid"</xm:f>
            <x14:dxf>
              <font>
                <color auto="1"/>
              </font>
              <fill>
                <patternFill>
                  <bgColor rgb="FFFFC000"/>
                </patternFill>
              </fill>
            </x14:dxf>
          </x14:cfRule>
          <x14:cfRule type="containsText" priority="70" operator="containsText" id="{4E0B0E53-44A2-49D6-A743-FA3A6C995DC7}">
            <xm:f>NOT(ISERROR(SEARCH("low",AO30)))</xm:f>
            <xm:f>"low"</xm:f>
            <x14:dxf>
              <font>
                <color theme="1"/>
              </font>
              <fill>
                <patternFill>
                  <bgColor rgb="FF00B050"/>
                </patternFill>
              </fill>
            </x14:dxf>
          </x14:cfRule>
          <x14:cfRule type="containsText" priority="71" operator="containsText" id="{E76835B8-4D29-4A90-A7B3-04D1210D8647}">
            <xm:f>NOT(ISERROR(SEARCH("high",AO30)))</xm:f>
            <xm:f>"high"</xm:f>
            <x14:dxf>
              <font>
                <color auto="1"/>
              </font>
              <fill>
                <patternFill>
                  <bgColor rgb="FFFF0000"/>
                </patternFill>
              </fill>
            </x14:dxf>
          </x14:cfRule>
          <xm:sqref>AO30:AR30</xm:sqref>
        </x14:conditionalFormatting>
        <x14:conditionalFormatting xmlns:xm="http://schemas.microsoft.com/office/excel/2006/main">
          <x14:cfRule type="containsText" priority="64" operator="containsText" id="{166B1C32-0370-4715-BA90-7678752B00BF}">
            <xm:f>NOT(ISERROR(SEARCH("ALARP",BO30)))</xm:f>
            <xm:f>"ALARP"</xm:f>
            <x14:dxf>
              <font>
                <color auto="1"/>
              </font>
              <fill>
                <patternFill>
                  <bgColor rgb="FFFFFF00"/>
                </patternFill>
              </fill>
            </x14:dxf>
          </x14:cfRule>
          <x14:cfRule type="containsText" priority="65" operator="containsText" id="{C2B6F964-F205-4A63-B424-2F341908976C}">
            <xm:f>NOT(ISERROR(SEARCH("mid",BO30)))</xm:f>
            <xm:f>"mid"</xm:f>
            <x14:dxf>
              <font>
                <color auto="1"/>
              </font>
              <fill>
                <patternFill>
                  <bgColor rgb="FFFFC000"/>
                </patternFill>
              </fill>
            </x14:dxf>
          </x14:cfRule>
          <x14:cfRule type="containsText" priority="66" operator="containsText" id="{92AFA28C-8414-4F98-BFF0-6E68D67A1AAD}">
            <xm:f>NOT(ISERROR(SEARCH("low",BO30)))</xm:f>
            <xm:f>"low"</xm:f>
            <x14:dxf>
              <font>
                <color theme="1"/>
              </font>
              <fill>
                <patternFill>
                  <bgColor rgb="FF00B050"/>
                </patternFill>
              </fill>
            </x14:dxf>
          </x14:cfRule>
          <x14:cfRule type="containsText" priority="67" operator="containsText" id="{6B32493A-270F-4F10-8C46-F97807DEB8A5}">
            <xm:f>NOT(ISERROR(SEARCH("high",BO30)))</xm:f>
            <xm:f>"high"</xm:f>
            <x14:dxf>
              <font>
                <color auto="1"/>
              </font>
              <fill>
                <patternFill>
                  <bgColor rgb="FFFF0000"/>
                </patternFill>
              </fill>
            </x14:dxf>
          </x14:cfRule>
          <xm:sqref>BO30:BR30</xm:sqref>
        </x14:conditionalFormatting>
        <x14:conditionalFormatting xmlns:xm="http://schemas.microsoft.com/office/excel/2006/main">
          <x14:cfRule type="containsText" priority="58" operator="containsText" id="{4ACF6C30-488F-4AF4-B71F-1E7A2932879D}">
            <xm:f>NOT(ISERROR(SEARCH("ALARP",AO52)))</xm:f>
            <xm:f>"ALARP"</xm:f>
            <x14:dxf>
              <font>
                <color auto="1"/>
              </font>
              <fill>
                <patternFill>
                  <bgColor rgb="FFFFFF00"/>
                </patternFill>
              </fill>
            </x14:dxf>
          </x14:cfRule>
          <x14:cfRule type="containsText" priority="59" operator="containsText" id="{19D6F82A-B0A5-4F46-A340-ECAFC3F3B321}">
            <xm:f>NOT(ISERROR(SEARCH("mid",AO52)))</xm:f>
            <xm:f>"mid"</xm:f>
            <x14:dxf>
              <font>
                <color auto="1"/>
              </font>
              <fill>
                <patternFill>
                  <bgColor rgb="FFFFC000"/>
                </patternFill>
              </fill>
            </x14:dxf>
          </x14:cfRule>
          <x14:cfRule type="containsText" priority="60" operator="containsText" id="{57291BEE-F4DB-4EEA-971E-EB45D2ECFCC6}">
            <xm:f>NOT(ISERROR(SEARCH("low",AO52)))</xm:f>
            <xm:f>"low"</xm:f>
            <x14:dxf>
              <font>
                <color theme="1"/>
              </font>
              <fill>
                <patternFill>
                  <bgColor rgb="FF00B050"/>
                </patternFill>
              </fill>
            </x14:dxf>
          </x14:cfRule>
          <x14:cfRule type="containsText" priority="61" operator="containsText" id="{E5D1FC04-7E19-4787-8AFA-4FCBF1BCDE15}">
            <xm:f>NOT(ISERROR(SEARCH("high",AO52)))</xm:f>
            <xm:f>"high"</xm:f>
            <x14:dxf>
              <font>
                <color auto="1"/>
              </font>
              <fill>
                <patternFill>
                  <bgColor rgb="FFFF0000"/>
                </patternFill>
              </fill>
            </x14:dxf>
          </x14:cfRule>
          <xm:sqref>AO52:AR52</xm:sqref>
        </x14:conditionalFormatting>
        <x14:conditionalFormatting xmlns:xm="http://schemas.microsoft.com/office/excel/2006/main">
          <x14:cfRule type="containsText" priority="54" operator="containsText" id="{B426D657-D17D-45E7-AC83-EBD795DD6E27}">
            <xm:f>NOT(ISERROR(SEARCH("ALARP",BO52)))</xm:f>
            <xm:f>"ALARP"</xm:f>
            <x14:dxf>
              <font>
                <color auto="1"/>
              </font>
              <fill>
                <patternFill>
                  <bgColor rgb="FFFFFF00"/>
                </patternFill>
              </fill>
            </x14:dxf>
          </x14:cfRule>
          <x14:cfRule type="containsText" priority="55" operator="containsText" id="{2D0983E8-886F-4CE6-9498-04DE74275F1C}">
            <xm:f>NOT(ISERROR(SEARCH("mid",BO52)))</xm:f>
            <xm:f>"mid"</xm:f>
            <x14:dxf>
              <font>
                <color auto="1"/>
              </font>
              <fill>
                <patternFill>
                  <bgColor rgb="FFFFC000"/>
                </patternFill>
              </fill>
            </x14:dxf>
          </x14:cfRule>
          <x14:cfRule type="containsText" priority="56" operator="containsText" id="{573D62FA-0A3A-4C9D-B05E-08D02CA57CE5}">
            <xm:f>NOT(ISERROR(SEARCH("low",BO52)))</xm:f>
            <xm:f>"low"</xm:f>
            <x14:dxf>
              <font>
                <color theme="1"/>
              </font>
              <fill>
                <patternFill>
                  <bgColor rgb="FF00B050"/>
                </patternFill>
              </fill>
            </x14:dxf>
          </x14:cfRule>
          <x14:cfRule type="containsText" priority="57" operator="containsText" id="{D3014550-3F7F-4ABA-AB6A-5F017F376006}">
            <xm:f>NOT(ISERROR(SEARCH("high",BO52)))</xm:f>
            <xm:f>"high"</xm:f>
            <x14:dxf>
              <font>
                <color auto="1"/>
              </font>
              <fill>
                <patternFill>
                  <bgColor rgb="FFFF0000"/>
                </patternFill>
              </fill>
            </x14:dxf>
          </x14:cfRule>
          <xm:sqref>BO52:BR52</xm:sqref>
        </x14:conditionalFormatting>
        <x14:conditionalFormatting xmlns:xm="http://schemas.microsoft.com/office/excel/2006/main">
          <x14:cfRule type="containsText" priority="26" operator="containsText" id="{A05BE42A-CB6A-4CFC-9073-956EE1726A04}">
            <xm:f>NOT(ISERROR(SEARCH("ALARP",AO49)))</xm:f>
            <xm:f>"ALARP"</xm:f>
            <x14:dxf>
              <font>
                <color auto="1"/>
              </font>
              <fill>
                <patternFill>
                  <bgColor rgb="FFFFFF00"/>
                </patternFill>
              </fill>
            </x14:dxf>
          </x14:cfRule>
          <x14:cfRule type="containsText" priority="27" operator="containsText" id="{D6210C77-E9B4-4795-99D1-3396D7458965}">
            <xm:f>NOT(ISERROR(SEARCH("mid",AO49)))</xm:f>
            <xm:f>"mid"</xm:f>
            <x14:dxf>
              <font>
                <color auto="1"/>
              </font>
              <fill>
                <patternFill>
                  <bgColor rgb="FFFFC000"/>
                </patternFill>
              </fill>
            </x14:dxf>
          </x14:cfRule>
          <x14:cfRule type="containsText" priority="28" operator="containsText" id="{C10A1944-0032-4DCD-B33E-1D4280EC3CB5}">
            <xm:f>NOT(ISERROR(SEARCH("low",AO49)))</xm:f>
            <xm:f>"low"</xm:f>
            <x14:dxf>
              <font>
                <color theme="1"/>
              </font>
              <fill>
                <patternFill>
                  <bgColor rgb="FF00B050"/>
                </patternFill>
              </fill>
            </x14:dxf>
          </x14:cfRule>
          <x14:cfRule type="containsText" priority="29" operator="containsText" id="{FDCC0B5D-EC4E-461E-A0E2-1C38BAAA35FF}">
            <xm:f>NOT(ISERROR(SEARCH("high",AO49)))</xm:f>
            <xm:f>"high"</xm:f>
            <x14:dxf>
              <font>
                <color auto="1"/>
              </font>
              <fill>
                <patternFill>
                  <bgColor rgb="FFFF0000"/>
                </patternFill>
              </fill>
            </x14:dxf>
          </x14:cfRule>
          <xm:sqref>AO49:AR49 BO49:BR49</xm:sqref>
        </x14:conditionalFormatting>
        <x14:conditionalFormatting xmlns:xm="http://schemas.microsoft.com/office/excel/2006/main">
          <x14:cfRule type="containsText" priority="21" operator="containsText" id="{BEB75894-0C4B-4A09-8BD9-7F5D8E3FF603}">
            <xm:f>NOT(ISERROR(SEARCH("ALARP",AO50)))</xm:f>
            <xm:f>"ALARP"</xm:f>
            <x14:dxf>
              <font>
                <color auto="1"/>
              </font>
              <fill>
                <patternFill>
                  <bgColor rgb="FFFFFF00"/>
                </patternFill>
              </fill>
            </x14:dxf>
          </x14:cfRule>
          <x14:cfRule type="containsText" priority="22" operator="containsText" id="{B95ACD5F-57BA-401C-BB70-E1C492504C42}">
            <xm:f>NOT(ISERROR(SEARCH("mid",AO50)))</xm:f>
            <xm:f>"mid"</xm:f>
            <x14:dxf>
              <font>
                <color auto="1"/>
              </font>
              <fill>
                <patternFill>
                  <bgColor rgb="FFFFC000"/>
                </patternFill>
              </fill>
            </x14:dxf>
          </x14:cfRule>
          <x14:cfRule type="containsText" priority="23" operator="containsText" id="{C6ECE6B6-0943-4ADE-9454-4DAFCD9F4496}">
            <xm:f>NOT(ISERROR(SEARCH("low",AO50)))</xm:f>
            <xm:f>"low"</xm:f>
            <x14:dxf>
              <font>
                <color theme="1"/>
              </font>
              <fill>
                <patternFill>
                  <bgColor rgb="FF00B050"/>
                </patternFill>
              </fill>
            </x14:dxf>
          </x14:cfRule>
          <x14:cfRule type="containsText" priority="24" operator="containsText" id="{D9442F54-9599-4CAD-AFB4-6D273BCF6013}">
            <xm:f>NOT(ISERROR(SEARCH("high",AO50)))</xm:f>
            <xm:f>"high"</xm:f>
            <x14:dxf>
              <font>
                <color auto="1"/>
              </font>
              <fill>
                <patternFill>
                  <bgColor rgb="FFFF0000"/>
                </patternFill>
              </fill>
            </x14:dxf>
          </x14:cfRule>
          <xm:sqref>AO50:AR50 BO50:BR50</xm:sqref>
        </x14:conditionalFormatting>
        <x14:conditionalFormatting xmlns:xm="http://schemas.microsoft.com/office/excel/2006/main">
          <x14:cfRule type="containsText" priority="16" operator="containsText" id="{3355FC01-E291-49DE-8B04-084CBB093001}">
            <xm:f>NOT(ISERROR(SEARCH("ALARP",AO51)))</xm:f>
            <xm:f>"ALARP"</xm:f>
            <x14:dxf>
              <font>
                <color auto="1"/>
              </font>
              <fill>
                <patternFill>
                  <bgColor rgb="FFFFFF00"/>
                </patternFill>
              </fill>
            </x14:dxf>
          </x14:cfRule>
          <x14:cfRule type="containsText" priority="17" operator="containsText" id="{A24028A4-4B6C-462C-A477-3C61005C27B1}">
            <xm:f>NOT(ISERROR(SEARCH("mid",AO51)))</xm:f>
            <xm:f>"mid"</xm:f>
            <x14:dxf>
              <font>
                <color auto="1"/>
              </font>
              <fill>
                <patternFill>
                  <bgColor rgb="FFFFC000"/>
                </patternFill>
              </fill>
            </x14:dxf>
          </x14:cfRule>
          <x14:cfRule type="containsText" priority="18" operator="containsText" id="{6A6D3A5C-40A7-49DF-BE7A-A50072898F18}">
            <xm:f>NOT(ISERROR(SEARCH("low",AO51)))</xm:f>
            <xm:f>"low"</xm:f>
            <x14:dxf>
              <font>
                <color theme="1"/>
              </font>
              <fill>
                <patternFill>
                  <bgColor rgb="FF00B050"/>
                </patternFill>
              </fill>
            </x14:dxf>
          </x14:cfRule>
          <x14:cfRule type="containsText" priority="19" operator="containsText" id="{8FE926E6-C3EA-46C4-A34E-75346FC91DCF}">
            <xm:f>NOT(ISERROR(SEARCH("high",AO51)))</xm:f>
            <xm:f>"high"</xm:f>
            <x14:dxf>
              <font>
                <color auto="1"/>
              </font>
              <fill>
                <patternFill>
                  <bgColor rgb="FFFF0000"/>
                </patternFill>
              </fill>
            </x14:dxf>
          </x14:cfRule>
          <xm:sqref>AO51:AR51 BO51:BR51</xm:sqref>
        </x14:conditionalFormatting>
        <x14:conditionalFormatting xmlns:xm="http://schemas.microsoft.com/office/excel/2006/main">
          <x14:cfRule type="containsText" priority="11" operator="containsText" id="{5073C809-013E-4A71-874A-44B5C88372B5}">
            <xm:f>NOT(ISERROR(SEARCH("ALARP",AO38)))</xm:f>
            <xm:f>"ALARP"</xm:f>
            <x14:dxf>
              <font>
                <color auto="1"/>
              </font>
              <fill>
                <patternFill>
                  <bgColor rgb="FFFFFF00"/>
                </patternFill>
              </fill>
            </x14:dxf>
          </x14:cfRule>
          <x14:cfRule type="containsText" priority="12" operator="containsText" id="{D080B6F7-05FA-47E3-B957-57096BB107ED}">
            <xm:f>NOT(ISERROR(SEARCH("mid",AO38)))</xm:f>
            <xm:f>"mid"</xm:f>
            <x14:dxf>
              <font>
                <color auto="1"/>
              </font>
              <fill>
                <patternFill>
                  <bgColor rgb="FFFFC000"/>
                </patternFill>
              </fill>
            </x14:dxf>
          </x14:cfRule>
          <x14:cfRule type="containsText" priority="13" operator="containsText" id="{6929DCE3-6F58-43AC-8897-8F60634F7604}">
            <xm:f>NOT(ISERROR(SEARCH("low",AO38)))</xm:f>
            <xm:f>"low"</xm:f>
            <x14:dxf>
              <font>
                <color theme="1"/>
              </font>
              <fill>
                <patternFill>
                  <bgColor rgb="FF00B050"/>
                </patternFill>
              </fill>
            </x14:dxf>
          </x14:cfRule>
          <x14:cfRule type="containsText" priority="14" operator="containsText" id="{4480EB51-8804-4A5A-AD84-AEF7BD777D2F}">
            <xm:f>NOT(ISERROR(SEARCH("high",AO38)))</xm:f>
            <xm:f>"high"</xm:f>
            <x14:dxf>
              <font>
                <color auto="1"/>
              </font>
              <fill>
                <patternFill>
                  <bgColor rgb="FFFF0000"/>
                </patternFill>
              </fill>
            </x14:dxf>
          </x14:cfRule>
          <xm:sqref>AO38:AR38 BO38:BR38</xm:sqref>
        </x14:conditionalFormatting>
        <x14:conditionalFormatting xmlns:xm="http://schemas.microsoft.com/office/excel/2006/main">
          <x14:cfRule type="containsText" priority="6" operator="containsText" id="{91F53656-FB4B-4D66-9595-00FDB63F3B93}">
            <xm:f>NOT(ISERROR(SEARCH("ALARP",AO39)))</xm:f>
            <xm:f>"ALARP"</xm:f>
            <x14:dxf>
              <font>
                <color auto="1"/>
              </font>
              <fill>
                <patternFill>
                  <bgColor rgb="FFFFFF00"/>
                </patternFill>
              </fill>
            </x14:dxf>
          </x14:cfRule>
          <x14:cfRule type="containsText" priority="7" operator="containsText" id="{68A98E5A-A432-49B2-A32A-E6EDE9650003}">
            <xm:f>NOT(ISERROR(SEARCH("mid",AO39)))</xm:f>
            <xm:f>"mid"</xm:f>
            <x14:dxf>
              <font>
                <color auto="1"/>
              </font>
              <fill>
                <patternFill>
                  <bgColor rgb="FFFFC000"/>
                </patternFill>
              </fill>
            </x14:dxf>
          </x14:cfRule>
          <x14:cfRule type="containsText" priority="8" operator="containsText" id="{31284E7A-13B1-43C8-9F24-383DC03C0148}">
            <xm:f>NOT(ISERROR(SEARCH("low",AO39)))</xm:f>
            <xm:f>"low"</xm:f>
            <x14:dxf>
              <font>
                <color theme="1"/>
              </font>
              <fill>
                <patternFill>
                  <bgColor rgb="FF00B050"/>
                </patternFill>
              </fill>
            </x14:dxf>
          </x14:cfRule>
          <x14:cfRule type="containsText" priority="9" operator="containsText" id="{C7C8FD63-F2B5-4749-A15F-62C6099FF605}">
            <xm:f>NOT(ISERROR(SEARCH("high",AO39)))</xm:f>
            <xm:f>"high"</xm:f>
            <x14:dxf>
              <font>
                <color auto="1"/>
              </font>
              <fill>
                <patternFill>
                  <bgColor rgb="FFFF0000"/>
                </patternFill>
              </fill>
            </x14:dxf>
          </x14:cfRule>
          <xm:sqref>AO39:AR39 BO39:BR39</xm:sqref>
        </x14:conditionalFormatting>
        <x14:conditionalFormatting xmlns:xm="http://schemas.microsoft.com/office/excel/2006/main">
          <x14:cfRule type="containsText" priority="1" operator="containsText" id="{054A9770-6548-4A30-8196-637A939FC15F}">
            <xm:f>NOT(ISERROR(SEARCH("ALARP",AO40)))</xm:f>
            <xm:f>"ALARP"</xm:f>
            <x14:dxf>
              <font>
                <color auto="1"/>
              </font>
              <fill>
                <patternFill>
                  <bgColor rgb="FFFFFF00"/>
                </patternFill>
              </fill>
            </x14:dxf>
          </x14:cfRule>
          <x14:cfRule type="containsText" priority="2" operator="containsText" id="{3FD3F267-5C29-42FD-9A43-BEB18B71BC14}">
            <xm:f>NOT(ISERROR(SEARCH("mid",AO40)))</xm:f>
            <xm:f>"mid"</xm:f>
            <x14:dxf>
              <font>
                <color auto="1"/>
              </font>
              <fill>
                <patternFill>
                  <bgColor rgb="FFFFC000"/>
                </patternFill>
              </fill>
            </x14:dxf>
          </x14:cfRule>
          <x14:cfRule type="containsText" priority="3" operator="containsText" id="{FC0114BF-322E-4BB1-B133-331DC15B19DC}">
            <xm:f>NOT(ISERROR(SEARCH("low",AO40)))</xm:f>
            <xm:f>"low"</xm:f>
            <x14:dxf>
              <font>
                <color theme="1"/>
              </font>
              <fill>
                <patternFill>
                  <bgColor rgb="FF00B050"/>
                </patternFill>
              </fill>
            </x14:dxf>
          </x14:cfRule>
          <x14:cfRule type="containsText" priority="4" operator="containsText" id="{60F3C320-B663-4267-909C-3D823D08BAF5}">
            <xm:f>NOT(ISERROR(SEARCH("high",AO40)))</xm:f>
            <xm:f>"high"</xm:f>
            <x14:dxf>
              <font>
                <color auto="1"/>
              </font>
              <fill>
                <patternFill>
                  <bgColor rgb="FFFF0000"/>
                </patternFill>
              </fill>
            </x14:dxf>
          </x14:cfRule>
          <xm:sqref>AO40:AR40 BO40:BR40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DropDown!$J$2:$J$4</xm:f>
          </x14:formula1>
          <xm:sqref>L16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B70"/>
  <sheetViews>
    <sheetView showWhiteSpace="0" view="pageBreakPreview" zoomScale="40" zoomScaleNormal="50" zoomScaleSheetLayoutView="40" zoomScalePageLayoutView="50" workbookViewId="0">
      <selection activeCell="K2" sqref="K2:AC2"/>
    </sheetView>
  </sheetViews>
  <sheetFormatPr defaultColWidth="12.5546875" defaultRowHeight="13.8"/>
  <cols>
    <col min="1" max="2" width="1.6640625" style="95" customWidth="1"/>
    <col min="3" max="3" width="6.6640625" style="95" customWidth="1"/>
    <col min="4" max="29" width="6.6640625" style="130" customWidth="1"/>
    <col min="30" max="41" width="4.6640625" style="130" customWidth="1"/>
    <col min="42" max="47" width="6.6640625" style="130" customWidth="1"/>
    <col min="48" max="49" width="4.6640625" style="130" customWidth="1"/>
    <col min="50" max="66" width="6.6640625" style="130" customWidth="1"/>
    <col min="67" max="67" width="1.6640625" style="130" customWidth="1"/>
    <col min="68" max="68" width="1.6640625" style="95" customWidth="1"/>
    <col min="69" max="69" width="29.44140625" style="95" customWidth="1"/>
    <col min="70" max="71" width="14.33203125" style="95" customWidth="1"/>
    <col min="72" max="72" width="14.6640625" style="95" customWidth="1"/>
    <col min="73" max="73" width="28" style="95" customWidth="1"/>
    <col min="74" max="74" width="10.88671875" style="95" customWidth="1"/>
    <col min="75" max="75" width="14.5546875" style="95" customWidth="1"/>
    <col min="76" max="77" width="11" style="95" customWidth="1"/>
    <col min="78" max="78" width="13.109375" style="95" customWidth="1"/>
    <col min="79" max="79" width="12.6640625" style="95" customWidth="1"/>
    <col min="80" max="80" width="2.109375" style="95" customWidth="1"/>
    <col min="81" max="285" width="10.33203125" style="95" customWidth="1"/>
    <col min="286" max="16384" width="12.5546875" style="95"/>
  </cols>
  <sheetData>
    <row r="1" spans="1:80" ht="9" customHeight="1" thickBot="1">
      <c r="A1" s="90"/>
      <c r="B1" s="91"/>
      <c r="C1" s="91"/>
      <c r="D1" s="91"/>
      <c r="E1" s="91"/>
      <c r="F1" s="91"/>
      <c r="G1" s="91"/>
      <c r="H1" s="91"/>
      <c r="I1" s="92"/>
      <c r="J1" s="92"/>
      <c r="K1" s="92"/>
      <c r="L1" s="93"/>
      <c r="M1" s="93"/>
      <c r="N1" s="93"/>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3"/>
      <c r="BP1" s="94"/>
      <c r="BQ1" s="94"/>
      <c r="BR1" s="94"/>
      <c r="BS1" s="94"/>
      <c r="BT1" s="94"/>
      <c r="BU1" s="94"/>
      <c r="BV1" s="94"/>
      <c r="BW1" s="94"/>
      <c r="BX1" s="94"/>
      <c r="BY1" s="94"/>
      <c r="BZ1" s="94"/>
      <c r="CA1" s="94"/>
      <c r="CB1" s="94"/>
    </row>
    <row r="2" spans="1:80" ht="48.75" customHeight="1" thickBot="1">
      <c r="A2" s="96"/>
      <c r="B2" s="97"/>
      <c r="C2" s="98"/>
      <c r="D2" s="99"/>
      <c r="E2" s="99"/>
      <c r="F2" s="100"/>
      <c r="G2" s="100"/>
      <c r="H2" s="101"/>
      <c r="I2" s="101"/>
      <c r="J2" s="102"/>
      <c r="K2" s="1407" t="str">
        <f ca="1">INDIRECT('D1-D2-D3'!$J$4&amp;"!C2")&amp;"
"&amp;INDIRECT('D1-D2-D3'!$J$4&amp;"!C97")</f>
        <v>PROBLEM SOLVING SHEET
Data/Facts/Numbers</v>
      </c>
      <c r="L2" s="1408"/>
      <c r="M2" s="1408"/>
      <c r="N2" s="1408"/>
      <c r="O2" s="1408"/>
      <c r="P2" s="1408"/>
      <c r="Q2" s="1408"/>
      <c r="R2" s="1408"/>
      <c r="S2" s="1408"/>
      <c r="T2" s="1408"/>
      <c r="U2" s="1408"/>
      <c r="V2" s="1408"/>
      <c r="W2" s="1408"/>
      <c r="X2" s="1408"/>
      <c r="Y2" s="1408"/>
      <c r="Z2" s="1408"/>
      <c r="AA2" s="1408"/>
      <c r="AB2" s="1408"/>
      <c r="AC2" s="1409"/>
      <c r="AD2" s="1367" t="str">
        <f ca="1">INDIRECT('D1-D2-D3'!$J$4&amp;"!C3")</f>
        <v>PSS No.</v>
      </c>
      <c r="AE2" s="1368"/>
      <c r="AF2" s="1368"/>
      <c r="AG2" s="1368"/>
      <c r="AH2" s="1368"/>
      <c r="AI2" s="1368"/>
      <c r="AJ2" s="1413">
        <f>'D1-D2-D3'!$AI$4</f>
        <v>0</v>
      </c>
      <c r="AK2" s="1413"/>
      <c r="AL2" s="1413"/>
      <c r="AM2" s="1413"/>
      <c r="AN2" s="1413"/>
      <c r="AO2" s="1414"/>
      <c r="AP2" s="1221" t="s">
        <v>454</v>
      </c>
      <c r="AQ2" s="1222"/>
      <c r="AR2" s="1222"/>
      <c r="AS2" s="1222"/>
      <c r="AT2" s="1222"/>
      <c r="AU2" s="1222"/>
      <c r="AV2" s="1222"/>
      <c r="AW2" s="1223"/>
      <c r="AX2" s="1410" t="str">
        <f ca="1">INDIRECT('D1-D2-D3'!$J$4&amp;"!C96")</f>
        <v>Page 2: D4</v>
      </c>
      <c r="AY2" s="1411"/>
      <c r="AZ2" s="1411"/>
      <c r="BA2" s="1411"/>
      <c r="BB2" s="1411"/>
      <c r="BC2" s="1411"/>
      <c r="BD2" s="1411"/>
      <c r="BE2" s="1411"/>
      <c r="BF2" s="1411"/>
      <c r="BG2" s="1411"/>
      <c r="BH2" s="1411"/>
      <c r="BI2" s="1411"/>
      <c r="BJ2" s="1411"/>
      <c r="BK2" s="1411"/>
      <c r="BL2" s="1411"/>
      <c r="BM2" s="1411"/>
      <c r="BN2" s="1411"/>
      <c r="BO2" s="1412"/>
      <c r="BP2" s="103"/>
      <c r="BQ2" s="104"/>
      <c r="BR2" s="104"/>
      <c r="BS2" s="104"/>
      <c r="BT2" s="1363"/>
      <c r="BU2" s="1363"/>
      <c r="BV2" s="1363"/>
      <c r="BW2" s="1363"/>
      <c r="BX2" s="1363"/>
      <c r="BY2" s="1363"/>
      <c r="BZ2" s="1363"/>
      <c r="CA2" s="1363"/>
      <c r="CB2" s="32"/>
    </row>
    <row r="3" spans="1:80" ht="9" customHeight="1" thickBot="1">
      <c r="A3" s="105"/>
      <c r="B3" s="106"/>
      <c r="D3" s="107"/>
      <c r="E3" s="107"/>
      <c r="F3" s="108"/>
      <c r="G3" s="108"/>
      <c r="H3" s="31"/>
      <c r="I3" s="31"/>
      <c r="J3" s="109"/>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10"/>
      <c r="BP3" s="109"/>
      <c r="BQ3" s="109"/>
      <c r="BR3" s="109"/>
      <c r="BS3" s="109"/>
      <c r="BT3" s="32"/>
      <c r="BU3" s="32"/>
      <c r="BV3" s="32"/>
      <c r="BW3" s="32"/>
      <c r="BX3" s="32"/>
      <c r="BY3" s="32"/>
      <c r="BZ3" s="32"/>
      <c r="CA3" s="32"/>
      <c r="CB3" s="32"/>
    </row>
    <row r="4" spans="1:80" ht="10.5" customHeight="1">
      <c r="A4" s="111"/>
      <c r="B4" s="112"/>
      <c r="C4" s="113"/>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5"/>
      <c r="BP4" s="116"/>
      <c r="BQ4" s="117"/>
      <c r="BR4" s="117"/>
      <c r="BS4" s="117"/>
      <c r="BT4" s="117"/>
      <c r="BU4" s="117"/>
      <c r="BV4" s="117"/>
      <c r="BW4" s="117"/>
      <c r="BX4" s="117"/>
      <c r="BY4" s="117"/>
      <c r="BZ4" s="117"/>
      <c r="CA4" s="117"/>
      <c r="CB4" s="53"/>
    </row>
    <row r="5" spans="1:80" ht="9.75" customHeight="1">
      <c r="A5" s="118"/>
      <c r="B5" s="119"/>
      <c r="C5" s="120"/>
      <c r="D5" s="359"/>
      <c r="E5" s="121"/>
      <c r="F5" s="121"/>
      <c r="G5" s="122"/>
      <c r="H5" s="122"/>
      <c r="I5" s="122"/>
      <c r="J5" s="122"/>
      <c r="K5" s="122"/>
      <c r="L5" s="123"/>
      <c r="M5" s="123"/>
      <c r="N5" s="123"/>
      <c r="O5" s="123"/>
      <c r="P5" s="123"/>
      <c r="Q5" s="123"/>
      <c r="R5" s="123"/>
      <c r="S5" s="123"/>
      <c r="T5" s="123"/>
      <c r="U5" s="123"/>
      <c r="V5" s="123"/>
      <c r="W5" s="123"/>
      <c r="X5" s="123"/>
      <c r="Y5" s="123"/>
      <c r="Z5" s="123"/>
      <c r="AA5" s="123"/>
      <c r="AB5" s="124"/>
      <c r="AC5" s="124"/>
      <c r="AD5" s="123"/>
      <c r="AE5" s="123"/>
      <c r="AF5" s="123"/>
      <c r="AG5" s="123"/>
      <c r="AH5" s="123"/>
      <c r="AI5" s="123"/>
      <c r="AJ5" s="123"/>
      <c r="AK5" s="123"/>
      <c r="AL5" s="123"/>
      <c r="AM5" s="123"/>
      <c r="AN5" s="123"/>
      <c r="AO5" s="123"/>
      <c r="AP5" s="123"/>
      <c r="AQ5" s="123"/>
      <c r="AR5" s="123"/>
      <c r="AS5" s="123"/>
      <c r="AT5" s="123"/>
      <c r="AU5" s="123"/>
      <c r="AV5" s="123"/>
      <c r="AW5" s="123"/>
      <c r="AX5" s="123"/>
      <c r="AY5" s="123"/>
      <c r="AZ5" s="123"/>
      <c r="BA5" s="123"/>
      <c r="BB5" s="123"/>
      <c r="BC5" s="123"/>
      <c r="BD5" s="123"/>
      <c r="BE5" s="123"/>
      <c r="BF5" s="123"/>
      <c r="BG5" s="123"/>
      <c r="BH5" s="123"/>
      <c r="BI5" s="123"/>
      <c r="BJ5" s="123"/>
      <c r="BK5" s="123"/>
      <c r="BL5" s="123"/>
      <c r="BM5" s="123"/>
      <c r="BN5" s="120"/>
      <c r="BO5" s="125"/>
      <c r="BP5" s="126"/>
      <c r="BQ5" s="126"/>
      <c r="BR5" s="126"/>
      <c r="BS5" s="126"/>
      <c r="BT5" s="126"/>
      <c r="BU5" s="126"/>
      <c r="BV5" s="126"/>
      <c r="BW5" s="126"/>
      <c r="BX5" s="126"/>
      <c r="BY5" s="126"/>
      <c r="BZ5" s="126"/>
      <c r="CA5" s="126"/>
      <c r="CB5" s="127"/>
    </row>
    <row r="6" spans="1:80" ht="44.1" customHeight="1">
      <c r="A6" s="118"/>
      <c r="B6" s="119"/>
      <c r="C6" s="120"/>
      <c r="D6" s="359" t="str">
        <f ca="1">INDIRECT('D1-D2-D3'!$J$4&amp;"!C98")</f>
        <v>Rework</v>
      </c>
      <c r="E6" s="359"/>
      <c r="F6" s="359"/>
      <c r="G6" s="1429"/>
      <c r="H6" s="1429"/>
      <c r="I6" s="1429"/>
      <c r="J6" s="1429"/>
      <c r="K6" s="1429"/>
      <c r="L6" s="1429"/>
      <c r="M6" s="1429"/>
      <c r="N6" s="1429"/>
      <c r="O6" s="1429"/>
      <c r="P6" s="1429"/>
      <c r="Q6" s="1429"/>
      <c r="R6" s="1429"/>
      <c r="S6" s="128"/>
      <c r="T6" s="128"/>
      <c r="U6" s="128"/>
      <c r="V6" s="128"/>
      <c r="W6" s="128"/>
      <c r="X6" s="128"/>
      <c r="Y6" s="128"/>
      <c r="Z6" s="123"/>
      <c r="AA6" s="123"/>
      <c r="AB6" s="129"/>
      <c r="AC6" s="124"/>
      <c r="AD6" s="123"/>
      <c r="AE6" s="123"/>
      <c r="AF6" s="123"/>
      <c r="AG6" s="123"/>
      <c r="AH6" s="123"/>
      <c r="AI6" s="123"/>
      <c r="AJ6" s="123"/>
      <c r="AK6" s="123"/>
      <c r="AL6" s="123"/>
      <c r="AM6" s="123"/>
      <c r="AN6" s="123"/>
      <c r="AO6" s="123"/>
      <c r="AP6" s="123"/>
      <c r="AQ6" s="123"/>
      <c r="AR6" s="123"/>
      <c r="AS6" s="123"/>
      <c r="AT6" s="123"/>
      <c r="AU6" s="123"/>
      <c r="AV6" s="123"/>
      <c r="AW6" s="123"/>
      <c r="AX6" s="123"/>
      <c r="AY6" s="123"/>
      <c r="AZ6" s="123"/>
      <c r="BA6" s="123"/>
      <c r="BB6" s="123"/>
      <c r="BC6" s="123"/>
      <c r="BD6" s="123"/>
      <c r="BE6" s="123"/>
      <c r="BF6" s="123"/>
      <c r="BG6" s="123"/>
      <c r="BH6" s="123"/>
      <c r="BI6" s="123"/>
      <c r="BJ6" s="123"/>
      <c r="BK6" s="123"/>
      <c r="BL6" s="123"/>
      <c r="BM6" s="123"/>
      <c r="BN6" s="120"/>
      <c r="BO6" s="125"/>
      <c r="BP6" s="126"/>
      <c r="BQ6" s="126"/>
      <c r="BR6" s="126"/>
      <c r="BS6" s="126"/>
      <c r="BT6" s="126"/>
      <c r="BU6" s="126"/>
      <c r="BV6" s="126"/>
      <c r="BW6" s="126"/>
      <c r="BX6" s="126"/>
      <c r="BY6" s="126"/>
      <c r="BZ6" s="126"/>
      <c r="CA6" s="126"/>
      <c r="CB6" s="127"/>
    </row>
    <row r="7" spans="1:80" ht="44.1" customHeight="1">
      <c r="A7" s="118"/>
      <c r="B7" s="119"/>
      <c r="C7" s="120"/>
      <c r="D7" s="129" t="str">
        <f ca="1">INDIRECT('D1-D2-D3'!$J$4&amp;"!C102")</f>
        <v>Detailed information about rework</v>
      </c>
      <c r="E7" s="129"/>
      <c r="F7" s="129"/>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c r="AP7" s="131"/>
      <c r="AQ7" s="131"/>
      <c r="AR7" s="131"/>
      <c r="AS7" s="131"/>
      <c r="AT7" s="131"/>
      <c r="AU7" s="131"/>
      <c r="AV7" s="131"/>
      <c r="AW7" s="131"/>
      <c r="AX7" s="131"/>
      <c r="AY7" s="131"/>
      <c r="AZ7" s="131"/>
      <c r="BA7" s="131"/>
      <c r="BB7" s="131"/>
      <c r="BC7" s="131"/>
      <c r="BD7" s="131"/>
      <c r="BE7" s="131"/>
      <c r="BF7" s="131"/>
      <c r="BG7" s="131"/>
      <c r="BH7" s="131"/>
      <c r="BI7" s="131"/>
      <c r="BJ7" s="131"/>
      <c r="BK7" s="131"/>
      <c r="BL7" s="131"/>
      <c r="BM7" s="131"/>
      <c r="BN7" s="120"/>
      <c r="BO7" s="125"/>
      <c r="BP7" s="126"/>
      <c r="BQ7" s="126"/>
      <c r="BR7" s="126"/>
      <c r="BS7" s="126"/>
      <c r="BT7" s="126"/>
      <c r="BU7" s="126"/>
      <c r="BV7" s="126"/>
      <c r="BW7" s="126"/>
      <c r="BX7" s="126"/>
      <c r="BY7" s="126"/>
      <c r="BZ7" s="126"/>
      <c r="CA7" s="126"/>
      <c r="CB7" s="127"/>
    </row>
    <row r="8" spans="1:80" ht="50.1" customHeight="1">
      <c r="A8" s="118"/>
      <c r="B8" s="119"/>
      <c r="C8" s="120"/>
      <c r="D8" s="1427"/>
      <c r="E8" s="1428"/>
      <c r="F8" s="1428"/>
      <c r="G8" s="1428"/>
      <c r="H8" s="1428"/>
      <c r="I8" s="1428"/>
      <c r="J8" s="1428"/>
      <c r="K8" s="1428"/>
      <c r="L8" s="1428"/>
      <c r="M8" s="1428"/>
      <c r="N8" s="1428"/>
      <c r="O8" s="1428"/>
      <c r="P8" s="1428"/>
      <c r="Q8" s="1428"/>
      <c r="R8" s="1428"/>
      <c r="S8" s="1428"/>
      <c r="T8" s="1428"/>
      <c r="U8" s="1428"/>
      <c r="V8" s="1428"/>
      <c r="W8" s="1428"/>
      <c r="X8" s="1428"/>
      <c r="Y8" s="1428"/>
      <c r="Z8" s="1428"/>
      <c r="AA8" s="1428"/>
      <c r="AB8" s="1428"/>
      <c r="AC8" s="1428"/>
      <c r="AD8" s="1428"/>
      <c r="AE8" s="1428"/>
      <c r="AF8" s="1428"/>
      <c r="AG8" s="1428"/>
      <c r="AH8" s="1428"/>
      <c r="AI8" s="1428"/>
      <c r="AJ8" s="1428"/>
      <c r="AK8" s="1428"/>
      <c r="AL8" s="1428"/>
      <c r="AM8" s="1428"/>
      <c r="AN8" s="1428"/>
      <c r="AO8" s="1428"/>
      <c r="AP8" s="1428"/>
      <c r="AQ8" s="1428"/>
      <c r="AR8" s="1428"/>
      <c r="AS8" s="1428"/>
      <c r="AT8" s="1428"/>
      <c r="AU8" s="1428"/>
      <c r="AV8" s="1428"/>
      <c r="AW8" s="1428"/>
      <c r="AX8" s="1428"/>
      <c r="AY8" s="1428"/>
      <c r="AZ8" s="1428"/>
      <c r="BA8" s="1428"/>
      <c r="BB8" s="1428"/>
      <c r="BC8" s="1428"/>
      <c r="BD8" s="1428"/>
      <c r="BE8" s="1428"/>
      <c r="BF8" s="1428"/>
      <c r="BG8" s="1428"/>
      <c r="BH8" s="1428"/>
      <c r="BI8" s="1428"/>
      <c r="BJ8" s="1428"/>
      <c r="BK8" s="1428"/>
      <c r="BL8" s="1428"/>
      <c r="BM8" s="1428"/>
      <c r="BN8" s="120"/>
      <c r="BO8" s="125"/>
      <c r="BP8" s="126"/>
      <c r="BQ8" s="126"/>
      <c r="BR8" s="126"/>
      <c r="BS8" s="126"/>
      <c r="BT8" s="126"/>
      <c r="BU8" s="126"/>
      <c r="BV8" s="126"/>
      <c r="BW8" s="126"/>
      <c r="BX8" s="126"/>
      <c r="BY8" s="126"/>
      <c r="BZ8" s="126"/>
      <c r="CA8" s="126"/>
      <c r="CB8" s="127"/>
    </row>
    <row r="9" spans="1:80" ht="50.1" customHeight="1">
      <c r="A9" s="118"/>
      <c r="B9" s="119"/>
      <c r="C9" s="120"/>
      <c r="D9" s="1428"/>
      <c r="E9" s="1428"/>
      <c r="F9" s="1428"/>
      <c r="G9" s="1428"/>
      <c r="H9" s="1428"/>
      <c r="I9" s="1428"/>
      <c r="J9" s="1428"/>
      <c r="K9" s="1428"/>
      <c r="L9" s="1428"/>
      <c r="M9" s="1428"/>
      <c r="N9" s="1428"/>
      <c r="O9" s="1428"/>
      <c r="P9" s="1428"/>
      <c r="Q9" s="1428"/>
      <c r="R9" s="1428"/>
      <c r="S9" s="1428"/>
      <c r="T9" s="1428"/>
      <c r="U9" s="1428"/>
      <c r="V9" s="1428"/>
      <c r="W9" s="1428"/>
      <c r="X9" s="1428"/>
      <c r="Y9" s="1428"/>
      <c r="Z9" s="1428"/>
      <c r="AA9" s="1428"/>
      <c r="AB9" s="1428"/>
      <c r="AC9" s="1428"/>
      <c r="AD9" s="1428"/>
      <c r="AE9" s="1428"/>
      <c r="AF9" s="1428"/>
      <c r="AG9" s="1428"/>
      <c r="AH9" s="1428"/>
      <c r="AI9" s="1428"/>
      <c r="AJ9" s="1428"/>
      <c r="AK9" s="1428"/>
      <c r="AL9" s="1428"/>
      <c r="AM9" s="1428"/>
      <c r="AN9" s="1428"/>
      <c r="AO9" s="1428"/>
      <c r="AP9" s="1428"/>
      <c r="AQ9" s="1428"/>
      <c r="AR9" s="1428"/>
      <c r="AS9" s="1428"/>
      <c r="AT9" s="1428"/>
      <c r="AU9" s="1428"/>
      <c r="AV9" s="1428"/>
      <c r="AW9" s="1428"/>
      <c r="AX9" s="1428"/>
      <c r="AY9" s="1428"/>
      <c r="AZ9" s="1428"/>
      <c r="BA9" s="1428"/>
      <c r="BB9" s="1428"/>
      <c r="BC9" s="1428"/>
      <c r="BD9" s="1428"/>
      <c r="BE9" s="1428"/>
      <c r="BF9" s="1428"/>
      <c r="BG9" s="1428"/>
      <c r="BH9" s="1428"/>
      <c r="BI9" s="1428"/>
      <c r="BJ9" s="1428"/>
      <c r="BK9" s="1428"/>
      <c r="BL9" s="1428"/>
      <c r="BM9" s="1428"/>
      <c r="BN9" s="120"/>
      <c r="BO9" s="125"/>
      <c r="BP9" s="126"/>
      <c r="BQ9" s="126"/>
      <c r="BR9" s="126"/>
      <c r="BS9" s="126"/>
      <c r="BT9" s="126"/>
      <c r="BU9" s="126"/>
      <c r="BV9" s="126"/>
      <c r="BW9" s="126"/>
      <c r="BX9" s="126"/>
      <c r="BY9" s="126"/>
      <c r="BZ9" s="126"/>
      <c r="CA9" s="126"/>
      <c r="CB9" s="127"/>
    </row>
    <row r="10" spans="1:80" ht="50.1" customHeight="1">
      <c r="A10" s="118"/>
      <c r="B10" s="119"/>
      <c r="C10" s="120"/>
      <c r="D10" s="1428"/>
      <c r="E10" s="1428"/>
      <c r="F10" s="1428"/>
      <c r="G10" s="1428"/>
      <c r="H10" s="1428"/>
      <c r="I10" s="1428"/>
      <c r="J10" s="1428"/>
      <c r="K10" s="1428"/>
      <c r="L10" s="1428"/>
      <c r="M10" s="1428"/>
      <c r="N10" s="1428"/>
      <c r="O10" s="1428"/>
      <c r="P10" s="1428"/>
      <c r="Q10" s="1428"/>
      <c r="R10" s="1428"/>
      <c r="S10" s="1428"/>
      <c r="T10" s="1428"/>
      <c r="U10" s="1428"/>
      <c r="V10" s="1428"/>
      <c r="W10" s="1428"/>
      <c r="X10" s="1428"/>
      <c r="Y10" s="1428"/>
      <c r="Z10" s="1428"/>
      <c r="AA10" s="1428"/>
      <c r="AB10" s="1428"/>
      <c r="AC10" s="1428"/>
      <c r="AD10" s="1428"/>
      <c r="AE10" s="1428"/>
      <c r="AF10" s="1428"/>
      <c r="AG10" s="1428"/>
      <c r="AH10" s="1428"/>
      <c r="AI10" s="1428"/>
      <c r="AJ10" s="1428"/>
      <c r="AK10" s="1428"/>
      <c r="AL10" s="1428"/>
      <c r="AM10" s="1428"/>
      <c r="AN10" s="1428"/>
      <c r="AO10" s="1428"/>
      <c r="AP10" s="1428"/>
      <c r="AQ10" s="1428"/>
      <c r="AR10" s="1428"/>
      <c r="AS10" s="1428"/>
      <c r="AT10" s="1428"/>
      <c r="AU10" s="1428"/>
      <c r="AV10" s="1428"/>
      <c r="AW10" s="1428"/>
      <c r="AX10" s="1428"/>
      <c r="AY10" s="1428"/>
      <c r="AZ10" s="1428"/>
      <c r="BA10" s="1428"/>
      <c r="BB10" s="1428"/>
      <c r="BC10" s="1428"/>
      <c r="BD10" s="1428"/>
      <c r="BE10" s="1428"/>
      <c r="BF10" s="1428"/>
      <c r="BG10" s="1428"/>
      <c r="BH10" s="1428"/>
      <c r="BI10" s="1428"/>
      <c r="BJ10" s="1428"/>
      <c r="BK10" s="1428"/>
      <c r="BL10" s="1428"/>
      <c r="BM10" s="1428"/>
      <c r="BN10" s="120"/>
      <c r="BO10" s="125"/>
      <c r="BP10" s="126"/>
      <c r="BQ10" s="126"/>
      <c r="BR10" s="126"/>
      <c r="BS10" s="126"/>
      <c r="BT10" s="126"/>
      <c r="BU10" s="126"/>
      <c r="BV10" s="126"/>
      <c r="BW10" s="126"/>
      <c r="BX10" s="126"/>
      <c r="BY10" s="126"/>
      <c r="BZ10" s="126"/>
      <c r="CA10" s="126"/>
      <c r="CB10" s="127"/>
    </row>
    <row r="11" spans="1:80" ht="50.1" customHeight="1">
      <c r="A11" s="118"/>
      <c r="B11" s="119"/>
      <c r="C11" s="120"/>
      <c r="D11" s="1428"/>
      <c r="E11" s="1428"/>
      <c r="F11" s="1428"/>
      <c r="G11" s="1428"/>
      <c r="H11" s="1428"/>
      <c r="I11" s="1428"/>
      <c r="J11" s="1428"/>
      <c r="K11" s="1428"/>
      <c r="L11" s="1428"/>
      <c r="M11" s="1428"/>
      <c r="N11" s="1428"/>
      <c r="O11" s="1428"/>
      <c r="P11" s="1428"/>
      <c r="Q11" s="1428"/>
      <c r="R11" s="1428"/>
      <c r="S11" s="1428"/>
      <c r="T11" s="1428"/>
      <c r="U11" s="1428"/>
      <c r="V11" s="1428"/>
      <c r="W11" s="1428"/>
      <c r="X11" s="1428"/>
      <c r="Y11" s="1428"/>
      <c r="Z11" s="1428"/>
      <c r="AA11" s="1428"/>
      <c r="AB11" s="1428"/>
      <c r="AC11" s="1428"/>
      <c r="AD11" s="1428"/>
      <c r="AE11" s="1428"/>
      <c r="AF11" s="1428"/>
      <c r="AG11" s="1428"/>
      <c r="AH11" s="1428"/>
      <c r="AI11" s="1428"/>
      <c r="AJ11" s="1428"/>
      <c r="AK11" s="1428"/>
      <c r="AL11" s="1428"/>
      <c r="AM11" s="1428"/>
      <c r="AN11" s="1428"/>
      <c r="AO11" s="1428"/>
      <c r="AP11" s="1428"/>
      <c r="AQ11" s="1428"/>
      <c r="AR11" s="1428"/>
      <c r="AS11" s="1428"/>
      <c r="AT11" s="1428"/>
      <c r="AU11" s="1428"/>
      <c r="AV11" s="1428"/>
      <c r="AW11" s="1428"/>
      <c r="AX11" s="1428"/>
      <c r="AY11" s="1428"/>
      <c r="AZ11" s="1428"/>
      <c r="BA11" s="1428"/>
      <c r="BB11" s="1428"/>
      <c r="BC11" s="1428"/>
      <c r="BD11" s="1428"/>
      <c r="BE11" s="1428"/>
      <c r="BF11" s="1428"/>
      <c r="BG11" s="1428"/>
      <c r="BH11" s="1428"/>
      <c r="BI11" s="1428"/>
      <c r="BJ11" s="1428"/>
      <c r="BK11" s="1428"/>
      <c r="BL11" s="1428"/>
      <c r="BM11" s="1428"/>
      <c r="BN11" s="120"/>
      <c r="BO11" s="125"/>
      <c r="BP11" s="126"/>
      <c r="BQ11" s="126"/>
      <c r="BR11" s="126"/>
      <c r="BS11" s="126"/>
      <c r="BT11" s="126"/>
      <c r="BU11" s="126"/>
      <c r="BV11" s="126"/>
      <c r="BW11" s="126"/>
      <c r="BX11" s="126"/>
      <c r="BY11" s="126"/>
      <c r="BZ11" s="126"/>
      <c r="CA11" s="126"/>
      <c r="CB11" s="127"/>
    </row>
    <row r="12" spans="1:80" ht="50.1" customHeight="1">
      <c r="A12" s="118"/>
      <c r="B12" s="119"/>
      <c r="C12" s="120"/>
      <c r="D12" s="1428"/>
      <c r="E12" s="1428"/>
      <c r="F12" s="1428"/>
      <c r="G12" s="1428"/>
      <c r="H12" s="1428"/>
      <c r="I12" s="1428"/>
      <c r="J12" s="1428"/>
      <c r="K12" s="1428"/>
      <c r="L12" s="1428"/>
      <c r="M12" s="1428"/>
      <c r="N12" s="1428"/>
      <c r="O12" s="1428"/>
      <c r="P12" s="1428"/>
      <c r="Q12" s="1428"/>
      <c r="R12" s="1428"/>
      <c r="S12" s="1428"/>
      <c r="T12" s="1428"/>
      <c r="U12" s="1428"/>
      <c r="V12" s="1428"/>
      <c r="W12" s="1428"/>
      <c r="X12" s="1428"/>
      <c r="Y12" s="1428"/>
      <c r="Z12" s="1428"/>
      <c r="AA12" s="1428"/>
      <c r="AB12" s="1428"/>
      <c r="AC12" s="1428"/>
      <c r="AD12" s="1428"/>
      <c r="AE12" s="1428"/>
      <c r="AF12" s="1428"/>
      <c r="AG12" s="1428"/>
      <c r="AH12" s="1428"/>
      <c r="AI12" s="1428"/>
      <c r="AJ12" s="1428"/>
      <c r="AK12" s="1428"/>
      <c r="AL12" s="1428"/>
      <c r="AM12" s="1428"/>
      <c r="AN12" s="1428"/>
      <c r="AO12" s="1428"/>
      <c r="AP12" s="1428"/>
      <c r="AQ12" s="1428"/>
      <c r="AR12" s="1428"/>
      <c r="AS12" s="1428"/>
      <c r="AT12" s="1428"/>
      <c r="AU12" s="1428"/>
      <c r="AV12" s="1428"/>
      <c r="AW12" s="1428"/>
      <c r="AX12" s="1428"/>
      <c r="AY12" s="1428"/>
      <c r="AZ12" s="1428"/>
      <c r="BA12" s="1428"/>
      <c r="BB12" s="1428"/>
      <c r="BC12" s="1428"/>
      <c r="BD12" s="1428"/>
      <c r="BE12" s="1428"/>
      <c r="BF12" s="1428"/>
      <c r="BG12" s="1428"/>
      <c r="BH12" s="1428"/>
      <c r="BI12" s="1428"/>
      <c r="BJ12" s="1428"/>
      <c r="BK12" s="1428"/>
      <c r="BL12" s="1428"/>
      <c r="BM12" s="1428"/>
      <c r="BN12" s="120"/>
      <c r="BO12" s="125"/>
      <c r="BP12" s="126"/>
      <c r="BQ12" s="126"/>
      <c r="BR12" s="126"/>
      <c r="BS12" s="126"/>
      <c r="BT12" s="126"/>
      <c r="BU12" s="126"/>
      <c r="BV12" s="126"/>
      <c r="BW12" s="126"/>
      <c r="BX12" s="126"/>
      <c r="BY12" s="126"/>
      <c r="BZ12" s="126"/>
      <c r="CA12" s="126"/>
      <c r="CB12" s="127"/>
    </row>
    <row r="13" spans="1:80" ht="50.1" customHeight="1">
      <c r="A13" s="118"/>
      <c r="B13" s="119"/>
      <c r="C13" s="120"/>
      <c r="D13" s="1428"/>
      <c r="E13" s="1428"/>
      <c r="F13" s="1428"/>
      <c r="G13" s="1428"/>
      <c r="H13" s="1428"/>
      <c r="I13" s="1428"/>
      <c r="J13" s="1428"/>
      <c r="K13" s="1428"/>
      <c r="L13" s="1428"/>
      <c r="M13" s="1428"/>
      <c r="N13" s="1428"/>
      <c r="O13" s="1428"/>
      <c r="P13" s="1428"/>
      <c r="Q13" s="1428"/>
      <c r="R13" s="1428"/>
      <c r="S13" s="1428"/>
      <c r="T13" s="1428"/>
      <c r="U13" s="1428"/>
      <c r="V13" s="1428"/>
      <c r="W13" s="1428"/>
      <c r="X13" s="1428"/>
      <c r="Y13" s="1428"/>
      <c r="Z13" s="1428"/>
      <c r="AA13" s="1428"/>
      <c r="AB13" s="1428"/>
      <c r="AC13" s="1428"/>
      <c r="AD13" s="1428"/>
      <c r="AE13" s="1428"/>
      <c r="AF13" s="1428"/>
      <c r="AG13" s="1428"/>
      <c r="AH13" s="1428"/>
      <c r="AI13" s="1428"/>
      <c r="AJ13" s="1428"/>
      <c r="AK13" s="1428"/>
      <c r="AL13" s="1428"/>
      <c r="AM13" s="1428"/>
      <c r="AN13" s="1428"/>
      <c r="AO13" s="1428"/>
      <c r="AP13" s="1428"/>
      <c r="AQ13" s="1428"/>
      <c r="AR13" s="1428"/>
      <c r="AS13" s="1428"/>
      <c r="AT13" s="1428"/>
      <c r="AU13" s="1428"/>
      <c r="AV13" s="1428"/>
      <c r="AW13" s="1428"/>
      <c r="AX13" s="1428"/>
      <c r="AY13" s="1428"/>
      <c r="AZ13" s="1428"/>
      <c r="BA13" s="1428"/>
      <c r="BB13" s="1428"/>
      <c r="BC13" s="1428"/>
      <c r="BD13" s="1428"/>
      <c r="BE13" s="1428"/>
      <c r="BF13" s="1428"/>
      <c r="BG13" s="1428"/>
      <c r="BH13" s="1428"/>
      <c r="BI13" s="1428"/>
      <c r="BJ13" s="1428"/>
      <c r="BK13" s="1428"/>
      <c r="BL13" s="1428"/>
      <c r="BM13" s="1428"/>
      <c r="BN13" s="120"/>
      <c r="BO13" s="125"/>
      <c r="BP13" s="126"/>
      <c r="BQ13" s="126"/>
      <c r="BR13" s="126"/>
      <c r="BS13" s="126"/>
      <c r="BT13" s="126"/>
      <c r="BU13" s="126"/>
      <c r="BV13" s="126"/>
      <c r="BW13" s="126"/>
      <c r="BX13" s="126"/>
      <c r="BY13" s="126"/>
      <c r="BZ13" s="126"/>
      <c r="CA13" s="126"/>
      <c r="CB13" s="127"/>
    </row>
    <row r="14" spans="1:80" ht="44.1" customHeight="1">
      <c r="A14" s="118"/>
      <c r="B14" s="119"/>
      <c r="C14" s="120"/>
      <c r="D14" s="129" t="str">
        <f ca="1">INDIRECT('D1-D2-D3'!$J$4&amp;"!C103")</f>
        <v>Information about fault in QIS</v>
      </c>
      <c r="E14" s="129"/>
      <c r="F14" s="129"/>
      <c r="G14" s="132"/>
      <c r="H14" s="132"/>
      <c r="I14" s="132"/>
      <c r="J14" s="132"/>
      <c r="K14" s="132"/>
      <c r="L14" s="123"/>
      <c r="M14" s="123"/>
      <c r="N14" s="123"/>
      <c r="O14" s="123"/>
      <c r="P14" s="123"/>
      <c r="Q14" s="123"/>
      <c r="R14" s="123"/>
      <c r="S14" s="123"/>
      <c r="T14" s="123"/>
      <c r="U14" s="123"/>
      <c r="V14" s="123"/>
      <c r="W14" s="123"/>
      <c r="X14" s="123"/>
      <c r="Y14" s="123"/>
      <c r="Z14" s="123"/>
      <c r="AA14" s="123"/>
      <c r="AB14" s="123"/>
      <c r="AC14" s="123"/>
      <c r="AD14" s="123"/>
      <c r="AE14" s="123"/>
      <c r="AF14" s="123"/>
      <c r="AG14" s="123"/>
      <c r="AH14" s="123"/>
      <c r="AI14" s="123"/>
      <c r="AJ14" s="123"/>
      <c r="AK14" s="123"/>
      <c r="AL14" s="123"/>
      <c r="AM14" s="123"/>
      <c r="AN14" s="123"/>
      <c r="AO14" s="123"/>
      <c r="AP14" s="123"/>
      <c r="AQ14" s="123"/>
      <c r="AR14" s="123"/>
      <c r="AS14" s="123"/>
      <c r="AT14" s="123"/>
      <c r="AU14" s="123"/>
      <c r="AV14" s="123"/>
      <c r="AW14" s="123"/>
      <c r="AX14" s="123"/>
      <c r="AY14" s="123"/>
      <c r="AZ14" s="123"/>
      <c r="BA14" s="123"/>
      <c r="BB14" s="123"/>
      <c r="BC14" s="123"/>
      <c r="BD14" s="123"/>
      <c r="BE14" s="123"/>
      <c r="BF14" s="123"/>
      <c r="BG14" s="123"/>
      <c r="BH14" s="123"/>
      <c r="BI14" s="123"/>
      <c r="BJ14" s="123"/>
      <c r="BK14" s="123"/>
      <c r="BL14" s="123"/>
      <c r="BM14" s="123"/>
      <c r="BN14" s="120"/>
      <c r="BO14" s="125"/>
      <c r="BP14" s="126"/>
      <c r="BQ14" s="126"/>
      <c r="BR14" s="126"/>
      <c r="BS14" s="126"/>
      <c r="BT14" s="126"/>
      <c r="BU14" s="126"/>
      <c r="BV14" s="126"/>
      <c r="BW14" s="126"/>
      <c r="BX14" s="126"/>
      <c r="BY14" s="126"/>
      <c r="BZ14" s="126"/>
      <c r="CA14" s="126"/>
      <c r="CB14" s="127"/>
    </row>
    <row r="15" spans="1:80" ht="6" customHeight="1">
      <c r="A15" s="118"/>
      <c r="B15" s="119"/>
      <c r="C15" s="120"/>
      <c r="D15" s="120"/>
      <c r="E15" s="120"/>
      <c r="F15" s="120"/>
      <c r="G15" s="120"/>
      <c r="H15" s="120"/>
      <c r="I15" s="120"/>
      <c r="J15" s="120"/>
      <c r="K15" s="120"/>
      <c r="L15" s="120"/>
      <c r="M15" s="120"/>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5"/>
      <c r="BP15" s="126"/>
      <c r="BQ15" s="126"/>
      <c r="BR15" s="126"/>
      <c r="BS15" s="126"/>
      <c r="BT15" s="126"/>
      <c r="BU15" s="126"/>
      <c r="BV15" s="126"/>
      <c r="BW15" s="126"/>
      <c r="BX15" s="126"/>
      <c r="BY15" s="126"/>
      <c r="BZ15" s="126"/>
      <c r="CA15" s="126"/>
      <c r="CB15" s="127"/>
    </row>
    <row r="16" spans="1:80" ht="27.9" customHeight="1">
      <c r="A16" s="118"/>
      <c r="B16" s="119"/>
      <c r="C16" s="120"/>
      <c r="D16" s="1418"/>
      <c r="E16" s="1419"/>
      <c r="F16" s="1419"/>
      <c r="G16" s="1419"/>
      <c r="H16" s="1419"/>
      <c r="I16" s="1419"/>
      <c r="J16" s="1419"/>
      <c r="K16" s="1419"/>
      <c r="L16" s="1419"/>
      <c r="M16" s="1419"/>
      <c r="N16" s="1419"/>
      <c r="O16" s="1419"/>
      <c r="P16" s="1419"/>
      <c r="Q16" s="1419"/>
      <c r="R16" s="1419"/>
      <c r="S16" s="1419"/>
      <c r="T16" s="1419"/>
      <c r="U16" s="1419"/>
      <c r="V16" s="1419"/>
      <c r="W16" s="1419"/>
      <c r="X16" s="1419"/>
      <c r="Y16" s="1419"/>
      <c r="Z16" s="1419"/>
      <c r="AA16" s="1419"/>
      <c r="AB16" s="1419"/>
      <c r="AC16" s="1419"/>
      <c r="AD16" s="1419"/>
      <c r="AE16" s="1419"/>
      <c r="AF16" s="1419"/>
      <c r="AG16" s="1419"/>
      <c r="AH16" s="1419"/>
      <c r="AI16" s="1419"/>
      <c r="AJ16" s="1419"/>
      <c r="AK16" s="1419"/>
      <c r="AL16" s="1419"/>
      <c r="AM16" s="1419"/>
      <c r="AN16" s="1419"/>
      <c r="AO16" s="1419"/>
      <c r="AP16" s="1419"/>
      <c r="AQ16" s="1419"/>
      <c r="AR16" s="1419"/>
      <c r="AS16" s="1419"/>
      <c r="AT16" s="1419"/>
      <c r="AU16" s="1419"/>
      <c r="AV16" s="1419"/>
      <c r="AW16" s="1419"/>
      <c r="AX16" s="1419"/>
      <c r="AY16" s="1419"/>
      <c r="AZ16" s="1419"/>
      <c r="BA16" s="1419"/>
      <c r="BB16" s="1419"/>
      <c r="BC16" s="1419"/>
      <c r="BD16" s="1419"/>
      <c r="BE16" s="1419"/>
      <c r="BF16" s="1419"/>
      <c r="BG16" s="1419"/>
      <c r="BH16" s="1419"/>
      <c r="BI16" s="1419"/>
      <c r="BJ16" s="1419"/>
      <c r="BK16" s="1419"/>
      <c r="BL16" s="1419"/>
      <c r="BM16" s="1420"/>
      <c r="BN16" s="118"/>
      <c r="BO16" s="125"/>
      <c r="BP16" s="126"/>
      <c r="BQ16" s="126"/>
      <c r="BR16" s="126"/>
      <c r="BS16" s="126"/>
      <c r="BT16" s="126"/>
      <c r="BU16" s="126"/>
      <c r="BV16" s="126"/>
      <c r="BW16" s="126"/>
      <c r="BX16" s="126"/>
      <c r="BY16" s="126"/>
      <c r="BZ16" s="126"/>
      <c r="CA16" s="126"/>
      <c r="CB16" s="127"/>
    </row>
    <row r="17" spans="1:80" ht="27.9" customHeight="1">
      <c r="A17" s="118"/>
      <c r="B17" s="119"/>
      <c r="C17" s="120"/>
      <c r="D17" s="1421"/>
      <c r="E17" s="1422"/>
      <c r="F17" s="1422"/>
      <c r="G17" s="1422"/>
      <c r="H17" s="1422"/>
      <c r="I17" s="1422"/>
      <c r="J17" s="1422"/>
      <c r="K17" s="1422"/>
      <c r="L17" s="1422"/>
      <c r="M17" s="1422"/>
      <c r="N17" s="1422"/>
      <c r="O17" s="1422"/>
      <c r="P17" s="1422"/>
      <c r="Q17" s="1422"/>
      <c r="R17" s="1422"/>
      <c r="S17" s="1422"/>
      <c r="T17" s="1422"/>
      <c r="U17" s="1422"/>
      <c r="V17" s="1422"/>
      <c r="W17" s="1422"/>
      <c r="X17" s="1422"/>
      <c r="Y17" s="1422"/>
      <c r="Z17" s="1422"/>
      <c r="AA17" s="1422"/>
      <c r="AB17" s="1422"/>
      <c r="AC17" s="1422"/>
      <c r="AD17" s="1422"/>
      <c r="AE17" s="1422"/>
      <c r="AF17" s="1422"/>
      <c r="AG17" s="1422"/>
      <c r="AH17" s="1422"/>
      <c r="AI17" s="1422"/>
      <c r="AJ17" s="1422"/>
      <c r="AK17" s="1422"/>
      <c r="AL17" s="1422"/>
      <c r="AM17" s="1422"/>
      <c r="AN17" s="1422"/>
      <c r="AO17" s="1422"/>
      <c r="AP17" s="1422"/>
      <c r="AQ17" s="1422"/>
      <c r="AR17" s="1422"/>
      <c r="AS17" s="1422"/>
      <c r="AT17" s="1422"/>
      <c r="AU17" s="1422"/>
      <c r="AV17" s="1422"/>
      <c r="AW17" s="1422"/>
      <c r="AX17" s="1422"/>
      <c r="AY17" s="1422"/>
      <c r="AZ17" s="1422"/>
      <c r="BA17" s="1422"/>
      <c r="BB17" s="1422"/>
      <c r="BC17" s="1422"/>
      <c r="BD17" s="1422"/>
      <c r="BE17" s="1422"/>
      <c r="BF17" s="1422"/>
      <c r="BG17" s="1422"/>
      <c r="BH17" s="1422"/>
      <c r="BI17" s="1422"/>
      <c r="BJ17" s="1422"/>
      <c r="BK17" s="1422"/>
      <c r="BL17" s="1422"/>
      <c r="BM17" s="1423"/>
      <c r="BN17" s="118"/>
      <c r="BO17" s="125"/>
      <c r="BP17" s="126"/>
      <c r="BQ17" s="126"/>
      <c r="BR17" s="126"/>
      <c r="BS17" s="126"/>
      <c r="BT17" s="126"/>
      <c r="BU17" s="126"/>
      <c r="BV17" s="126"/>
      <c r="BW17" s="126"/>
      <c r="BX17" s="126"/>
      <c r="BY17" s="126"/>
      <c r="BZ17" s="126"/>
      <c r="CA17" s="126"/>
      <c r="CB17" s="127"/>
    </row>
    <row r="18" spans="1:80" ht="27.9" customHeight="1">
      <c r="A18" s="118"/>
      <c r="B18" s="119"/>
      <c r="C18" s="120"/>
      <c r="D18" s="1421"/>
      <c r="E18" s="1422"/>
      <c r="F18" s="1422"/>
      <c r="G18" s="1422"/>
      <c r="H18" s="1422"/>
      <c r="I18" s="1422"/>
      <c r="J18" s="1422"/>
      <c r="K18" s="1422"/>
      <c r="L18" s="1422"/>
      <c r="M18" s="1422"/>
      <c r="N18" s="1422"/>
      <c r="O18" s="1422"/>
      <c r="P18" s="1422"/>
      <c r="Q18" s="1422"/>
      <c r="R18" s="1422"/>
      <c r="S18" s="1422"/>
      <c r="T18" s="1422"/>
      <c r="U18" s="1422"/>
      <c r="V18" s="1422"/>
      <c r="W18" s="1422"/>
      <c r="X18" s="1422"/>
      <c r="Y18" s="1422"/>
      <c r="Z18" s="1422"/>
      <c r="AA18" s="1422"/>
      <c r="AB18" s="1422"/>
      <c r="AC18" s="1422"/>
      <c r="AD18" s="1422"/>
      <c r="AE18" s="1422"/>
      <c r="AF18" s="1422"/>
      <c r="AG18" s="1422"/>
      <c r="AH18" s="1422"/>
      <c r="AI18" s="1422"/>
      <c r="AJ18" s="1422"/>
      <c r="AK18" s="1422"/>
      <c r="AL18" s="1422"/>
      <c r="AM18" s="1422"/>
      <c r="AN18" s="1422"/>
      <c r="AO18" s="1422"/>
      <c r="AP18" s="1422"/>
      <c r="AQ18" s="1422"/>
      <c r="AR18" s="1422"/>
      <c r="AS18" s="1422"/>
      <c r="AT18" s="1422"/>
      <c r="AU18" s="1422"/>
      <c r="AV18" s="1422"/>
      <c r="AW18" s="1422"/>
      <c r="AX18" s="1422"/>
      <c r="AY18" s="1422"/>
      <c r="AZ18" s="1422"/>
      <c r="BA18" s="1422"/>
      <c r="BB18" s="1422"/>
      <c r="BC18" s="1422"/>
      <c r="BD18" s="1422"/>
      <c r="BE18" s="1422"/>
      <c r="BF18" s="1422"/>
      <c r="BG18" s="1422"/>
      <c r="BH18" s="1422"/>
      <c r="BI18" s="1422"/>
      <c r="BJ18" s="1422"/>
      <c r="BK18" s="1422"/>
      <c r="BL18" s="1422"/>
      <c r="BM18" s="1423"/>
      <c r="BN18" s="118"/>
      <c r="BO18" s="125"/>
      <c r="BP18" s="126"/>
      <c r="BQ18" s="126"/>
      <c r="BR18" s="126"/>
      <c r="BS18" s="126"/>
      <c r="BT18" s="126"/>
      <c r="BU18" s="126"/>
      <c r="BV18" s="126"/>
      <c r="BW18" s="126"/>
      <c r="BX18" s="126"/>
      <c r="BY18" s="126"/>
      <c r="BZ18" s="126"/>
      <c r="CA18" s="126"/>
      <c r="CB18" s="127"/>
    </row>
    <row r="19" spans="1:80" ht="27.9" customHeight="1">
      <c r="A19" s="118"/>
      <c r="B19" s="119"/>
      <c r="C19" s="120"/>
      <c r="D19" s="1421"/>
      <c r="E19" s="1422"/>
      <c r="F19" s="1422"/>
      <c r="G19" s="1422"/>
      <c r="H19" s="1422"/>
      <c r="I19" s="1422"/>
      <c r="J19" s="1422"/>
      <c r="K19" s="1422"/>
      <c r="L19" s="1422"/>
      <c r="M19" s="1422"/>
      <c r="N19" s="1422"/>
      <c r="O19" s="1422"/>
      <c r="P19" s="1422"/>
      <c r="Q19" s="1422"/>
      <c r="R19" s="1422"/>
      <c r="S19" s="1422"/>
      <c r="T19" s="1422"/>
      <c r="U19" s="1422"/>
      <c r="V19" s="1422"/>
      <c r="W19" s="1422"/>
      <c r="X19" s="1422"/>
      <c r="Y19" s="1422"/>
      <c r="Z19" s="1422"/>
      <c r="AA19" s="1422"/>
      <c r="AB19" s="1422"/>
      <c r="AC19" s="1422"/>
      <c r="AD19" s="1422"/>
      <c r="AE19" s="1422"/>
      <c r="AF19" s="1422"/>
      <c r="AG19" s="1422"/>
      <c r="AH19" s="1422"/>
      <c r="AI19" s="1422"/>
      <c r="AJ19" s="1422"/>
      <c r="AK19" s="1422"/>
      <c r="AL19" s="1422"/>
      <c r="AM19" s="1422"/>
      <c r="AN19" s="1422"/>
      <c r="AO19" s="1422"/>
      <c r="AP19" s="1422"/>
      <c r="AQ19" s="1422"/>
      <c r="AR19" s="1422"/>
      <c r="AS19" s="1422"/>
      <c r="AT19" s="1422"/>
      <c r="AU19" s="1422"/>
      <c r="AV19" s="1422"/>
      <c r="AW19" s="1422"/>
      <c r="AX19" s="1422"/>
      <c r="AY19" s="1422"/>
      <c r="AZ19" s="1422"/>
      <c r="BA19" s="1422"/>
      <c r="BB19" s="1422"/>
      <c r="BC19" s="1422"/>
      <c r="BD19" s="1422"/>
      <c r="BE19" s="1422"/>
      <c r="BF19" s="1422"/>
      <c r="BG19" s="1422"/>
      <c r="BH19" s="1422"/>
      <c r="BI19" s="1422"/>
      <c r="BJ19" s="1422"/>
      <c r="BK19" s="1422"/>
      <c r="BL19" s="1422"/>
      <c r="BM19" s="1423"/>
      <c r="BN19" s="118"/>
      <c r="BO19" s="125"/>
      <c r="BP19" s="126"/>
      <c r="BQ19" s="126"/>
      <c r="BR19" s="126"/>
      <c r="BS19" s="126"/>
      <c r="BT19" s="126"/>
      <c r="BU19" s="126"/>
      <c r="BV19" s="126"/>
      <c r="BW19" s="126"/>
      <c r="BX19" s="126"/>
      <c r="BY19" s="126"/>
      <c r="BZ19" s="126"/>
      <c r="CA19" s="126"/>
      <c r="CB19" s="127"/>
    </row>
    <row r="20" spans="1:80" ht="27.9" customHeight="1">
      <c r="A20" s="118"/>
      <c r="B20" s="119"/>
      <c r="C20" s="120"/>
      <c r="D20" s="1421"/>
      <c r="E20" s="1422"/>
      <c r="F20" s="1422"/>
      <c r="G20" s="1422"/>
      <c r="H20" s="1422"/>
      <c r="I20" s="1422"/>
      <c r="J20" s="1422"/>
      <c r="K20" s="1422"/>
      <c r="L20" s="1422"/>
      <c r="M20" s="1422"/>
      <c r="N20" s="1422"/>
      <c r="O20" s="1422"/>
      <c r="P20" s="1422"/>
      <c r="Q20" s="1422"/>
      <c r="R20" s="1422"/>
      <c r="S20" s="1422"/>
      <c r="T20" s="1422"/>
      <c r="U20" s="1422"/>
      <c r="V20" s="1422"/>
      <c r="W20" s="1422"/>
      <c r="X20" s="1422"/>
      <c r="Y20" s="1422"/>
      <c r="Z20" s="1422"/>
      <c r="AA20" s="1422"/>
      <c r="AB20" s="1422"/>
      <c r="AC20" s="1422"/>
      <c r="AD20" s="1422"/>
      <c r="AE20" s="1422"/>
      <c r="AF20" s="1422"/>
      <c r="AG20" s="1422"/>
      <c r="AH20" s="1422"/>
      <c r="AI20" s="1422"/>
      <c r="AJ20" s="1422"/>
      <c r="AK20" s="1422"/>
      <c r="AL20" s="1422"/>
      <c r="AM20" s="1422"/>
      <c r="AN20" s="1422"/>
      <c r="AO20" s="1422"/>
      <c r="AP20" s="1422"/>
      <c r="AQ20" s="1422"/>
      <c r="AR20" s="1422"/>
      <c r="AS20" s="1422"/>
      <c r="AT20" s="1422"/>
      <c r="AU20" s="1422"/>
      <c r="AV20" s="1422"/>
      <c r="AW20" s="1422"/>
      <c r="AX20" s="1422"/>
      <c r="AY20" s="1422"/>
      <c r="AZ20" s="1422"/>
      <c r="BA20" s="1422"/>
      <c r="BB20" s="1422"/>
      <c r="BC20" s="1422"/>
      <c r="BD20" s="1422"/>
      <c r="BE20" s="1422"/>
      <c r="BF20" s="1422"/>
      <c r="BG20" s="1422"/>
      <c r="BH20" s="1422"/>
      <c r="BI20" s="1422"/>
      <c r="BJ20" s="1422"/>
      <c r="BK20" s="1422"/>
      <c r="BL20" s="1422"/>
      <c r="BM20" s="1423"/>
      <c r="BN20" s="118"/>
      <c r="BO20" s="125"/>
      <c r="BP20" s="126"/>
      <c r="BQ20" s="126"/>
      <c r="BR20" s="126"/>
      <c r="BS20" s="126"/>
      <c r="BT20" s="126"/>
      <c r="BU20" s="126"/>
      <c r="BV20" s="126"/>
      <c r="BW20" s="126"/>
      <c r="BX20" s="126"/>
      <c r="BY20" s="126"/>
      <c r="BZ20" s="126"/>
      <c r="CA20" s="126"/>
      <c r="CB20" s="127"/>
    </row>
    <row r="21" spans="1:80" ht="27.9" customHeight="1">
      <c r="A21" s="118"/>
      <c r="B21" s="119"/>
      <c r="C21" s="120"/>
      <c r="D21" s="1421"/>
      <c r="E21" s="1422"/>
      <c r="F21" s="1422"/>
      <c r="G21" s="1422"/>
      <c r="H21" s="1422"/>
      <c r="I21" s="1422"/>
      <c r="J21" s="1422"/>
      <c r="K21" s="1422"/>
      <c r="L21" s="1422"/>
      <c r="M21" s="1422"/>
      <c r="N21" s="1422"/>
      <c r="O21" s="1422"/>
      <c r="P21" s="1422"/>
      <c r="Q21" s="1422"/>
      <c r="R21" s="1422"/>
      <c r="S21" s="1422"/>
      <c r="T21" s="1422"/>
      <c r="U21" s="1422"/>
      <c r="V21" s="1422"/>
      <c r="W21" s="1422"/>
      <c r="X21" s="1422"/>
      <c r="Y21" s="1422"/>
      <c r="Z21" s="1422"/>
      <c r="AA21" s="1422"/>
      <c r="AB21" s="1422"/>
      <c r="AC21" s="1422"/>
      <c r="AD21" s="1422"/>
      <c r="AE21" s="1422"/>
      <c r="AF21" s="1422"/>
      <c r="AG21" s="1422"/>
      <c r="AH21" s="1422"/>
      <c r="AI21" s="1422"/>
      <c r="AJ21" s="1422"/>
      <c r="AK21" s="1422"/>
      <c r="AL21" s="1422"/>
      <c r="AM21" s="1422"/>
      <c r="AN21" s="1422"/>
      <c r="AO21" s="1422"/>
      <c r="AP21" s="1422"/>
      <c r="AQ21" s="1422"/>
      <c r="AR21" s="1422"/>
      <c r="AS21" s="1422"/>
      <c r="AT21" s="1422"/>
      <c r="AU21" s="1422"/>
      <c r="AV21" s="1422"/>
      <c r="AW21" s="1422"/>
      <c r="AX21" s="1422"/>
      <c r="AY21" s="1422"/>
      <c r="AZ21" s="1422"/>
      <c r="BA21" s="1422"/>
      <c r="BB21" s="1422"/>
      <c r="BC21" s="1422"/>
      <c r="BD21" s="1422"/>
      <c r="BE21" s="1422"/>
      <c r="BF21" s="1422"/>
      <c r="BG21" s="1422"/>
      <c r="BH21" s="1422"/>
      <c r="BI21" s="1422"/>
      <c r="BJ21" s="1422"/>
      <c r="BK21" s="1422"/>
      <c r="BL21" s="1422"/>
      <c r="BM21" s="1423"/>
      <c r="BN21" s="118"/>
      <c r="BO21" s="125"/>
      <c r="BP21" s="126"/>
      <c r="BQ21" s="126"/>
      <c r="BR21" s="126"/>
      <c r="BS21" s="126"/>
      <c r="BT21" s="126"/>
      <c r="BU21" s="126"/>
      <c r="BV21" s="126"/>
      <c r="BW21" s="126"/>
      <c r="BX21" s="126"/>
      <c r="BY21" s="126"/>
      <c r="BZ21" s="126"/>
      <c r="CA21" s="126"/>
      <c r="CB21" s="127"/>
    </row>
    <row r="22" spans="1:80" ht="27.9" customHeight="1">
      <c r="A22" s="118"/>
      <c r="B22" s="119"/>
      <c r="C22" s="120"/>
      <c r="D22" s="1421"/>
      <c r="E22" s="1422"/>
      <c r="F22" s="1422"/>
      <c r="G22" s="1422"/>
      <c r="H22" s="1422"/>
      <c r="I22" s="1422"/>
      <c r="J22" s="1422"/>
      <c r="K22" s="1422"/>
      <c r="L22" s="1422"/>
      <c r="M22" s="1422"/>
      <c r="N22" s="1422"/>
      <c r="O22" s="1422"/>
      <c r="P22" s="1422"/>
      <c r="Q22" s="1422"/>
      <c r="R22" s="1422"/>
      <c r="S22" s="1422"/>
      <c r="T22" s="1422"/>
      <c r="U22" s="1422"/>
      <c r="V22" s="1422"/>
      <c r="W22" s="1422"/>
      <c r="X22" s="1422"/>
      <c r="Y22" s="1422"/>
      <c r="Z22" s="1422"/>
      <c r="AA22" s="1422"/>
      <c r="AB22" s="1422"/>
      <c r="AC22" s="1422"/>
      <c r="AD22" s="1422"/>
      <c r="AE22" s="1422"/>
      <c r="AF22" s="1422"/>
      <c r="AG22" s="1422"/>
      <c r="AH22" s="1422"/>
      <c r="AI22" s="1422"/>
      <c r="AJ22" s="1422"/>
      <c r="AK22" s="1422"/>
      <c r="AL22" s="1422"/>
      <c r="AM22" s="1422"/>
      <c r="AN22" s="1422"/>
      <c r="AO22" s="1422"/>
      <c r="AP22" s="1422"/>
      <c r="AQ22" s="1422"/>
      <c r="AR22" s="1422"/>
      <c r="AS22" s="1422"/>
      <c r="AT22" s="1422"/>
      <c r="AU22" s="1422"/>
      <c r="AV22" s="1422"/>
      <c r="AW22" s="1422"/>
      <c r="AX22" s="1422"/>
      <c r="AY22" s="1422"/>
      <c r="AZ22" s="1422"/>
      <c r="BA22" s="1422"/>
      <c r="BB22" s="1422"/>
      <c r="BC22" s="1422"/>
      <c r="BD22" s="1422"/>
      <c r="BE22" s="1422"/>
      <c r="BF22" s="1422"/>
      <c r="BG22" s="1422"/>
      <c r="BH22" s="1422"/>
      <c r="BI22" s="1422"/>
      <c r="BJ22" s="1422"/>
      <c r="BK22" s="1422"/>
      <c r="BL22" s="1422"/>
      <c r="BM22" s="1423"/>
      <c r="BN22" s="118"/>
      <c r="BO22" s="125"/>
      <c r="BP22" s="126"/>
      <c r="BQ22" s="126"/>
      <c r="BR22" s="126"/>
      <c r="BS22" s="126"/>
      <c r="BT22" s="126"/>
      <c r="BU22" s="126"/>
      <c r="BV22" s="126"/>
      <c r="BW22" s="126"/>
      <c r="BX22" s="126"/>
      <c r="BY22" s="126"/>
      <c r="BZ22" s="126"/>
      <c r="CA22" s="126"/>
      <c r="CB22" s="127"/>
    </row>
    <row r="23" spans="1:80" ht="27.9" customHeight="1">
      <c r="A23" s="118"/>
      <c r="B23" s="119"/>
      <c r="C23" s="120"/>
      <c r="D23" s="1421"/>
      <c r="E23" s="1422"/>
      <c r="F23" s="1422"/>
      <c r="G23" s="1422"/>
      <c r="H23" s="1422"/>
      <c r="I23" s="1422"/>
      <c r="J23" s="1422"/>
      <c r="K23" s="1422"/>
      <c r="L23" s="1422"/>
      <c r="M23" s="1422"/>
      <c r="N23" s="1422"/>
      <c r="O23" s="1422"/>
      <c r="P23" s="1422"/>
      <c r="Q23" s="1422"/>
      <c r="R23" s="1422"/>
      <c r="S23" s="1422"/>
      <c r="T23" s="1422"/>
      <c r="U23" s="1422"/>
      <c r="V23" s="1422"/>
      <c r="W23" s="1422"/>
      <c r="X23" s="1422"/>
      <c r="Y23" s="1422"/>
      <c r="Z23" s="1422"/>
      <c r="AA23" s="1422"/>
      <c r="AB23" s="1422"/>
      <c r="AC23" s="1422"/>
      <c r="AD23" s="1422"/>
      <c r="AE23" s="1422"/>
      <c r="AF23" s="1422"/>
      <c r="AG23" s="1422"/>
      <c r="AH23" s="1422"/>
      <c r="AI23" s="1422"/>
      <c r="AJ23" s="1422"/>
      <c r="AK23" s="1422"/>
      <c r="AL23" s="1422"/>
      <c r="AM23" s="1422"/>
      <c r="AN23" s="1422"/>
      <c r="AO23" s="1422"/>
      <c r="AP23" s="1422"/>
      <c r="AQ23" s="1422"/>
      <c r="AR23" s="1422"/>
      <c r="AS23" s="1422"/>
      <c r="AT23" s="1422"/>
      <c r="AU23" s="1422"/>
      <c r="AV23" s="1422"/>
      <c r="AW23" s="1422"/>
      <c r="AX23" s="1422"/>
      <c r="AY23" s="1422"/>
      <c r="AZ23" s="1422"/>
      <c r="BA23" s="1422"/>
      <c r="BB23" s="1422"/>
      <c r="BC23" s="1422"/>
      <c r="BD23" s="1422"/>
      <c r="BE23" s="1422"/>
      <c r="BF23" s="1422"/>
      <c r="BG23" s="1422"/>
      <c r="BH23" s="1422"/>
      <c r="BI23" s="1422"/>
      <c r="BJ23" s="1422"/>
      <c r="BK23" s="1422"/>
      <c r="BL23" s="1422"/>
      <c r="BM23" s="1423"/>
      <c r="BN23" s="118"/>
      <c r="BO23" s="125"/>
      <c r="BP23" s="126"/>
      <c r="BQ23" s="126"/>
      <c r="BR23" s="126"/>
      <c r="BS23" s="126"/>
      <c r="BT23" s="126"/>
      <c r="BU23" s="126"/>
      <c r="BV23" s="126"/>
      <c r="BW23" s="126"/>
      <c r="BX23" s="126"/>
      <c r="BY23" s="126"/>
      <c r="BZ23" s="126"/>
      <c r="CA23" s="126"/>
      <c r="CB23" s="127"/>
    </row>
    <row r="24" spans="1:80" ht="27.9" customHeight="1">
      <c r="A24" s="118"/>
      <c r="B24" s="119"/>
      <c r="C24" s="120"/>
      <c r="D24" s="1421"/>
      <c r="E24" s="1422"/>
      <c r="F24" s="1422"/>
      <c r="G24" s="1422"/>
      <c r="H24" s="1422"/>
      <c r="I24" s="1422"/>
      <c r="J24" s="1422"/>
      <c r="K24" s="1422"/>
      <c r="L24" s="1422"/>
      <c r="M24" s="1422"/>
      <c r="N24" s="1422"/>
      <c r="O24" s="1422"/>
      <c r="P24" s="1422"/>
      <c r="Q24" s="1422"/>
      <c r="R24" s="1422"/>
      <c r="S24" s="1422"/>
      <c r="T24" s="1422"/>
      <c r="U24" s="1422"/>
      <c r="V24" s="1422"/>
      <c r="W24" s="1422"/>
      <c r="X24" s="1422"/>
      <c r="Y24" s="1422"/>
      <c r="Z24" s="1422"/>
      <c r="AA24" s="1422"/>
      <c r="AB24" s="1422"/>
      <c r="AC24" s="1422"/>
      <c r="AD24" s="1422"/>
      <c r="AE24" s="1422"/>
      <c r="AF24" s="1422"/>
      <c r="AG24" s="1422"/>
      <c r="AH24" s="1422"/>
      <c r="AI24" s="1422"/>
      <c r="AJ24" s="1422"/>
      <c r="AK24" s="1422"/>
      <c r="AL24" s="1422"/>
      <c r="AM24" s="1422"/>
      <c r="AN24" s="1422"/>
      <c r="AO24" s="1422"/>
      <c r="AP24" s="1422"/>
      <c r="AQ24" s="1422"/>
      <c r="AR24" s="1422"/>
      <c r="AS24" s="1422"/>
      <c r="AT24" s="1422"/>
      <c r="AU24" s="1422"/>
      <c r="AV24" s="1422"/>
      <c r="AW24" s="1422"/>
      <c r="AX24" s="1422"/>
      <c r="AY24" s="1422"/>
      <c r="AZ24" s="1422"/>
      <c r="BA24" s="1422"/>
      <c r="BB24" s="1422"/>
      <c r="BC24" s="1422"/>
      <c r="BD24" s="1422"/>
      <c r="BE24" s="1422"/>
      <c r="BF24" s="1422"/>
      <c r="BG24" s="1422"/>
      <c r="BH24" s="1422"/>
      <c r="BI24" s="1422"/>
      <c r="BJ24" s="1422"/>
      <c r="BK24" s="1422"/>
      <c r="BL24" s="1422"/>
      <c r="BM24" s="1423"/>
      <c r="BN24" s="118"/>
      <c r="BO24" s="125"/>
    </row>
    <row r="25" spans="1:80" ht="27.9" customHeight="1">
      <c r="A25" s="118"/>
      <c r="B25" s="119"/>
      <c r="C25" s="120"/>
      <c r="D25" s="1424"/>
      <c r="E25" s="1425"/>
      <c r="F25" s="1425"/>
      <c r="G25" s="1425"/>
      <c r="H25" s="1425"/>
      <c r="I25" s="1425"/>
      <c r="J25" s="1425"/>
      <c r="K25" s="1425"/>
      <c r="L25" s="1425"/>
      <c r="M25" s="1425"/>
      <c r="N25" s="1425"/>
      <c r="O25" s="1425"/>
      <c r="P25" s="1425"/>
      <c r="Q25" s="1425"/>
      <c r="R25" s="1425"/>
      <c r="S25" s="1425"/>
      <c r="T25" s="1425"/>
      <c r="U25" s="1425"/>
      <c r="V25" s="1425"/>
      <c r="W25" s="1425"/>
      <c r="X25" s="1425"/>
      <c r="Y25" s="1425"/>
      <c r="Z25" s="1425"/>
      <c r="AA25" s="1425"/>
      <c r="AB25" s="1425"/>
      <c r="AC25" s="1425"/>
      <c r="AD25" s="1425"/>
      <c r="AE25" s="1425"/>
      <c r="AF25" s="1425"/>
      <c r="AG25" s="1425"/>
      <c r="AH25" s="1425"/>
      <c r="AI25" s="1425"/>
      <c r="AJ25" s="1425"/>
      <c r="AK25" s="1425"/>
      <c r="AL25" s="1425"/>
      <c r="AM25" s="1425"/>
      <c r="AN25" s="1425"/>
      <c r="AO25" s="1425"/>
      <c r="AP25" s="1425"/>
      <c r="AQ25" s="1425"/>
      <c r="AR25" s="1425"/>
      <c r="AS25" s="1425"/>
      <c r="AT25" s="1425"/>
      <c r="AU25" s="1425"/>
      <c r="AV25" s="1425"/>
      <c r="AW25" s="1425"/>
      <c r="AX25" s="1425"/>
      <c r="AY25" s="1425"/>
      <c r="AZ25" s="1425"/>
      <c r="BA25" s="1425"/>
      <c r="BB25" s="1425"/>
      <c r="BC25" s="1425"/>
      <c r="BD25" s="1425"/>
      <c r="BE25" s="1425"/>
      <c r="BF25" s="1425"/>
      <c r="BG25" s="1425"/>
      <c r="BH25" s="1425"/>
      <c r="BI25" s="1425"/>
      <c r="BJ25" s="1425"/>
      <c r="BK25" s="1425"/>
      <c r="BL25" s="1425"/>
      <c r="BM25" s="1426"/>
      <c r="BN25" s="118"/>
      <c r="BO25" s="125"/>
    </row>
    <row r="26" spans="1:80" ht="6" customHeight="1">
      <c r="A26" s="118"/>
      <c r="B26" s="119"/>
      <c r="C26" s="120"/>
      <c r="D26" s="118"/>
      <c r="E26" s="118"/>
      <c r="F26" s="118"/>
      <c r="G26" s="118"/>
      <c r="H26" s="118"/>
      <c r="I26" s="118"/>
      <c r="J26" s="118"/>
      <c r="K26" s="118"/>
      <c r="L26" s="118"/>
      <c r="M26" s="118"/>
      <c r="N26" s="118"/>
      <c r="O26" s="118"/>
      <c r="P26" s="118"/>
      <c r="Q26" s="118"/>
      <c r="R26" s="118"/>
      <c r="S26" s="118"/>
      <c r="T26" s="118"/>
      <c r="U26" s="118"/>
      <c r="V26" s="118"/>
      <c r="W26" s="118"/>
      <c r="X26" s="118"/>
      <c r="Y26" s="118"/>
      <c r="Z26" s="118"/>
      <c r="AA26" s="118"/>
      <c r="AB26" s="118"/>
      <c r="AC26" s="118"/>
      <c r="AD26" s="118"/>
      <c r="AE26" s="118"/>
      <c r="AF26" s="118"/>
      <c r="AG26" s="118"/>
      <c r="AH26" s="118"/>
      <c r="AI26" s="118"/>
      <c r="AJ26" s="118"/>
      <c r="AK26" s="118"/>
      <c r="AL26" s="118"/>
      <c r="AM26" s="118"/>
      <c r="AN26" s="118"/>
      <c r="AO26" s="118"/>
      <c r="AP26" s="118"/>
      <c r="AQ26" s="118"/>
      <c r="AR26" s="118"/>
      <c r="AS26" s="118"/>
      <c r="AT26" s="118"/>
      <c r="AU26" s="118"/>
      <c r="AV26" s="118"/>
      <c r="AW26" s="118"/>
      <c r="AX26" s="118"/>
      <c r="AY26" s="118"/>
      <c r="AZ26" s="118"/>
      <c r="BA26" s="118"/>
      <c r="BB26" s="118"/>
      <c r="BC26" s="118"/>
      <c r="BD26" s="118"/>
      <c r="BE26" s="118"/>
      <c r="BF26" s="118"/>
      <c r="BG26" s="118"/>
      <c r="BH26" s="118"/>
      <c r="BI26" s="118"/>
      <c r="BJ26" s="118"/>
      <c r="BK26" s="118"/>
      <c r="BL26" s="118"/>
      <c r="BM26" s="118"/>
      <c r="BN26" s="118"/>
      <c r="BO26" s="125"/>
    </row>
    <row r="27" spans="1:80" ht="9" customHeight="1">
      <c r="A27" s="118"/>
      <c r="B27" s="119"/>
      <c r="C27" s="120"/>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5"/>
    </row>
    <row r="28" spans="1:80" ht="21" customHeight="1">
      <c r="A28" s="118"/>
      <c r="B28" s="119"/>
      <c r="C28" s="120"/>
      <c r="D28" s="494" t="str">
        <f ca="1">INDIRECT('D1-D2-D3'!$J$4&amp;"!C104")</f>
        <v>Other information</v>
      </c>
      <c r="E28" s="120"/>
      <c r="F28" s="120"/>
      <c r="G28" s="120"/>
      <c r="H28" s="120"/>
      <c r="I28" s="120"/>
      <c r="J28" s="120"/>
      <c r="K28" s="120"/>
      <c r="L28" s="120"/>
      <c r="M28" s="120"/>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5"/>
    </row>
    <row r="29" spans="1:80" ht="13.5" customHeight="1">
      <c r="A29" s="118"/>
      <c r="B29" s="119"/>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5"/>
    </row>
    <row r="30" spans="1:80" ht="15" customHeight="1">
      <c r="A30" s="118"/>
      <c r="B30" s="119"/>
      <c r="C30" s="120"/>
      <c r="D30" s="1418"/>
      <c r="E30" s="1419"/>
      <c r="F30" s="1419"/>
      <c r="G30" s="1419"/>
      <c r="H30" s="1419"/>
      <c r="I30" s="1419"/>
      <c r="J30" s="1419"/>
      <c r="K30" s="1419"/>
      <c r="L30" s="1419"/>
      <c r="M30" s="1419"/>
      <c r="N30" s="1419"/>
      <c r="O30" s="1419"/>
      <c r="P30" s="1419"/>
      <c r="Q30" s="1419"/>
      <c r="R30" s="1419"/>
      <c r="S30" s="1419"/>
      <c r="T30" s="1419"/>
      <c r="U30" s="1419"/>
      <c r="V30" s="1419"/>
      <c r="W30" s="1419"/>
      <c r="X30" s="1419"/>
      <c r="Y30" s="1419"/>
      <c r="Z30" s="1419"/>
      <c r="AA30" s="1419"/>
      <c r="AB30" s="1419"/>
      <c r="AC30" s="1419"/>
      <c r="AD30" s="1419"/>
      <c r="AE30" s="1419"/>
      <c r="AF30" s="1419"/>
      <c r="AG30" s="1419"/>
      <c r="AH30" s="1419"/>
      <c r="AI30" s="1419"/>
      <c r="AJ30" s="1419"/>
      <c r="AK30" s="1419"/>
      <c r="AL30" s="1419"/>
      <c r="AM30" s="1419"/>
      <c r="AN30" s="1419"/>
      <c r="AO30" s="1419"/>
      <c r="AP30" s="1419"/>
      <c r="AQ30" s="1419"/>
      <c r="AR30" s="1419"/>
      <c r="AS30" s="1419"/>
      <c r="AT30" s="1419"/>
      <c r="AU30" s="1419"/>
      <c r="AV30" s="1419"/>
      <c r="AW30" s="1419"/>
      <c r="AX30" s="1419"/>
      <c r="AY30" s="1419"/>
      <c r="AZ30" s="1419"/>
      <c r="BA30" s="1419"/>
      <c r="BB30" s="1419"/>
      <c r="BC30" s="1419"/>
      <c r="BD30" s="1419"/>
      <c r="BE30" s="1419"/>
      <c r="BF30" s="1419"/>
      <c r="BG30" s="1419"/>
      <c r="BH30" s="1419"/>
      <c r="BI30" s="1419"/>
      <c r="BJ30" s="1419"/>
      <c r="BK30" s="1419"/>
      <c r="BL30" s="1419"/>
      <c r="BM30" s="1420"/>
      <c r="BN30" s="118"/>
      <c r="BO30" s="125"/>
    </row>
    <row r="31" spans="1:80" ht="39" customHeight="1">
      <c r="A31" s="118"/>
      <c r="B31" s="119"/>
      <c r="C31" s="120"/>
      <c r="D31" s="1421"/>
      <c r="E31" s="1422"/>
      <c r="F31" s="1422"/>
      <c r="G31" s="1422"/>
      <c r="H31" s="1422"/>
      <c r="I31" s="1422"/>
      <c r="J31" s="1422"/>
      <c r="K31" s="1422"/>
      <c r="L31" s="1422"/>
      <c r="M31" s="1422"/>
      <c r="N31" s="1422"/>
      <c r="O31" s="1422"/>
      <c r="P31" s="1422"/>
      <c r="Q31" s="1422"/>
      <c r="R31" s="1422"/>
      <c r="S31" s="1422"/>
      <c r="T31" s="1422"/>
      <c r="U31" s="1422"/>
      <c r="V31" s="1422"/>
      <c r="W31" s="1422"/>
      <c r="X31" s="1422"/>
      <c r="Y31" s="1422"/>
      <c r="Z31" s="1422"/>
      <c r="AA31" s="1422"/>
      <c r="AB31" s="1422"/>
      <c r="AC31" s="1422"/>
      <c r="AD31" s="1422"/>
      <c r="AE31" s="1422"/>
      <c r="AF31" s="1422"/>
      <c r="AG31" s="1422"/>
      <c r="AH31" s="1422"/>
      <c r="AI31" s="1422"/>
      <c r="AJ31" s="1422"/>
      <c r="AK31" s="1422"/>
      <c r="AL31" s="1422"/>
      <c r="AM31" s="1422"/>
      <c r="AN31" s="1422"/>
      <c r="AO31" s="1422"/>
      <c r="AP31" s="1422"/>
      <c r="AQ31" s="1422"/>
      <c r="AR31" s="1422"/>
      <c r="AS31" s="1422"/>
      <c r="AT31" s="1422"/>
      <c r="AU31" s="1422"/>
      <c r="AV31" s="1422"/>
      <c r="AW31" s="1422"/>
      <c r="AX31" s="1422"/>
      <c r="AY31" s="1422"/>
      <c r="AZ31" s="1422"/>
      <c r="BA31" s="1422"/>
      <c r="BB31" s="1422"/>
      <c r="BC31" s="1422"/>
      <c r="BD31" s="1422"/>
      <c r="BE31" s="1422"/>
      <c r="BF31" s="1422"/>
      <c r="BG31" s="1422"/>
      <c r="BH31" s="1422"/>
      <c r="BI31" s="1422"/>
      <c r="BJ31" s="1422"/>
      <c r="BK31" s="1422"/>
      <c r="BL31" s="1422"/>
      <c r="BM31" s="1423"/>
      <c r="BN31" s="118"/>
      <c r="BO31" s="125"/>
    </row>
    <row r="32" spans="1:80" ht="17.25" customHeight="1">
      <c r="A32" s="118"/>
      <c r="B32" s="119"/>
      <c r="C32" s="120"/>
      <c r="D32" s="1421"/>
      <c r="E32" s="1422"/>
      <c r="F32" s="1422"/>
      <c r="G32" s="1422"/>
      <c r="H32" s="1422"/>
      <c r="I32" s="1422"/>
      <c r="J32" s="1422"/>
      <c r="K32" s="1422"/>
      <c r="L32" s="1422"/>
      <c r="M32" s="1422"/>
      <c r="N32" s="1422"/>
      <c r="O32" s="1422"/>
      <c r="P32" s="1422"/>
      <c r="Q32" s="1422"/>
      <c r="R32" s="1422"/>
      <c r="S32" s="1422"/>
      <c r="T32" s="1422"/>
      <c r="U32" s="1422"/>
      <c r="V32" s="1422"/>
      <c r="W32" s="1422"/>
      <c r="X32" s="1422"/>
      <c r="Y32" s="1422"/>
      <c r="Z32" s="1422"/>
      <c r="AA32" s="1422"/>
      <c r="AB32" s="1422"/>
      <c r="AC32" s="1422"/>
      <c r="AD32" s="1422"/>
      <c r="AE32" s="1422"/>
      <c r="AF32" s="1422"/>
      <c r="AG32" s="1422"/>
      <c r="AH32" s="1422"/>
      <c r="AI32" s="1422"/>
      <c r="AJ32" s="1422"/>
      <c r="AK32" s="1422"/>
      <c r="AL32" s="1422"/>
      <c r="AM32" s="1422"/>
      <c r="AN32" s="1422"/>
      <c r="AO32" s="1422"/>
      <c r="AP32" s="1422"/>
      <c r="AQ32" s="1422"/>
      <c r="AR32" s="1422"/>
      <c r="AS32" s="1422"/>
      <c r="AT32" s="1422"/>
      <c r="AU32" s="1422"/>
      <c r="AV32" s="1422"/>
      <c r="AW32" s="1422"/>
      <c r="AX32" s="1422"/>
      <c r="AY32" s="1422"/>
      <c r="AZ32" s="1422"/>
      <c r="BA32" s="1422"/>
      <c r="BB32" s="1422"/>
      <c r="BC32" s="1422"/>
      <c r="BD32" s="1422"/>
      <c r="BE32" s="1422"/>
      <c r="BF32" s="1422"/>
      <c r="BG32" s="1422"/>
      <c r="BH32" s="1422"/>
      <c r="BI32" s="1422"/>
      <c r="BJ32" s="1422"/>
      <c r="BK32" s="1422"/>
      <c r="BL32" s="1422"/>
      <c r="BM32" s="1423"/>
      <c r="BN32" s="118"/>
      <c r="BO32" s="125"/>
      <c r="BP32" s="133"/>
      <c r="BQ32" s="133"/>
      <c r="BR32" s="133"/>
      <c r="BS32" s="133"/>
      <c r="BT32" s="133"/>
      <c r="BU32" s="133"/>
      <c r="BV32" s="133"/>
      <c r="BW32" s="133"/>
      <c r="BX32" s="133"/>
      <c r="BY32" s="133"/>
      <c r="BZ32" s="133"/>
      <c r="CA32" s="133"/>
      <c r="CB32" s="134"/>
    </row>
    <row r="33" spans="1:80" ht="17.25" customHeight="1">
      <c r="A33" s="118"/>
      <c r="B33" s="119"/>
      <c r="C33" s="120"/>
      <c r="D33" s="1421"/>
      <c r="E33" s="1422"/>
      <c r="F33" s="1422"/>
      <c r="G33" s="1422"/>
      <c r="H33" s="1422"/>
      <c r="I33" s="1422"/>
      <c r="J33" s="1422"/>
      <c r="K33" s="1422"/>
      <c r="L33" s="1422"/>
      <c r="M33" s="1422"/>
      <c r="N33" s="1422"/>
      <c r="O33" s="1422"/>
      <c r="P33" s="1422"/>
      <c r="Q33" s="1422"/>
      <c r="R33" s="1422"/>
      <c r="S33" s="1422"/>
      <c r="T33" s="1422"/>
      <c r="U33" s="1422"/>
      <c r="V33" s="1422"/>
      <c r="W33" s="1422"/>
      <c r="X33" s="1422"/>
      <c r="Y33" s="1422"/>
      <c r="Z33" s="1422"/>
      <c r="AA33" s="1422"/>
      <c r="AB33" s="1422"/>
      <c r="AC33" s="1422"/>
      <c r="AD33" s="1422"/>
      <c r="AE33" s="1422"/>
      <c r="AF33" s="1422"/>
      <c r="AG33" s="1422"/>
      <c r="AH33" s="1422"/>
      <c r="AI33" s="1422"/>
      <c r="AJ33" s="1422"/>
      <c r="AK33" s="1422"/>
      <c r="AL33" s="1422"/>
      <c r="AM33" s="1422"/>
      <c r="AN33" s="1422"/>
      <c r="AO33" s="1422"/>
      <c r="AP33" s="1422"/>
      <c r="AQ33" s="1422"/>
      <c r="AR33" s="1422"/>
      <c r="AS33" s="1422"/>
      <c r="AT33" s="1422"/>
      <c r="AU33" s="1422"/>
      <c r="AV33" s="1422"/>
      <c r="AW33" s="1422"/>
      <c r="AX33" s="1422"/>
      <c r="AY33" s="1422"/>
      <c r="AZ33" s="1422"/>
      <c r="BA33" s="1422"/>
      <c r="BB33" s="1422"/>
      <c r="BC33" s="1422"/>
      <c r="BD33" s="1422"/>
      <c r="BE33" s="1422"/>
      <c r="BF33" s="1422"/>
      <c r="BG33" s="1422"/>
      <c r="BH33" s="1422"/>
      <c r="BI33" s="1422"/>
      <c r="BJ33" s="1422"/>
      <c r="BK33" s="1422"/>
      <c r="BL33" s="1422"/>
      <c r="BM33" s="1423"/>
      <c r="BN33" s="118"/>
      <c r="BO33" s="125"/>
      <c r="BP33" s="133"/>
      <c r="BQ33" s="133"/>
      <c r="BR33" s="133"/>
      <c r="BS33" s="133"/>
      <c r="BT33" s="133"/>
      <c r="BU33" s="133"/>
      <c r="BV33" s="133"/>
      <c r="BW33" s="133"/>
      <c r="BX33" s="133"/>
      <c r="BY33" s="133"/>
      <c r="BZ33" s="133"/>
      <c r="CA33" s="133"/>
      <c r="CB33" s="134"/>
    </row>
    <row r="34" spans="1:80" ht="17.25" customHeight="1">
      <c r="A34" s="118"/>
      <c r="B34" s="119"/>
      <c r="C34" s="120"/>
      <c r="D34" s="1421"/>
      <c r="E34" s="1422"/>
      <c r="F34" s="1422"/>
      <c r="G34" s="1422"/>
      <c r="H34" s="1422"/>
      <c r="I34" s="1422"/>
      <c r="J34" s="1422"/>
      <c r="K34" s="1422"/>
      <c r="L34" s="1422"/>
      <c r="M34" s="1422"/>
      <c r="N34" s="1422"/>
      <c r="O34" s="1422"/>
      <c r="P34" s="1422"/>
      <c r="Q34" s="1422"/>
      <c r="R34" s="1422"/>
      <c r="S34" s="1422"/>
      <c r="T34" s="1422"/>
      <c r="U34" s="1422"/>
      <c r="V34" s="1422"/>
      <c r="W34" s="1422"/>
      <c r="X34" s="1422"/>
      <c r="Y34" s="1422"/>
      <c r="Z34" s="1422"/>
      <c r="AA34" s="1422"/>
      <c r="AB34" s="1422"/>
      <c r="AC34" s="1422"/>
      <c r="AD34" s="1422"/>
      <c r="AE34" s="1422"/>
      <c r="AF34" s="1422"/>
      <c r="AG34" s="1422"/>
      <c r="AH34" s="1422"/>
      <c r="AI34" s="1422"/>
      <c r="AJ34" s="1422"/>
      <c r="AK34" s="1422"/>
      <c r="AL34" s="1422"/>
      <c r="AM34" s="1422"/>
      <c r="AN34" s="1422"/>
      <c r="AO34" s="1422"/>
      <c r="AP34" s="1422"/>
      <c r="AQ34" s="1422"/>
      <c r="AR34" s="1422"/>
      <c r="AS34" s="1422"/>
      <c r="AT34" s="1422"/>
      <c r="AU34" s="1422"/>
      <c r="AV34" s="1422"/>
      <c r="AW34" s="1422"/>
      <c r="AX34" s="1422"/>
      <c r="AY34" s="1422"/>
      <c r="AZ34" s="1422"/>
      <c r="BA34" s="1422"/>
      <c r="BB34" s="1422"/>
      <c r="BC34" s="1422"/>
      <c r="BD34" s="1422"/>
      <c r="BE34" s="1422"/>
      <c r="BF34" s="1422"/>
      <c r="BG34" s="1422"/>
      <c r="BH34" s="1422"/>
      <c r="BI34" s="1422"/>
      <c r="BJ34" s="1422"/>
      <c r="BK34" s="1422"/>
      <c r="BL34" s="1422"/>
      <c r="BM34" s="1423"/>
      <c r="BN34" s="118"/>
      <c r="BO34" s="125"/>
      <c r="BP34" s="133"/>
      <c r="BQ34" s="133"/>
      <c r="BR34" s="133"/>
      <c r="BS34" s="133"/>
      <c r="BT34" s="133"/>
      <c r="BU34" s="133"/>
      <c r="BV34" s="133"/>
      <c r="BW34" s="133"/>
      <c r="BX34" s="133"/>
      <c r="BY34" s="133"/>
      <c r="BZ34" s="133"/>
      <c r="CA34" s="133"/>
      <c r="CB34" s="134"/>
    </row>
    <row r="35" spans="1:80" ht="17.25" customHeight="1">
      <c r="A35" s="118"/>
      <c r="B35" s="119"/>
      <c r="C35" s="120"/>
      <c r="D35" s="1421"/>
      <c r="E35" s="1422"/>
      <c r="F35" s="1422"/>
      <c r="G35" s="1422"/>
      <c r="H35" s="1422"/>
      <c r="I35" s="1422"/>
      <c r="J35" s="1422"/>
      <c r="K35" s="1422"/>
      <c r="L35" s="1422"/>
      <c r="M35" s="1422"/>
      <c r="N35" s="1422"/>
      <c r="O35" s="1422"/>
      <c r="P35" s="1422"/>
      <c r="Q35" s="1422"/>
      <c r="R35" s="1422"/>
      <c r="S35" s="1422"/>
      <c r="T35" s="1422"/>
      <c r="U35" s="1422"/>
      <c r="V35" s="1422"/>
      <c r="W35" s="1422"/>
      <c r="X35" s="1422"/>
      <c r="Y35" s="1422"/>
      <c r="Z35" s="1422"/>
      <c r="AA35" s="1422"/>
      <c r="AB35" s="1422"/>
      <c r="AC35" s="1422"/>
      <c r="AD35" s="1422"/>
      <c r="AE35" s="1422"/>
      <c r="AF35" s="1422"/>
      <c r="AG35" s="1422"/>
      <c r="AH35" s="1422"/>
      <c r="AI35" s="1422"/>
      <c r="AJ35" s="1422"/>
      <c r="AK35" s="1422"/>
      <c r="AL35" s="1422"/>
      <c r="AM35" s="1422"/>
      <c r="AN35" s="1422"/>
      <c r="AO35" s="1422"/>
      <c r="AP35" s="1422"/>
      <c r="AQ35" s="1422"/>
      <c r="AR35" s="1422"/>
      <c r="AS35" s="1422"/>
      <c r="AT35" s="1422"/>
      <c r="AU35" s="1422"/>
      <c r="AV35" s="1422"/>
      <c r="AW35" s="1422"/>
      <c r="AX35" s="1422"/>
      <c r="AY35" s="1422"/>
      <c r="AZ35" s="1422"/>
      <c r="BA35" s="1422"/>
      <c r="BB35" s="1422"/>
      <c r="BC35" s="1422"/>
      <c r="BD35" s="1422"/>
      <c r="BE35" s="1422"/>
      <c r="BF35" s="1422"/>
      <c r="BG35" s="1422"/>
      <c r="BH35" s="1422"/>
      <c r="BI35" s="1422"/>
      <c r="BJ35" s="1422"/>
      <c r="BK35" s="1422"/>
      <c r="BL35" s="1422"/>
      <c r="BM35" s="1423"/>
      <c r="BN35" s="118"/>
      <c r="BO35" s="125"/>
      <c r="BP35" s="133"/>
      <c r="BQ35" s="133"/>
      <c r="BR35" s="133"/>
      <c r="BS35" s="133"/>
      <c r="BT35" s="133"/>
      <c r="BU35" s="133"/>
      <c r="BV35" s="133"/>
      <c r="BW35" s="133"/>
      <c r="BX35" s="133"/>
      <c r="BY35" s="133"/>
      <c r="BZ35" s="133"/>
      <c r="CA35" s="133"/>
      <c r="CB35" s="134"/>
    </row>
    <row r="36" spans="1:80" ht="17.25" customHeight="1">
      <c r="A36" s="118"/>
      <c r="B36" s="119"/>
      <c r="C36" s="120"/>
      <c r="D36" s="1421"/>
      <c r="E36" s="1422"/>
      <c r="F36" s="1422"/>
      <c r="G36" s="1422"/>
      <c r="H36" s="1422"/>
      <c r="I36" s="1422"/>
      <c r="J36" s="1422"/>
      <c r="K36" s="1422"/>
      <c r="L36" s="1422"/>
      <c r="M36" s="1422"/>
      <c r="N36" s="1422"/>
      <c r="O36" s="1422"/>
      <c r="P36" s="1422"/>
      <c r="Q36" s="1422"/>
      <c r="R36" s="1422"/>
      <c r="S36" s="1422"/>
      <c r="T36" s="1422"/>
      <c r="U36" s="1422"/>
      <c r="V36" s="1422"/>
      <c r="W36" s="1422"/>
      <c r="X36" s="1422"/>
      <c r="Y36" s="1422"/>
      <c r="Z36" s="1422"/>
      <c r="AA36" s="1422"/>
      <c r="AB36" s="1422"/>
      <c r="AC36" s="1422"/>
      <c r="AD36" s="1422"/>
      <c r="AE36" s="1422"/>
      <c r="AF36" s="1422"/>
      <c r="AG36" s="1422"/>
      <c r="AH36" s="1422"/>
      <c r="AI36" s="1422"/>
      <c r="AJ36" s="1422"/>
      <c r="AK36" s="1422"/>
      <c r="AL36" s="1422"/>
      <c r="AM36" s="1422"/>
      <c r="AN36" s="1422"/>
      <c r="AO36" s="1422"/>
      <c r="AP36" s="1422"/>
      <c r="AQ36" s="1422"/>
      <c r="AR36" s="1422"/>
      <c r="AS36" s="1422"/>
      <c r="AT36" s="1422"/>
      <c r="AU36" s="1422"/>
      <c r="AV36" s="1422"/>
      <c r="AW36" s="1422"/>
      <c r="AX36" s="1422"/>
      <c r="AY36" s="1422"/>
      <c r="AZ36" s="1422"/>
      <c r="BA36" s="1422"/>
      <c r="BB36" s="1422"/>
      <c r="BC36" s="1422"/>
      <c r="BD36" s="1422"/>
      <c r="BE36" s="1422"/>
      <c r="BF36" s="1422"/>
      <c r="BG36" s="1422"/>
      <c r="BH36" s="1422"/>
      <c r="BI36" s="1422"/>
      <c r="BJ36" s="1422"/>
      <c r="BK36" s="1422"/>
      <c r="BL36" s="1422"/>
      <c r="BM36" s="1423"/>
      <c r="BN36" s="118"/>
      <c r="BO36" s="125"/>
      <c r="BP36" s="133"/>
      <c r="BQ36" s="133"/>
      <c r="BR36" s="133"/>
      <c r="BS36" s="133"/>
      <c r="BT36" s="133"/>
      <c r="BU36" s="133"/>
      <c r="BV36" s="133"/>
      <c r="BW36" s="133"/>
      <c r="BX36" s="133"/>
      <c r="BY36" s="133"/>
      <c r="BZ36" s="133"/>
      <c r="CA36" s="133"/>
      <c r="CB36" s="134"/>
    </row>
    <row r="37" spans="1:80" ht="17.25" customHeight="1">
      <c r="A37" s="118"/>
      <c r="B37" s="119"/>
      <c r="C37" s="120"/>
      <c r="D37" s="1421"/>
      <c r="E37" s="1422"/>
      <c r="F37" s="1422"/>
      <c r="G37" s="1422"/>
      <c r="H37" s="1422"/>
      <c r="I37" s="1422"/>
      <c r="J37" s="1422"/>
      <c r="K37" s="1422"/>
      <c r="L37" s="1422"/>
      <c r="M37" s="1422"/>
      <c r="N37" s="1422"/>
      <c r="O37" s="1422"/>
      <c r="P37" s="1422"/>
      <c r="Q37" s="1422"/>
      <c r="R37" s="1422"/>
      <c r="S37" s="1422"/>
      <c r="T37" s="1422"/>
      <c r="U37" s="1422"/>
      <c r="V37" s="1422"/>
      <c r="W37" s="1422"/>
      <c r="X37" s="1422"/>
      <c r="Y37" s="1422"/>
      <c r="Z37" s="1422"/>
      <c r="AA37" s="1422"/>
      <c r="AB37" s="1422"/>
      <c r="AC37" s="1422"/>
      <c r="AD37" s="1422"/>
      <c r="AE37" s="1422"/>
      <c r="AF37" s="1422"/>
      <c r="AG37" s="1422"/>
      <c r="AH37" s="1422"/>
      <c r="AI37" s="1422"/>
      <c r="AJ37" s="1422"/>
      <c r="AK37" s="1422"/>
      <c r="AL37" s="1422"/>
      <c r="AM37" s="1422"/>
      <c r="AN37" s="1422"/>
      <c r="AO37" s="1422"/>
      <c r="AP37" s="1422"/>
      <c r="AQ37" s="1422"/>
      <c r="AR37" s="1422"/>
      <c r="AS37" s="1422"/>
      <c r="AT37" s="1422"/>
      <c r="AU37" s="1422"/>
      <c r="AV37" s="1422"/>
      <c r="AW37" s="1422"/>
      <c r="AX37" s="1422"/>
      <c r="AY37" s="1422"/>
      <c r="AZ37" s="1422"/>
      <c r="BA37" s="1422"/>
      <c r="BB37" s="1422"/>
      <c r="BC37" s="1422"/>
      <c r="BD37" s="1422"/>
      <c r="BE37" s="1422"/>
      <c r="BF37" s="1422"/>
      <c r="BG37" s="1422"/>
      <c r="BH37" s="1422"/>
      <c r="BI37" s="1422"/>
      <c r="BJ37" s="1422"/>
      <c r="BK37" s="1422"/>
      <c r="BL37" s="1422"/>
      <c r="BM37" s="1423"/>
      <c r="BN37" s="118"/>
      <c r="BO37" s="125"/>
      <c r="BP37" s="133"/>
      <c r="BQ37" s="133"/>
      <c r="BR37" s="133"/>
      <c r="BS37" s="133"/>
      <c r="BT37" s="133"/>
      <c r="BU37" s="133"/>
      <c r="BV37" s="133"/>
      <c r="BW37" s="133"/>
      <c r="BX37" s="133"/>
      <c r="BY37" s="133"/>
      <c r="BZ37" s="133"/>
      <c r="CA37" s="133"/>
      <c r="CB37" s="134"/>
    </row>
    <row r="38" spans="1:80" ht="17.25" customHeight="1">
      <c r="A38" s="118"/>
      <c r="B38" s="119"/>
      <c r="C38" s="120"/>
      <c r="D38" s="1421"/>
      <c r="E38" s="1422"/>
      <c r="F38" s="1422"/>
      <c r="G38" s="1422"/>
      <c r="H38" s="1422"/>
      <c r="I38" s="1422"/>
      <c r="J38" s="1422"/>
      <c r="K38" s="1422"/>
      <c r="L38" s="1422"/>
      <c r="M38" s="1422"/>
      <c r="N38" s="1422"/>
      <c r="O38" s="1422"/>
      <c r="P38" s="1422"/>
      <c r="Q38" s="1422"/>
      <c r="R38" s="1422"/>
      <c r="S38" s="1422"/>
      <c r="T38" s="1422"/>
      <c r="U38" s="1422"/>
      <c r="V38" s="1422"/>
      <c r="W38" s="1422"/>
      <c r="X38" s="1422"/>
      <c r="Y38" s="1422"/>
      <c r="Z38" s="1422"/>
      <c r="AA38" s="1422"/>
      <c r="AB38" s="1422"/>
      <c r="AC38" s="1422"/>
      <c r="AD38" s="1422"/>
      <c r="AE38" s="1422"/>
      <c r="AF38" s="1422"/>
      <c r="AG38" s="1422"/>
      <c r="AH38" s="1422"/>
      <c r="AI38" s="1422"/>
      <c r="AJ38" s="1422"/>
      <c r="AK38" s="1422"/>
      <c r="AL38" s="1422"/>
      <c r="AM38" s="1422"/>
      <c r="AN38" s="1422"/>
      <c r="AO38" s="1422"/>
      <c r="AP38" s="1422"/>
      <c r="AQ38" s="1422"/>
      <c r="AR38" s="1422"/>
      <c r="AS38" s="1422"/>
      <c r="AT38" s="1422"/>
      <c r="AU38" s="1422"/>
      <c r="AV38" s="1422"/>
      <c r="AW38" s="1422"/>
      <c r="AX38" s="1422"/>
      <c r="AY38" s="1422"/>
      <c r="AZ38" s="1422"/>
      <c r="BA38" s="1422"/>
      <c r="BB38" s="1422"/>
      <c r="BC38" s="1422"/>
      <c r="BD38" s="1422"/>
      <c r="BE38" s="1422"/>
      <c r="BF38" s="1422"/>
      <c r="BG38" s="1422"/>
      <c r="BH38" s="1422"/>
      <c r="BI38" s="1422"/>
      <c r="BJ38" s="1422"/>
      <c r="BK38" s="1422"/>
      <c r="BL38" s="1422"/>
      <c r="BM38" s="1423"/>
      <c r="BN38" s="118"/>
      <c r="BO38" s="125"/>
      <c r="BP38" s="133"/>
      <c r="BQ38" s="133"/>
      <c r="BR38" s="133"/>
      <c r="BS38" s="133"/>
      <c r="BT38" s="133"/>
      <c r="BU38" s="133"/>
      <c r="BV38" s="133"/>
      <c r="BW38" s="133"/>
      <c r="BX38" s="133"/>
      <c r="BY38" s="133"/>
      <c r="BZ38" s="133"/>
      <c r="CA38" s="133"/>
      <c r="CB38" s="134"/>
    </row>
    <row r="39" spans="1:80" ht="17.25" customHeight="1">
      <c r="A39" s="118"/>
      <c r="B39" s="119"/>
      <c r="C39" s="120"/>
      <c r="D39" s="1421"/>
      <c r="E39" s="1422"/>
      <c r="F39" s="1422"/>
      <c r="G39" s="1422"/>
      <c r="H39" s="1422"/>
      <c r="I39" s="1422"/>
      <c r="J39" s="1422"/>
      <c r="K39" s="1422"/>
      <c r="L39" s="1422"/>
      <c r="M39" s="1422"/>
      <c r="N39" s="1422"/>
      <c r="O39" s="1422"/>
      <c r="P39" s="1422"/>
      <c r="Q39" s="1422"/>
      <c r="R39" s="1422"/>
      <c r="S39" s="1422"/>
      <c r="T39" s="1422"/>
      <c r="U39" s="1422"/>
      <c r="V39" s="1422"/>
      <c r="W39" s="1422"/>
      <c r="X39" s="1422"/>
      <c r="Y39" s="1422"/>
      <c r="Z39" s="1422"/>
      <c r="AA39" s="1422"/>
      <c r="AB39" s="1422"/>
      <c r="AC39" s="1422"/>
      <c r="AD39" s="1422"/>
      <c r="AE39" s="1422"/>
      <c r="AF39" s="1422"/>
      <c r="AG39" s="1422"/>
      <c r="AH39" s="1422"/>
      <c r="AI39" s="1422"/>
      <c r="AJ39" s="1422"/>
      <c r="AK39" s="1422"/>
      <c r="AL39" s="1422"/>
      <c r="AM39" s="1422"/>
      <c r="AN39" s="1422"/>
      <c r="AO39" s="1422"/>
      <c r="AP39" s="1422"/>
      <c r="AQ39" s="1422"/>
      <c r="AR39" s="1422"/>
      <c r="AS39" s="1422"/>
      <c r="AT39" s="1422"/>
      <c r="AU39" s="1422"/>
      <c r="AV39" s="1422"/>
      <c r="AW39" s="1422"/>
      <c r="AX39" s="1422"/>
      <c r="AY39" s="1422"/>
      <c r="AZ39" s="1422"/>
      <c r="BA39" s="1422"/>
      <c r="BB39" s="1422"/>
      <c r="BC39" s="1422"/>
      <c r="BD39" s="1422"/>
      <c r="BE39" s="1422"/>
      <c r="BF39" s="1422"/>
      <c r="BG39" s="1422"/>
      <c r="BH39" s="1422"/>
      <c r="BI39" s="1422"/>
      <c r="BJ39" s="1422"/>
      <c r="BK39" s="1422"/>
      <c r="BL39" s="1422"/>
      <c r="BM39" s="1423"/>
      <c r="BN39" s="118"/>
      <c r="BO39" s="125"/>
      <c r="BP39" s="133"/>
      <c r="BQ39" s="133"/>
      <c r="BR39" s="133"/>
      <c r="BS39" s="133"/>
      <c r="BT39" s="133"/>
      <c r="BU39" s="133"/>
      <c r="BV39" s="133"/>
      <c r="BW39" s="133"/>
      <c r="BX39" s="133"/>
      <c r="BY39" s="133"/>
      <c r="BZ39" s="133"/>
      <c r="CA39" s="133"/>
      <c r="CB39" s="134"/>
    </row>
    <row r="40" spans="1:80" ht="17.25" customHeight="1">
      <c r="A40" s="118"/>
      <c r="B40" s="119"/>
      <c r="C40" s="120"/>
      <c r="D40" s="1421"/>
      <c r="E40" s="1422"/>
      <c r="F40" s="1422"/>
      <c r="G40" s="1422"/>
      <c r="H40" s="1422"/>
      <c r="I40" s="1422"/>
      <c r="J40" s="1422"/>
      <c r="K40" s="1422"/>
      <c r="L40" s="1422"/>
      <c r="M40" s="1422"/>
      <c r="N40" s="1422"/>
      <c r="O40" s="1422"/>
      <c r="P40" s="1422"/>
      <c r="Q40" s="1422"/>
      <c r="R40" s="1422"/>
      <c r="S40" s="1422"/>
      <c r="T40" s="1422"/>
      <c r="U40" s="1422"/>
      <c r="V40" s="1422"/>
      <c r="W40" s="1422"/>
      <c r="X40" s="1422"/>
      <c r="Y40" s="1422"/>
      <c r="Z40" s="1422"/>
      <c r="AA40" s="1422"/>
      <c r="AB40" s="1422"/>
      <c r="AC40" s="1422"/>
      <c r="AD40" s="1422"/>
      <c r="AE40" s="1422"/>
      <c r="AF40" s="1422"/>
      <c r="AG40" s="1422"/>
      <c r="AH40" s="1422"/>
      <c r="AI40" s="1422"/>
      <c r="AJ40" s="1422"/>
      <c r="AK40" s="1422"/>
      <c r="AL40" s="1422"/>
      <c r="AM40" s="1422"/>
      <c r="AN40" s="1422"/>
      <c r="AO40" s="1422"/>
      <c r="AP40" s="1422"/>
      <c r="AQ40" s="1422"/>
      <c r="AR40" s="1422"/>
      <c r="AS40" s="1422"/>
      <c r="AT40" s="1422"/>
      <c r="AU40" s="1422"/>
      <c r="AV40" s="1422"/>
      <c r="AW40" s="1422"/>
      <c r="AX40" s="1422"/>
      <c r="AY40" s="1422"/>
      <c r="AZ40" s="1422"/>
      <c r="BA40" s="1422"/>
      <c r="BB40" s="1422"/>
      <c r="BC40" s="1422"/>
      <c r="BD40" s="1422"/>
      <c r="BE40" s="1422"/>
      <c r="BF40" s="1422"/>
      <c r="BG40" s="1422"/>
      <c r="BH40" s="1422"/>
      <c r="BI40" s="1422"/>
      <c r="BJ40" s="1422"/>
      <c r="BK40" s="1422"/>
      <c r="BL40" s="1422"/>
      <c r="BM40" s="1423"/>
      <c r="BN40" s="118"/>
      <c r="BO40" s="125"/>
      <c r="BP40" s="133"/>
      <c r="BQ40" s="133"/>
      <c r="BR40" s="133"/>
      <c r="BS40" s="133"/>
      <c r="BT40" s="133"/>
      <c r="BU40" s="133"/>
      <c r="BV40" s="133"/>
      <c r="BW40" s="133"/>
      <c r="BX40" s="133"/>
      <c r="BY40" s="133"/>
      <c r="BZ40" s="133"/>
      <c r="CA40" s="133"/>
      <c r="CB40" s="134"/>
    </row>
    <row r="41" spans="1:80" ht="17.25" customHeight="1">
      <c r="A41" s="118"/>
      <c r="B41" s="119"/>
      <c r="C41" s="120"/>
      <c r="D41" s="1421"/>
      <c r="E41" s="1422"/>
      <c r="F41" s="1422"/>
      <c r="G41" s="1422"/>
      <c r="H41" s="1422"/>
      <c r="I41" s="1422"/>
      <c r="J41" s="1422"/>
      <c r="K41" s="1422"/>
      <c r="L41" s="1422"/>
      <c r="M41" s="1422"/>
      <c r="N41" s="1422"/>
      <c r="O41" s="1422"/>
      <c r="P41" s="1422"/>
      <c r="Q41" s="1422"/>
      <c r="R41" s="1422"/>
      <c r="S41" s="1422"/>
      <c r="T41" s="1422"/>
      <c r="U41" s="1422"/>
      <c r="V41" s="1422"/>
      <c r="W41" s="1422"/>
      <c r="X41" s="1422"/>
      <c r="Y41" s="1422"/>
      <c r="Z41" s="1422"/>
      <c r="AA41" s="1422"/>
      <c r="AB41" s="1422"/>
      <c r="AC41" s="1422"/>
      <c r="AD41" s="1422"/>
      <c r="AE41" s="1422"/>
      <c r="AF41" s="1422"/>
      <c r="AG41" s="1422"/>
      <c r="AH41" s="1422"/>
      <c r="AI41" s="1422"/>
      <c r="AJ41" s="1422"/>
      <c r="AK41" s="1422"/>
      <c r="AL41" s="1422"/>
      <c r="AM41" s="1422"/>
      <c r="AN41" s="1422"/>
      <c r="AO41" s="1422"/>
      <c r="AP41" s="1422"/>
      <c r="AQ41" s="1422"/>
      <c r="AR41" s="1422"/>
      <c r="AS41" s="1422"/>
      <c r="AT41" s="1422"/>
      <c r="AU41" s="1422"/>
      <c r="AV41" s="1422"/>
      <c r="AW41" s="1422"/>
      <c r="AX41" s="1422"/>
      <c r="AY41" s="1422"/>
      <c r="AZ41" s="1422"/>
      <c r="BA41" s="1422"/>
      <c r="BB41" s="1422"/>
      <c r="BC41" s="1422"/>
      <c r="BD41" s="1422"/>
      <c r="BE41" s="1422"/>
      <c r="BF41" s="1422"/>
      <c r="BG41" s="1422"/>
      <c r="BH41" s="1422"/>
      <c r="BI41" s="1422"/>
      <c r="BJ41" s="1422"/>
      <c r="BK41" s="1422"/>
      <c r="BL41" s="1422"/>
      <c r="BM41" s="1423"/>
      <c r="BN41" s="118"/>
      <c r="BO41" s="125"/>
      <c r="BP41" s="133"/>
      <c r="BQ41" s="133"/>
      <c r="BR41" s="133"/>
      <c r="BS41" s="133"/>
      <c r="BT41" s="133"/>
      <c r="BU41" s="133"/>
      <c r="BV41" s="133"/>
      <c r="BW41" s="133"/>
      <c r="BX41" s="133"/>
      <c r="BY41" s="133"/>
      <c r="BZ41" s="133"/>
      <c r="CA41" s="133"/>
      <c r="CB41" s="134"/>
    </row>
    <row r="42" spans="1:80" ht="17.25" customHeight="1">
      <c r="A42" s="118"/>
      <c r="B42" s="119"/>
      <c r="C42" s="120"/>
      <c r="D42" s="1421"/>
      <c r="E42" s="1422"/>
      <c r="F42" s="1422"/>
      <c r="G42" s="1422"/>
      <c r="H42" s="1422"/>
      <c r="I42" s="1422"/>
      <c r="J42" s="1422"/>
      <c r="K42" s="1422"/>
      <c r="L42" s="1422"/>
      <c r="M42" s="1422"/>
      <c r="N42" s="1422"/>
      <c r="O42" s="1422"/>
      <c r="P42" s="1422"/>
      <c r="Q42" s="1422"/>
      <c r="R42" s="1422"/>
      <c r="S42" s="1422"/>
      <c r="T42" s="1422"/>
      <c r="U42" s="1422"/>
      <c r="V42" s="1422"/>
      <c r="W42" s="1422"/>
      <c r="X42" s="1422"/>
      <c r="Y42" s="1422"/>
      <c r="Z42" s="1422"/>
      <c r="AA42" s="1422"/>
      <c r="AB42" s="1422"/>
      <c r="AC42" s="1422"/>
      <c r="AD42" s="1422"/>
      <c r="AE42" s="1422"/>
      <c r="AF42" s="1422"/>
      <c r="AG42" s="1422"/>
      <c r="AH42" s="1422"/>
      <c r="AI42" s="1422"/>
      <c r="AJ42" s="1422"/>
      <c r="AK42" s="1422"/>
      <c r="AL42" s="1422"/>
      <c r="AM42" s="1422"/>
      <c r="AN42" s="1422"/>
      <c r="AO42" s="1422"/>
      <c r="AP42" s="1422"/>
      <c r="AQ42" s="1422"/>
      <c r="AR42" s="1422"/>
      <c r="AS42" s="1422"/>
      <c r="AT42" s="1422"/>
      <c r="AU42" s="1422"/>
      <c r="AV42" s="1422"/>
      <c r="AW42" s="1422"/>
      <c r="AX42" s="1422"/>
      <c r="AY42" s="1422"/>
      <c r="AZ42" s="1422"/>
      <c r="BA42" s="1422"/>
      <c r="BB42" s="1422"/>
      <c r="BC42" s="1422"/>
      <c r="BD42" s="1422"/>
      <c r="BE42" s="1422"/>
      <c r="BF42" s="1422"/>
      <c r="BG42" s="1422"/>
      <c r="BH42" s="1422"/>
      <c r="BI42" s="1422"/>
      <c r="BJ42" s="1422"/>
      <c r="BK42" s="1422"/>
      <c r="BL42" s="1422"/>
      <c r="BM42" s="1423"/>
      <c r="BN42" s="118"/>
      <c r="BO42" s="125"/>
      <c r="BP42" s="133"/>
      <c r="BQ42" s="133"/>
      <c r="BR42" s="133"/>
      <c r="BS42" s="133"/>
      <c r="BT42" s="133"/>
      <c r="BU42" s="133"/>
      <c r="BV42" s="133"/>
      <c r="BW42" s="133"/>
      <c r="BX42" s="133"/>
      <c r="BY42" s="133"/>
      <c r="BZ42" s="133"/>
      <c r="CA42" s="133"/>
      <c r="CB42" s="134"/>
    </row>
    <row r="43" spans="1:80" ht="17.25" customHeight="1">
      <c r="A43" s="118"/>
      <c r="B43" s="119"/>
      <c r="C43" s="120"/>
      <c r="D43" s="1421"/>
      <c r="E43" s="1422"/>
      <c r="F43" s="1422"/>
      <c r="G43" s="1422"/>
      <c r="H43" s="1422"/>
      <c r="I43" s="1422"/>
      <c r="J43" s="1422"/>
      <c r="K43" s="1422"/>
      <c r="L43" s="1422"/>
      <c r="M43" s="1422"/>
      <c r="N43" s="1422"/>
      <c r="O43" s="1422"/>
      <c r="P43" s="1422"/>
      <c r="Q43" s="1422"/>
      <c r="R43" s="1422"/>
      <c r="S43" s="1422"/>
      <c r="T43" s="1422"/>
      <c r="U43" s="1422"/>
      <c r="V43" s="1422"/>
      <c r="W43" s="1422"/>
      <c r="X43" s="1422"/>
      <c r="Y43" s="1422"/>
      <c r="Z43" s="1422"/>
      <c r="AA43" s="1422"/>
      <c r="AB43" s="1422"/>
      <c r="AC43" s="1422"/>
      <c r="AD43" s="1422"/>
      <c r="AE43" s="1422"/>
      <c r="AF43" s="1422"/>
      <c r="AG43" s="1422"/>
      <c r="AH43" s="1422"/>
      <c r="AI43" s="1422"/>
      <c r="AJ43" s="1422"/>
      <c r="AK43" s="1422"/>
      <c r="AL43" s="1422"/>
      <c r="AM43" s="1422"/>
      <c r="AN43" s="1422"/>
      <c r="AO43" s="1422"/>
      <c r="AP43" s="1422"/>
      <c r="AQ43" s="1422"/>
      <c r="AR43" s="1422"/>
      <c r="AS43" s="1422"/>
      <c r="AT43" s="1422"/>
      <c r="AU43" s="1422"/>
      <c r="AV43" s="1422"/>
      <c r="AW43" s="1422"/>
      <c r="AX43" s="1422"/>
      <c r="AY43" s="1422"/>
      <c r="AZ43" s="1422"/>
      <c r="BA43" s="1422"/>
      <c r="BB43" s="1422"/>
      <c r="BC43" s="1422"/>
      <c r="BD43" s="1422"/>
      <c r="BE43" s="1422"/>
      <c r="BF43" s="1422"/>
      <c r="BG43" s="1422"/>
      <c r="BH43" s="1422"/>
      <c r="BI43" s="1422"/>
      <c r="BJ43" s="1422"/>
      <c r="BK43" s="1422"/>
      <c r="BL43" s="1422"/>
      <c r="BM43" s="1423"/>
      <c r="BN43" s="118"/>
      <c r="BO43" s="125"/>
      <c r="BP43" s="133"/>
      <c r="BQ43" s="133"/>
      <c r="BR43" s="133"/>
      <c r="BS43" s="133"/>
      <c r="BT43" s="133"/>
      <c r="BU43" s="133"/>
      <c r="BV43" s="133"/>
      <c r="BW43" s="133"/>
      <c r="BX43" s="133"/>
      <c r="BY43" s="133"/>
      <c r="BZ43" s="133"/>
      <c r="CA43" s="133"/>
      <c r="CB43" s="134"/>
    </row>
    <row r="44" spans="1:80" ht="17.25" customHeight="1">
      <c r="A44" s="118"/>
      <c r="B44" s="119"/>
      <c r="C44" s="120"/>
      <c r="D44" s="1421"/>
      <c r="E44" s="1422"/>
      <c r="F44" s="1422"/>
      <c r="G44" s="1422"/>
      <c r="H44" s="1422"/>
      <c r="I44" s="1422"/>
      <c r="J44" s="1422"/>
      <c r="K44" s="1422"/>
      <c r="L44" s="1422"/>
      <c r="M44" s="1422"/>
      <c r="N44" s="1422"/>
      <c r="O44" s="1422"/>
      <c r="P44" s="1422"/>
      <c r="Q44" s="1422"/>
      <c r="R44" s="1422"/>
      <c r="S44" s="1422"/>
      <c r="T44" s="1422"/>
      <c r="U44" s="1422"/>
      <c r="V44" s="1422"/>
      <c r="W44" s="1422"/>
      <c r="X44" s="1422"/>
      <c r="Y44" s="1422"/>
      <c r="Z44" s="1422"/>
      <c r="AA44" s="1422"/>
      <c r="AB44" s="1422"/>
      <c r="AC44" s="1422"/>
      <c r="AD44" s="1422"/>
      <c r="AE44" s="1422"/>
      <c r="AF44" s="1422"/>
      <c r="AG44" s="1422"/>
      <c r="AH44" s="1422"/>
      <c r="AI44" s="1422"/>
      <c r="AJ44" s="1422"/>
      <c r="AK44" s="1422"/>
      <c r="AL44" s="1422"/>
      <c r="AM44" s="1422"/>
      <c r="AN44" s="1422"/>
      <c r="AO44" s="1422"/>
      <c r="AP44" s="1422"/>
      <c r="AQ44" s="1422"/>
      <c r="AR44" s="1422"/>
      <c r="AS44" s="1422"/>
      <c r="AT44" s="1422"/>
      <c r="AU44" s="1422"/>
      <c r="AV44" s="1422"/>
      <c r="AW44" s="1422"/>
      <c r="AX44" s="1422"/>
      <c r="AY44" s="1422"/>
      <c r="AZ44" s="1422"/>
      <c r="BA44" s="1422"/>
      <c r="BB44" s="1422"/>
      <c r="BC44" s="1422"/>
      <c r="BD44" s="1422"/>
      <c r="BE44" s="1422"/>
      <c r="BF44" s="1422"/>
      <c r="BG44" s="1422"/>
      <c r="BH44" s="1422"/>
      <c r="BI44" s="1422"/>
      <c r="BJ44" s="1422"/>
      <c r="BK44" s="1422"/>
      <c r="BL44" s="1422"/>
      <c r="BM44" s="1423"/>
      <c r="BN44" s="118"/>
      <c r="BO44" s="125"/>
      <c r="BP44" s="133"/>
      <c r="BQ44" s="133"/>
      <c r="BR44" s="133"/>
      <c r="BS44" s="133"/>
      <c r="BT44" s="133"/>
      <c r="BU44" s="133"/>
      <c r="BV44" s="133"/>
      <c r="BW44" s="133"/>
      <c r="BX44" s="133"/>
      <c r="BY44" s="133"/>
      <c r="BZ44" s="133"/>
      <c r="CA44" s="133"/>
      <c r="CB44" s="134"/>
    </row>
    <row r="45" spans="1:80" ht="17.25" customHeight="1">
      <c r="A45" s="118"/>
      <c r="B45" s="119"/>
      <c r="C45" s="120"/>
      <c r="D45" s="1421"/>
      <c r="E45" s="1422"/>
      <c r="F45" s="1422"/>
      <c r="G45" s="1422"/>
      <c r="H45" s="1422"/>
      <c r="I45" s="1422"/>
      <c r="J45" s="1422"/>
      <c r="K45" s="1422"/>
      <c r="L45" s="1422"/>
      <c r="M45" s="1422"/>
      <c r="N45" s="1422"/>
      <c r="O45" s="1422"/>
      <c r="P45" s="1422"/>
      <c r="Q45" s="1422"/>
      <c r="R45" s="1422"/>
      <c r="S45" s="1422"/>
      <c r="T45" s="1422"/>
      <c r="U45" s="1422"/>
      <c r="V45" s="1422"/>
      <c r="W45" s="1422"/>
      <c r="X45" s="1422"/>
      <c r="Y45" s="1422"/>
      <c r="Z45" s="1422"/>
      <c r="AA45" s="1422"/>
      <c r="AB45" s="1422"/>
      <c r="AC45" s="1422"/>
      <c r="AD45" s="1422"/>
      <c r="AE45" s="1422"/>
      <c r="AF45" s="1422"/>
      <c r="AG45" s="1422"/>
      <c r="AH45" s="1422"/>
      <c r="AI45" s="1422"/>
      <c r="AJ45" s="1422"/>
      <c r="AK45" s="1422"/>
      <c r="AL45" s="1422"/>
      <c r="AM45" s="1422"/>
      <c r="AN45" s="1422"/>
      <c r="AO45" s="1422"/>
      <c r="AP45" s="1422"/>
      <c r="AQ45" s="1422"/>
      <c r="AR45" s="1422"/>
      <c r="AS45" s="1422"/>
      <c r="AT45" s="1422"/>
      <c r="AU45" s="1422"/>
      <c r="AV45" s="1422"/>
      <c r="AW45" s="1422"/>
      <c r="AX45" s="1422"/>
      <c r="AY45" s="1422"/>
      <c r="AZ45" s="1422"/>
      <c r="BA45" s="1422"/>
      <c r="BB45" s="1422"/>
      <c r="BC45" s="1422"/>
      <c r="BD45" s="1422"/>
      <c r="BE45" s="1422"/>
      <c r="BF45" s="1422"/>
      <c r="BG45" s="1422"/>
      <c r="BH45" s="1422"/>
      <c r="BI45" s="1422"/>
      <c r="BJ45" s="1422"/>
      <c r="BK45" s="1422"/>
      <c r="BL45" s="1422"/>
      <c r="BM45" s="1423"/>
      <c r="BN45" s="118"/>
      <c r="BO45" s="125"/>
      <c r="BP45" s="133"/>
      <c r="BQ45" s="133"/>
      <c r="BR45" s="133"/>
      <c r="BS45" s="133"/>
      <c r="BT45" s="133"/>
      <c r="BU45" s="133"/>
      <c r="BV45" s="133"/>
      <c r="BW45" s="133"/>
      <c r="BX45" s="133"/>
      <c r="BY45" s="133"/>
      <c r="BZ45" s="133"/>
      <c r="CA45" s="133"/>
      <c r="CB45" s="134"/>
    </row>
    <row r="46" spans="1:80" ht="17.25" customHeight="1">
      <c r="A46" s="118"/>
      <c r="B46" s="119"/>
      <c r="C46" s="120"/>
      <c r="D46" s="1421"/>
      <c r="E46" s="1422"/>
      <c r="F46" s="1422"/>
      <c r="G46" s="1422"/>
      <c r="H46" s="1422"/>
      <c r="I46" s="1422"/>
      <c r="J46" s="1422"/>
      <c r="K46" s="1422"/>
      <c r="L46" s="1422"/>
      <c r="M46" s="1422"/>
      <c r="N46" s="1422"/>
      <c r="O46" s="1422"/>
      <c r="P46" s="1422"/>
      <c r="Q46" s="1422"/>
      <c r="R46" s="1422"/>
      <c r="S46" s="1422"/>
      <c r="T46" s="1422"/>
      <c r="U46" s="1422"/>
      <c r="V46" s="1422"/>
      <c r="W46" s="1422"/>
      <c r="X46" s="1422"/>
      <c r="Y46" s="1422"/>
      <c r="Z46" s="1422"/>
      <c r="AA46" s="1422"/>
      <c r="AB46" s="1422"/>
      <c r="AC46" s="1422"/>
      <c r="AD46" s="1422"/>
      <c r="AE46" s="1422"/>
      <c r="AF46" s="1422"/>
      <c r="AG46" s="1422"/>
      <c r="AH46" s="1422"/>
      <c r="AI46" s="1422"/>
      <c r="AJ46" s="1422"/>
      <c r="AK46" s="1422"/>
      <c r="AL46" s="1422"/>
      <c r="AM46" s="1422"/>
      <c r="AN46" s="1422"/>
      <c r="AO46" s="1422"/>
      <c r="AP46" s="1422"/>
      <c r="AQ46" s="1422"/>
      <c r="AR46" s="1422"/>
      <c r="AS46" s="1422"/>
      <c r="AT46" s="1422"/>
      <c r="AU46" s="1422"/>
      <c r="AV46" s="1422"/>
      <c r="AW46" s="1422"/>
      <c r="AX46" s="1422"/>
      <c r="AY46" s="1422"/>
      <c r="AZ46" s="1422"/>
      <c r="BA46" s="1422"/>
      <c r="BB46" s="1422"/>
      <c r="BC46" s="1422"/>
      <c r="BD46" s="1422"/>
      <c r="BE46" s="1422"/>
      <c r="BF46" s="1422"/>
      <c r="BG46" s="1422"/>
      <c r="BH46" s="1422"/>
      <c r="BI46" s="1422"/>
      <c r="BJ46" s="1422"/>
      <c r="BK46" s="1422"/>
      <c r="BL46" s="1422"/>
      <c r="BM46" s="1423"/>
      <c r="BN46" s="118"/>
      <c r="BO46" s="125"/>
      <c r="BP46" s="133"/>
      <c r="BQ46" s="133"/>
      <c r="BR46" s="133"/>
      <c r="BS46" s="133"/>
      <c r="BT46" s="133"/>
      <c r="BU46" s="133"/>
      <c r="BV46" s="133"/>
      <c r="BW46" s="133"/>
      <c r="BX46" s="133"/>
      <c r="BY46" s="133"/>
      <c r="BZ46" s="133"/>
      <c r="CA46" s="133"/>
      <c r="CB46" s="134"/>
    </row>
    <row r="47" spans="1:80" ht="17.25" customHeight="1">
      <c r="A47" s="118"/>
      <c r="B47" s="119"/>
      <c r="C47" s="120"/>
      <c r="D47" s="1421"/>
      <c r="E47" s="1422"/>
      <c r="F47" s="1422"/>
      <c r="G47" s="1422"/>
      <c r="H47" s="1422"/>
      <c r="I47" s="1422"/>
      <c r="J47" s="1422"/>
      <c r="K47" s="1422"/>
      <c r="L47" s="1422"/>
      <c r="M47" s="1422"/>
      <c r="N47" s="1422"/>
      <c r="O47" s="1422"/>
      <c r="P47" s="1422"/>
      <c r="Q47" s="1422"/>
      <c r="R47" s="1422"/>
      <c r="S47" s="1422"/>
      <c r="T47" s="1422"/>
      <c r="U47" s="1422"/>
      <c r="V47" s="1422"/>
      <c r="W47" s="1422"/>
      <c r="X47" s="1422"/>
      <c r="Y47" s="1422"/>
      <c r="Z47" s="1422"/>
      <c r="AA47" s="1422"/>
      <c r="AB47" s="1422"/>
      <c r="AC47" s="1422"/>
      <c r="AD47" s="1422"/>
      <c r="AE47" s="1422"/>
      <c r="AF47" s="1422"/>
      <c r="AG47" s="1422"/>
      <c r="AH47" s="1422"/>
      <c r="AI47" s="1422"/>
      <c r="AJ47" s="1422"/>
      <c r="AK47" s="1422"/>
      <c r="AL47" s="1422"/>
      <c r="AM47" s="1422"/>
      <c r="AN47" s="1422"/>
      <c r="AO47" s="1422"/>
      <c r="AP47" s="1422"/>
      <c r="AQ47" s="1422"/>
      <c r="AR47" s="1422"/>
      <c r="AS47" s="1422"/>
      <c r="AT47" s="1422"/>
      <c r="AU47" s="1422"/>
      <c r="AV47" s="1422"/>
      <c r="AW47" s="1422"/>
      <c r="AX47" s="1422"/>
      <c r="AY47" s="1422"/>
      <c r="AZ47" s="1422"/>
      <c r="BA47" s="1422"/>
      <c r="BB47" s="1422"/>
      <c r="BC47" s="1422"/>
      <c r="BD47" s="1422"/>
      <c r="BE47" s="1422"/>
      <c r="BF47" s="1422"/>
      <c r="BG47" s="1422"/>
      <c r="BH47" s="1422"/>
      <c r="BI47" s="1422"/>
      <c r="BJ47" s="1422"/>
      <c r="BK47" s="1422"/>
      <c r="BL47" s="1422"/>
      <c r="BM47" s="1423"/>
      <c r="BN47" s="118"/>
      <c r="BO47" s="125"/>
      <c r="BP47" s="133"/>
      <c r="BQ47" s="133"/>
      <c r="BR47" s="133"/>
      <c r="BS47" s="133"/>
      <c r="BT47" s="133"/>
      <c r="BU47" s="133"/>
      <c r="BV47" s="133"/>
      <c r="BW47" s="133"/>
      <c r="BX47" s="133"/>
      <c r="BY47" s="133"/>
      <c r="BZ47" s="133"/>
      <c r="CA47" s="133"/>
      <c r="CB47" s="134"/>
    </row>
    <row r="48" spans="1:80" ht="17.25" customHeight="1">
      <c r="A48" s="118"/>
      <c r="B48" s="119"/>
      <c r="C48" s="120"/>
      <c r="D48" s="1421"/>
      <c r="E48" s="1422"/>
      <c r="F48" s="1422"/>
      <c r="G48" s="1422"/>
      <c r="H48" s="1422"/>
      <c r="I48" s="1422"/>
      <c r="J48" s="1422"/>
      <c r="K48" s="1422"/>
      <c r="L48" s="1422"/>
      <c r="M48" s="1422"/>
      <c r="N48" s="1422"/>
      <c r="O48" s="1422"/>
      <c r="P48" s="1422"/>
      <c r="Q48" s="1422"/>
      <c r="R48" s="1422"/>
      <c r="S48" s="1422"/>
      <c r="T48" s="1422"/>
      <c r="U48" s="1422"/>
      <c r="V48" s="1422"/>
      <c r="W48" s="1422"/>
      <c r="X48" s="1422"/>
      <c r="Y48" s="1422"/>
      <c r="Z48" s="1422"/>
      <c r="AA48" s="1422"/>
      <c r="AB48" s="1422"/>
      <c r="AC48" s="1422"/>
      <c r="AD48" s="1422"/>
      <c r="AE48" s="1422"/>
      <c r="AF48" s="1422"/>
      <c r="AG48" s="1422"/>
      <c r="AH48" s="1422"/>
      <c r="AI48" s="1422"/>
      <c r="AJ48" s="1422"/>
      <c r="AK48" s="1422"/>
      <c r="AL48" s="1422"/>
      <c r="AM48" s="1422"/>
      <c r="AN48" s="1422"/>
      <c r="AO48" s="1422"/>
      <c r="AP48" s="1422"/>
      <c r="AQ48" s="1422"/>
      <c r="AR48" s="1422"/>
      <c r="AS48" s="1422"/>
      <c r="AT48" s="1422"/>
      <c r="AU48" s="1422"/>
      <c r="AV48" s="1422"/>
      <c r="AW48" s="1422"/>
      <c r="AX48" s="1422"/>
      <c r="AY48" s="1422"/>
      <c r="AZ48" s="1422"/>
      <c r="BA48" s="1422"/>
      <c r="BB48" s="1422"/>
      <c r="BC48" s="1422"/>
      <c r="BD48" s="1422"/>
      <c r="BE48" s="1422"/>
      <c r="BF48" s="1422"/>
      <c r="BG48" s="1422"/>
      <c r="BH48" s="1422"/>
      <c r="BI48" s="1422"/>
      <c r="BJ48" s="1422"/>
      <c r="BK48" s="1422"/>
      <c r="BL48" s="1422"/>
      <c r="BM48" s="1423"/>
      <c r="BN48" s="118"/>
      <c r="BO48" s="125"/>
      <c r="BP48" s="133"/>
      <c r="BQ48" s="133"/>
      <c r="BR48" s="133"/>
      <c r="BS48" s="133"/>
      <c r="BT48" s="133"/>
      <c r="BU48" s="133"/>
      <c r="BV48" s="133"/>
      <c r="BW48" s="133"/>
      <c r="BX48" s="133"/>
      <c r="BY48" s="133"/>
      <c r="BZ48" s="133"/>
      <c r="CA48" s="133"/>
      <c r="CB48" s="134"/>
    </row>
    <row r="49" spans="1:80" ht="17.25" customHeight="1">
      <c r="A49" s="118"/>
      <c r="B49" s="119"/>
      <c r="C49" s="120"/>
      <c r="D49" s="1421"/>
      <c r="E49" s="1422"/>
      <c r="F49" s="1422"/>
      <c r="G49" s="1422"/>
      <c r="H49" s="1422"/>
      <c r="I49" s="1422"/>
      <c r="J49" s="1422"/>
      <c r="K49" s="1422"/>
      <c r="L49" s="1422"/>
      <c r="M49" s="1422"/>
      <c r="N49" s="1422"/>
      <c r="O49" s="1422"/>
      <c r="P49" s="1422"/>
      <c r="Q49" s="1422"/>
      <c r="R49" s="1422"/>
      <c r="S49" s="1422"/>
      <c r="T49" s="1422"/>
      <c r="U49" s="1422"/>
      <c r="V49" s="1422"/>
      <c r="W49" s="1422"/>
      <c r="X49" s="1422"/>
      <c r="Y49" s="1422"/>
      <c r="Z49" s="1422"/>
      <c r="AA49" s="1422"/>
      <c r="AB49" s="1422"/>
      <c r="AC49" s="1422"/>
      <c r="AD49" s="1422"/>
      <c r="AE49" s="1422"/>
      <c r="AF49" s="1422"/>
      <c r="AG49" s="1422"/>
      <c r="AH49" s="1422"/>
      <c r="AI49" s="1422"/>
      <c r="AJ49" s="1422"/>
      <c r="AK49" s="1422"/>
      <c r="AL49" s="1422"/>
      <c r="AM49" s="1422"/>
      <c r="AN49" s="1422"/>
      <c r="AO49" s="1422"/>
      <c r="AP49" s="1422"/>
      <c r="AQ49" s="1422"/>
      <c r="AR49" s="1422"/>
      <c r="AS49" s="1422"/>
      <c r="AT49" s="1422"/>
      <c r="AU49" s="1422"/>
      <c r="AV49" s="1422"/>
      <c r="AW49" s="1422"/>
      <c r="AX49" s="1422"/>
      <c r="AY49" s="1422"/>
      <c r="AZ49" s="1422"/>
      <c r="BA49" s="1422"/>
      <c r="BB49" s="1422"/>
      <c r="BC49" s="1422"/>
      <c r="BD49" s="1422"/>
      <c r="BE49" s="1422"/>
      <c r="BF49" s="1422"/>
      <c r="BG49" s="1422"/>
      <c r="BH49" s="1422"/>
      <c r="BI49" s="1422"/>
      <c r="BJ49" s="1422"/>
      <c r="BK49" s="1422"/>
      <c r="BL49" s="1422"/>
      <c r="BM49" s="1423"/>
      <c r="BN49" s="118"/>
      <c r="BO49" s="125"/>
      <c r="BP49" s="133"/>
      <c r="BQ49" s="133"/>
      <c r="BR49" s="133"/>
      <c r="BS49" s="133"/>
      <c r="BT49" s="133"/>
      <c r="BU49" s="133"/>
      <c r="BV49" s="133"/>
      <c r="BW49" s="133"/>
      <c r="BX49" s="133"/>
      <c r="BY49" s="133"/>
      <c r="BZ49" s="133"/>
      <c r="CA49" s="133"/>
      <c r="CB49" s="134"/>
    </row>
    <row r="50" spans="1:80" ht="17.25" customHeight="1">
      <c r="A50" s="118"/>
      <c r="B50" s="119"/>
      <c r="C50" s="120"/>
      <c r="D50" s="1421"/>
      <c r="E50" s="1422"/>
      <c r="F50" s="1422"/>
      <c r="G50" s="1422"/>
      <c r="H50" s="1422"/>
      <c r="I50" s="1422"/>
      <c r="J50" s="1422"/>
      <c r="K50" s="1422"/>
      <c r="L50" s="1422"/>
      <c r="M50" s="1422"/>
      <c r="N50" s="1422"/>
      <c r="O50" s="1422"/>
      <c r="P50" s="1422"/>
      <c r="Q50" s="1422"/>
      <c r="R50" s="1422"/>
      <c r="S50" s="1422"/>
      <c r="T50" s="1422"/>
      <c r="U50" s="1422"/>
      <c r="V50" s="1422"/>
      <c r="W50" s="1422"/>
      <c r="X50" s="1422"/>
      <c r="Y50" s="1422"/>
      <c r="Z50" s="1422"/>
      <c r="AA50" s="1422"/>
      <c r="AB50" s="1422"/>
      <c r="AC50" s="1422"/>
      <c r="AD50" s="1422"/>
      <c r="AE50" s="1422"/>
      <c r="AF50" s="1422"/>
      <c r="AG50" s="1422"/>
      <c r="AH50" s="1422"/>
      <c r="AI50" s="1422"/>
      <c r="AJ50" s="1422"/>
      <c r="AK50" s="1422"/>
      <c r="AL50" s="1422"/>
      <c r="AM50" s="1422"/>
      <c r="AN50" s="1422"/>
      <c r="AO50" s="1422"/>
      <c r="AP50" s="1422"/>
      <c r="AQ50" s="1422"/>
      <c r="AR50" s="1422"/>
      <c r="AS50" s="1422"/>
      <c r="AT50" s="1422"/>
      <c r="AU50" s="1422"/>
      <c r="AV50" s="1422"/>
      <c r="AW50" s="1422"/>
      <c r="AX50" s="1422"/>
      <c r="AY50" s="1422"/>
      <c r="AZ50" s="1422"/>
      <c r="BA50" s="1422"/>
      <c r="BB50" s="1422"/>
      <c r="BC50" s="1422"/>
      <c r="BD50" s="1422"/>
      <c r="BE50" s="1422"/>
      <c r="BF50" s="1422"/>
      <c r="BG50" s="1422"/>
      <c r="BH50" s="1422"/>
      <c r="BI50" s="1422"/>
      <c r="BJ50" s="1422"/>
      <c r="BK50" s="1422"/>
      <c r="BL50" s="1422"/>
      <c r="BM50" s="1423"/>
      <c r="BN50" s="118"/>
      <c r="BO50" s="125"/>
      <c r="BP50" s="133"/>
      <c r="BQ50" s="133"/>
      <c r="BR50" s="133"/>
      <c r="BS50" s="133"/>
      <c r="BT50" s="133"/>
      <c r="BU50" s="133"/>
      <c r="BV50" s="133"/>
      <c r="BW50" s="133"/>
      <c r="BX50" s="133"/>
      <c r="BY50" s="133"/>
      <c r="BZ50" s="133"/>
      <c r="CA50" s="133"/>
      <c r="CB50" s="134"/>
    </row>
    <row r="51" spans="1:80" ht="17.25" customHeight="1">
      <c r="A51" s="118"/>
      <c r="B51" s="119"/>
      <c r="C51" s="120"/>
      <c r="D51" s="1421"/>
      <c r="E51" s="1422"/>
      <c r="F51" s="1422"/>
      <c r="G51" s="1422"/>
      <c r="H51" s="1422"/>
      <c r="I51" s="1422"/>
      <c r="J51" s="1422"/>
      <c r="K51" s="1422"/>
      <c r="L51" s="1422"/>
      <c r="M51" s="1422"/>
      <c r="N51" s="1422"/>
      <c r="O51" s="1422"/>
      <c r="P51" s="1422"/>
      <c r="Q51" s="1422"/>
      <c r="R51" s="1422"/>
      <c r="S51" s="1422"/>
      <c r="T51" s="1422"/>
      <c r="U51" s="1422"/>
      <c r="V51" s="1422"/>
      <c r="W51" s="1422"/>
      <c r="X51" s="1422"/>
      <c r="Y51" s="1422"/>
      <c r="Z51" s="1422"/>
      <c r="AA51" s="1422"/>
      <c r="AB51" s="1422"/>
      <c r="AC51" s="1422"/>
      <c r="AD51" s="1422"/>
      <c r="AE51" s="1422"/>
      <c r="AF51" s="1422"/>
      <c r="AG51" s="1422"/>
      <c r="AH51" s="1422"/>
      <c r="AI51" s="1422"/>
      <c r="AJ51" s="1422"/>
      <c r="AK51" s="1422"/>
      <c r="AL51" s="1422"/>
      <c r="AM51" s="1422"/>
      <c r="AN51" s="1422"/>
      <c r="AO51" s="1422"/>
      <c r="AP51" s="1422"/>
      <c r="AQ51" s="1422"/>
      <c r="AR51" s="1422"/>
      <c r="AS51" s="1422"/>
      <c r="AT51" s="1422"/>
      <c r="AU51" s="1422"/>
      <c r="AV51" s="1422"/>
      <c r="AW51" s="1422"/>
      <c r="AX51" s="1422"/>
      <c r="AY51" s="1422"/>
      <c r="AZ51" s="1422"/>
      <c r="BA51" s="1422"/>
      <c r="BB51" s="1422"/>
      <c r="BC51" s="1422"/>
      <c r="BD51" s="1422"/>
      <c r="BE51" s="1422"/>
      <c r="BF51" s="1422"/>
      <c r="BG51" s="1422"/>
      <c r="BH51" s="1422"/>
      <c r="BI51" s="1422"/>
      <c r="BJ51" s="1422"/>
      <c r="BK51" s="1422"/>
      <c r="BL51" s="1422"/>
      <c r="BM51" s="1423"/>
      <c r="BN51" s="118"/>
      <c r="BO51" s="125"/>
      <c r="BP51" s="133"/>
      <c r="BQ51" s="133"/>
      <c r="BR51" s="133"/>
      <c r="BS51" s="133"/>
      <c r="BT51" s="133"/>
      <c r="BU51" s="133"/>
      <c r="BV51" s="133"/>
      <c r="BW51" s="133"/>
      <c r="BX51" s="133"/>
      <c r="BY51" s="133"/>
      <c r="BZ51" s="133"/>
      <c r="CA51" s="133"/>
      <c r="CB51" s="134"/>
    </row>
    <row r="52" spans="1:80" ht="17.25" customHeight="1">
      <c r="A52" s="118"/>
      <c r="B52" s="119"/>
      <c r="C52" s="120"/>
      <c r="D52" s="1421"/>
      <c r="E52" s="1422"/>
      <c r="F52" s="1422"/>
      <c r="G52" s="1422"/>
      <c r="H52" s="1422"/>
      <c r="I52" s="1422"/>
      <c r="J52" s="1422"/>
      <c r="K52" s="1422"/>
      <c r="L52" s="1422"/>
      <c r="M52" s="1422"/>
      <c r="N52" s="1422"/>
      <c r="O52" s="1422"/>
      <c r="P52" s="1422"/>
      <c r="Q52" s="1422"/>
      <c r="R52" s="1422"/>
      <c r="S52" s="1422"/>
      <c r="T52" s="1422"/>
      <c r="U52" s="1422"/>
      <c r="V52" s="1422"/>
      <c r="W52" s="1422"/>
      <c r="X52" s="1422"/>
      <c r="Y52" s="1422"/>
      <c r="Z52" s="1422"/>
      <c r="AA52" s="1422"/>
      <c r="AB52" s="1422"/>
      <c r="AC52" s="1422"/>
      <c r="AD52" s="1422"/>
      <c r="AE52" s="1422"/>
      <c r="AF52" s="1422"/>
      <c r="AG52" s="1422"/>
      <c r="AH52" s="1422"/>
      <c r="AI52" s="1422"/>
      <c r="AJ52" s="1422"/>
      <c r="AK52" s="1422"/>
      <c r="AL52" s="1422"/>
      <c r="AM52" s="1422"/>
      <c r="AN52" s="1422"/>
      <c r="AO52" s="1422"/>
      <c r="AP52" s="1422"/>
      <c r="AQ52" s="1422"/>
      <c r="AR52" s="1422"/>
      <c r="AS52" s="1422"/>
      <c r="AT52" s="1422"/>
      <c r="AU52" s="1422"/>
      <c r="AV52" s="1422"/>
      <c r="AW52" s="1422"/>
      <c r="AX52" s="1422"/>
      <c r="AY52" s="1422"/>
      <c r="AZ52" s="1422"/>
      <c r="BA52" s="1422"/>
      <c r="BB52" s="1422"/>
      <c r="BC52" s="1422"/>
      <c r="BD52" s="1422"/>
      <c r="BE52" s="1422"/>
      <c r="BF52" s="1422"/>
      <c r="BG52" s="1422"/>
      <c r="BH52" s="1422"/>
      <c r="BI52" s="1422"/>
      <c r="BJ52" s="1422"/>
      <c r="BK52" s="1422"/>
      <c r="BL52" s="1422"/>
      <c r="BM52" s="1423"/>
      <c r="BN52" s="118"/>
      <c r="BO52" s="125"/>
      <c r="BP52" s="133"/>
      <c r="BQ52" s="133"/>
      <c r="BR52" s="133"/>
      <c r="BS52" s="133"/>
      <c r="BT52" s="133"/>
      <c r="BU52" s="133"/>
      <c r="BV52" s="133"/>
      <c r="BW52" s="133"/>
      <c r="BX52" s="133"/>
      <c r="BY52" s="133"/>
      <c r="BZ52" s="133"/>
      <c r="CA52" s="133"/>
      <c r="CB52" s="134"/>
    </row>
    <row r="53" spans="1:80" ht="17.25" customHeight="1">
      <c r="A53" s="118"/>
      <c r="B53" s="119"/>
      <c r="C53" s="120"/>
      <c r="D53" s="1421"/>
      <c r="E53" s="1422"/>
      <c r="F53" s="1422"/>
      <c r="G53" s="1422"/>
      <c r="H53" s="1422"/>
      <c r="I53" s="1422"/>
      <c r="J53" s="1422"/>
      <c r="K53" s="1422"/>
      <c r="L53" s="1422"/>
      <c r="M53" s="1422"/>
      <c r="N53" s="1422"/>
      <c r="O53" s="1422"/>
      <c r="P53" s="1422"/>
      <c r="Q53" s="1422"/>
      <c r="R53" s="1422"/>
      <c r="S53" s="1422"/>
      <c r="T53" s="1422"/>
      <c r="U53" s="1422"/>
      <c r="V53" s="1422"/>
      <c r="W53" s="1422"/>
      <c r="X53" s="1422"/>
      <c r="Y53" s="1422"/>
      <c r="Z53" s="1422"/>
      <c r="AA53" s="1422"/>
      <c r="AB53" s="1422"/>
      <c r="AC53" s="1422"/>
      <c r="AD53" s="1422"/>
      <c r="AE53" s="1422"/>
      <c r="AF53" s="1422"/>
      <c r="AG53" s="1422"/>
      <c r="AH53" s="1422"/>
      <c r="AI53" s="1422"/>
      <c r="AJ53" s="1422"/>
      <c r="AK53" s="1422"/>
      <c r="AL53" s="1422"/>
      <c r="AM53" s="1422"/>
      <c r="AN53" s="1422"/>
      <c r="AO53" s="1422"/>
      <c r="AP53" s="1422"/>
      <c r="AQ53" s="1422"/>
      <c r="AR53" s="1422"/>
      <c r="AS53" s="1422"/>
      <c r="AT53" s="1422"/>
      <c r="AU53" s="1422"/>
      <c r="AV53" s="1422"/>
      <c r="AW53" s="1422"/>
      <c r="AX53" s="1422"/>
      <c r="AY53" s="1422"/>
      <c r="AZ53" s="1422"/>
      <c r="BA53" s="1422"/>
      <c r="BB53" s="1422"/>
      <c r="BC53" s="1422"/>
      <c r="BD53" s="1422"/>
      <c r="BE53" s="1422"/>
      <c r="BF53" s="1422"/>
      <c r="BG53" s="1422"/>
      <c r="BH53" s="1422"/>
      <c r="BI53" s="1422"/>
      <c r="BJ53" s="1422"/>
      <c r="BK53" s="1422"/>
      <c r="BL53" s="1422"/>
      <c r="BM53" s="1423"/>
      <c r="BN53" s="118"/>
      <c r="BO53" s="125"/>
      <c r="BP53" s="133"/>
      <c r="BQ53" s="133"/>
      <c r="BR53" s="133"/>
      <c r="BS53" s="133"/>
      <c r="BT53" s="133"/>
      <c r="BU53" s="133"/>
      <c r="BV53" s="133"/>
      <c r="BW53" s="133"/>
      <c r="BX53" s="133"/>
      <c r="BY53" s="133"/>
      <c r="BZ53" s="133"/>
      <c r="CA53" s="133"/>
      <c r="CB53" s="134"/>
    </row>
    <row r="54" spans="1:80" ht="17.25" customHeight="1">
      <c r="A54" s="118"/>
      <c r="B54" s="119"/>
      <c r="C54" s="120"/>
      <c r="D54" s="1421"/>
      <c r="E54" s="1422"/>
      <c r="F54" s="1422"/>
      <c r="G54" s="1422"/>
      <c r="H54" s="1422"/>
      <c r="I54" s="1422"/>
      <c r="J54" s="1422"/>
      <c r="K54" s="1422"/>
      <c r="L54" s="1422"/>
      <c r="M54" s="1422"/>
      <c r="N54" s="1422"/>
      <c r="O54" s="1422"/>
      <c r="P54" s="1422"/>
      <c r="Q54" s="1422"/>
      <c r="R54" s="1422"/>
      <c r="S54" s="1422"/>
      <c r="T54" s="1422"/>
      <c r="U54" s="1422"/>
      <c r="V54" s="1422"/>
      <c r="W54" s="1422"/>
      <c r="X54" s="1422"/>
      <c r="Y54" s="1422"/>
      <c r="Z54" s="1422"/>
      <c r="AA54" s="1422"/>
      <c r="AB54" s="1422"/>
      <c r="AC54" s="1422"/>
      <c r="AD54" s="1422"/>
      <c r="AE54" s="1422"/>
      <c r="AF54" s="1422"/>
      <c r="AG54" s="1422"/>
      <c r="AH54" s="1422"/>
      <c r="AI54" s="1422"/>
      <c r="AJ54" s="1422"/>
      <c r="AK54" s="1422"/>
      <c r="AL54" s="1422"/>
      <c r="AM54" s="1422"/>
      <c r="AN54" s="1422"/>
      <c r="AO54" s="1422"/>
      <c r="AP54" s="1422"/>
      <c r="AQ54" s="1422"/>
      <c r="AR54" s="1422"/>
      <c r="AS54" s="1422"/>
      <c r="AT54" s="1422"/>
      <c r="AU54" s="1422"/>
      <c r="AV54" s="1422"/>
      <c r="AW54" s="1422"/>
      <c r="AX54" s="1422"/>
      <c r="AY54" s="1422"/>
      <c r="AZ54" s="1422"/>
      <c r="BA54" s="1422"/>
      <c r="BB54" s="1422"/>
      <c r="BC54" s="1422"/>
      <c r="BD54" s="1422"/>
      <c r="BE54" s="1422"/>
      <c r="BF54" s="1422"/>
      <c r="BG54" s="1422"/>
      <c r="BH54" s="1422"/>
      <c r="BI54" s="1422"/>
      <c r="BJ54" s="1422"/>
      <c r="BK54" s="1422"/>
      <c r="BL54" s="1422"/>
      <c r="BM54" s="1423"/>
      <c r="BN54" s="118"/>
      <c r="BO54" s="125"/>
      <c r="BP54" s="133"/>
      <c r="BQ54" s="133"/>
      <c r="BR54" s="133"/>
      <c r="BS54" s="133"/>
      <c r="BT54" s="133"/>
      <c r="BU54" s="133"/>
      <c r="BV54" s="133"/>
      <c r="BW54" s="133"/>
      <c r="BX54" s="133"/>
      <c r="BY54" s="133"/>
      <c r="BZ54" s="133"/>
      <c r="CA54" s="133"/>
      <c r="CB54" s="134"/>
    </row>
    <row r="55" spans="1:80" ht="17.25" customHeight="1">
      <c r="A55" s="118"/>
      <c r="B55" s="119"/>
      <c r="C55" s="120"/>
      <c r="D55" s="1421"/>
      <c r="E55" s="1422"/>
      <c r="F55" s="1422"/>
      <c r="G55" s="1422"/>
      <c r="H55" s="1422"/>
      <c r="I55" s="1422"/>
      <c r="J55" s="1422"/>
      <c r="K55" s="1422"/>
      <c r="L55" s="1422"/>
      <c r="M55" s="1422"/>
      <c r="N55" s="1422"/>
      <c r="O55" s="1422"/>
      <c r="P55" s="1422"/>
      <c r="Q55" s="1422"/>
      <c r="R55" s="1422"/>
      <c r="S55" s="1422"/>
      <c r="T55" s="1422"/>
      <c r="U55" s="1422"/>
      <c r="V55" s="1422"/>
      <c r="W55" s="1422"/>
      <c r="X55" s="1422"/>
      <c r="Y55" s="1422"/>
      <c r="Z55" s="1422"/>
      <c r="AA55" s="1422"/>
      <c r="AB55" s="1422"/>
      <c r="AC55" s="1422"/>
      <c r="AD55" s="1422"/>
      <c r="AE55" s="1422"/>
      <c r="AF55" s="1422"/>
      <c r="AG55" s="1422"/>
      <c r="AH55" s="1422"/>
      <c r="AI55" s="1422"/>
      <c r="AJ55" s="1422"/>
      <c r="AK55" s="1422"/>
      <c r="AL55" s="1422"/>
      <c r="AM55" s="1422"/>
      <c r="AN55" s="1422"/>
      <c r="AO55" s="1422"/>
      <c r="AP55" s="1422"/>
      <c r="AQ55" s="1422"/>
      <c r="AR55" s="1422"/>
      <c r="AS55" s="1422"/>
      <c r="AT55" s="1422"/>
      <c r="AU55" s="1422"/>
      <c r="AV55" s="1422"/>
      <c r="AW55" s="1422"/>
      <c r="AX55" s="1422"/>
      <c r="AY55" s="1422"/>
      <c r="AZ55" s="1422"/>
      <c r="BA55" s="1422"/>
      <c r="BB55" s="1422"/>
      <c r="BC55" s="1422"/>
      <c r="BD55" s="1422"/>
      <c r="BE55" s="1422"/>
      <c r="BF55" s="1422"/>
      <c r="BG55" s="1422"/>
      <c r="BH55" s="1422"/>
      <c r="BI55" s="1422"/>
      <c r="BJ55" s="1422"/>
      <c r="BK55" s="1422"/>
      <c r="BL55" s="1422"/>
      <c r="BM55" s="1423"/>
      <c r="BN55" s="118"/>
      <c r="BO55" s="125"/>
      <c r="BP55" s="133"/>
      <c r="BQ55" s="133"/>
      <c r="BR55" s="133"/>
      <c r="BS55" s="133"/>
      <c r="BT55" s="133"/>
      <c r="BU55" s="133"/>
      <c r="BV55" s="133"/>
      <c r="BW55" s="133"/>
      <c r="BX55" s="133"/>
      <c r="BY55" s="133"/>
      <c r="BZ55" s="133"/>
      <c r="CA55" s="133"/>
      <c r="CB55" s="134"/>
    </row>
    <row r="56" spans="1:80" ht="17.25" customHeight="1">
      <c r="A56" s="118"/>
      <c r="B56" s="119"/>
      <c r="C56" s="120"/>
      <c r="D56" s="1421"/>
      <c r="E56" s="1422"/>
      <c r="F56" s="1422"/>
      <c r="G56" s="1422"/>
      <c r="H56" s="1422"/>
      <c r="I56" s="1422"/>
      <c r="J56" s="1422"/>
      <c r="K56" s="1422"/>
      <c r="L56" s="1422"/>
      <c r="M56" s="1422"/>
      <c r="N56" s="1422"/>
      <c r="O56" s="1422"/>
      <c r="P56" s="1422"/>
      <c r="Q56" s="1422"/>
      <c r="R56" s="1422"/>
      <c r="S56" s="1422"/>
      <c r="T56" s="1422"/>
      <c r="U56" s="1422"/>
      <c r="V56" s="1422"/>
      <c r="W56" s="1422"/>
      <c r="X56" s="1422"/>
      <c r="Y56" s="1422"/>
      <c r="Z56" s="1422"/>
      <c r="AA56" s="1422"/>
      <c r="AB56" s="1422"/>
      <c r="AC56" s="1422"/>
      <c r="AD56" s="1422"/>
      <c r="AE56" s="1422"/>
      <c r="AF56" s="1422"/>
      <c r="AG56" s="1422"/>
      <c r="AH56" s="1422"/>
      <c r="AI56" s="1422"/>
      <c r="AJ56" s="1422"/>
      <c r="AK56" s="1422"/>
      <c r="AL56" s="1422"/>
      <c r="AM56" s="1422"/>
      <c r="AN56" s="1422"/>
      <c r="AO56" s="1422"/>
      <c r="AP56" s="1422"/>
      <c r="AQ56" s="1422"/>
      <c r="AR56" s="1422"/>
      <c r="AS56" s="1422"/>
      <c r="AT56" s="1422"/>
      <c r="AU56" s="1422"/>
      <c r="AV56" s="1422"/>
      <c r="AW56" s="1422"/>
      <c r="AX56" s="1422"/>
      <c r="AY56" s="1422"/>
      <c r="AZ56" s="1422"/>
      <c r="BA56" s="1422"/>
      <c r="BB56" s="1422"/>
      <c r="BC56" s="1422"/>
      <c r="BD56" s="1422"/>
      <c r="BE56" s="1422"/>
      <c r="BF56" s="1422"/>
      <c r="BG56" s="1422"/>
      <c r="BH56" s="1422"/>
      <c r="BI56" s="1422"/>
      <c r="BJ56" s="1422"/>
      <c r="BK56" s="1422"/>
      <c r="BL56" s="1422"/>
      <c r="BM56" s="1423"/>
      <c r="BN56" s="118"/>
      <c r="BO56" s="125"/>
      <c r="BP56" s="133"/>
      <c r="BQ56" s="133"/>
      <c r="BR56" s="133"/>
      <c r="BS56" s="133"/>
      <c r="BT56" s="133"/>
      <c r="BU56" s="133"/>
      <c r="BV56" s="133"/>
      <c r="BW56" s="133"/>
      <c r="BX56" s="133"/>
      <c r="BY56" s="133"/>
      <c r="BZ56" s="133"/>
      <c r="CA56" s="133"/>
      <c r="CB56" s="134"/>
    </row>
    <row r="57" spans="1:80" ht="17.25" customHeight="1">
      <c r="A57" s="118"/>
      <c r="B57" s="119"/>
      <c r="C57" s="120"/>
      <c r="D57" s="1421"/>
      <c r="E57" s="1422"/>
      <c r="F57" s="1422"/>
      <c r="G57" s="1422"/>
      <c r="H57" s="1422"/>
      <c r="I57" s="1422"/>
      <c r="J57" s="1422"/>
      <c r="K57" s="1422"/>
      <c r="L57" s="1422"/>
      <c r="M57" s="1422"/>
      <c r="N57" s="1422"/>
      <c r="O57" s="1422"/>
      <c r="P57" s="1422"/>
      <c r="Q57" s="1422"/>
      <c r="R57" s="1422"/>
      <c r="S57" s="1422"/>
      <c r="T57" s="1422"/>
      <c r="U57" s="1422"/>
      <c r="V57" s="1422"/>
      <c r="W57" s="1422"/>
      <c r="X57" s="1422"/>
      <c r="Y57" s="1422"/>
      <c r="Z57" s="1422"/>
      <c r="AA57" s="1422"/>
      <c r="AB57" s="1422"/>
      <c r="AC57" s="1422"/>
      <c r="AD57" s="1422"/>
      <c r="AE57" s="1422"/>
      <c r="AF57" s="1422"/>
      <c r="AG57" s="1422"/>
      <c r="AH57" s="1422"/>
      <c r="AI57" s="1422"/>
      <c r="AJ57" s="1422"/>
      <c r="AK57" s="1422"/>
      <c r="AL57" s="1422"/>
      <c r="AM57" s="1422"/>
      <c r="AN57" s="1422"/>
      <c r="AO57" s="1422"/>
      <c r="AP57" s="1422"/>
      <c r="AQ57" s="1422"/>
      <c r="AR57" s="1422"/>
      <c r="AS57" s="1422"/>
      <c r="AT57" s="1422"/>
      <c r="AU57" s="1422"/>
      <c r="AV57" s="1422"/>
      <c r="AW57" s="1422"/>
      <c r="AX57" s="1422"/>
      <c r="AY57" s="1422"/>
      <c r="AZ57" s="1422"/>
      <c r="BA57" s="1422"/>
      <c r="BB57" s="1422"/>
      <c r="BC57" s="1422"/>
      <c r="BD57" s="1422"/>
      <c r="BE57" s="1422"/>
      <c r="BF57" s="1422"/>
      <c r="BG57" s="1422"/>
      <c r="BH57" s="1422"/>
      <c r="BI57" s="1422"/>
      <c r="BJ57" s="1422"/>
      <c r="BK57" s="1422"/>
      <c r="BL57" s="1422"/>
      <c r="BM57" s="1423"/>
      <c r="BN57" s="118"/>
      <c r="BO57" s="125"/>
      <c r="BP57" s="133"/>
      <c r="BQ57" s="133"/>
      <c r="BR57" s="133"/>
      <c r="BS57" s="133"/>
      <c r="BT57" s="133"/>
      <c r="BU57" s="133"/>
      <c r="BV57" s="133"/>
      <c r="BW57" s="133"/>
      <c r="BX57" s="133"/>
      <c r="BY57" s="133"/>
      <c r="BZ57" s="133"/>
      <c r="CA57" s="133"/>
      <c r="CB57" s="134"/>
    </row>
    <row r="58" spans="1:80" ht="17.25" customHeight="1">
      <c r="A58" s="118"/>
      <c r="B58" s="119"/>
      <c r="C58" s="120"/>
      <c r="D58" s="1421"/>
      <c r="E58" s="1422"/>
      <c r="F58" s="1422"/>
      <c r="G58" s="1422"/>
      <c r="H58" s="1422"/>
      <c r="I58" s="1422"/>
      <c r="J58" s="1422"/>
      <c r="K58" s="1422"/>
      <c r="L58" s="1422"/>
      <c r="M58" s="1422"/>
      <c r="N58" s="1422"/>
      <c r="O58" s="1422"/>
      <c r="P58" s="1422"/>
      <c r="Q58" s="1422"/>
      <c r="R58" s="1422"/>
      <c r="S58" s="1422"/>
      <c r="T58" s="1422"/>
      <c r="U58" s="1422"/>
      <c r="V58" s="1422"/>
      <c r="W58" s="1422"/>
      <c r="X58" s="1422"/>
      <c r="Y58" s="1422"/>
      <c r="Z58" s="1422"/>
      <c r="AA58" s="1422"/>
      <c r="AB58" s="1422"/>
      <c r="AC58" s="1422"/>
      <c r="AD58" s="1422"/>
      <c r="AE58" s="1422"/>
      <c r="AF58" s="1422"/>
      <c r="AG58" s="1422"/>
      <c r="AH58" s="1422"/>
      <c r="AI58" s="1422"/>
      <c r="AJ58" s="1422"/>
      <c r="AK58" s="1422"/>
      <c r="AL58" s="1422"/>
      <c r="AM58" s="1422"/>
      <c r="AN58" s="1422"/>
      <c r="AO58" s="1422"/>
      <c r="AP58" s="1422"/>
      <c r="AQ58" s="1422"/>
      <c r="AR58" s="1422"/>
      <c r="AS58" s="1422"/>
      <c r="AT58" s="1422"/>
      <c r="AU58" s="1422"/>
      <c r="AV58" s="1422"/>
      <c r="AW58" s="1422"/>
      <c r="AX58" s="1422"/>
      <c r="AY58" s="1422"/>
      <c r="AZ58" s="1422"/>
      <c r="BA58" s="1422"/>
      <c r="BB58" s="1422"/>
      <c r="BC58" s="1422"/>
      <c r="BD58" s="1422"/>
      <c r="BE58" s="1422"/>
      <c r="BF58" s="1422"/>
      <c r="BG58" s="1422"/>
      <c r="BH58" s="1422"/>
      <c r="BI58" s="1422"/>
      <c r="BJ58" s="1422"/>
      <c r="BK58" s="1422"/>
      <c r="BL58" s="1422"/>
      <c r="BM58" s="1423"/>
      <c r="BN58" s="118"/>
      <c r="BO58" s="125"/>
      <c r="BP58" s="133"/>
      <c r="BQ58" s="133"/>
      <c r="BR58" s="133"/>
      <c r="BS58" s="133"/>
      <c r="BT58" s="133"/>
      <c r="BU58" s="133"/>
      <c r="BV58" s="133"/>
      <c r="BW58" s="133"/>
      <c r="BX58" s="133"/>
      <c r="BY58" s="133"/>
      <c r="BZ58" s="133"/>
      <c r="CA58" s="133"/>
      <c r="CB58" s="134"/>
    </row>
    <row r="59" spans="1:80" ht="17.25" customHeight="1">
      <c r="A59" s="118"/>
      <c r="B59" s="119"/>
      <c r="C59" s="120"/>
      <c r="D59" s="1424"/>
      <c r="E59" s="1425"/>
      <c r="F59" s="1425"/>
      <c r="G59" s="1425"/>
      <c r="H59" s="1425"/>
      <c r="I59" s="1425"/>
      <c r="J59" s="1425"/>
      <c r="K59" s="1425"/>
      <c r="L59" s="1425"/>
      <c r="M59" s="1425"/>
      <c r="N59" s="1425"/>
      <c r="O59" s="1425"/>
      <c r="P59" s="1425"/>
      <c r="Q59" s="1425"/>
      <c r="R59" s="1425"/>
      <c r="S59" s="1425"/>
      <c r="T59" s="1425"/>
      <c r="U59" s="1425"/>
      <c r="V59" s="1425"/>
      <c r="W59" s="1425"/>
      <c r="X59" s="1425"/>
      <c r="Y59" s="1425"/>
      <c r="Z59" s="1425"/>
      <c r="AA59" s="1425"/>
      <c r="AB59" s="1425"/>
      <c r="AC59" s="1425"/>
      <c r="AD59" s="1425"/>
      <c r="AE59" s="1425"/>
      <c r="AF59" s="1425"/>
      <c r="AG59" s="1425"/>
      <c r="AH59" s="1425"/>
      <c r="AI59" s="1425"/>
      <c r="AJ59" s="1425"/>
      <c r="AK59" s="1425"/>
      <c r="AL59" s="1425"/>
      <c r="AM59" s="1425"/>
      <c r="AN59" s="1425"/>
      <c r="AO59" s="1425"/>
      <c r="AP59" s="1425"/>
      <c r="AQ59" s="1425"/>
      <c r="AR59" s="1425"/>
      <c r="AS59" s="1425"/>
      <c r="AT59" s="1425"/>
      <c r="AU59" s="1425"/>
      <c r="AV59" s="1425"/>
      <c r="AW59" s="1425"/>
      <c r="AX59" s="1425"/>
      <c r="AY59" s="1425"/>
      <c r="AZ59" s="1425"/>
      <c r="BA59" s="1425"/>
      <c r="BB59" s="1425"/>
      <c r="BC59" s="1425"/>
      <c r="BD59" s="1425"/>
      <c r="BE59" s="1425"/>
      <c r="BF59" s="1425"/>
      <c r="BG59" s="1425"/>
      <c r="BH59" s="1425"/>
      <c r="BI59" s="1425"/>
      <c r="BJ59" s="1425"/>
      <c r="BK59" s="1425"/>
      <c r="BL59" s="1425"/>
      <c r="BM59" s="1426"/>
      <c r="BN59" s="118"/>
      <c r="BO59" s="125"/>
      <c r="BP59" s="133"/>
      <c r="BQ59" s="133"/>
      <c r="BR59" s="133"/>
      <c r="BS59" s="133"/>
      <c r="BT59" s="133"/>
      <c r="BU59" s="133"/>
      <c r="BV59" s="133"/>
      <c r="BW59" s="133"/>
      <c r="BX59" s="133"/>
      <c r="BY59" s="133"/>
      <c r="BZ59" s="133"/>
      <c r="CA59" s="133"/>
      <c r="CB59" s="134"/>
    </row>
    <row r="60" spans="1:80" ht="6" customHeight="1">
      <c r="A60" s="118"/>
      <c r="B60" s="119"/>
      <c r="C60" s="120"/>
      <c r="D60" s="118"/>
      <c r="E60" s="118"/>
      <c r="F60" s="118"/>
      <c r="G60" s="118"/>
      <c r="H60" s="118"/>
      <c r="I60" s="118"/>
      <c r="J60" s="118"/>
      <c r="K60" s="118"/>
      <c r="L60" s="118"/>
      <c r="M60" s="118"/>
      <c r="N60" s="118"/>
      <c r="O60" s="118"/>
      <c r="P60" s="118"/>
      <c r="Q60" s="118"/>
      <c r="R60" s="118"/>
      <c r="S60" s="118"/>
      <c r="T60" s="118"/>
      <c r="U60" s="118"/>
      <c r="V60" s="118"/>
      <c r="W60" s="118"/>
      <c r="X60" s="118"/>
      <c r="Y60" s="118"/>
      <c r="Z60" s="118"/>
      <c r="AA60" s="118"/>
      <c r="AB60" s="118"/>
      <c r="AC60" s="118"/>
      <c r="AD60" s="118"/>
      <c r="AE60" s="118"/>
      <c r="AF60" s="118"/>
      <c r="AG60" s="118"/>
      <c r="AH60" s="118"/>
      <c r="AI60" s="118"/>
      <c r="AJ60" s="118"/>
      <c r="AK60" s="118"/>
      <c r="AL60" s="118"/>
      <c r="AM60" s="118"/>
      <c r="AN60" s="118"/>
      <c r="AO60" s="118"/>
      <c r="AP60" s="118"/>
      <c r="AQ60" s="118"/>
      <c r="AR60" s="118"/>
      <c r="AS60" s="118"/>
      <c r="AT60" s="118"/>
      <c r="AU60" s="118"/>
      <c r="AV60" s="118"/>
      <c r="AW60" s="118"/>
      <c r="AX60" s="118"/>
      <c r="AY60" s="118"/>
      <c r="AZ60" s="118"/>
      <c r="BA60" s="118"/>
      <c r="BB60" s="118"/>
      <c r="BC60" s="118"/>
      <c r="BD60" s="118"/>
      <c r="BE60" s="118"/>
      <c r="BF60" s="118"/>
      <c r="BG60" s="118"/>
      <c r="BH60" s="118"/>
      <c r="BI60" s="118"/>
      <c r="BJ60" s="118"/>
      <c r="BK60" s="118"/>
      <c r="BL60" s="118"/>
      <c r="BM60" s="118"/>
      <c r="BN60" s="118"/>
      <c r="BO60" s="125"/>
      <c r="BP60" s="133"/>
      <c r="BQ60" s="133"/>
      <c r="BR60" s="133"/>
      <c r="BS60" s="133"/>
      <c r="BT60" s="133"/>
      <c r="BU60" s="133"/>
      <c r="BV60" s="133"/>
      <c r="BW60" s="133"/>
      <c r="BX60" s="133"/>
      <c r="BY60" s="133"/>
      <c r="BZ60" s="133"/>
      <c r="CA60" s="133"/>
      <c r="CB60" s="134"/>
    </row>
    <row r="61" spans="1:80" ht="9" customHeight="1" thickBot="1">
      <c r="A61" s="90"/>
      <c r="B61" s="135"/>
      <c r="C61" s="136"/>
      <c r="D61" s="137"/>
      <c r="E61" s="137"/>
      <c r="F61" s="137"/>
      <c r="G61" s="137"/>
      <c r="H61" s="137"/>
      <c r="I61" s="137"/>
      <c r="J61" s="137"/>
      <c r="K61" s="137"/>
      <c r="L61" s="137"/>
      <c r="M61" s="137"/>
      <c r="N61" s="137"/>
      <c r="O61" s="137"/>
      <c r="P61" s="137"/>
      <c r="Q61" s="137"/>
      <c r="R61" s="137"/>
      <c r="S61" s="137"/>
      <c r="T61" s="137"/>
      <c r="U61" s="137"/>
      <c r="V61" s="137"/>
      <c r="W61" s="137"/>
      <c r="X61" s="137"/>
      <c r="Y61" s="137"/>
      <c r="Z61" s="137"/>
      <c r="AA61" s="137"/>
      <c r="AB61" s="137"/>
      <c r="AC61" s="137"/>
      <c r="AD61" s="137"/>
      <c r="AE61" s="137"/>
      <c r="AF61" s="137"/>
      <c r="AG61" s="137"/>
      <c r="AH61" s="137"/>
      <c r="AI61" s="137"/>
      <c r="AJ61" s="137"/>
      <c r="AK61" s="137"/>
      <c r="AL61" s="137"/>
      <c r="AM61" s="137"/>
      <c r="AN61" s="137"/>
      <c r="AO61" s="137"/>
      <c r="AP61" s="137"/>
      <c r="AQ61" s="137"/>
      <c r="AR61" s="137"/>
      <c r="AS61" s="137"/>
      <c r="AT61" s="137"/>
      <c r="AU61" s="137"/>
      <c r="AV61" s="137"/>
      <c r="AW61" s="137"/>
      <c r="AX61" s="137"/>
      <c r="AY61" s="137"/>
      <c r="AZ61" s="137"/>
      <c r="BA61" s="137"/>
      <c r="BB61" s="137"/>
      <c r="BC61" s="137"/>
      <c r="BD61" s="137"/>
      <c r="BE61" s="137"/>
      <c r="BF61" s="137"/>
      <c r="BG61" s="137"/>
      <c r="BH61" s="137"/>
      <c r="BI61" s="137"/>
      <c r="BJ61" s="137"/>
      <c r="BK61" s="137"/>
      <c r="BL61" s="137"/>
      <c r="BM61" s="137"/>
      <c r="BN61" s="137"/>
      <c r="BO61" s="138"/>
      <c r="BP61" s="133"/>
      <c r="BQ61" s="133"/>
      <c r="BR61" s="133"/>
      <c r="BS61" s="133"/>
      <c r="BT61" s="133"/>
      <c r="BU61" s="133"/>
      <c r="BV61" s="133"/>
      <c r="BW61" s="133"/>
      <c r="BX61" s="133"/>
      <c r="BY61" s="133"/>
      <c r="BZ61" s="133"/>
      <c r="CA61" s="133"/>
      <c r="CB61" s="134"/>
    </row>
    <row r="62" spans="1:80" ht="51" customHeight="1" thickBot="1">
      <c r="A62" s="90"/>
      <c r="B62" s="1415" t="str">
        <f ca="1">INDIRECT('D1-D2-D3'!$J$4&amp;"!C105")</f>
        <v>For a comprehensible root cause analysis, draw the process flow and mark the critical process steps:</v>
      </c>
      <c r="C62" s="1416"/>
      <c r="D62" s="1416"/>
      <c r="E62" s="1416"/>
      <c r="F62" s="1416"/>
      <c r="G62" s="1416"/>
      <c r="H62" s="1416"/>
      <c r="I62" s="1416"/>
      <c r="J62" s="1416"/>
      <c r="K62" s="1416"/>
      <c r="L62" s="1416"/>
      <c r="M62" s="1416"/>
      <c r="N62" s="1416"/>
      <c r="O62" s="1416"/>
      <c r="P62" s="1416"/>
      <c r="Q62" s="1416"/>
      <c r="R62" s="1416"/>
      <c r="S62" s="1416"/>
      <c r="T62" s="1416"/>
      <c r="U62" s="1416"/>
      <c r="V62" s="1416"/>
      <c r="W62" s="1416"/>
      <c r="X62" s="1416"/>
      <c r="Y62" s="1416"/>
      <c r="Z62" s="1416"/>
      <c r="AA62" s="1416"/>
      <c r="AB62" s="1416"/>
      <c r="AC62" s="1416"/>
      <c r="AD62" s="1416"/>
      <c r="AE62" s="1416"/>
      <c r="AF62" s="1416"/>
      <c r="AG62" s="1416"/>
      <c r="AH62" s="1416"/>
      <c r="AI62" s="1416"/>
      <c r="AJ62" s="1416"/>
      <c r="AK62" s="1416"/>
      <c r="AL62" s="1416"/>
      <c r="AM62" s="1416"/>
      <c r="AN62" s="1416"/>
      <c r="AO62" s="1416"/>
      <c r="AP62" s="1416"/>
      <c r="AQ62" s="1416"/>
      <c r="AR62" s="1416"/>
      <c r="AS62" s="1416"/>
      <c r="AT62" s="1416"/>
      <c r="AU62" s="1416"/>
      <c r="AV62" s="1416"/>
      <c r="AW62" s="1416"/>
      <c r="AX62" s="1416"/>
      <c r="AY62" s="1416"/>
      <c r="AZ62" s="1416"/>
      <c r="BA62" s="1416"/>
      <c r="BB62" s="1416"/>
      <c r="BC62" s="1416"/>
      <c r="BD62" s="1416"/>
      <c r="BE62" s="1416"/>
      <c r="BF62" s="1416"/>
      <c r="BG62" s="1416"/>
      <c r="BH62" s="1416"/>
      <c r="BI62" s="1416"/>
      <c r="BJ62" s="1416"/>
      <c r="BK62" s="1416"/>
      <c r="BL62" s="1416"/>
      <c r="BM62" s="1416"/>
      <c r="BN62" s="1416"/>
      <c r="BO62" s="1417"/>
      <c r="BP62" s="133"/>
      <c r="BQ62" s="133"/>
      <c r="BR62" s="133"/>
      <c r="BS62" s="133"/>
      <c r="BT62" s="133"/>
      <c r="BU62" s="133"/>
      <c r="BV62" s="133"/>
      <c r="BW62" s="133"/>
      <c r="BX62" s="133"/>
      <c r="BY62" s="133"/>
      <c r="BZ62" s="133"/>
      <c r="CA62" s="133"/>
      <c r="CB62" s="134"/>
    </row>
    <row r="63" spans="1:80" ht="39.9" customHeight="1">
      <c r="A63" s="90"/>
      <c r="B63" s="1398"/>
      <c r="C63" s="1399"/>
      <c r="D63" s="1399"/>
      <c r="E63" s="1399"/>
      <c r="F63" s="1399"/>
      <c r="G63" s="1399"/>
      <c r="H63" s="1399"/>
      <c r="I63" s="1399"/>
      <c r="J63" s="1399"/>
      <c r="K63" s="1399"/>
      <c r="L63" s="1399"/>
      <c r="M63" s="1399"/>
      <c r="N63" s="1399"/>
      <c r="O63" s="1399"/>
      <c r="P63" s="1399"/>
      <c r="Q63" s="1399"/>
      <c r="R63" s="1399"/>
      <c r="S63" s="1399"/>
      <c r="T63" s="1399"/>
      <c r="U63" s="1399"/>
      <c r="V63" s="1399"/>
      <c r="W63" s="1399"/>
      <c r="X63" s="1399"/>
      <c r="Y63" s="1399"/>
      <c r="Z63" s="1399"/>
      <c r="AA63" s="1399"/>
      <c r="AB63" s="1399"/>
      <c r="AC63" s="1399"/>
      <c r="AD63" s="1399"/>
      <c r="AE63" s="1399"/>
      <c r="AF63" s="1399"/>
      <c r="AG63" s="1399"/>
      <c r="AH63" s="1399"/>
      <c r="AI63" s="1399"/>
      <c r="AJ63" s="1399"/>
      <c r="AK63" s="1399"/>
      <c r="AL63" s="1399"/>
      <c r="AM63" s="1399"/>
      <c r="AN63" s="1399"/>
      <c r="AO63" s="1399"/>
      <c r="AP63" s="1399"/>
      <c r="AQ63" s="1399"/>
      <c r="AR63" s="1399"/>
      <c r="AS63" s="1399"/>
      <c r="AT63" s="1399"/>
      <c r="AU63" s="1399"/>
      <c r="AV63" s="1399"/>
      <c r="AW63" s="1399"/>
      <c r="AX63" s="1399"/>
      <c r="AY63" s="1399"/>
      <c r="AZ63" s="1399"/>
      <c r="BA63" s="1399"/>
      <c r="BB63" s="1399"/>
      <c r="BC63" s="1399"/>
      <c r="BD63" s="1399"/>
      <c r="BE63" s="1399"/>
      <c r="BF63" s="1399"/>
      <c r="BG63" s="1399"/>
      <c r="BH63" s="1399"/>
      <c r="BI63" s="1399"/>
      <c r="BJ63" s="1399"/>
      <c r="BK63" s="1399"/>
      <c r="BL63" s="1399"/>
      <c r="BM63" s="1399"/>
      <c r="BN63" s="1399"/>
      <c r="BO63" s="1400"/>
      <c r="BP63" s="130"/>
    </row>
    <row r="64" spans="1:80" ht="39.9" customHeight="1">
      <c r="A64" s="90"/>
      <c r="B64" s="1401"/>
      <c r="C64" s="1402"/>
      <c r="D64" s="1402"/>
      <c r="E64" s="1402"/>
      <c r="F64" s="1402"/>
      <c r="G64" s="1402"/>
      <c r="H64" s="1402"/>
      <c r="I64" s="1402"/>
      <c r="J64" s="1402"/>
      <c r="K64" s="1402"/>
      <c r="L64" s="1402"/>
      <c r="M64" s="1402"/>
      <c r="N64" s="1402"/>
      <c r="O64" s="1402"/>
      <c r="P64" s="1402"/>
      <c r="Q64" s="1402"/>
      <c r="R64" s="1402"/>
      <c r="S64" s="1402"/>
      <c r="T64" s="1402"/>
      <c r="U64" s="1402"/>
      <c r="V64" s="1402"/>
      <c r="W64" s="1402"/>
      <c r="X64" s="1402"/>
      <c r="Y64" s="1402"/>
      <c r="Z64" s="1402"/>
      <c r="AA64" s="1402"/>
      <c r="AB64" s="1402"/>
      <c r="AC64" s="1402"/>
      <c r="AD64" s="1402"/>
      <c r="AE64" s="1402"/>
      <c r="AF64" s="1402"/>
      <c r="AG64" s="1402"/>
      <c r="AH64" s="1402"/>
      <c r="AI64" s="1402"/>
      <c r="AJ64" s="1402"/>
      <c r="AK64" s="1402"/>
      <c r="AL64" s="1402"/>
      <c r="AM64" s="1402"/>
      <c r="AN64" s="1402"/>
      <c r="AO64" s="1402"/>
      <c r="AP64" s="1402"/>
      <c r="AQ64" s="1402"/>
      <c r="AR64" s="1402"/>
      <c r="AS64" s="1402"/>
      <c r="AT64" s="1402"/>
      <c r="AU64" s="1402"/>
      <c r="AV64" s="1402"/>
      <c r="AW64" s="1402"/>
      <c r="AX64" s="1402"/>
      <c r="AY64" s="1402"/>
      <c r="AZ64" s="1402"/>
      <c r="BA64" s="1402"/>
      <c r="BB64" s="1402"/>
      <c r="BC64" s="1402"/>
      <c r="BD64" s="1402"/>
      <c r="BE64" s="1402"/>
      <c r="BF64" s="1402"/>
      <c r="BG64" s="1402"/>
      <c r="BH64" s="1402"/>
      <c r="BI64" s="1402"/>
      <c r="BJ64" s="1402"/>
      <c r="BK64" s="1402"/>
      <c r="BL64" s="1402"/>
      <c r="BM64" s="1402"/>
      <c r="BN64" s="1402"/>
      <c r="BO64" s="1403"/>
      <c r="BP64" s="130"/>
    </row>
    <row r="65" spans="1:68" ht="39.9" customHeight="1">
      <c r="A65" s="90"/>
      <c r="B65" s="1401"/>
      <c r="C65" s="1402"/>
      <c r="D65" s="1402"/>
      <c r="E65" s="1402"/>
      <c r="F65" s="1402"/>
      <c r="G65" s="1402"/>
      <c r="H65" s="1402"/>
      <c r="I65" s="1402"/>
      <c r="J65" s="1402"/>
      <c r="K65" s="1402"/>
      <c r="L65" s="1402"/>
      <c r="M65" s="1402"/>
      <c r="N65" s="1402"/>
      <c r="O65" s="1402"/>
      <c r="P65" s="1402"/>
      <c r="Q65" s="1402"/>
      <c r="R65" s="1402"/>
      <c r="S65" s="1402"/>
      <c r="T65" s="1402"/>
      <c r="U65" s="1402"/>
      <c r="V65" s="1402"/>
      <c r="W65" s="1402"/>
      <c r="X65" s="1402"/>
      <c r="Y65" s="1402"/>
      <c r="Z65" s="1402"/>
      <c r="AA65" s="1402"/>
      <c r="AB65" s="1402"/>
      <c r="AC65" s="1402"/>
      <c r="AD65" s="1402"/>
      <c r="AE65" s="1402"/>
      <c r="AF65" s="1402"/>
      <c r="AG65" s="1402"/>
      <c r="AH65" s="1402"/>
      <c r="AI65" s="1402"/>
      <c r="AJ65" s="1402"/>
      <c r="AK65" s="1402"/>
      <c r="AL65" s="1402"/>
      <c r="AM65" s="1402"/>
      <c r="AN65" s="1402"/>
      <c r="AO65" s="1402"/>
      <c r="AP65" s="1402"/>
      <c r="AQ65" s="1402"/>
      <c r="AR65" s="1402"/>
      <c r="AS65" s="1402"/>
      <c r="AT65" s="1402"/>
      <c r="AU65" s="1402"/>
      <c r="AV65" s="1402"/>
      <c r="AW65" s="1402"/>
      <c r="AX65" s="1402"/>
      <c r="AY65" s="1402"/>
      <c r="AZ65" s="1402"/>
      <c r="BA65" s="1402"/>
      <c r="BB65" s="1402"/>
      <c r="BC65" s="1402"/>
      <c r="BD65" s="1402"/>
      <c r="BE65" s="1402"/>
      <c r="BF65" s="1402"/>
      <c r="BG65" s="1402"/>
      <c r="BH65" s="1402"/>
      <c r="BI65" s="1402"/>
      <c r="BJ65" s="1402"/>
      <c r="BK65" s="1402"/>
      <c r="BL65" s="1402"/>
      <c r="BM65" s="1402"/>
      <c r="BN65" s="1402"/>
      <c r="BO65" s="1403"/>
      <c r="BP65" s="130"/>
    </row>
    <row r="66" spans="1:68" ht="39.9" customHeight="1">
      <c r="A66" s="90"/>
      <c r="B66" s="1401"/>
      <c r="C66" s="1402"/>
      <c r="D66" s="1402"/>
      <c r="E66" s="1402"/>
      <c r="F66" s="1402"/>
      <c r="G66" s="1402"/>
      <c r="H66" s="1402"/>
      <c r="I66" s="1402"/>
      <c r="J66" s="1402"/>
      <c r="K66" s="1402"/>
      <c r="L66" s="1402"/>
      <c r="M66" s="1402"/>
      <c r="N66" s="1402"/>
      <c r="O66" s="1402"/>
      <c r="P66" s="1402"/>
      <c r="Q66" s="1402"/>
      <c r="R66" s="1402"/>
      <c r="S66" s="1402"/>
      <c r="T66" s="1402"/>
      <c r="U66" s="1402"/>
      <c r="V66" s="1402"/>
      <c r="W66" s="1402"/>
      <c r="X66" s="1402"/>
      <c r="Y66" s="1402"/>
      <c r="Z66" s="1402"/>
      <c r="AA66" s="1402"/>
      <c r="AB66" s="1402"/>
      <c r="AC66" s="1402"/>
      <c r="AD66" s="1402"/>
      <c r="AE66" s="1402"/>
      <c r="AF66" s="1402"/>
      <c r="AG66" s="1402"/>
      <c r="AH66" s="1402"/>
      <c r="AI66" s="1402"/>
      <c r="AJ66" s="1402"/>
      <c r="AK66" s="1402"/>
      <c r="AL66" s="1402"/>
      <c r="AM66" s="1402"/>
      <c r="AN66" s="1402"/>
      <c r="AO66" s="1402"/>
      <c r="AP66" s="1402"/>
      <c r="AQ66" s="1402"/>
      <c r="AR66" s="1402"/>
      <c r="AS66" s="1402"/>
      <c r="AT66" s="1402"/>
      <c r="AU66" s="1402"/>
      <c r="AV66" s="1402"/>
      <c r="AW66" s="1402"/>
      <c r="AX66" s="1402"/>
      <c r="AY66" s="1402"/>
      <c r="AZ66" s="1402"/>
      <c r="BA66" s="1402"/>
      <c r="BB66" s="1402"/>
      <c r="BC66" s="1402"/>
      <c r="BD66" s="1402"/>
      <c r="BE66" s="1402"/>
      <c r="BF66" s="1402"/>
      <c r="BG66" s="1402"/>
      <c r="BH66" s="1402"/>
      <c r="BI66" s="1402"/>
      <c r="BJ66" s="1402"/>
      <c r="BK66" s="1402"/>
      <c r="BL66" s="1402"/>
      <c r="BM66" s="1402"/>
      <c r="BN66" s="1402"/>
      <c r="BO66" s="1403"/>
      <c r="BP66" s="130"/>
    </row>
    <row r="67" spans="1:68" ht="39.9" customHeight="1">
      <c r="A67" s="90"/>
      <c r="B67" s="1401"/>
      <c r="C67" s="1402"/>
      <c r="D67" s="1402"/>
      <c r="E67" s="1402"/>
      <c r="F67" s="1402"/>
      <c r="G67" s="1402"/>
      <c r="H67" s="1402"/>
      <c r="I67" s="1402"/>
      <c r="J67" s="1402"/>
      <c r="K67" s="1402"/>
      <c r="L67" s="1402"/>
      <c r="M67" s="1402"/>
      <c r="N67" s="1402"/>
      <c r="O67" s="1402"/>
      <c r="P67" s="1402"/>
      <c r="Q67" s="1402"/>
      <c r="R67" s="1402"/>
      <c r="S67" s="1402"/>
      <c r="T67" s="1402"/>
      <c r="U67" s="1402"/>
      <c r="V67" s="1402"/>
      <c r="W67" s="1402"/>
      <c r="X67" s="1402"/>
      <c r="Y67" s="1402"/>
      <c r="Z67" s="1402"/>
      <c r="AA67" s="1402"/>
      <c r="AB67" s="1402"/>
      <c r="AC67" s="1402"/>
      <c r="AD67" s="1402"/>
      <c r="AE67" s="1402"/>
      <c r="AF67" s="1402"/>
      <c r="AG67" s="1402"/>
      <c r="AH67" s="1402"/>
      <c r="AI67" s="1402"/>
      <c r="AJ67" s="1402"/>
      <c r="AK67" s="1402"/>
      <c r="AL67" s="1402"/>
      <c r="AM67" s="1402"/>
      <c r="AN67" s="1402"/>
      <c r="AO67" s="1402"/>
      <c r="AP67" s="1402"/>
      <c r="AQ67" s="1402"/>
      <c r="AR67" s="1402"/>
      <c r="AS67" s="1402"/>
      <c r="AT67" s="1402"/>
      <c r="AU67" s="1402"/>
      <c r="AV67" s="1402"/>
      <c r="AW67" s="1402"/>
      <c r="AX67" s="1402"/>
      <c r="AY67" s="1402"/>
      <c r="AZ67" s="1402"/>
      <c r="BA67" s="1402"/>
      <c r="BB67" s="1402"/>
      <c r="BC67" s="1402"/>
      <c r="BD67" s="1402"/>
      <c r="BE67" s="1402"/>
      <c r="BF67" s="1402"/>
      <c r="BG67" s="1402"/>
      <c r="BH67" s="1402"/>
      <c r="BI67" s="1402"/>
      <c r="BJ67" s="1402"/>
      <c r="BK67" s="1402"/>
      <c r="BL67" s="1402"/>
      <c r="BM67" s="1402"/>
      <c r="BN67" s="1402"/>
      <c r="BO67" s="1403"/>
      <c r="BP67" s="130"/>
    </row>
    <row r="68" spans="1:68" ht="12.75" customHeight="1" thickBot="1">
      <c r="A68" s="90"/>
      <c r="B68" s="1404"/>
      <c r="C68" s="1405"/>
      <c r="D68" s="1405"/>
      <c r="E68" s="1405"/>
      <c r="F68" s="1405"/>
      <c r="G68" s="1405"/>
      <c r="H68" s="1405"/>
      <c r="I68" s="1405"/>
      <c r="J68" s="1405"/>
      <c r="K68" s="1405"/>
      <c r="L68" s="1405"/>
      <c r="M68" s="1405"/>
      <c r="N68" s="1405"/>
      <c r="O68" s="1405"/>
      <c r="P68" s="1405"/>
      <c r="Q68" s="1405"/>
      <c r="R68" s="1405"/>
      <c r="S68" s="1405"/>
      <c r="T68" s="1405"/>
      <c r="U68" s="1405"/>
      <c r="V68" s="1405"/>
      <c r="W68" s="1405"/>
      <c r="X68" s="1405"/>
      <c r="Y68" s="1405"/>
      <c r="Z68" s="1405"/>
      <c r="AA68" s="1405"/>
      <c r="AB68" s="1405"/>
      <c r="AC68" s="1405"/>
      <c r="AD68" s="1405"/>
      <c r="AE68" s="1405"/>
      <c r="AF68" s="1405"/>
      <c r="AG68" s="1405"/>
      <c r="AH68" s="1405"/>
      <c r="AI68" s="1405"/>
      <c r="AJ68" s="1405"/>
      <c r="AK68" s="1405"/>
      <c r="AL68" s="1405"/>
      <c r="AM68" s="1405"/>
      <c r="AN68" s="1405"/>
      <c r="AO68" s="1405"/>
      <c r="AP68" s="1405"/>
      <c r="AQ68" s="1405"/>
      <c r="AR68" s="1405"/>
      <c r="AS68" s="1405"/>
      <c r="AT68" s="1405"/>
      <c r="AU68" s="1405"/>
      <c r="AV68" s="1405"/>
      <c r="AW68" s="1405"/>
      <c r="AX68" s="1405"/>
      <c r="AY68" s="1405"/>
      <c r="AZ68" s="1405"/>
      <c r="BA68" s="1405"/>
      <c r="BB68" s="1405"/>
      <c r="BC68" s="1405"/>
      <c r="BD68" s="1405"/>
      <c r="BE68" s="1405"/>
      <c r="BF68" s="1405"/>
      <c r="BG68" s="1405"/>
      <c r="BH68" s="1405"/>
      <c r="BI68" s="1405"/>
      <c r="BJ68" s="1405"/>
      <c r="BK68" s="1405"/>
      <c r="BL68" s="1405"/>
      <c r="BM68" s="1405"/>
      <c r="BN68" s="1405"/>
      <c r="BO68" s="1406"/>
    </row>
    <row r="69" spans="1:68" ht="11.25" customHeight="1">
      <c r="A69" s="90"/>
      <c r="B69" s="90"/>
      <c r="D69" s="116"/>
      <c r="E69" s="116"/>
      <c r="F69" s="116"/>
      <c r="G69" s="116"/>
      <c r="H69" s="116"/>
      <c r="I69" s="116"/>
      <c r="J69" s="116"/>
      <c r="K69" s="116"/>
      <c r="L69" s="116"/>
      <c r="M69" s="116"/>
      <c r="N69" s="116"/>
      <c r="O69" s="116"/>
      <c r="P69" s="116"/>
      <c r="Q69" s="116"/>
      <c r="R69" s="116"/>
      <c r="S69" s="116"/>
      <c r="T69" s="117"/>
      <c r="U69" s="117"/>
      <c r="V69" s="117"/>
      <c r="W69" s="117"/>
      <c r="X69" s="117"/>
      <c r="Y69" s="117"/>
      <c r="Z69" s="117"/>
      <c r="AA69" s="117"/>
      <c r="AB69" s="117"/>
      <c r="AC69" s="117"/>
      <c r="AD69" s="117"/>
      <c r="AE69" s="53"/>
      <c r="AF69" s="95"/>
      <c r="AG69" s="95"/>
      <c r="BO69" s="95"/>
    </row>
    <row r="70" spans="1:68">
      <c r="BO70" s="95"/>
    </row>
  </sheetData>
  <sheetProtection algorithmName="SHA-512" hashValue="2XE26gWk1/0dSmnBn30pCo5NcQRRkmn15dwcwUlcJsouDdlW7t/7bptOldOSiYKseLtRUybO6hfhn2rX2jWA0A==" saltValue="SewSMeLaoX+LVjDNXV0Pvw==" spinCount="100000" sheet="1" scenarios="1" formatCells="0" formatRows="0" insertHyperlinks="0"/>
  <customSheetViews>
    <customSheetView guid="{727552C9-10E3-4948-B2AE-8FE165517887}" scale="70" fitToPage="1" hiddenColumns="1" topLeftCell="A85">
      <selection activeCell="BR51" sqref="BR51"/>
      <colBreaks count="1" manualBreakCount="1">
        <brk id="68" max="77" man="1"/>
      </colBreaks>
      <pageMargins left="0.7" right="0.7" top="0.3046875" bottom="0.78740157499999996" header="0.3" footer="0.3"/>
      <pageSetup paperSize="9" scale="33" fitToHeight="0" orientation="portrait" r:id="rId1"/>
    </customSheetView>
  </customSheetViews>
  <mergeCells count="12">
    <mergeCell ref="B63:BO68"/>
    <mergeCell ref="K2:AC2"/>
    <mergeCell ref="BT2:CA2"/>
    <mergeCell ref="AX2:BO2"/>
    <mergeCell ref="AP2:AW2"/>
    <mergeCell ref="AJ2:AO2"/>
    <mergeCell ref="AD2:AI2"/>
    <mergeCell ref="B62:BO62"/>
    <mergeCell ref="D16:BM25"/>
    <mergeCell ref="D30:BM59"/>
    <mergeCell ref="D8:BM13"/>
    <mergeCell ref="G6:R6"/>
  </mergeCells>
  <phoneticPr fontId="198" type="noConversion"/>
  <pageMargins left="0.7" right="0.7" top="0.3046875" bottom="0.78740157499999996" header="0.3" footer="0.3"/>
  <pageSetup paperSize="9" scale="32" fitToHeight="0" orientation="landscape" r:id="rId2"/>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14:formula1>
            <xm:f>INDIRECT('D1-D2-D3'!$J$4&amp;"!C99:C101")</xm:f>
          </x14:formula1>
          <xm:sqref>G6:R6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K102"/>
  <sheetViews>
    <sheetView showWhiteSpace="0" view="pageBreakPreview" topLeftCell="A10" zoomScale="50" zoomScaleNormal="40" zoomScaleSheetLayoutView="50" zoomScalePageLayoutView="40" workbookViewId="0">
      <selection activeCell="I12" sqref="I12:V12"/>
    </sheetView>
  </sheetViews>
  <sheetFormatPr defaultColWidth="12.5546875" defaultRowHeight="22.2"/>
  <cols>
    <col min="1" max="1" width="1.44140625" style="422" customWidth="1"/>
    <col min="2" max="3" width="1.6640625" style="422" customWidth="1"/>
    <col min="4" max="4" width="1.6640625" style="24" customWidth="1"/>
    <col min="5" max="5" width="1.6640625" style="422" customWidth="1"/>
    <col min="6" max="10" width="14.6640625" style="422" customWidth="1"/>
    <col min="11" max="11" width="1.6640625" style="422" customWidth="1"/>
    <col min="12" max="16" width="14.6640625" style="422" customWidth="1"/>
    <col min="17" max="17" width="1.6640625" style="422" customWidth="1"/>
    <col min="18" max="20" width="18.6640625" style="422" customWidth="1"/>
    <col min="21" max="21" width="14.6640625" style="422" customWidth="1"/>
    <col min="22" max="23" width="3.6640625" style="422" customWidth="1"/>
    <col min="24" max="28" width="14.6640625" style="422" customWidth="1"/>
    <col min="29" max="29" width="1.6640625" style="422" customWidth="1"/>
    <col min="30" max="34" width="14.6640625" style="422" customWidth="1"/>
    <col min="35" max="35" width="1.6640625" style="422" customWidth="1"/>
    <col min="36" max="38" width="18.6640625" style="422" customWidth="1"/>
    <col min="39" max="39" width="14.6640625" style="422" customWidth="1"/>
    <col min="40" max="41" width="1.6640625" style="422" customWidth="1"/>
    <col min="42" max="42" width="1.44140625" style="422" customWidth="1"/>
    <col min="43" max="43" width="10.33203125" style="422" hidden="1" customWidth="1"/>
    <col min="44" max="44" width="10.33203125" style="696" hidden="1" customWidth="1"/>
    <col min="45" max="45" width="10.33203125" style="698" hidden="1" customWidth="1"/>
    <col min="46" max="47" width="10.33203125" style="422" hidden="1" customWidth="1"/>
    <col min="48" max="48" width="10.33203125" style="695" hidden="1" customWidth="1"/>
    <col min="49" max="49" width="14.88671875" style="422" hidden="1" customWidth="1"/>
    <col min="50" max="63" width="10.33203125" style="422" hidden="1" customWidth="1"/>
    <col min="64" max="224" width="10.33203125" style="422" customWidth="1"/>
    <col min="225" max="16384" width="12.5546875" style="422"/>
  </cols>
  <sheetData>
    <row r="1" spans="1:59" ht="5.25" customHeight="1"/>
    <row r="2" spans="1:59" ht="24.9" customHeight="1">
      <c r="B2" s="764" t="str">
        <f ca="1">INDIRECT('D1-D2-D3'!$J$4&amp;"!C107")</f>
        <v xml:space="preserve">Guiding questions for an efficient root cause analysis </v>
      </c>
      <c r="C2" s="363"/>
      <c r="D2" s="363"/>
      <c r="E2" s="363"/>
      <c r="F2" s="363"/>
      <c r="G2" s="363"/>
      <c r="H2" s="363"/>
      <c r="I2" s="363"/>
      <c r="J2" s="363"/>
      <c r="K2" s="363"/>
      <c r="L2" s="363"/>
      <c r="M2" s="363"/>
      <c r="N2" s="363"/>
      <c r="O2" s="363"/>
      <c r="P2" s="363"/>
      <c r="Q2" s="363"/>
      <c r="R2" s="363"/>
      <c r="S2" s="363"/>
      <c r="T2" s="363"/>
      <c r="U2" s="363"/>
      <c r="V2" s="363"/>
      <c r="W2" s="363"/>
      <c r="X2" s="363"/>
      <c r="Y2" s="363"/>
      <c r="Z2" s="363"/>
      <c r="AA2" s="363"/>
      <c r="AB2" s="363"/>
      <c r="AC2" s="363"/>
      <c r="AD2" s="363"/>
      <c r="AE2" s="363"/>
      <c r="AF2" s="363"/>
      <c r="AG2" s="363"/>
      <c r="AH2" s="363"/>
      <c r="AI2" s="363"/>
      <c r="AJ2" s="363"/>
      <c r="AK2" s="363"/>
      <c r="AL2" s="363"/>
      <c r="AM2" s="363"/>
      <c r="AN2" s="363"/>
      <c r="AO2" s="363"/>
    </row>
    <row r="3" spans="1:59" ht="24.9" customHeight="1">
      <c r="B3" s="1483" t="str">
        <f ca="1">INDIRECT('D1-D2-D3'!$J$4&amp;"!C108")</f>
        <v>Man</v>
      </c>
      <c r="C3" s="1484"/>
      <c r="D3" s="1484"/>
      <c r="E3" s="1484"/>
      <c r="F3" s="1484"/>
      <c r="G3" s="1484"/>
      <c r="H3" s="1484"/>
      <c r="I3" s="1484"/>
      <c r="J3" s="1484"/>
      <c r="K3" s="1484"/>
      <c r="L3" s="1483" t="str">
        <f ca="1">INDIRECT('D1-D2-D3'!$J$4&amp;"!C115")</f>
        <v>Machine</v>
      </c>
      <c r="M3" s="1484"/>
      <c r="N3" s="1484"/>
      <c r="O3" s="1484"/>
      <c r="P3" s="1484"/>
      <c r="Q3" s="1484"/>
      <c r="R3" s="1484"/>
      <c r="S3" s="1484"/>
      <c r="T3" s="1484"/>
      <c r="U3" s="1485"/>
      <c r="V3" s="1483" t="str">
        <f ca="1">INDIRECT('D1-D2-D3'!$J$4&amp;"!C122")</f>
        <v>Material</v>
      </c>
      <c r="W3" s="1484"/>
      <c r="X3" s="1484"/>
      <c r="Y3" s="1484"/>
      <c r="Z3" s="1484"/>
      <c r="AA3" s="1484"/>
      <c r="AB3" s="1484"/>
      <c r="AC3" s="1484"/>
      <c r="AD3" s="1485"/>
      <c r="AE3" s="1477" t="str">
        <f ca="1">INDIRECT('D1-D2-D3'!$J$4&amp;"!C128")</f>
        <v>Method</v>
      </c>
      <c r="AF3" s="1477"/>
      <c r="AG3" s="1477"/>
      <c r="AH3" s="1477"/>
      <c r="AI3" s="1477"/>
      <c r="AJ3" s="1477"/>
      <c r="AK3" s="1477"/>
      <c r="AL3" s="1477"/>
      <c r="AM3" s="1477"/>
      <c r="AN3" s="1477"/>
      <c r="AO3" s="1478"/>
    </row>
    <row r="4" spans="1:59" ht="39.9" customHeight="1">
      <c r="B4" s="1468" t="str">
        <f ca="1">INDIRECT('D1-D2-D3'!$J$4&amp;"!C109")</f>
        <v>Is there any risk during manipulations ?</v>
      </c>
      <c r="C4" s="1469"/>
      <c r="D4" s="1469"/>
      <c r="E4" s="1469"/>
      <c r="F4" s="1469"/>
      <c r="G4" s="1469"/>
      <c r="H4" s="1469"/>
      <c r="I4" s="1469"/>
      <c r="J4" s="1469"/>
      <c r="K4" s="1469"/>
      <c r="L4" s="1468" t="str">
        <f ca="1">INDIRECT('D1-D2-D3'!$J$4&amp;"!C116")</f>
        <v>Are tools/machines functioning properly ?</v>
      </c>
      <c r="M4" s="1469"/>
      <c r="N4" s="1469"/>
      <c r="O4" s="1469"/>
      <c r="P4" s="1469"/>
      <c r="Q4" s="1469"/>
      <c r="R4" s="1469"/>
      <c r="S4" s="1469"/>
      <c r="T4" s="1469"/>
      <c r="U4" s="1470"/>
      <c r="V4" s="1468" t="str">
        <f ca="1">INDIRECT('D1-D2-D3'!$J$4&amp;"!C123")</f>
        <v>Are parts within defined standards ? Are standards suitable ?</v>
      </c>
      <c r="W4" s="1469"/>
      <c r="X4" s="1469"/>
      <c r="Y4" s="1469"/>
      <c r="Z4" s="1469"/>
      <c r="AA4" s="1469"/>
      <c r="AB4" s="1469"/>
      <c r="AC4" s="1469"/>
      <c r="AD4" s="1470"/>
      <c r="AE4" s="1479" t="str">
        <f ca="1">INDIRECT('D1-D2-D3'!$J$4&amp;"!C129")</f>
        <v>Are work instructions posted at workstations ?</v>
      </c>
      <c r="AF4" s="1479"/>
      <c r="AG4" s="1479"/>
      <c r="AH4" s="1479"/>
      <c r="AI4" s="1479"/>
      <c r="AJ4" s="1479"/>
      <c r="AK4" s="1479"/>
      <c r="AL4" s="1479"/>
      <c r="AM4" s="1479"/>
      <c r="AN4" s="1479"/>
      <c r="AO4" s="1480"/>
    </row>
    <row r="5" spans="1:59" ht="39.9" customHeight="1">
      <c r="B5" s="1468" t="str">
        <f ca="1">INDIRECT('D1-D2-D3'!$J$4&amp;"!C110")</f>
        <v>Are workers abilited to the job ? (check concerned prod.period)</v>
      </c>
      <c r="C5" s="1469"/>
      <c r="D5" s="1469"/>
      <c r="E5" s="1469"/>
      <c r="F5" s="1469"/>
      <c r="G5" s="1469"/>
      <c r="H5" s="1469"/>
      <c r="I5" s="1469"/>
      <c r="J5" s="1469"/>
      <c r="K5" s="1469"/>
      <c r="L5" s="1468" t="str">
        <f ca="1">INDIRECT('D1-D2-D3'!$J$4&amp;"!C117")</f>
        <v>Has preventive maintenance been performed ?</v>
      </c>
      <c r="M5" s="1469"/>
      <c r="N5" s="1469"/>
      <c r="O5" s="1469"/>
      <c r="P5" s="1469"/>
      <c r="Q5" s="1469"/>
      <c r="R5" s="1469"/>
      <c r="S5" s="1469"/>
      <c r="T5" s="1469"/>
      <c r="U5" s="1470"/>
      <c r="V5" s="1468" t="str">
        <f ca="1">INDIRECT('D1-D2-D3'!$J$4&amp;"!C124")</f>
        <v>Are used components/materials within specifications ?</v>
      </c>
      <c r="W5" s="1469"/>
      <c r="X5" s="1469"/>
      <c r="Y5" s="1469"/>
      <c r="Z5" s="1469"/>
      <c r="AA5" s="1469"/>
      <c r="AB5" s="1469"/>
      <c r="AC5" s="1469"/>
      <c r="AD5" s="1470"/>
      <c r="AE5" s="1479" t="str">
        <f ca="1">INDIRECT('D1-D2-D3'!$J$4&amp;"!C130")</f>
        <v>Are work instructions updated ?</v>
      </c>
      <c r="AF5" s="1479"/>
      <c r="AG5" s="1479"/>
      <c r="AH5" s="1479"/>
      <c r="AI5" s="1479"/>
      <c r="AJ5" s="1479"/>
      <c r="AK5" s="1479"/>
      <c r="AL5" s="1479"/>
      <c r="AM5" s="1479"/>
      <c r="AN5" s="1479"/>
      <c r="AO5" s="1480"/>
    </row>
    <row r="6" spans="1:59" ht="39.9" customHeight="1">
      <c r="B6" s="1468" t="str">
        <f ca="1">INDIRECT('D1-D2-D3'!$J$4&amp;"!C111")</f>
        <v xml:space="preserve">Did workers received necessary training ? </v>
      </c>
      <c r="C6" s="1469"/>
      <c r="D6" s="1469"/>
      <c r="E6" s="1469"/>
      <c r="F6" s="1469"/>
      <c r="G6" s="1469"/>
      <c r="H6" s="1469"/>
      <c r="I6" s="1469"/>
      <c r="J6" s="1469"/>
      <c r="K6" s="1469"/>
      <c r="L6" s="1468" t="str">
        <f ca="1">INDIRECT('D1-D2-D3'!$J$4&amp;"!C118")</f>
        <v>Did any specific event occure ? (Power shutdown,…)</v>
      </c>
      <c r="M6" s="1469"/>
      <c r="N6" s="1469"/>
      <c r="O6" s="1469"/>
      <c r="P6" s="1469"/>
      <c r="Q6" s="1469"/>
      <c r="R6" s="1469"/>
      <c r="S6" s="1469"/>
      <c r="T6" s="1469"/>
      <c r="U6" s="1470"/>
      <c r="V6" s="1468" t="str">
        <f ca="1">INDIRECT('D1-D2-D3'!$J$4&amp;"!C125")</f>
        <v>Were there any changes/modifications on components/materials ?</v>
      </c>
      <c r="W6" s="1469"/>
      <c r="X6" s="1469"/>
      <c r="Y6" s="1469"/>
      <c r="Z6" s="1469"/>
      <c r="AA6" s="1469"/>
      <c r="AB6" s="1469"/>
      <c r="AC6" s="1469"/>
      <c r="AD6" s="1470"/>
      <c r="AE6" s="1479" t="str">
        <f ca="1">INDIRECT('D1-D2-D3'!$J$4&amp;"!C131")</f>
        <v xml:space="preserve">Have correct tools/fixtures been used ? </v>
      </c>
      <c r="AF6" s="1479"/>
      <c r="AG6" s="1479"/>
      <c r="AH6" s="1479"/>
      <c r="AI6" s="1479"/>
      <c r="AJ6" s="1479"/>
      <c r="AK6" s="1479"/>
      <c r="AL6" s="1479"/>
      <c r="AM6" s="1479"/>
      <c r="AN6" s="1479"/>
      <c r="AO6" s="1480"/>
    </row>
    <row r="7" spans="1:59" ht="39.9" customHeight="1">
      <c r="B7" s="1468" t="str">
        <f ca="1">INDIRECT('D1-D2-D3'!$J$4&amp;"!C112")</f>
        <v>Is training adapted to the needs ?</v>
      </c>
      <c r="C7" s="1469"/>
      <c r="D7" s="1469"/>
      <c r="E7" s="1469"/>
      <c r="F7" s="1469"/>
      <c r="G7" s="1469"/>
      <c r="H7" s="1469"/>
      <c r="I7" s="1469"/>
      <c r="J7" s="1469"/>
      <c r="K7" s="1469"/>
      <c r="L7" s="1468" t="str">
        <f ca="1">INDIRECT('D1-D2-D3'!$J$4&amp;"!C119")</f>
        <v>Do error proofing systems work properly ? (Poka yoke, Control station,…)</v>
      </c>
      <c r="M7" s="1469"/>
      <c r="N7" s="1469"/>
      <c r="O7" s="1469"/>
      <c r="P7" s="1469"/>
      <c r="Q7" s="1469"/>
      <c r="R7" s="1469"/>
      <c r="S7" s="1469"/>
      <c r="T7" s="1469"/>
      <c r="U7" s="1470"/>
      <c r="V7" s="1468" t="str">
        <f ca="1">INDIRECT('D1-D2-D3'!$J$4&amp;"!C126")</f>
        <v>Are all components/materials approved ?</v>
      </c>
      <c r="W7" s="1469"/>
      <c r="X7" s="1469"/>
      <c r="Y7" s="1469"/>
      <c r="Z7" s="1469"/>
      <c r="AA7" s="1469"/>
      <c r="AB7" s="1469"/>
      <c r="AC7" s="1469"/>
      <c r="AD7" s="1470"/>
      <c r="AE7" s="1479" t="str">
        <f ca="1">INDIRECT('D1-D2-D3'!$J$4&amp;"!C132")</f>
        <v>Is the job done the same way in all shifts ?</v>
      </c>
      <c r="AF7" s="1479"/>
      <c r="AG7" s="1479"/>
      <c r="AH7" s="1479"/>
      <c r="AI7" s="1479"/>
      <c r="AJ7" s="1479"/>
      <c r="AK7" s="1479"/>
      <c r="AL7" s="1479"/>
      <c r="AM7" s="1479"/>
      <c r="AN7" s="1479"/>
      <c r="AO7" s="1480"/>
    </row>
    <row r="8" spans="1:59" ht="39.9" customHeight="1">
      <c r="B8" s="1468" t="str">
        <f ca="1">INDIRECT('D1-D2-D3'!$J$4&amp;"!C113")</f>
        <v>Do workers perfectly understand applicable work instructions ?</v>
      </c>
      <c r="C8" s="1469"/>
      <c r="D8" s="1469"/>
      <c r="E8" s="1469"/>
      <c r="F8" s="1469"/>
      <c r="G8" s="1469"/>
      <c r="H8" s="1469"/>
      <c r="I8" s="1469"/>
      <c r="J8" s="1469"/>
      <c r="K8" s="1469"/>
      <c r="L8" s="1468" t="str">
        <f ca="1">INDIRECT('D1-D2-D3'!$J$4&amp;"!C120")</f>
        <v xml:space="preserve">Have machine/process parameters been properly set up ? </v>
      </c>
      <c r="M8" s="1469"/>
      <c r="N8" s="1469"/>
      <c r="O8" s="1469"/>
      <c r="P8" s="1469"/>
      <c r="Q8" s="1469"/>
      <c r="R8" s="1469"/>
      <c r="S8" s="1469"/>
      <c r="T8" s="1469"/>
      <c r="U8" s="1470"/>
      <c r="V8" s="1468" t="str">
        <f ca="1">INDIRECT('D1-D2-D3'!$J$4&amp;"!C127")</f>
        <v>Are correct components/materials used ?</v>
      </c>
      <c r="W8" s="1469"/>
      <c r="X8" s="1469"/>
      <c r="Y8" s="1469"/>
      <c r="Z8" s="1469"/>
      <c r="AA8" s="1469"/>
      <c r="AB8" s="1469"/>
      <c r="AC8" s="1469"/>
      <c r="AD8" s="1470"/>
      <c r="AE8" s="1479" t="str">
        <f ca="1">INDIRECT('D1-D2-D3'!$J$4&amp;"!C133")</f>
        <v xml:space="preserve">Is preventive maintenance defined ? Is it sufficient ? </v>
      </c>
      <c r="AF8" s="1479"/>
      <c r="AG8" s="1479"/>
      <c r="AH8" s="1479"/>
      <c r="AI8" s="1479"/>
      <c r="AJ8" s="1479"/>
      <c r="AK8" s="1479"/>
      <c r="AL8" s="1479"/>
      <c r="AM8" s="1479"/>
      <c r="AN8" s="1479"/>
      <c r="AO8" s="1480"/>
    </row>
    <row r="9" spans="1:59" ht="39.9" customHeight="1">
      <c r="B9" s="1471" t="str">
        <f ca="1">INDIRECT('D1-D2-D3'!$J$4&amp;"!C114")</f>
        <v>Were all work instructions properly followed and applied ?</v>
      </c>
      <c r="C9" s="1472"/>
      <c r="D9" s="1472"/>
      <c r="E9" s="1472"/>
      <c r="F9" s="1472"/>
      <c r="G9" s="1472"/>
      <c r="H9" s="1472"/>
      <c r="I9" s="1472"/>
      <c r="J9" s="1472"/>
      <c r="K9" s="1472"/>
      <c r="L9" s="1471" t="str">
        <f ca="1">INDIRECT('D1-D2-D3'!$J$4&amp;"!C121")</f>
        <v xml:space="preserve">Are machine/process parameters properly defined ? </v>
      </c>
      <c r="M9" s="1472"/>
      <c r="N9" s="1472"/>
      <c r="O9" s="1472"/>
      <c r="P9" s="1472"/>
      <c r="Q9" s="1472"/>
      <c r="R9" s="1472"/>
      <c r="S9" s="1472"/>
      <c r="T9" s="1472"/>
      <c r="U9" s="1473"/>
      <c r="V9" s="1471"/>
      <c r="W9" s="1472"/>
      <c r="X9" s="1472"/>
      <c r="Y9" s="1472"/>
      <c r="Z9" s="1472"/>
      <c r="AA9" s="1472"/>
      <c r="AB9" s="1472"/>
      <c r="AC9" s="1472"/>
      <c r="AD9" s="1473"/>
      <c r="AE9" s="1481"/>
      <c r="AF9" s="1481"/>
      <c r="AG9" s="1481"/>
      <c r="AH9" s="1481"/>
      <c r="AI9" s="1481"/>
      <c r="AJ9" s="1481"/>
      <c r="AK9" s="1481"/>
      <c r="AL9" s="1481"/>
      <c r="AM9" s="1481"/>
      <c r="AN9" s="1481"/>
      <c r="AO9" s="1482"/>
    </row>
    <row r="10" spans="1:59" ht="5.25" customHeight="1"/>
    <row r="11" spans="1:59" ht="5.25" customHeight="1" thickBot="1">
      <c r="B11" s="424"/>
      <c r="C11" s="424"/>
      <c r="D11" s="461"/>
      <c r="E11" s="424"/>
      <c r="F11" s="424"/>
      <c r="G11" s="424"/>
      <c r="H11" s="424"/>
      <c r="I11" s="424"/>
      <c r="J11" s="424"/>
      <c r="K11" s="424"/>
      <c r="L11" s="424"/>
      <c r="M11" s="424"/>
      <c r="N11" s="424"/>
      <c r="O11" s="424"/>
      <c r="P11" s="424"/>
      <c r="Q11" s="424"/>
      <c r="R11" s="424"/>
      <c r="S11" s="424"/>
      <c r="T11" s="424"/>
      <c r="U11" s="424"/>
      <c r="V11" s="424"/>
      <c r="W11" s="424"/>
      <c r="X11" s="424"/>
      <c r="Y11" s="424"/>
      <c r="Z11" s="424"/>
      <c r="AA11" s="424"/>
      <c r="AB11" s="424"/>
      <c r="AC11" s="424"/>
      <c r="AD11" s="424"/>
      <c r="AE11" s="424"/>
      <c r="AF11" s="424"/>
      <c r="AG11" s="424"/>
      <c r="AH11" s="424"/>
      <c r="AI11" s="424"/>
      <c r="AJ11" s="424"/>
      <c r="AK11" s="424"/>
      <c r="AL11" s="424"/>
      <c r="AM11" s="424"/>
      <c r="AN11" s="424"/>
      <c r="AO11" s="424"/>
      <c r="AP11" s="217"/>
    </row>
    <row r="12" spans="1:59" ht="43.5" customHeight="1" thickBot="1">
      <c r="B12" s="220"/>
      <c r="C12" s="99"/>
      <c r="D12" s="100"/>
      <c r="E12" s="100"/>
      <c r="F12" s="101"/>
      <c r="G12" s="101"/>
      <c r="H12" s="102"/>
      <c r="I12" s="1364" t="str">
        <f ca="1">INDIRECT('D1-D2-D3'!$J$4&amp;"!C2")&amp;"
"&amp;INDIRECT('D1-D2-D3'!$J$4&amp;"!C136")</f>
        <v>PROBLEM SOLVING SHEET
Ishikawa-Chart</v>
      </c>
      <c r="J12" s="1365"/>
      <c r="K12" s="1365"/>
      <c r="L12" s="1365"/>
      <c r="M12" s="1365"/>
      <c r="N12" s="1365"/>
      <c r="O12" s="1365"/>
      <c r="P12" s="1365"/>
      <c r="Q12" s="1365"/>
      <c r="R12" s="1365"/>
      <c r="S12" s="1365"/>
      <c r="T12" s="1365"/>
      <c r="U12" s="1365"/>
      <c r="V12" s="1365"/>
      <c r="W12" s="1446" t="str">
        <f ca="1">INDIRECT('D1-D2-D3'!$J$4&amp;"!C3")</f>
        <v>PSS No.</v>
      </c>
      <c r="X12" s="1446"/>
      <c r="Y12" s="1443">
        <f>'D1-D2-D3'!$AI$4</f>
        <v>0</v>
      </c>
      <c r="Z12" s="1444"/>
      <c r="AA12" s="1445"/>
      <c r="AB12" s="1440" t="s">
        <v>454</v>
      </c>
      <c r="AC12" s="1441"/>
      <c r="AD12" s="1441"/>
      <c r="AE12" s="1442"/>
      <c r="AF12" s="1448" t="str">
        <f ca="1">INDIRECT('D1-D2-D3'!$J$4&amp;"!C106")</f>
        <v>Page 3: D4</v>
      </c>
      <c r="AG12" s="1449"/>
      <c r="AH12" s="1449"/>
      <c r="AI12" s="1449"/>
      <c r="AJ12" s="1449"/>
      <c r="AK12" s="1449"/>
      <c r="AL12" s="1449"/>
      <c r="AM12" s="1449"/>
      <c r="AN12" s="1449"/>
      <c r="AO12" s="1450"/>
      <c r="AP12" s="32"/>
    </row>
    <row r="13" spans="1:59" ht="5.25" customHeight="1">
      <c r="B13" s="488"/>
      <c r="C13" s="489"/>
      <c r="D13" s="490"/>
      <c r="E13" s="490"/>
      <c r="F13" s="491"/>
      <c r="G13" s="491"/>
      <c r="H13" s="224"/>
      <c r="I13" s="224"/>
      <c r="J13" s="224"/>
      <c r="K13" s="224"/>
      <c r="L13" s="224"/>
      <c r="M13" s="224"/>
      <c r="N13" s="224"/>
      <c r="O13" s="224"/>
      <c r="P13" s="224"/>
      <c r="Q13" s="224"/>
      <c r="R13" s="224"/>
      <c r="S13" s="224"/>
      <c r="T13" s="224"/>
      <c r="U13" s="224"/>
      <c r="V13" s="224"/>
      <c r="W13" s="224"/>
      <c r="X13" s="224"/>
      <c r="Y13" s="224"/>
      <c r="Z13" s="224"/>
      <c r="AA13" s="224"/>
      <c r="AB13" s="224"/>
      <c r="AC13" s="224"/>
      <c r="AD13" s="224"/>
      <c r="AE13" s="224"/>
      <c r="AF13" s="425"/>
      <c r="AG13" s="425"/>
      <c r="AH13" s="425"/>
      <c r="AI13" s="425"/>
      <c r="AJ13" s="425"/>
      <c r="AK13" s="425"/>
      <c r="AL13" s="425"/>
      <c r="AM13" s="425"/>
      <c r="AN13" s="425"/>
      <c r="AO13" s="426"/>
      <c r="AP13" s="32"/>
    </row>
    <row r="14" spans="1:59" ht="32.1" customHeight="1" thickBot="1">
      <c r="A14" s="427"/>
      <c r="B14" s="492"/>
      <c r="C14" s="1476" t="str">
        <f ca="1">INDIRECT('D1-D2-D3'!$J$4&amp;"!C136")</f>
        <v>Ishikawa-Chart</v>
      </c>
      <c r="D14" s="1476"/>
      <c r="E14" s="1476"/>
      <c r="F14" s="1476"/>
      <c r="G14" s="1476"/>
      <c r="H14" s="1476"/>
      <c r="I14" s="1476"/>
      <c r="J14" s="1476"/>
      <c r="K14" s="1476"/>
      <c r="L14" s="1476"/>
      <c r="M14" s="1476"/>
      <c r="N14" s="1476"/>
      <c r="O14" s="1476"/>
      <c r="P14" s="1476"/>
      <c r="Q14" s="1476"/>
      <c r="R14" s="1476"/>
      <c r="S14" s="1476"/>
      <c r="T14" s="1476"/>
      <c r="U14" s="1476"/>
      <c r="V14" s="1476"/>
      <c r="W14" s="1476"/>
      <c r="X14" s="1476"/>
      <c r="Y14" s="1476"/>
      <c r="Z14" s="1476"/>
      <c r="AA14" s="1476"/>
      <c r="AB14" s="1476"/>
      <c r="AC14" s="1476"/>
      <c r="AD14" s="1476"/>
      <c r="AE14" s="1476"/>
      <c r="AF14" s="1476"/>
      <c r="AG14" s="1476"/>
      <c r="AH14" s="1476"/>
      <c r="AI14" s="1476"/>
      <c r="AJ14" s="1476"/>
      <c r="AK14" s="1476"/>
      <c r="AL14" s="1476"/>
      <c r="AM14" s="1476"/>
      <c r="AN14" s="1476"/>
      <c r="AO14" s="140"/>
      <c r="AP14" s="184"/>
      <c r="AX14" s="719"/>
      <c r="BE14" s="719"/>
    </row>
    <row r="15" spans="1:59" ht="5.25" customHeight="1" thickBot="1">
      <c r="B15" s="484"/>
      <c r="C15" s="485"/>
      <c r="D15" s="486"/>
      <c r="E15" s="92"/>
      <c r="F15" s="92"/>
      <c r="G15" s="92"/>
      <c r="H15" s="139"/>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487"/>
      <c r="AP15" s="184"/>
      <c r="AX15" s="719"/>
      <c r="BE15" s="719"/>
    </row>
    <row r="16" spans="1:59" s="456" customFormat="1" ht="35.1" customHeight="1">
      <c r="B16" s="457"/>
      <c r="C16" s="458"/>
      <c r="D16" s="455"/>
      <c r="E16" s="459"/>
      <c r="F16" s="1435" t="str">
        <f ca="1">INDIRECT('D1-D2-D3'!$J$4&amp;"!C139")</f>
        <v>Occurrence</v>
      </c>
      <c r="G16" s="1435"/>
      <c r="H16" s="1435"/>
      <c r="I16" s="1435"/>
      <c r="J16" s="1435"/>
      <c r="K16" s="1435"/>
      <c r="L16" s="1435"/>
      <c r="M16" s="1435"/>
      <c r="N16" s="1435"/>
      <c r="O16" s="1435"/>
      <c r="P16" s="1435"/>
      <c r="Q16" s="1435"/>
      <c r="R16" s="1435"/>
      <c r="S16" s="1435"/>
      <c r="T16" s="1435"/>
      <c r="U16" s="1435"/>
      <c r="V16" s="460"/>
      <c r="W16" s="1435" t="str">
        <f ca="1">INDIRECT('D1-D2-D3'!$J$4&amp;"!C140")</f>
        <v>Non-detection</v>
      </c>
      <c r="X16" s="1435"/>
      <c r="Y16" s="1435"/>
      <c r="Z16" s="1435"/>
      <c r="AA16" s="1435"/>
      <c r="AB16" s="1435"/>
      <c r="AC16" s="1435"/>
      <c r="AD16" s="1435"/>
      <c r="AE16" s="1435"/>
      <c r="AF16" s="1435"/>
      <c r="AG16" s="1435"/>
      <c r="AH16" s="1435"/>
      <c r="AI16" s="1435"/>
      <c r="AJ16" s="1435"/>
      <c r="AK16" s="1435"/>
      <c r="AL16" s="1435"/>
      <c r="AM16" s="1435"/>
      <c r="AN16" s="1435"/>
      <c r="AO16" s="1451"/>
      <c r="AP16" s="538"/>
      <c r="AQ16" s="493"/>
      <c r="AS16" s="699" t="s">
        <v>1078</v>
      </c>
      <c r="AT16" s="423"/>
      <c r="AV16" s="695"/>
      <c r="AX16" s="720"/>
      <c r="AY16" s="718" t="s">
        <v>1079</v>
      </c>
      <c r="BA16" s="428"/>
      <c r="BE16" s="720"/>
      <c r="BG16" s="456" t="s">
        <v>1099</v>
      </c>
    </row>
    <row r="17" spans="2:63" s="456" customFormat="1" ht="15" customHeight="1">
      <c r="B17" s="691"/>
      <c r="C17" s="422"/>
      <c r="D17" s="422"/>
      <c r="E17" s="422"/>
      <c r="F17" s="422"/>
      <c r="G17" s="422"/>
      <c r="H17" s="422"/>
      <c r="I17" s="422"/>
      <c r="J17" s="422"/>
      <c r="K17" s="422"/>
      <c r="L17" s="422"/>
      <c r="M17" s="422"/>
      <c r="N17" s="422"/>
      <c r="O17" s="422"/>
      <c r="P17" s="422"/>
      <c r="Q17" s="422"/>
      <c r="R17" s="422"/>
      <c r="S17" s="422"/>
      <c r="T17" s="422"/>
      <c r="U17" s="422"/>
      <c r="V17" s="422"/>
      <c r="W17" s="422"/>
      <c r="X17" s="422"/>
      <c r="Y17" s="422"/>
      <c r="Z17" s="422"/>
      <c r="AA17" s="422"/>
      <c r="AB17" s="422"/>
      <c r="AC17" s="422"/>
      <c r="AD17" s="422"/>
      <c r="AE17" s="422"/>
      <c r="AF17" s="422"/>
      <c r="AG17" s="422"/>
      <c r="AH17" s="422"/>
      <c r="AI17" s="422"/>
      <c r="AJ17" s="422"/>
      <c r="AK17" s="422"/>
      <c r="AL17" s="422"/>
      <c r="AM17" s="422"/>
      <c r="AN17" s="422"/>
      <c r="AO17" s="692"/>
      <c r="AP17" s="538"/>
      <c r="AQ17" s="493"/>
      <c r="AR17" s="697"/>
      <c r="AS17" s="273"/>
      <c r="AV17" s="695"/>
      <c r="AX17" s="720"/>
      <c r="BE17" s="720"/>
    </row>
    <row r="18" spans="2:63" s="24" customFormat="1" ht="32.1" customHeight="1" thickBot="1">
      <c r="B18" s="465"/>
      <c r="C18" s="466"/>
      <c r="D18" s="1434"/>
      <c r="E18" s="739"/>
      <c r="F18" s="1447" t="str">
        <f ca="1">INDIRECT('D1-D2-D3'!$J$4&amp;"!C108")</f>
        <v>Man</v>
      </c>
      <c r="G18" s="1447"/>
      <c r="H18" s="1447"/>
      <c r="I18" s="1447"/>
      <c r="J18" s="1447"/>
      <c r="K18" s="739"/>
      <c r="L18" s="1447" t="str">
        <f ca="1">INDIRECT('D1-D2-D3'!$J$4&amp;"!C115")</f>
        <v>Machine</v>
      </c>
      <c r="M18" s="1447"/>
      <c r="N18" s="1447"/>
      <c r="O18" s="1447"/>
      <c r="P18" s="1447"/>
      <c r="Q18" s="739"/>
      <c r="R18" s="1447" t="str">
        <f ca="1">INDIRECT('D1-D2-D3'!$J$4&amp;"!C122")</f>
        <v>Material</v>
      </c>
      <c r="S18" s="1447"/>
      <c r="T18" s="1447"/>
      <c r="U18" s="1447"/>
      <c r="V18" s="467"/>
      <c r="W18" s="739"/>
      <c r="X18" s="1447" t="str">
        <f ca="1">INDIRECT('D1-D2-D3'!$J$4&amp;"!C108")</f>
        <v>Man</v>
      </c>
      <c r="Y18" s="1447"/>
      <c r="Z18" s="1447"/>
      <c r="AA18" s="1447"/>
      <c r="AB18" s="1447"/>
      <c r="AC18" s="1452"/>
      <c r="AD18" s="1447" t="str">
        <f ca="1">INDIRECT('D1-D2-D3'!$J$4&amp;"!C115")</f>
        <v>Machine</v>
      </c>
      <c r="AE18" s="1447"/>
      <c r="AF18" s="1447"/>
      <c r="AG18" s="1447"/>
      <c r="AH18" s="1447"/>
      <c r="AI18" s="1452"/>
      <c r="AJ18" s="1447" t="str">
        <f ca="1">INDIRECT('D1-D2-D3'!$J$4&amp;"!C122")</f>
        <v>Material</v>
      </c>
      <c r="AK18" s="1447"/>
      <c r="AL18" s="1447"/>
      <c r="AM18" s="1447"/>
      <c r="AN18" s="739"/>
      <c r="AO18" s="474"/>
      <c r="AP18" s="539"/>
      <c r="AQ18" s="53"/>
      <c r="AR18" s="697"/>
      <c r="AS18" s="672">
        <v>0</v>
      </c>
      <c r="AT18" s="26"/>
      <c r="AV18" s="693"/>
      <c r="AW18" s="26"/>
      <c r="AX18" s="721"/>
      <c r="AY18" s="697"/>
      <c r="AZ18" s="672">
        <v>0</v>
      </c>
      <c r="BA18" s="26"/>
      <c r="BC18" s="693"/>
      <c r="BD18" s="26"/>
      <c r="BE18" s="721"/>
      <c r="BG18" s="24">
        <v>0</v>
      </c>
    </row>
    <row r="19" spans="2:63" ht="45" customHeight="1">
      <c r="B19" s="143"/>
      <c r="C19" s="141"/>
      <c r="D19" s="1434"/>
      <c r="E19" s="144"/>
      <c r="F19" s="1436"/>
      <c r="G19" s="1437"/>
      <c r="H19" s="1437"/>
      <c r="I19" s="1438"/>
      <c r="J19" s="472"/>
      <c r="K19" s="142"/>
      <c r="L19" s="1436"/>
      <c r="M19" s="1437"/>
      <c r="N19" s="1437"/>
      <c r="O19" s="1438"/>
      <c r="P19" s="472"/>
      <c r="Q19" s="142"/>
      <c r="R19" s="1431"/>
      <c r="S19" s="1432"/>
      <c r="T19" s="1433"/>
      <c r="U19" s="472"/>
      <c r="V19" s="145"/>
      <c r="W19" s="144"/>
      <c r="X19" s="1431"/>
      <c r="Y19" s="1432"/>
      <c r="Z19" s="1432"/>
      <c r="AA19" s="1433"/>
      <c r="AB19" s="472"/>
      <c r="AC19" s="144"/>
      <c r="AD19" s="1431"/>
      <c r="AE19" s="1432"/>
      <c r="AF19" s="1432"/>
      <c r="AG19" s="1433"/>
      <c r="AH19" s="472"/>
      <c r="AI19" s="144"/>
      <c r="AJ19" s="1431"/>
      <c r="AK19" s="1432"/>
      <c r="AL19" s="1433"/>
      <c r="AM19" s="472"/>
      <c r="AN19" s="762"/>
      <c r="AO19" s="475"/>
      <c r="AP19" s="540"/>
      <c r="AQ19" s="127"/>
      <c r="AR19" s="697">
        <v>1</v>
      </c>
      <c r="AS19" s="673" t="str">
        <f ca="1">IF($AT19&lt;&gt;"",AS18+1,"")</f>
        <v/>
      </c>
      <c r="AT19" s="694" t="str">
        <f ca="1">IF($J19=DropDown!$N$11,F19,"")</f>
        <v/>
      </c>
      <c r="AV19" s="701">
        <v>1</v>
      </c>
      <c r="AW19" s="705" t="e">
        <f ca="1">VLOOKUP($AV19,$AS$19:$AT$48,2,FALSE)</f>
        <v>#N/A</v>
      </c>
      <c r="AX19" s="702" t="str">
        <f ca="1">IF(ISNA(AW19),"",AW19)</f>
        <v/>
      </c>
      <c r="AY19" s="697">
        <v>1</v>
      </c>
      <c r="AZ19" s="673" t="str">
        <f ca="1">IF($BA19&lt;&gt;"",AZ18+1,"")</f>
        <v/>
      </c>
      <c r="BA19" s="694" t="str">
        <f ca="1">IF($AB19=DropDown!$N$11,X19,"")</f>
        <v/>
      </c>
      <c r="BC19" s="701">
        <v>1</v>
      </c>
      <c r="BD19" s="705" t="e">
        <f ca="1">VLOOKUP($BC19,$AZ$19:$BA$48,2,FALSE)</f>
        <v>#N/A</v>
      </c>
      <c r="BE19" s="702" t="str">
        <f ca="1">IF(ISNA(BD19),"",BD19)</f>
        <v/>
      </c>
      <c r="BG19" s="722" t="str">
        <f ca="1">IF($BH19&lt;&gt;"",BG18+1,"")</f>
        <v/>
      </c>
      <c r="BH19" s="694" t="str">
        <f ca="1">IF(AX19="","",AX19)</f>
        <v/>
      </c>
      <c r="BI19" s="693">
        <v>1</v>
      </c>
      <c r="BJ19" s="705" t="e">
        <f ca="1">VLOOKUP($BI19,$BG$19:$BH$48,2,FALSE)</f>
        <v>#N/A</v>
      </c>
      <c r="BK19" s="723" t="str">
        <f ca="1">IF(ISNA(BJ19),"",BJ19)</f>
        <v/>
      </c>
    </row>
    <row r="20" spans="2:63" ht="45" customHeight="1">
      <c r="B20" s="143"/>
      <c r="C20" s="141"/>
      <c r="D20" s="1434"/>
      <c r="E20" s="144"/>
      <c r="F20" s="1436"/>
      <c r="G20" s="1437"/>
      <c r="H20" s="1437"/>
      <c r="I20" s="1438"/>
      <c r="J20" s="472"/>
      <c r="K20" s="142"/>
      <c r="L20" s="1436"/>
      <c r="M20" s="1437"/>
      <c r="N20" s="1437"/>
      <c r="O20" s="1438"/>
      <c r="P20" s="472"/>
      <c r="Q20" s="142"/>
      <c r="R20" s="1431"/>
      <c r="S20" s="1432"/>
      <c r="T20" s="1433"/>
      <c r="U20" s="472"/>
      <c r="V20" s="145"/>
      <c r="W20" s="144"/>
      <c r="X20" s="1431"/>
      <c r="Y20" s="1432"/>
      <c r="Z20" s="1432"/>
      <c r="AA20" s="1433"/>
      <c r="AB20" s="472"/>
      <c r="AC20" s="144"/>
      <c r="AD20" s="1431"/>
      <c r="AE20" s="1432"/>
      <c r="AF20" s="1432"/>
      <c r="AG20" s="1433"/>
      <c r="AH20" s="472"/>
      <c r="AI20" s="144"/>
      <c r="AJ20" s="1431"/>
      <c r="AK20" s="1432"/>
      <c r="AL20" s="1433"/>
      <c r="AM20" s="472"/>
      <c r="AN20" s="762"/>
      <c r="AO20" s="475"/>
      <c r="AP20" s="540"/>
      <c r="AQ20" s="127"/>
      <c r="AR20" s="697"/>
      <c r="AS20" s="673" t="str">
        <f ca="1">IF($AT20&lt;&gt;"",MAX(AS$18:AS19)+1,"")</f>
        <v/>
      </c>
      <c r="AT20" s="694" t="str">
        <f ca="1">IF($J20=DropDown!$N$11,F20,"")</f>
        <v/>
      </c>
      <c r="AV20" s="701">
        <v>2</v>
      </c>
      <c r="AW20" s="705" t="e">
        <f t="shared" ref="AW20:AW48" ca="1" si="0">VLOOKUP($AV20,$AS$19:$AT$48,2,FALSE)</f>
        <v>#N/A</v>
      </c>
      <c r="AX20" s="703" t="str">
        <f t="shared" ref="AX20:AX48" ca="1" si="1">IF(ISNA(AW20),"",AW20)</f>
        <v/>
      </c>
      <c r="AY20" s="697"/>
      <c r="AZ20" s="673" t="str">
        <f ca="1">IF($BA20&lt;&gt;"",MAX(AZ$18:AZ19)+1,"")</f>
        <v/>
      </c>
      <c r="BA20" s="694" t="str">
        <f ca="1">IF($AB20=DropDown!$N$11,X20,"")</f>
        <v/>
      </c>
      <c r="BC20" s="701">
        <v>2</v>
      </c>
      <c r="BD20" s="705" t="e">
        <f t="shared" ref="BD20:BD48" ca="1" si="2">VLOOKUP($BC20,$AZ$19:$BA$48,2,FALSE)</f>
        <v>#N/A</v>
      </c>
      <c r="BE20" s="703" t="str">
        <f t="shared" ref="BE20:BE48" ca="1" si="3">IF(ISNA(BD20),"",BD20)</f>
        <v/>
      </c>
      <c r="BG20" s="722" t="str">
        <f ca="1">IF($BH20&lt;&gt;"",MAX(BG$18:BG19)+1,"")</f>
        <v/>
      </c>
      <c r="BH20" s="694" t="str">
        <f t="shared" ref="BH20:BH32" ca="1" si="4">IF(AX20="","",AX20)</f>
        <v/>
      </c>
      <c r="BI20" s="693">
        <v>2</v>
      </c>
      <c r="BJ20" s="705" t="e">
        <f t="shared" ref="BJ20:BJ48" ca="1" si="5">VLOOKUP($BI20,$BG$19:$BH$48,2,FALSE)</f>
        <v>#N/A</v>
      </c>
      <c r="BK20" s="724" t="str">
        <f t="shared" ref="BK20:BK48" ca="1" si="6">IF(ISNA(BJ20),"",BJ20)</f>
        <v/>
      </c>
    </row>
    <row r="21" spans="2:63" ht="45" customHeight="1">
      <c r="B21" s="143"/>
      <c r="C21" s="141"/>
      <c r="D21" s="1434"/>
      <c r="E21" s="144"/>
      <c r="F21" s="1436"/>
      <c r="G21" s="1437"/>
      <c r="H21" s="1437"/>
      <c r="I21" s="1438"/>
      <c r="J21" s="472"/>
      <c r="K21" s="144"/>
      <c r="L21" s="1436"/>
      <c r="M21" s="1437"/>
      <c r="N21" s="1437"/>
      <c r="O21" s="1438"/>
      <c r="P21" s="472"/>
      <c r="Q21" s="144"/>
      <c r="R21" s="1431"/>
      <c r="S21" s="1432"/>
      <c r="T21" s="1433"/>
      <c r="U21" s="472"/>
      <c r="V21" s="145"/>
      <c r="W21" s="144"/>
      <c r="X21" s="1431"/>
      <c r="Y21" s="1432"/>
      <c r="Z21" s="1432"/>
      <c r="AA21" s="1433"/>
      <c r="AB21" s="472"/>
      <c r="AC21" s="144"/>
      <c r="AD21" s="1431"/>
      <c r="AE21" s="1432"/>
      <c r="AF21" s="1432"/>
      <c r="AG21" s="1433"/>
      <c r="AH21" s="472"/>
      <c r="AI21" s="144"/>
      <c r="AJ21" s="1431"/>
      <c r="AK21" s="1432"/>
      <c r="AL21" s="1433"/>
      <c r="AM21" s="472"/>
      <c r="AN21" s="762"/>
      <c r="AO21" s="475"/>
      <c r="AP21" s="540"/>
      <c r="AQ21" s="127"/>
      <c r="AR21" s="697"/>
      <c r="AS21" s="673" t="str">
        <f ca="1">IF($AT21&lt;&gt;"",MAX(AS$18:AS20)+1,"")</f>
        <v/>
      </c>
      <c r="AT21" s="694" t="str">
        <f ca="1">IF($J21=DropDown!$N$11,F21,"")</f>
        <v/>
      </c>
      <c r="AV21" s="701">
        <v>3</v>
      </c>
      <c r="AW21" s="705" t="e">
        <f t="shared" ca="1" si="0"/>
        <v>#N/A</v>
      </c>
      <c r="AX21" s="703" t="str">
        <f t="shared" ca="1" si="1"/>
        <v/>
      </c>
      <c r="AY21" s="697"/>
      <c r="AZ21" s="673" t="str">
        <f ca="1">IF($BA21&lt;&gt;"",MAX(AZ$18:AZ20)+1,"")</f>
        <v/>
      </c>
      <c r="BA21" s="694" t="str">
        <f ca="1">IF($AB21=DropDown!$N$11,X21,"")</f>
        <v/>
      </c>
      <c r="BC21" s="701">
        <v>3</v>
      </c>
      <c r="BD21" s="705" t="e">
        <f t="shared" ca="1" si="2"/>
        <v>#N/A</v>
      </c>
      <c r="BE21" s="703" t="str">
        <f t="shared" ca="1" si="3"/>
        <v/>
      </c>
      <c r="BG21" s="722" t="str">
        <f ca="1">IF($BH21&lt;&gt;"",MAX(BG$18:BG20)+1,"")</f>
        <v/>
      </c>
      <c r="BH21" s="694" t="str">
        <f t="shared" ca="1" si="4"/>
        <v/>
      </c>
      <c r="BI21" s="693">
        <v>3</v>
      </c>
      <c r="BJ21" s="705" t="e">
        <f t="shared" ca="1" si="5"/>
        <v>#N/A</v>
      </c>
      <c r="BK21" s="724" t="str">
        <f t="shared" ca="1" si="6"/>
        <v/>
      </c>
    </row>
    <row r="22" spans="2:63" ht="45" customHeight="1">
      <c r="B22" s="143"/>
      <c r="C22" s="141"/>
      <c r="D22" s="1434"/>
      <c r="E22" s="144"/>
      <c r="F22" s="1436"/>
      <c r="G22" s="1437"/>
      <c r="H22" s="1437"/>
      <c r="I22" s="1438"/>
      <c r="J22" s="472"/>
      <c r="K22" s="144"/>
      <c r="L22" s="1436"/>
      <c r="M22" s="1437"/>
      <c r="N22" s="1437"/>
      <c r="O22" s="1438"/>
      <c r="P22" s="472"/>
      <c r="Q22" s="144"/>
      <c r="R22" s="1431"/>
      <c r="S22" s="1432"/>
      <c r="T22" s="1433"/>
      <c r="U22" s="472"/>
      <c r="V22" s="145"/>
      <c r="W22" s="144"/>
      <c r="X22" s="1431"/>
      <c r="Y22" s="1432"/>
      <c r="Z22" s="1432"/>
      <c r="AA22" s="1433"/>
      <c r="AB22" s="472"/>
      <c r="AC22" s="144"/>
      <c r="AD22" s="1431"/>
      <c r="AE22" s="1432"/>
      <c r="AF22" s="1432"/>
      <c r="AG22" s="1433"/>
      <c r="AH22" s="472"/>
      <c r="AI22" s="144"/>
      <c r="AJ22" s="1431"/>
      <c r="AK22" s="1432"/>
      <c r="AL22" s="1433"/>
      <c r="AM22" s="472"/>
      <c r="AN22" s="762"/>
      <c r="AO22" s="475"/>
      <c r="AP22" s="540"/>
      <c r="AQ22" s="127"/>
      <c r="AR22" s="697"/>
      <c r="AS22" s="673" t="str">
        <f ca="1">IF($AT22&lt;&gt;"",MAX(AS$18:AS21)+1,"")</f>
        <v/>
      </c>
      <c r="AT22" s="694" t="str">
        <f ca="1">IF($J22=DropDown!$N$11,F22,"")</f>
        <v/>
      </c>
      <c r="AV22" s="701">
        <v>4</v>
      </c>
      <c r="AW22" s="705" t="e">
        <f t="shared" ca="1" si="0"/>
        <v>#N/A</v>
      </c>
      <c r="AX22" s="703" t="str">
        <f t="shared" ca="1" si="1"/>
        <v/>
      </c>
      <c r="AY22" s="697"/>
      <c r="AZ22" s="673" t="str">
        <f ca="1">IF($BA22&lt;&gt;"",MAX(AZ$18:AZ21)+1,"")</f>
        <v/>
      </c>
      <c r="BA22" s="694" t="str">
        <f ca="1">IF($AB22=DropDown!$N$11,X22,"")</f>
        <v/>
      </c>
      <c r="BC22" s="701">
        <v>4</v>
      </c>
      <c r="BD22" s="705" t="e">
        <f t="shared" ca="1" si="2"/>
        <v>#N/A</v>
      </c>
      <c r="BE22" s="703" t="str">
        <f t="shared" ca="1" si="3"/>
        <v/>
      </c>
      <c r="BG22" s="722" t="str">
        <f ca="1">IF($BH22&lt;&gt;"",MAX(BG$18:BG21)+1,"")</f>
        <v/>
      </c>
      <c r="BH22" s="694" t="str">
        <f t="shared" ca="1" si="4"/>
        <v/>
      </c>
      <c r="BI22" s="693">
        <v>4</v>
      </c>
      <c r="BJ22" s="705" t="e">
        <f t="shared" ca="1" si="5"/>
        <v>#N/A</v>
      </c>
      <c r="BK22" s="724" t="str">
        <f t="shared" ca="1" si="6"/>
        <v/>
      </c>
    </row>
    <row r="23" spans="2:63" ht="45" customHeight="1">
      <c r="B23" s="143"/>
      <c r="C23" s="141"/>
      <c r="D23" s="1434"/>
      <c r="E23" s="144"/>
      <c r="F23" s="1436"/>
      <c r="G23" s="1437"/>
      <c r="H23" s="1437"/>
      <c r="I23" s="1438"/>
      <c r="J23" s="472"/>
      <c r="K23" s="144"/>
      <c r="L23" s="1436"/>
      <c r="M23" s="1437"/>
      <c r="N23" s="1437"/>
      <c r="O23" s="1438"/>
      <c r="P23" s="472"/>
      <c r="Q23" s="144"/>
      <c r="R23" s="1431"/>
      <c r="S23" s="1432"/>
      <c r="T23" s="1433"/>
      <c r="U23" s="472"/>
      <c r="V23" s="145"/>
      <c r="W23" s="144"/>
      <c r="X23" s="1431"/>
      <c r="Y23" s="1432"/>
      <c r="Z23" s="1432"/>
      <c r="AA23" s="1433"/>
      <c r="AB23" s="472"/>
      <c r="AC23" s="144"/>
      <c r="AD23" s="1431"/>
      <c r="AE23" s="1432"/>
      <c r="AF23" s="1432"/>
      <c r="AG23" s="1433"/>
      <c r="AH23" s="472"/>
      <c r="AI23" s="144"/>
      <c r="AJ23" s="1431"/>
      <c r="AK23" s="1432"/>
      <c r="AL23" s="1433"/>
      <c r="AM23" s="472"/>
      <c r="AN23" s="762"/>
      <c r="AO23" s="475"/>
      <c r="AP23" s="540"/>
      <c r="AQ23" s="127"/>
      <c r="AR23" s="697"/>
      <c r="AS23" s="673" t="str">
        <f ca="1">IF($AT23&lt;&gt;"",MAX(AS$18:AS22)+1,"")</f>
        <v/>
      </c>
      <c r="AT23" s="694" t="str">
        <f ca="1">IF($J23=DropDown!$N$11,F23,"")</f>
        <v/>
      </c>
      <c r="AV23" s="701">
        <v>5</v>
      </c>
      <c r="AW23" s="705" t="e">
        <f t="shared" ca="1" si="0"/>
        <v>#N/A</v>
      </c>
      <c r="AX23" s="703" t="str">
        <f t="shared" ca="1" si="1"/>
        <v/>
      </c>
      <c r="AY23" s="697"/>
      <c r="AZ23" s="673" t="str">
        <f ca="1">IF($BA23&lt;&gt;"",MAX(AZ$18:AZ22)+1,"")</f>
        <v/>
      </c>
      <c r="BA23" s="694" t="str">
        <f ca="1">IF($AB23=DropDown!$N$11,X23,"")</f>
        <v/>
      </c>
      <c r="BC23" s="701">
        <v>5</v>
      </c>
      <c r="BD23" s="705" t="e">
        <f t="shared" ca="1" si="2"/>
        <v>#N/A</v>
      </c>
      <c r="BE23" s="703" t="str">
        <f t="shared" ca="1" si="3"/>
        <v/>
      </c>
      <c r="BG23" s="722" t="str">
        <f ca="1">IF($BH23&lt;&gt;"",MAX(BG$18:BG22)+1,"")</f>
        <v/>
      </c>
      <c r="BH23" s="694" t="str">
        <f t="shared" ca="1" si="4"/>
        <v/>
      </c>
      <c r="BI23" s="693">
        <v>5</v>
      </c>
      <c r="BJ23" s="705" t="e">
        <f t="shared" ca="1" si="5"/>
        <v>#N/A</v>
      </c>
      <c r="BK23" s="724" t="str">
        <f t="shared" ca="1" si="6"/>
        <v/>
      </c>
    </row>
    <row r="24" spans="2:63" ht="24.9" customHeight="1">
      <c r="B24" s="143"/>
      <c r="C24" s="141"/>
      <c r="D24" s="1434"/>
      <c r="E24" s="144"/>
      <c r="K24" s="144"/>
      <c r="Q24" s="144"/>
      <c r="V24" s="145"/>
      <c r="W24" s="144"/>
      <c r="AC24" s="144"/>
      <c r="AI24" s="144"/>
      <c r="AN24" s="762"/>
      <c r="AO24" s="475"/>
      <c r="AP24" s="540"/>
      <c r="AQ24" s="127"/>
      <c r="AR24" s="697">
        <v>2</v>
      </c>
      <c r="AS24" s="673" t="str">
        <f ca="1">IF($AT24&lt;&gt;"",MAX(AS$18:AS23)+1,"")</f>
        <v/>
      </c>
      <c r="AT24" s="694" t="str">
        <f ca="1">IF($P19=DropDown!$N$11,L19,"")</f>
        <v/>
      </c>
      <c r="AV24" s="701">
        <v>6</v>
      </c>
      <c r="AW24" s="705" t="e">
        <f t="shared" ca="1" si="0"/>
        <v>#N/A</v>
      </c>
      <c r="AX24" s="703" t="str">
        <f t="shared" ca="1" si="1"/>
        <v/>
      </c>
      <c r="AY24" s="697">
        <v>2</v>
      </c>
      <c r="AZ24" s="673" t="str">
        <f ca="1">IF($BA24&lt;&gt;"",MAX(AZ$18:AZ23)+1,"")</f>
        <v/>
      </c>
      <c r="BA24" s="694" t="str">
        <f ca="1">IF($AH19=DropDown!$N$11,AD19,"")</f>
        <v/>
      </c>
      <c r="BC24" s="701">
        <v>6</v>
      </c>
      <c r="BD24" s="705" t="e">
        <f t="shared" ca="1" si="2"/>
        <v>#N/A</v>
      </c>
      <c r="BE24" s="703" t="str">
        <f t="shared" ca="1" si="3"/>
        <v/>
      </c>
      <c r="BG24" s="722" t="str">
        <f ca="1">IF($BH24&lt;&gt;"",MAX(BG$18:BG23)+1,"")</f>
        <v/>
      </c>
      <c r="BH24" s="694" t="str">
        <f t="shared" ca="1" si="4"/>
        <v/>
      </c>
      <c r="BI24" s="693">
        <v>6</v>
      </c>
      <c r="BJ24" s="705" t="e">
        <f t="shared" ca="1" si="5"/>
        <v>#N/A</v>
      </c>
      <c r="BK24" s="724" t="str">
        <f t="shared" ca="1" si="6"/>
        <v/>
      </c>
    </row>
    <row r="25" spans="2:63" ht="20.100000000000001" customHeight="1">
      <c r="B25" s="143"/>
      <c r="C25" s="141"/>
      <c r="D25" s="1434"/>
      <c r="E25" s="144"/>
      <c r="K25" s="144"/>
      <c r="Q25" s="144"/>
      <c r="V25" s="144"/>
      <c r="W25" s="144"/>
      <c r="AC25" s="144"/>
      <c r="AI25" s="144"/>
      <c r="AN25" s="762"/>
      <c r="AO25" s="475"/>
      <c r="AP25" s="540"/>
      <c r="AQ25" s="127"/>
      <c r="AR25" s="697"/>
      <c r="AS25" s="673" t="str">
        <f ca="1">IF($AT25&lt;&gt;"",MAX(AS$18:AS24)+1,"")</f>
        <v/>
      </c>
      <c r="AT25" s="694" t="str">
        <f ca="1">IF($P20=DropDown!$N$11,L20,"")</f>
        <v/>
      </c>
      <c r="AV25" s="701">
        <v>7</v>
      </c>
      <c r="AW25" s="705" t="e">
        <f t="shared" ca="1" si="0"/>
        <v>#N/A</v>
      </c>
      <c r="AX25" s="703" t="str">
        <f t="shared" ca="1" si="1"/>
        <v/>
      </c>
      <c r="AY25" s="697"/>
      <c r="AZ25" s="673" t="str">
        <f ca="1">IF($BA25&lt;&gt;"",MAX(AZ$18:AZ24)+1,"")</f>
        <v/>
      </c>
      <c r="BA25" s="694" t="str">
        <f ca="1">IF($AH20=DropDown!$N$11,AD20,"")</f>
        <v/>
      </c>
      <c r="BC25" s="701">
        <v>7</v>
      </c>
      <c r="BD25" s="705" t="e">
        <f t="shared" ca="1" si="2"/>
        <v>#N/A</v>
      </c>
      <c r="BE25" s="703" t="str">
        <f t="shared" ca="1" si="3"/>
        <v/>
      </c>
      <c r="BG25" s="722" t="str">
        <f ca="1">IF($BH25&lt;&gt;"",MAX(BG$18:BG24)+1,"")</f>
        <v/>
      </c>
      <c r="BH25" s="694" t="str">
        <f t="shared" ca="1" si="4"/>
        <v/>
      </c>
      <c r="BI25" s="693">
        <v>7</v>
      </c>
      <c r="BJ25" s="705" t="e">
        <f t="shared" ca="1" si="5"/>
        <v>#N/A</v>
      </c>
      <c r="BK25" s="724" t="str">
        <f t="shared" ca="1" si="6"/>
        <v/>
      </c>
    </row>
    <row r="26" spans="2:63" ht="20.100000000000001" customHeight="1">
      <c r="B26" s="143"/>
      <c r="C26" s="141"/>
      <c r="D26" s="1434"/>
      <c r="E26" s="144"/>
      <c r="K26" s="144"/>
      <c r="Q26" s="144"/>
      <c r="V26" s="144"/>
      <c r="W26" s="144"/>
      <c r="AC26" s="144"/>
      <c r="AI26" s="144"/>
      <c r="AN26" s="762"/>
      <c r="AO26" s="475"/>
      <c r="AP26" s="540"/>
      <c r="AQ26" s="127"/>
      <c r="AR26" s="697"/>
      <c r="AS26" s="673" t="str">
        <f ca="1">IF($AT26&lt;&gt;"",MAX(AS$18:AS25)+1,"")</f>
        <v/>
      </c>
      <c r="AT26" s="694" t="str">
        <f ca="1">IF($P21=DropDown!$N$11,L21,"")</f>
        <v/>
      </c>
      <c r="AV26" s="701">
        <v>8</v>
      </c>
      <c r="AW26" s="705" t="e">
        <f t="shared" ca="1" si="0"/>
        <v>#N/A</v>
      </c>
      <c r="AX26" s="703" t="str">
        <f t="shared" ca="1" si="1"/>
        <v/>
      </c>
      <c r="AY26" s="697"/>
      <c r="AZ26" s="673" t="str">
        <f ca="1">IF($BA26&lt;&gt;"",MAX(AZ$18:AZ25)+1,"")</f>
        <v/>
      </c>
      <c r="BA26" s="694" t="str">
        <f ca="1">IF($AH21=DropDown!$N$11,AD21,"")</f>
        <v/>
      </c>
      <c r="BC26" s="701">
        <v>8</v>
      </c>
      <c r="BD26" s="705" t="e">
        <f t="shared" ca="1" si="2"/>
        <v>#N/A</v>
      </c>
      <c r="BE26" s="703" t="str">
        <f t="shared" ca="1" si="3"/>
        <v/>
      </c>
      <c r="BG26" s="722" t="str">
        <f ca="1">IF($BH26&lt;&gt;"",MAX(BG$18:BG25)+1,"")</f>
        <v/>
      </c>
      <c r="BH26" s="694" t="str">
        <f t="shared" ca="1" si="4"/>
        <v/>
      </c>
      <c r="BI26" s="693">
        <v>8</v>
      </c>
      <c r="BJ26" s="705" t="e">
        <f t="shared" ca="1" si="5"/>
        <v>#N/A</v>
      </c>
      <c r="BK26" s="724" t="str">
        <f t="shared" ca="1" si="6"/>
        <v/>
      </c>
    </row>
    <row r="27" spans="2:63" ht="20.100000000000001" customHeight="1">
      <c r="B27" s="143"/>
      <c r="C27" s="141"/>
      <c r="D27" s="1434"/>
      <c r="E27" s="144"/>
      <c r="K27" s="144"/>
      <c r="Q27" s="144"/>
      <c r="V27" s="144"/>
      <c r="W27" s="144"/>
      <c r="AC27" s="144"/>
      <c r="AI27" s="144"/>
      <c r="AN27" s="762"/>
      <c r="AO27" s="475"/>
      <c r="AP27" s="540"/>
      <c r="AQ27" s="127"/>
      <c r="AR27" s="697"/>
      <c r="AS27" s="673" t="str">
        <f ca="1">IF($AT27&lt;&gt;"",MAX(AS$18:AS26)+1,"")</f>
        <v/>
      </c>
      <c r="AT27" s="694" t="str">
        <f ca="1">IF($P22=DropDown!$N$11,L22,"")</f>
        <v/>
      </c>
      <c r="AV27" s="701">
        <v>9</v>
      </c>
      <c r="AW27" s="705" t="e">
        <f t="shared" ca="1" si="0"/>
        <v>#N/A</v>
      </c>
      <c r="AX27" s="703" t="str">
        <f t="shared" ca="1" si="1"/>
        <v/>
      </c>
      <c r="AY27" s="697"/>
      <c r="AZ27" s="673" t="str">
        <f ca="1">IF($BA27&lt;&gt;"",MAX(AZ$18:AZ26)+1,"")</f>
        <v/>
      </c>
      <c r="BA27" s="694" t="str">
        <f ca="1">IF($AH22=DropDown!$N$11,AD22,"")</f>
        <v/>
      </c>
      <c r="BC27" s="701">
        <v>9</v>
      </c>
      <c r="BD27" s="705" t="e">
        <f t="shared" ca="1" si="2"/>
        <v>#N/A</v>
      </c>
      <c r="BE27" s="703" t="str">
        <f t="shared" ca="1" si="3"/>
        <v/>
      </c>
      <c r="BG27" s="722" t="str">
        <f ca="1">IF($BH27&lt;&gt;"",MAX(BG$18:BG26)+1,"")</f>
        <v/>
      </c>
      <c r="BH27" s="694" t="str">
        <f t="shared" ca="1" si="4"/>
        <v/>
      </c>
      <c r="BI27" s="693">
        <v>9</v>
      </c>
      <c r="BJ27" s="705" t="e">
        <f t="shared" ca="1" si="5"/>
        <v>#N/A</v>
      </c>
      <c r="BK27" s="724" t="str">
        <f t="shared" ca="1" si="6"/>
        <v/>
      </c>
    </row>
    <row r="28" spans="2:63" ht="20.100000000000001" customHeight="1">
      <c r="B28" s="143"/>
      <c r="C28" s="141"/>
      <c r="D28" s="1434"/>
      <c r="E28" s="144"/>
      <c r="K28" s="144"/>
      <c r="Q28" s="144"/>
      <c r="V28" s="144"/>
      <c r="W28" s="144"/>
      <c r="AC28" s="144"/>
      <c r="AI28" s="144"/>
      <c r="AN28" s="762"/>
      <c r="AO28" s="475"/>
      <c r="AP28" s="540"/>
      <c r="AQ28" s="127"/>
      <c r="AR28" s="697"/>
      <c r="AS28" s="673" t="str">
        <f ca="1">IF($AT28&lt;&gt;"",MAX(AS$18:AS27)+1,"")</f>
        <v/>
      </c>
      <c r="AT28" s="694" t="str">
        <f ca="1">IF($P23=DropDown!$N$11,L23,"")</f>
        <v/>
      </c>
      <c r="AV28" s="701">
        <v>10</v>
      </c>
      <c r="AW28" s="705" t="e">
        <f t="shared" ca="1" si="0"/>
        <v>#N/A</v>
      </c>
      <c r="AX28" s="703" t="str">
        <f t="shared" ca="1" si="1"/>
        <v/>
      </c>
      <c r="AY28" s="697"/>
      <c r="AZ28" s="673" t="str">
        <f ca="1">IF($BA28&lt;&gt;"",MAX(AZ$18:AZ27)+1,"")</f>
        <v/>
      </c>
      <c r="BA28" s="694" t="str">
        <f ca="1">IF($AH23=DropDown!$N$11,AD23,"")</f>
        <v/>
      </c>
      <c r="BC28" s="701">
        <v>10</v>
      </c>
      <c r="BD28" s="705" t="e">
        <f t="shared" ca="1" si="2"/>
        <v>#N/A</v>
      </c>
      <c r="BE28" s="703" t="str">
        <f t="shared" ca="1" si="3"/>
        <v/>
      </c>
      <c r="BG28" s="722" t="str">
        <f ca="1">IF($BH28&lt;&gt;"",MAX(BG$18:BG27)+1,"")</f>
        <v/>
      </c>
      <c r="BH28" s="694" t="str">
        <f t="shared" ca="1" si="4"/>
        <v/>
      </c>
      <c r="BI28" s="693">
        <v>10</v>
      </c>
      <c r="BJ28" s="705" t="e">
        <f t="shared" ca="1" si="5"/>
        <v>#N/A</v>
      </c>
      <c r="BK28" s="724" t="str">
        <f t="shared" ca="1" si="6"/>
        <v/>
      </c>
    </row>
    <row r="29" spans="2:63" s="24" customFormat="1" ht="20.100000000000001" customHeight="1">
      <c r="B29" s="468"/>
      <c r="C29" s="466"/>
      <c r="D29" s="1434"/>
      <c r="E29" s="462"/>
      <c r="F29" s="1453"/>
      <c r="G29" s="1453"/>
      <c r="H29" s="1453"/>
      <c r="I29" s="1453"/>
      <c r="J29" s="1453"/>
      <c r="K29" s="739"/>
      <c r="L29" s="1453"/>
      <c r="M29" s="1453"/>
      <c r="N29" s="1453"/>
      <c r="O29" s="1453"/>
      <c r="P29" s="1453"/>
      <c r="Q29" s="739"/>
      <c r="R29" s="1454"/>
      <c r="S29" s="1454"/>
      <c r="T29" s="1454"/>
      <c r="U29" s="1454"/>
      <c r="V29" s="462"/>
      <c r="W29" s="462"/>
      <c r="X29" s="1430"/>
      <c r="Y29" s="1430"/>
      <c r="Z29" s="1430"/>
      <c r="AA29" s="1430"/>
      <c r="AB29" s="1430"/>
      <c r="AC29" s="1430"/>
      <c r="AD29" s="1430"/>
      <c r="AE29" s="1430"/>
      <c r="AF29" s="1430"/>
      <c r="AG29" s="1430"/>
      <c r="AH29" s="1430"/>
      <c r="AI29" s="1430"/>
      <c r="AJ29" s="1439"/>
      <c r="AK29" s="1439"/>
      <c r="AL29" s="1439"/>
      <c r="AM29" s="1439"/>
      <c r="AN29" s="762"/>
      <c r="AO29" s="474"/>
      <c r="AP29" s="541"/>
      <c r="AQ29" s="59"/>
      <c r="AR29" s="697">
        <v>3</v>
      </c>
      <c r="AS29" s="673" t="str">
        <f ca="1">IF($AT29&lt;&gt;"",MAX(AS$18:AS28)+1,"")</f>
        <v/>
      </c>
      <c r="AT29" s="694" t="str">
        <f ca="1">IF($U19=DropDown!$N$11,R19,"")</f>
        <v/>
      </c>
      <c r="AV29" s="701">
        <v>11</v>
      </c>
      <c r="AW29" s="705" t="e">
        <f t="shared" ca="1" si="0"/>
        <v>#N/A</v>
      </c>
      <c r="AX29" s="703" t="str">
        <f t="shared" ca="1" si="1"/>
        <v/>
      </c>
      <c r="AY29" s="697">
        <v>3</v>
      </c>
      <c r="AZ29" s="673" t="str">
        <f ca="1">IF($BA29&lt;&gt;"",MAX(AZ$18:AZ28)+1,"")</f>
        <v/>
      </c>
      <c r="BA29" s="694" t="str">
        <f ca="1">IF($AM19=DropDown!$N$11,AJ19,"")</f>
        <v/>
      </c>
      <c r="BC29" s="701">
        <v>11</v>
      </c>
      <c r="BD29" s="705" t="e">
        <f t="shared" ca="1" si="2"/>
        <v>#N/A</v>
      </c>
      <c r="BE29" s="703" t="str">
        <f t="shared" ca="1" si="3"/>
        <v/>
      </c>
      <c r="BG29" s="722" t="str">
        <f ca="1">IF($BH29&lt;&gt;"",MAX(BG$18:BG28)+1,"")</f>
        <v/>
      </c>
      <c r="BH29" s="694" t="str">
        <f t="shared" ca="1" si="4"/>
        <v/>
      </c>
      <c r="BI29" s="693">
        <v>11</v>
      </c>
      <c r="BJ29" s="705" t="e">
        <f t="shared" ca="1" si="5"/>
        <v>#N/A</v>
      </c>
      <c r="BK29" s="724" t="str">
        <f t="shared" ca="1" si="6"/>
        <v/>
      </c>
    </row>
    <row r="30" spans="2:63" ht="20.100000000000001" customHeight="1">
      <c r="B30" s="429"/>
      <c r="C30" s="430"/>
      <c r="D30" s="462"/>
      <c r="E30" s="430"/>
      <c r="F30" s="430"/>
      <c r="G30" s="430"/>
      <c r="H30" s="430"/>
      <c r="I30" s="430"/>
      <c r="J30" s="430"/>
      <c r="K30" s="430"/>
      <c r="L30" s="430"/>
      <c r="M30" s="430"/>
      <c r="N30" s="430"/>
      <c r="O30" s="430"/>
      <c r="P30" s="430"/>
      <c r="Q30" s="430"/>
      <c r="R30" s="430"/>
      <c r="S30" s="430"/>
      <c r="T30" s="430"/>
      <c r="U30" s="430"/>
      <c r="V30" s="430"/>
      <c r="W30" s="430"/>
      <c r="X30" s="430"/>
      <c r="Y30" s="430"/>
      <c r="Z30" s="430"/>
      <c r="AA30" s="430"/>
      <c r="AB30" s="430"/>
      <c r="AC30" s="430"/>
      <c r="AD30" s="430"/>
      <c r="AE30" s="430"/>
      <c r="AF30" s="430"/>
      <c r="AG30" s="430"/>
      <c r="AH30" s="430"/>
      <c r="AI30" s="430"/>
      <c r="AJ30" s="430"/>
      <c r="AK30" s="689"/>
      <c r="AL30" s="430"/>
      <c r="AM30" s="430"/>
      <c r="AN30" s="430"/>
      <c r="AO30" s="476"/>
      <c r="AP30" s="542"/>
      <c r="AQ30" s="127"/>
      <c r="AR30" s="697"/>
      <c r="AS30" s="673" t="str">
        <f ca="1">IF($AT30&lt;&gt;"",MAX(AS$18:AS29)+1,"")</f>
        <v/>
      </c>
      <c r="AT30" s="694" t="str">
        <f ca="1">IF($U20=DropDown!$N$11,R20,"")</f>
        <v/>
      </c>
      <c r="AV30" s="701">
        <v>12</v>
      </c>
      <c r="AW30" s="705" t="e">
        <f t="shared" ca="1" si="0"/>
        <v>#N/A</v>
      </c>
      <c r="AX30" s="703" t="str">
        <f t="shared" ca="1" si="1"/>
        <v/>
      </c>
      <c r="AY30" s="697"/>
      <c r="AZ30" s="673" t="str">
        <f ca="1">IF($BA30&lt;&gt;"",MAX(AZ$18:AZ29)+1,"")</f>
        <v/>
      </c>
      <c r="BA30" s="694" t="str">
        <f ca="1">IF($AM20=DropDown!$N$11,AJ20,"")</f>
        <v/>
      </c>
      <c r="BC30" s="701">
        <v>12</v>
      </c>
      <c r="BD30" s="705" t="e">
        <f t="shared" ca="1" si="2"/>
        <v>#N/A</v>
      </c>
      <c r="BE30" s="703" t="str">
        <f t="shared" ca="1" si="3"/>
        <v/>
      </c>
      <c r="BG30" s="722" t="str">
        <f ca="1">IF($BH30&lt;&gt;"",MAX(BG$18:BG29)+1,"")</f>
        <v/>
      </c>
      <c r="BH30" s="694" t="str">
        <f t="shared" ca="1" si="4"/>
        <v/>
      </c>
      <c r="BI30" s="693">
        <v>12</v>
      </c>
      <c r="BJ30" s="705" t="e">
        <f t="shared" ca="1" si="5"/>
        <v>#N/A</v>
      </c>
      <c r="BK30" s="724" t="str">
        <f t="shared" ca="1" si="6"/>
        <v/>
      </c>
    </row>
    <row r="31" spans="2:63" s="24" customFormat="1" ht="20.100000000000001" customHeight="1">
      <c r="B31" s="468"/>
      <c r="C31" s="1465"/>
      <c r="D31" s="1434"/>
      <c r="E31" s="462"/>
      <c r="F31" s="1453"/>
      <c r="G31" s="1453"/>
      <c r="H31" s="1453"/>
      <c r="I31" s="1453"/>
      <c r="J31" s="1453"/>
      <c r="K31" s="739"/>
      <c r="L31" s="1453"/>
      <c r="M31" s="1453"/>
      <c r="N31" s="1453"/>
      <c r="O31" s="1453"/>
      <c r="P31" s="1453"/>
      <c r="Q31" s="739"/>
      <c r="R31" s="1453"/>
      <c r="S31" s="1453"/>
      <c r="T31" s="1453"/>
      <c r="U31" s="1453"/>
      <c r="V31" s="462"/>
      <c r="W31" s="462"/>
      <c r="X31" s="1430"/>
      <c r="Y31" s="1430"/>
      <c r="Z31" s="1430"/>
      <c r="AA31" s="1430"/>
      <c r="AB31" s="1430"/>
      <c r="AC31" s="1430"/>
      <c r="AD31" s="1430"/>
      <c r="AE31" s="1430"/>
      <c r="AF31" s="1430"/>
      <c r="AG31" s="1430"/>
      <c r="AH31" s="1430"/>
      <c r="AI31" s="1430"/>
      <c r="AJ31" s="1430"/>
      <c r="AK31" s="1430"/>
      <c r="AL31" s="1430"/>
      <c r="AM31" s="1430"/>
      <c r="AN31" s="739"/>
      <c r="AO31" s="477"/>
      <c r="AP31" s="541"/>
      <c r="AQ31" s="59"/>
      <c r="AR31" s="697"/>
      <c r="AS31" s="673" t="str">
        <f ca="1">IF($AT31&lt;&gt;"",MAX(AS$18:AS30)+1,"")</f>
        <v/>
      </c>
      <c r="AT31" s="694" t="str">
        <f ca="1">IF($U21=DropDown!$N$11,R21,"")</f>
        <v/>
      </c>
      <c r="AV31" s="701">
        <v>13</v>
      </c>
      <c r="AW31" s="705" t="e">
        <f t="shared" ca="1" si="0"/>
        <v>#N/A</v>
      </c>
      <c r="AX31" s="703" t="str">
        <f t="shared" ca="1" si="1"/>
        <v/>
      </c>
      <c r="AY31" s="697"/>
      <c r="AZ31" s="673" t="str">
        <f ca="1">IF($BA31&lt;&gt;"",MAX(AZ$18:AZ30)+1,"")</f>
        <v/>
      </c>
      <c r="BA31" s="694" t="str">
        <f ca="1">IF($AM21=DropDown!$N$11,AJ21,"")</f>
        <v/>
      </c>
      <c r="BC31" s="701">
        <v>13</v>
      </c>
      <c r="BD31" s="705" t="e">
        <f t="shared" ca="1" si="2"/>
        <v>#N/A</v>
      </c>
      <c r="BE31" s="703" t="str">
        <f t="shared" ca="1" si="3"/>
        <v/>
      </c>
      <c r="BG31" s="722" t="str">
        <f ca="1">IF($BH31&lt;&gt;"",MAX(BG$18:BG30)+1,"")</f>
        <v/>
      </c>
      <c r="BH31" s="694" t="str">
        <f t="shared" ca="1" si="4"/>
        <v/>
      </c>
      <c r="BI31" s="693">
        <v>13</v>
      </c>
      <c r="BJ31" s="705" t="e">
        <f t="shared" ca="1" si="5"/>
        <v>#N/A</v>
      </c>
      <c r="BK31" s="724" t="str">
        <f t="shared" ca="1" si="6"/>
        <v/>
      </c>
    </row>
    <row r="32" spans="2:63" ht="35.1" customHeight="1">
      <c r="B32" s="429"/>
      <c r="C32" s="1465"/>
      <c r="D32" s="1434"/>
      <c r="E32" s="430"/>
      <c r="F32" s="1447" t="str">
        <f ca="1">INDIRECT('D1-D2-D3'!$J$4&amp;"!C128")</f>
        <v>Method</v>
      </c>
      <c r="G32" s="1447"/>
      <c r="H32" s="1447"/>
      <c r="I32" s="1447"/>
      <c r="J32" s="144"/>
      <c r="K32" s="144"/>
      <c r="L32" s="1447" t="str">
        <f ca="1">INDIRECT('D1-D2-D3'!$J$4&amp;"!C134")</f>
        <v>Environment</v>
      </c>
      <c r="M32" s="1447"/>
      <c r="N32" s="1447"/>
      <c r="O32" s="1447"/>
      <c r="P32" s="618"/>
      <c r="Q32" s="144"/>
      <c r="R32" s="1462" t="s">
        <v>5</v>
      </c>
      <c r="S32" s="1462"/>
      <c r="T32" s="1462"/>
      <c r="U32" s="618"/>
      <c r="V32" s="145"/>
      <c r="W32" s="144"/>
      <c r="X32" s="1447" t="str">
        <f ca="1">INDIRECT('D1-D2-D3'!$J$4&amp;"!C128")</f>
        <v>Method</v>
      </c>
      <c r="Y32" s="1447"/>
      <c r="Z32" s="1447"/>
      <c r="AA32" s="1447"/>
      <c r="AB32" s="1447" t="str">
        <f ca="1">INDIRECT('D1-D2-D3'!$J$4&amp;"!C128")</f>
        <v>Method</v>
      </c>
      <c r="AC32" s="144"/>
      <c r="AD32" s="1447" t="str">
        <f ca="1">INDIRECT('D1-D2-D3'!$J$4&amp;"!C134")</f>
        <v>Environment</v>
      </c>
      <c r="AE32" s="1447"/>
      <c r="AF32" s="1447"/>
      <c r="AG32" s="1447"/>
      <c r="AH32" s="1447" t="str">
        <f ca="1">INDIRECT('D1-D2-D3'!$J$4&amp;"!C134")</f>
        <v>Environment</v>
      </c>
      <c r="AI32" s="144"/>
      <c r="AJ32" s="1462" t="s">
        <v>5</v>
      </c>
      <c r="AK32" s="1462"/>
      <c r="AL32" s="1462"/>
      <c r="AM32" s="1462" t="s">
        <v>5</v>
      </c>
      <c r="AN32" s="739"/>
      <c r="AO32" s="478"/>
      <c r="AP32" s="542"/>
      <c r="AQ32" s="127"/>
      <c r="AR32" s="697"/>
      <c r="AS32" s="673" t="str">
        <f ca="1">IF($AT32&lt;&gt;"",MAX(AS$18:AS31)+1,"")</f>
        <v/>
      </c>
      <c r="AT32" s="694" t="str">
        <f ca="1">IF($U22=DropDown!$N$11,R22,"")</f>
        <v/>
      </c>
      <c r="AU32" s="427"/>
      <c r="AV32" s="701">
        <v>14</v>
      </c>
      <c r="AW32" s="705" t="e">
        <f t="shared" ca="1" si="0"/>
        <v>#N/A</v>
      </c>
      <c r="AX32" s="703" t="str">
        <f t="shared" ca="1" si="1"/>
        <v/>
      </c>
      <c r="AY32" s="697"/>
      <c r="AZ32" s="673" t="str">
        <f ca="1">IF($BA32&lt;&gt;"",MAX(AZ$18:AZ31)+1,"")</f>
        <v/>
      </c>
      <c r="BA32" s="694" t="str">
        <f ca="1">IF($AM22=DropDown!$N$11,AJ22,"")</f>
        <v/>
      </c>
      <c r="BB32" s="427"/>
      <c r="BC32" s="701">
        <v>14</v>
      </c>
      <c r="BD32" s="705" t="e">
        <f t="shared" ca="1" si="2"/>
        <v>#N/A</v>
      </c>
      <c r="BE32" s="703" t="str">
        <f t="shared" ca="1" si="3"/>
        <v/>
      </c>
      <c r="BG32" s="722" t="str">
        <f ca="1">IF($BH32&lt;&gt;"",MAX(BG$18:BG31)+1,"")</f>
        <v/>
      </c>
      <c r="BH32" s="694" t="str">
        <f t="shared" ca="1" si="4"/>
        <v/>
      </c>
      <c r="BI32" s="693">
        <v>14</v>
      </c>
      <c r="BJ32" s="705" t="e">
        <f t="shared" ca="1" si="5"/>
        <v>#N/A</v>
      </c>
      <c r="BK32" s="724" t="str">
        <f t="shared" ca="1" si="6"/>
        <v/>
      </c>
    </row>
    <row r="33" spans="2:63" ht="45" customHeight="1">
      <c r="B33" s="429"/>
      <c r="C33" s="1465"/>
      <c r="D33" s="1434"/>
      <c r="E33" s="430"/>
      <c r="F33" s="1436"/>
      <c r="G33" s="1437"/>
      <c r="H33" s="1437"/>
      <c r="I33" s="1438"/>
      <c r="J33" s="472"/>
      <c r="K33" s="144"/>
      <c r="L33" s="1436"/>
      <c r="M33" s="1437"/>
      <c r="N33" s="1437"/>
      <c r="O33" s="1438"/>
      <c r="P33" s="472"/>
      <c r="Q33" s="144"/>
      <c r="R33" s="1431"/>
      <c r="S33" s="1432"/>
      <c r="T33" s="1433"/>
      <c r="U33" s="472"/>
      <c r="V33" s="145"/>
      <c r="W33" s="144"/>
      <c r="X33" s="1431"/>
      <c r="Y33" s="1432"/>
      <c r="Z33" s="1432"/>
      <c r="AA33" s="1433"/>
      <c r="AB33" s="472"/>
      <c r="AC33" s="144"/>
      <c r="AD33" s="1431"/>
      <c r="AE33" s="1432"/>
      <c r="AF33" s="1432"/>
      <c r="AG33" s="1433"/>
      <c r="AH33" s="472"/>
      <c r="AI33" s="144"/>
      <c r="AJ33" s="1431"/>
      <c r="AK33" s="1432"/>
      <c r="AL33" s="1433"/>
      <c r="AM33" s="472"/>
      <c r="AN33" s="739"/>
      <c r="AO33" s="476"/>
      <c r="AP33" s="542"/>
      <c r="AQ33" s="127"/>
      <c r="AR33" s="697"/>
      <c r="AS33" s="673" t="str">
        <f ca="1">IF($AT33&lt;&gt;"",MAX(AS$18:AS32)+1,"")</f>
        <v/>
      </c>
      <c r="AT33" s="694" t="str">
        <f ca="1">IF($U23=DropDown!$N$11,R23,"")</f>
        <v/>
      </c>
      <c r="AU33" s="427"/>
      <c r="AV33" s="701">
        <v>15</v>
      </c>
      <c r="AW33" s="705" t="e">
        <f t="shared" ca="1" si="0"/>
        <v>#N/A</v>
      </c>
      <c r="AX33" s="703" t="str">
        <f t="shared" ca="1" si="1"/>
        <v/>
      </c>
      <c r="AY33" s="697"/>
      <c r="AZ33" s="673" t="str">
        <f ca="1">IF($BA33&lt;&gt;"",MAX(AZ$18:AZ32)+1,"")</f>
        <v/>
      </c>
      <c r="BA33" s="694" t="str">
        <f ca="1">IF($AM23=DropDown!$N$11,AJ23,"")</f>
        <v/>
      </c>
      <c r="BB33" s="427"/>
      <c r="BC33" s="701">
        <v>15</v>
      </c>
      <c r="BD33" s="705" t="e">
        <f t="shared" ca="1" si="2"/>
        <v>#N/A</v>
      </c>
      <c r="BE33" s="703" t="str">
        <f t="shared" ca="1" si="3"/>
        <v/>
      </c>
      <c r="BG33" s="722" t="str">
        <f ca="1">IF($BH33&lt;&gt;"",MAX(BG$18:BG32)+1,"")</f>
        <v/>
      </c>
      <c r="BH33" s="694" t="str">
        <f ca="1">IF(BE19="","",BE19)</f>
        <v/>
      </c>
      <c r="BI33" s="693">
        <v>15</v>
      </c>
      <c r="BJ33" s="705" t="e">
        <f t="shared" ca="1" si="5"/>
        <v>#N/A</v>
      </c>
      <c r="BK33" s="724" t="str">
        <f t="shared" ca="1" si="6"/>
        <v/>
      </c>
    </row>
    <row r="34" spans="2:63" ht="45" customHeight="1">
      <c r="B34" s="429"/>
      <c r="C34" s="1465"/>
      <c r="D34" s="1434"/>
      <c r="E34" s="430"/>
      <c r="F34" s="1436"/>
      <c r="G34" s="1437"/>
      <c r="H34" s="1437"/>
      <c r="I34" s="1438"/>
      <c r="J34" s="472"/>
      <c r="K34" s="144"/>
      <c r="L34" s="1436"/>
      <c r="M34" s="1437"/>
      <c r="N34" s="1437"/>
      <c r="O34" s="1438"/>
      <c r="P34" s="472"/>
      <c r="Q34" s="144"/>
      <c r="R34" s="1431"/>
      <c r="S34" s="1432"/>
      <c r="T34" s="1433"/>
      <c r="U34" s="472"/>
      <c r="V34" s="145"/>
      <c r="W34" s="144"/>
      <c r="X34" s="1431"/>
      <c r="Y34" s="1432"/>
      <c r="Z34" s="1432"/>
      <c r="AA34" s="1433"/>
      <c r="AB34" s="472"/>
      <c r="AC34" s="144"/>
      <c r="AD34" s="1431"/>
      <c r="AE34" s="1432"/>
      <c r="AF34" s="1432"/>
      <c r="AG34" s="1433"/>
      <c r="AH34" s="472"/>
      <c r="AI34" s="144"/>
      <c r="AJ34" s="1431"/>
      <c r="AK34" s="1432"/>
      <c r="AL34" s="1433"/>
      <c r="AM34" s="472"/>
      <c r="AN34" s="739"/>
      <c r="AO34" s="476"/>
      <c r="AP34" s="542"/>
      <c r="AQ34" s="127"/>
      <c r="AR34" s="697">
        <v>4</v>
      </c>
      <c r="AS34" s="673" t="str">
        <f ca="1">IF($AT34&lt;&gt;"",MAX(AS$18:AS33)+1,"")</f>
        <v/>
      </c>
      <c r="AT34" s="694" t="str">
        <f ca="1">IF($J33=DropDown!$N$11,F33,"")</f>
        <v/>
      </c>
      <c r="AU34" s="427"/>
      <c r="AV34" s="701">
        <v>16</v>
      </c>
      <c r="AW34" s="705" t="e">
        <f t="shared" ca="1" si="0"/>
        <v>#N/A</v>
      </c>
      <c r="AX34" s="703" t="str">
        <f t="shared" ca="1" si="1"/>
        <v/>
      </c>
      <c r="AY34" s="697">
        <v>4</v>
      </c>
      <c r="AZ34" s="673" t="str">
        <f ca="1">IF($BA34&lt;&gt;"",MAX(AZ$18:AZ33)+1,"")</f>
        <v/>
      </c>
      <c r="BA34" s="694" t="str">
        <f ca="1">IF($AB33=DropDown!$N$11,X33,"")</f>
        <v/>
      </c>
      <c r="BB34" s="427"/>
      <c r="BC34" s="701">
        <v>16</v>
      </c>
      <c r="BD34" s="705" t="e">
        <f t="shared" ca="1" si="2"/>
        <v>#N/A</v>
      </c>
      <c r="BE34" s="703" t="str">
        <f t="shared" ca="1" si="3"/>
        <v/>
      </c>
      <c r="BG34" s="722" t="str">
        <f ca="1">IF($BH34&lt;&gt;"",MAX(BG$18:BG33)+1,"")</f>
        <v/>
      </c>
      <c r="BH34" s="694" t="str">
        <f t="shared" ref="BH34:BH48" ca="1" si="7">IF(BE20="","",BE20)</f>
        <v/>
      </c>
      <c r="BI34" s="693">
        <v>16</v>
      </c>
      <c r="BJ34" s="705" t="e">
        <f t="shared" ca="1" si="5"/>
        <v>#N/A</v>
      </c>
      <c r="BK34" s="724" t="str">
        <f t="shared" ca="1" si="6"/>
        <v/>
      </c>
    </row>
    <row r="35" spans="2:63" ht="45" customHeight="1">
      <c r="B35" s="429"/>
      <c r="C35" s="1465"/>
      <c r="D35" s="1434"/>
      <c r="E35" s="430"/>
      <c r="F35" s="1436"/>
      <c r="G35" s="1437"/>
      <c r="H35" s="1437"/>
      <c r="I35" s="1438"/>
      <c r="J35" s="472"/>
      <c r="K35" s="144"/>
      <c r="L35" s="1436"/>
      <c r="M35" s="1437"/>
      <c r="N35" s="1437"/>
      <c r="O35" s="1438"/>
      <c r="P35" s="472"/>
      <c r="Q35" s="144"/>
      <c r="R35" s="1431"/>
      <c r="S35" s="1432"/>
      <c r="T35" s="1433"/>
      <c r="U35" s="472"/>
      <c r="V35" s="145"/>
      <c r="W35" s="144"/>
      <c r="X35" s="1431"/>
      <c r="Y35" s="1432"/>
      <c r="Z35" s="1432"/>
      <c r="AA35" s="1433"/>
      <c r="AB35" s="472"/>
      <c r="AC35" s="144"/>
      <c r="AD35" s="1431"/>
      <c r="AE35" s="1432"/>
      <c r="AF35" s="1432"/>
      <c r="AG35" s="1433"/>
      <c r="AH35" s="472"/>
      <c r="AI35" s="144"/>
      <c r="AJ35" s="1431"/>
      <c r="AK35" s="1432"/>
      <c r="AL35" s="1433"/>
      <c r="AM35" s="472"/>
      <c r="AN35" s="739"/>
      <c r="AO35" s="476"/>
      <c r="AP35" s="542"/>
      <c r="AQ35" s="127"/>
      <c r="AR35" s="697"/>
      <c r="AS35" s="673" t="str">
        <f ca="1">IF($AT35&lt;&gt;"",MAX(AS$18:AS34)+1,"")</f>
        <v/>
      </c>
      <c r="AT35" s="694" t="str">
        <f ca="1">IF($J34=DropDown!$N$11,F34,"")</f>
        <v/>
      </c>
      <c r="AU35" s="427"/>
      <c r="AV35" s="701">
        <v>17</v>
      </c>
      <c r="AW35" s="705" t="e">
        <f t="shared" ca="1" si="0"/>
        <v>#N/A</v>
      </c>
      <c r="AX35" s="703" t="str">
        <f t="shared" ca="1" si="1"/>
        <v/>
      </c>
      <c r="AY35" s="697"/>
      <c r="AZ35" s="673" t="str">
        <f ca="1">IF($BA35&lt;&gt;"",MAX(AZ$18:AZ34)+1,"")</f>
        <v/>
      </c>
      <c r="BA35" s="694" t="str">
        <f ca="1">IF($AB34=DropDown!$N$11,X34,"")</f>
        <v/>
      </c>
      <c r="BB35" s="427"/>
      <c r="BC35" s="701">
        <v>17</v>
      </c>
      <c r="BD35" s="705" t="e">
        <f t="shared" ca="1" si="2"/>
        <v>#N/A</v>
      </c>
      <c r="BE35" s="703" t="str">
        <f t="shared" ca="1" si="3"/>
        <v/>
      </c>
      <c r="BG35" s="722" t="str">
        <f ca="1">IF($BH35&lt;&gt;"",MAX(BG$18:BG34)+1,"")</f>
        <v/>
      </c>
      <c r="BH35" s="694" t="str">
        <f t="shared" ca="1" si="7"/>
        <v/>
      </c>
      <c r="BI35" s="693">
        <v>17</v>
      </c>
      <c r="BJ35" s="705" t="e">
        <f t="shared" ca="1" si="5"/>
        <v>#N/A</v>
      </c>
      <c r="BK35" s="724" t="str">
        <f t="shared" ca="1" si="6"/>
        <v/>
      </c>
    </row>
    <row r="36" spans="2:63" ht="45" customHeight="1">
      <c r="B36" s="429"/>
      <c r="C36" s="1465"/>
      <c r="D36" s="1434"/>
      <c r="E36" s="430"/>
      <c r="F36" s="1436"/>
      <c r="G36" s="1437"/>
      <c r="H36" s="1437"/>
      <c r="I36" s="1438"/>
      <c r="J36" s="472"/>
      <c r="K36" s="144"/>
      <c r="L36" s="1436"/>
      <c r="M36" s="1437"/>
      <c r="N36" s="1437"/>
      <c r="O36" s="1438"/>
      <c r="P36" s="472"/>
      <c r="Q36" s="144"/>
      <c r="R36" s="1458"/>
      <c r="S36" s="1458"/>
      <c r="T36" s="1458"/>
      <c r="U36" s="472"/>
      <c r="V36" s="145"/>
      <c r="W36" s="144"/>
      <c r="X36" s="1431"/>
      <c r="Y36" s="1432"/>
      <c r="Z36" s="1432"/>
      <c r="AA36" s="1433"/>
      <c r="AB36" s="472"/>
      <c r="AC36" s="144"/>
      <c r="AD36" s="1431"/>
      <c r="AE36" s="1432"/>
      <c r="AF36" s="1432"/>
      <c r="AG36" s="1433"/>
      <c r="AH36" s="472"/>
      <c r="AI36" s="144"/>
      <c r="AJ36" s="1431"/>
      <c r="AK36" s="1432"/>
      <c r="AL36" s="1433"/>
      <c r="AM36" s="472"/>
      <c r="AN36" s="739"/>
      <c r="AO36" s="476"/>
      <c r="AP36" s="542"/>
      <c r="AQ36" s="127"/>
      <c r="AR36" s="697"/>
      <c r="AS36" s="673" t="str">
        <f ca="1">IF($AT36&lt;&gt;"",MAX(AS$18:AS35)+1,"")</f>
        <v/>
      </c>
      <c r="AT36" s="694" t="str">
        <f ca="1">IF($J35=DropDown!$N$11,F35,"")</f>
        <v/>
      </c>
      <c r="AU36" s="427"/>
      <c r="AV36" s="701">
        <v>18</v>
      </c>
      <c r="AW36" s="705" t="e">
        <f t="shared" ca="1" si="0"/>
        <v>#N/A</v>
      </c>
      <c r="AX36" s="703" t="str">
        <f t="shared" ca="1" si="1"/>
        <v/>
      </c>
      <c r="AY36" s="697"/>
      <c r="AZ36" s="673" t="str">
        <f ca="1">IF($BA36&lt;&gt;"",MAX(AZ$18:AZ35)+1,"")</f>
        <v/>
      </c>
      <c r="BA36" s="694" t="str">
        <f ca="1">IF($AB35=DropDown!$N$11,X35,"")</f>
        <v/>
      </c>
      <c r="BB36" s="427"/>
      <c r="BC36" s="701">
        <v>18</v>
      </c>
      <c r="BD36" s="705" t="e">
        <f t="shared" ca="1" si="2"/>
        <v>#N/A</v>
      </c>
      <c r="BE36" s="703" t="str">
        <f t="shared" ca="1" si="3"/>
        <v/>
      </c>
      <c r="BG36" s="722" t="str">
        <f ca="1">IF($BH36&lt;&gt;"",MAX(BG$18:BG35)+1,"")</f>
        <v/>
      </c>
      <c r="BH36" s="694" t="str">
        <f t="shared" ca="1" si="7"/>
        <v/>
      </c>
      <c r="BI36" s="693">
        <v>18</v>
      </c>
      <c r="BJ36" s="705" t="e">
        <f t="shared" ca="1" si="5"/>
        <v>#N/A</v>
      </c>
      <c r="BK36" s="724" t="str">
        <f t="shared" ca="1" si="6"/>
        <v/>
      </c>
    </row>
    <row r="37" spans="2:63" ht="45" customHeight="1">
      <c r="B37" s="429"/>
      <c r="C37" s="1465"/>
      <c r="D37" s="1434"/>
      <c r="E37" s="430"/>
      <c r="F37" s="1436"/>
      <c r="G37" s="1437"/>
      <c r="H37" s="1437"/>
      <c r="I37" s="1438"/>
      <c r="J37" s="472"/>
      <c r="K37" s="144"/>
      <c r="L37" s="1436"/>
      <c r="M37" s="1437"/>
      <c r="N37" s="1437"/>
      <c r="O37" s="1438"/>
      <c r="P37" s="472"/>
      <c r="Q37" s="144"/>
      <c r="R37" s="1458"/>
      <c r="S37" s="1458"/>
      <c r="T37" s="1458"/>
      <c r="U37" s="472"/>
      <c r="V37" s="145"/>
      <c r="W37" s="144"/>
      <c r="X37" s="1458"/>
      <c r="Y37" s="1458"/>
      <c r="Z37" s="1458"/>
      <c r="AA37" s="1458"/>
      <c r="AB37" s="472"/>
      <c r="AC37" s="144"/>
      <c r="AD37" s="1431"/>
      <c r="AE37" s="1432"/>
      <c r="AF37" s="1432"/>
      <c r="AG37" s="1433"/>
      <c r="AH37" s="472"/>
      <c r="AI37" s="144"/>
      <c r="AJ37" s="1431"/>
      <c r="AK37" s="1432"/>
      <c r="AL37" s="1433"/>
      <c r="AM37" s="472"/>
      <c r="AN37" s="739"/>
      <c r="AO37" s="476"/>
      <c r="AP37" s="542"/>
      <c r="AQ37" s="127"/>
      <c r="AR37" s="697"/>
      <c r="AS37" s="673" t="str">
        <f ca="1">IF($AT37&lt;&gt;"",MAX(AS$18:AS36)+1,"")</f>
        <v/>
      </c>
      <c r="AT37" s="694" t="str">
        <f ca="1">IF($J36=DropDown!$N$11,F36,"")</f>
        <v/>
      </c>
      <c r="AU37" s="427"/>
      <c r="AV37" s="701">
        <v>19</v>
      </c>
      <c r="AW37" s="705" t="e">
        <f t="shared" ca="1" si="0"/>
        <v>#N/A</v>
      </c>
      <c r="AX37" s="703" t="str">
        <f t="shared" ca="1" si="1"/>
        <v/>
      </c>
      <c r="AY37" s="697"/>
      <c r="AZ37" s="673" t="str">
        <f ca="1">IF($BA37&lt;&gt;"",MAX(AZ$18:AZ36)+1,"")</f>
        <v/>
      </c>
      <c r="BA37" s="694" t="str">
        <f ca="1">IF($AB36=DropDown!$N$11,X36,"")</f>
        <v/>
      </c>
      <c r="BB37" s="427"/>
      <c r="BC37" s="701">
        <v>19</v>
      </c>
      <c r="BD37" s="705" t="e">
        <f t="shared" ca="1" si="2"/>
        <v>#N/A</v>
      </c>
      <c r="BE37" s="703" t="str">
        <f t="shared" ca="1" si="3"/>
        <v/>
      </c>
      <c r="BG37" s="722" t="str">
        <f ca="1">IF($BH37&lt;&gt;"",MAX(BG$18:BG36)+1,"")</f>
        <v/>
      </c>
      <c r="BH37" s="694" t="str">
        <f t="shared" ca="1" si="7"/>
        <v/>
      </c>
      <c r="BI37" s="693">
        <v>19</v>
      </c>
      <c r="BJ37" s="705" t="e">
        <f t="shared" ca="1" si="5"/>
        <v>#N/A</v>
      </c>
      <c r="BK37" s="724" t="str">
        <f t="shared" ca="1" si="6"/>
        <v/>
      </c>
    </row>
    <row r="38" spans="2:63" ht="15" customHeight="1">
      <c r="B38" s="429"/>
      <c r="C38" s="1465"/>
      <c r="D38" s="1434"/>
      <c r="E38" s="430"/>
      <c r="V38" s="690"/>
      <c r="AN38" s="739"/>
      <c r="AO38" s="476"/>
      <c r="AP38" s="542"/>
      <c r="AQ38" s="127"/>
      <c r="AR38" s="697"/>
      <c r="AS38" s="673" t="str">
        <f ca="1">IF($AT38&lt;&gt;"",MAX(AS$18:AS37)+1,"")</f>
        <v/>
      </c>
      <c r="AT38" s="694" t="str">
        <f ca="1">IF($J37=DropDown!$N$11,F37,"")</f>
        <v/>
      </c>
      <c r="AV38" s="701">
        <v>20</v>
      </c>
      <c r="AW38" s="705" t="e">
        <f t="shared" ca="1" si="0"/>
        <v>#N/A</v>
      </c>
      <c r="AX38" s="703" t="str">
        <f t="shared" ca="1" si="1"/>
        <v/>
      </c>
      <c r="AY38" s="697"/>
      <c r="AZ38" s="673" t="str">
        <f ca="1">IF($BA38&lt;&gt;"",MAX(AZ$18:AZ37)+1,"")</f>
        <v/>
      </c>
      <c r="BA38" s="694" t="str">
        <f ca="1">IF($AB37=DropDown!$N$11,X37,"")</f>
        <v/>
      </c>
      <c r="BC38" s="701">
        <v>20</v>
      </c>
      <c r="BD38" s="705" t="e">
        <f t="shared" ca="1" si="2"/>
        <v>#N/A</v>
      </c>
      <c r="BE38" s="703" t="str">
        <f t="shared" ca="1" si="3"/>
        <v/>
      </c>
      <c r="BG38" s="722" t="str">
        <f ca="1">IF($BH38&lt;&gt;"",MAX(BG$18:BG37)+1,"")</f>
        <v/>
      </c>
      <c r="BH38" s="694" t="str">
        <f t="shared" ca="1" si="7"/>
        <v/>
      </c>
      <c r="BI38" s="693">
        <v>20</v>
      </c>
      <c r="BJ38" s="705" t="e">
        <f t="shared" ca="1" si="5"/>
        <v>#N/A</v>
      </c>
      <c r="BK38" s="724" t="str">
        <f t="shared" ca="1" si="6"/>
        <v/>
      </c>
    </row>
    <row r="39" spans="2:63" ht="15" customHeight="1">
      <c r="B39" s="429"/>
      <c r="C39" s="1465"/>
      <c r="D39" s="1434"/>
      <c r="E39" s="430"/>
      <c r="V39" s="690"/>
      <c r="AN39" s="739"/>
      <c r="AO39" s="476"/>
      <c r="AP39" s="542"/>
      <c r="AQ39" s="127"/>
      <c r="AR39" s="697">
        <v>5</v>
      </c>
      <c r="AS39" s="673" t="str">
        <f ca="1">IF($AT39&lt;&gt;"",MAX(AS$18:AS38)+1,"")</f>
        <v/>
      </c>
      <c r="AT39" s="694" t="str">
        <f ca="1">IF($P33=DropDown!$N$11,L33,"")</f>
        <v/>
      </c>
      <c r="AV39" s="701">
        <v>21</v>
      </c>
      <c r="AW39" s="705" t="e">
        <f t="shared" ca="1" si="0"/>
        <v>#N/A</v>
      </c>
      <c r="AX39" s="703" t="str">
        <f t="shared" ca="1" si="1"/>
        <v/>
      </c>
      <c r="AY39" s="697">
        <v>5</v>
      </c>
      <c r="AZ39" s="673" t="str">
        <f ca="1">IF($BA39&lt;&gt;"",MAX(AZ$18:AZ38)+1,"")</f>
        <v/>
      </c>
      <c r="BA39" s="694" t="str">
        <f ca="1">IF($AH33=DropDown!$N$11,AD33,"")</f>
        <v/>
      </c>
      <c r="BC39" s="701">
        <v>21</v>
      </c>
      <c r="BD39" s="705" t="e">
        <f t="shared" ca="1" si="2"/>
        <v>#N/A</v>
      </c>
      <c r="BE39" s="703" t="str">
        <f t="shared" ca="1" si="3"/>
        <v/>
      </c>
      <c r="BG39" s="722" t="str">
        <f ca="1">IF($BH39&lt;&gt;"",MAX(BG$18:BG38)+1,"")</f>
        <v/>
      </c>
      <c r="BH39" s="694" t="str">
        <f t="shared" ca="1" si="7"/>
        <v/>
      </c>
      <c r="BI39" s="693">
        <v>21</v>
      </c>
      <c r="BJ39" s="705" t="e">
        <f t="shared" ca="1" si="5"/>
        <v>#N/A</v>
      </c>
      <c r="BK39" s="724" t="str">
        <f t="shared" ca="1" si="6"/>
        <v/>
      </c>
    </row>
    <row r="40" spans="2:63" ht="15" customHeight="1">
      <c r="B40" s="431"/>
      <c r="C40" s="1465"/>
      <c r="D40" s="1434"/>
      <c r="E40" s="432"/>
      <c r="V40" s="690"/>
      <c r="AN40" s="739"/>
      <c r="AO40" s="476"/>
      <c r="AP40" s="543"/>
      <c r="AQ40" s="427"/>
      <c r="AR40" s="697"/>
      <c r="AS40" s="673" t="str">
        <f ca="1">IF($AT40&lt;&gt;"",MAX(AS$18:AS39)+1,"")</f>
        <v/>
      </c>
      <c r="AT40" s="694" t="str">
        <f ca="1">IF($P34=DropDown!$N$11,L34,"")</f>
        <v/>
      </c>
      <c r="AV40" s="701">
        <v>22</v>
      </c>
      <c r="AW40" s="705" t="e">
        <f t="shared" ca="1" si="0"/>
        <v>#N/A</v>
      </c>
      <c r="AX40" s="703" t="str">
        <f t="shared" ca="1" si="1"/>
        <v/>
      </c>
      <c r="AY40" s="697"/>
      <c r="AZ40" s="673" t="str">
        <f ca="1">IF($BA40&lt;&gt;"",MAX(AZ$18:AZ39)+1,"")</f>
        <v/>
      </c>
      <c r="BA40" s="694" t="str">
        <f ca="1">IF($AH34=DropDown!$N$11,AD34,"")</f>
        <v/>
      </c>
      <c r="BC40" s="701">
        <v>22</v>
      </c>
      <c r="BD40" s="705" t="e">
        <f t="shared" ca="1" si="2"/>
        <v>#N/A</v>
      </c>
      <c r="BE40" s="703" t="str">
        <f t="shared" ca="1" si="3"/>
        <v/>
      </c>
      <c r="BG40" s="722" t="str">
        <f ca="1">IF($BH40&lt;&gt;"",MAX(BG$18:BG39)+1,"")</f>
        <v/>
      </c>
      <c r="BH40" s="694" t="str">
        <f t="shared" ca="1" si="7"/>
        <v/>
      </c>
      <c r="BI40" s="693">
        <v>22</v>
      </c>
      <c r="BJ40" s="705" t="e">
        <f t="shared" ca="1" si="5"/>
        <v>#N/A</v>
      </c>
      <c r="BK40" s="724" t="str">
        <f t="shared" ca="1" si="6"/>
        <v/>
      </c>
    </row>
    <row r="41" spans="2:63" ht="15" customHeight="1">
      <c r="B41" s="434"/>
      <c r="C41" s="1465"/>
      <c r="D41" s="1434"/>
      <c r="E41" s="435"/>
      <c r="V41" s="690"/>
      <c r="AN41" s="739"/>
      <c r="AO41" s="476"/>
      <c r="AP41" s="544"/>
      <c r="AQ41" s="53"/>
      <c r="AR41" s="697"/>
      <c r="AS41" s="673" t="str">
        <f ca="1">IF($AT41&lt;&gt;"",MAX(AS$18:AS40)+1,"")</f>
        <v/>
      </c>
      <c r="AT41" s="694" t="str">
        <f ca="1">IF($P35=DropDown!$N$11,L35,"")</f>
        <v/>
      </c>
      <c r="AV41" s="701">
        <v>23</v>
      </c>
      <c r="AW41" s="705" t="e">
        <f t="shared" ca="1" si="0"/>
        <v>#N/A</v>
      </c>
      <c r="AX41" s="703" t="str">
        <f t="shared" ca="1" si="1"/>
        <v/>
      </c>
      <c r="AY41" s="697"/>
      <c r="AZ41" s="673" t="str">
        <f ca="1">IF($BA41&lt;&gt;"",MAX(AZ$18:AZ40)+1,"")</f>
        <v/>
      </c>
      <c r="BA41" s="694" t="str">
        <f ca="1">IF($AH35=DropDown!$N$11,AD35,"")</f>
        <v/>
      </c>
      <c r="BC41" s="701">
        <v>23</v>
      </c>
      <c r="BD41" s="705" t="e">
        <f t="shared" ca="1" si="2"/>
        <v>#N/A</v>
      </c>
      <c r="BE41" s="703" t="str">
        <f t="shared" ca="1" si="3"/>
        <v/>
      </c>
      <c r="BG41" s="722" t="str">
        <f ca="1">IF($BH41&lt;&gt;"",MAX(BG$18:BG40)+1,"")</f>
        <v/>
      </c>
      <c r="BH41" s="694" t="str">
        <f t="shared" ca="1" si="7"/>
        <v/>
      </c>
      <c r="BI41" s="693">
        <v>23</v>
      </c>
      <c r="BJ41" s="705" t="e">
        <f t="shared" ca="1" si="5"/>
        <v>#N/A</v>
      </c>
      <c r="BK41" s="724" t="str">
        <f t="shared" ca="1" si="6"/>
        <v/>
      </c>
    </row>
    <row r="42" spans="2:63" s="24" customFormat="1" ht="15" customHeight="1">
      <c r="B42" s="436"/>
      <c r="C42" s="1465"/>
      <c r="D42" s="1434"/>
      <c r="E42" s="437"/>
      <c r="F42" s="1453"/>
      <c r="G42" s="1453"/>
      <c r="H42" s="1453"/>
      <c r="I42" s="1453"/>
      <c r="J42" s="1453"/>
      <c r="K42" s="739"/>
      <c r="L42" s="1453"/>
      <c r="M42" s="1453"/>
      <c r="N42" s="1453"/>
      <c r="O42" s="1453"/>
      <c r="P42" s="1453"/>
      <c r="Q42" s="739"/>
      <c r="R42" s="1454"/>
      <c r="S42" s="1454"/>
      <c r="T42" s="1454"/>
      <c r="U42" s="1454"/>
      <c r="V42" s="469"/>
      <c r="W42" s="437"/>
      <c r="X42" s="1430"/>
      <c r="Y42" s="1430"/>
      <c r="Z42" s="1430"/>
      <c r="AA42" s="1430"/>
      <c r="AB42" s="1430"/>
      <c r="AC42" s="1430"/>
      <c r="AD42" s="1430"/>
      <c r="AE42" s="1430"/>
      <c r="AF42" s="1430"/>
      <c r="AG42" s="1430"/>
      <c r="AH42" s="1430"/>
      <c r="AI42" s="1430"/>
      <c r="AJ42" s="1439"/>
      <c r="AK42" s="1439"/>
      <c r="AL42" s="1439"/>
      <c r="AM42" s="1439"/>
      <c r="AN42" s="739"/>
      <c r="AO42" s="474"/>
      <c r="AP42" s="545"/>
      <c r="AQ42" s="437"/>
      <c r="AR42" s="697"/>
      <c r="AS42" s="673" t="str">
        <f ca="1">IF($AT42&lt;&gt;"",MAX(AS$18:AS41)+1,"")</f>
        <v/>
      </c>
      <c r="AT42" s="694" t="str">
        <f ca="1">IF($P36=DropDown!$N$11,L36,"")</f>
        <v/>
      </c>
      <c r="AV42" s="701">
        <v>24</v>
      </c>
      <c r="AW42" s="705" t="e">
        <f t="shared" ca="1" si="0"/>
        <v>#N/A</v>
      </c>
      <c r="AX42" s="703" t="str">
        <f t="shared" ca="1" si="1"/>
        <v/>
      </c>
      <c r="AY42" s="697"/>
      <c r="AZ42" s="673" t="str">
        <f ca="1">IF($BA42&lt;&gt;"",MAX(AZ$18:AZ41)+1,"")</f>
        <v/>
      </c>
      <c r="BA42" s="694" t="str">
        <f ca="1">IF($AH36=DropDown!$N$11,AD36,"")</f>
        <v/>
      </c>
      <c r="BC42" s="701">
        <v>24</v>
      </c>
      <c r="BD42" s="705" t="e">
        <f t="shared" ca="1" si="2"/>
        <v>#N/A</v>
      </c>
      <c r="BE42" s="703" t="str">
        <f t="shared" ca="1" si="3"/>
        <v/>
      </c>
      <c r="BG42" s="722" t="str">
        <f ca="1">IF($BH42&lt;&gt;"",MAX(BG$18:BG41)+1,"")</f>
        <v/>
      </c>
      <c r="BH42" s="694" t="str">
        <f t="shared" ca="1" si="7"/>
        <v/>
      </c>
      <c r="BI42" s="693">
        <v>24</v>
      </c>
      <c r="BJ42" s="705" t="e">
        <f t="shared" ca="1" si="5"/>
        <v>#N/A</v>
      </c>
      <c r="BK42" s="724" t="str">
        <f t="shared" ca="1" si="6"/>
        <v/>
      </c>
    </row>
    <row r="43" spans="2:63" ht="6" customHeight="1" thickBot="1">
      <c r="B43" s="438"/>
      <c r="C43" s="439"/>
      <c r="D43" s="463"/>
      <c r="E43" s="440"/>
      <c r="F43" s="440"/>
      <c r="G43" s="440"/>
      <c r="H43" s="440"/>
      <c r="I43" s="440"/>
      <c r="J43" s="440"/>
      <c r="K43" s="440"/>
      <c r="L43" s="440"/>
      <c r="M43" s="440"/>
      <c r="N43" s="440"/>
      <c r="O43" s="440"/>
      <c r="P43" s="440"/>
      <c r="Q43" s="440"/>
      <c r="R43" s="440"/>
      <c r="S43" s="440"/>
      <c r="T43" s="440"/>
      <c r="U43" s="440"/>
      <c r="V43" s="440"/>
      <c r="W43" s="441"/>
      <c r="X43" s="442"/>
      <c r="Y43" s="442"/>
      <c r="Z43" s="442"/>
      <c r="AA43" s="443"/>
      <c r="AB43" s="443"/>
      <c r="AC43" s="441"/>
      <c r="AD43" s="442"/>
      <c r="AE43" s="443"/>
      <c r="AF43" s="440"/>
      <c r="AG43" s="440"/>
      <c r="AH43" s="440"/>
      <c r="AI43" s="440"/>
      <c r="AJ43" s="441"/>
      <c r="AK43" s="443"/>
      <c r="AL43" s="441"/>
      <c r="AM43" s="442"/>
      <c r="AN43" s="442"/>
      <c r="AO43" s="479"/>
      <c r="AP43" s="546"/>
      <c r="AQ43" s="233"/>
      <c r="AR43" s="697"/>
      <c r="AS43" s="673" t="str">
        <f ca="1">IF($AT43&lt;&gt;"",MAX(AS$18:AS42)+1,"")</f>
        <v/>
      </c>
      <c r="AT43" s="694" t="str">
        <f ca="1">IF($P37=DropDown!$N$11,L37,"")</f>
        <v/>
      </c>
      <c r="AV43" s="701">
        <v>25</v>
      </c>
      <c r="AW43" s="705" t="e">
        <f t="shared" ca="1" si="0"/>
        <v>#N/A</v>
      </c>
      <c r="AX43" s="703" t="str">
        <f t="shared" ca="1" si="1"/>
        <v/>
      </c>
      <c r="AY43" s="697"/>
      <c r="AZ43" s="673" t="str">
        <f ca="1">IF($BA43&lt;&gt;"",MAX(AZ$18:AZ42)+1,"")</f>
        <v/>
      </c>
      <c r="BA43" s="694" t="str">
        <f ca="1">IF($AH37=DropDown!$N$11,AD37,"")</f>
        <v/>
      </c>
      <c r="BC43" s="701">
        <v>25</v>
      </c>
      <c r="BD43" s="705" t="e">
        <f t="shared" ca="1" si="2"/>
        <v>#N/A</v>
      </c>
      <c r="BE43" s="703" t="str">
        <f t="shared" ca="1" si="3"/>
        <v/>
      </c>
      <c r="BG43" s="722" t="str">
        <f ca="1">IF($BH43&lt;&gt;"",MAX(BG$18:BG42)+1,"")</f>
        <v/>
      </c>
      <c r="BH43" s="694" t="str">
        <f t="shared" ca="1" si="7"/>
        <v/>
      </c>
      <c r="BI43" s="693">
        <v>25</v>
      </c>
      <c r="BJ43" s="705" t="e">
        <f t="shared" ca="1" si="5"/>
        <v>#N/A</v>
      </c>
      <c r="BK43" s="724" t="str">
        <f t="shared" ca="1" si="6"/>
        <v/>
      </c>
    </row>
    <row r="44" spans="2:63" ht="15" customHeight="1">
      <c r="B44" s="444"/>
      <c r="C44" s="1463"/>
      <c r="D44" s="1463"/>
      <c r="E44" s="1463"/>
      <c r="F44" s="1463"/>
      <c r="G44" s="1463"/>
      <c r="H44" s="445"/>
      <c r="I44" s="445"/>
      <c r="J44" s="1474" t="str">
        <f ca="1">INDIRECT('D1-D2-D3'!$J$4&amp;"!C142")</f>
        <v>Why the cause can be excluded (is not a real root cause) ?</v>
      </c>
      <c r="K44" s="1474"/>
      <c r="L44" s="1474"/>
      <c r="M44" s="1474"/>
      <c r="N44" s="1474"/>
      <c r="O44" s="1474"/>
      <c r="P44" s="1474"/>
      <c r="Q44" s="1474"/>
      <c r="R44" s="1474"/>
      <c r="S44" s="1474"/>
      <c r="T44" s="1474"/>
      <c r="U44" s="1474"/>
      <c r="V44" s="1474"/>
      <c r="W44" s="1474"/>
      <c r="X44" s="1474"/>
      <c r="Y44" s="1474"/>
      <c r="Z44" s="1474"/>
      <c r="AA44" s="1474"/>
      <c r="AB44" s="1474"/>
      <c r="AC44" s="1474"/>
      <c r="AD44" s="1474"/>
      <c r="AE44" s="1474"/>
      <c r="AF44" s="1474"/>
      <c r="AG44" s="1474"/>
      <c r="AH44" s="1474"/>
      <c r="AI44" s="1474"/>
      <c r="AJ44" s="1474"/>
      <c r="AK44" s="445"/>
      <c r="AL44" s="445"/>
      <c r="AM44" s="445"/>
      <c r="AN44" s="445"/>
      <c r="AO44" s="446"/>
      <c r="AP44" s="547"/>
      <c r="AQ44" s="427"/>
      <c r="AR44" s="697">
        <v>6</v>
      </c>
      <c r="AS44" s="673" t="str">
        <f ca="1">IF($AT44&lt;&gt;"",MAX(AS$18:AS43)+1,"")</f>
        <v/>
      </c>
      <c r="AT44" s="694" t="str">
        <f ca="1">IF($U33=DropDown!$N$11,R33,"")</f>
        <v/>
      </c>
      <c r="AV44" s="701">
        <v>26</v>
      </c>
      <c r="AW44" s="705" t="e">
        <f t="shared" ca="1" si="0"/>
        <v>#N/A</v>
      </c>
      <c r="AX44" s="703" t="str">
        <f t="shared" ca="1" si="1"/>
        <v/>
      </c>
      <c r="AY44" s="697">
        <v>6</v>
      </c>
      <c r="AZ44" s="673" t="str">
        <f ca="1">IF($BA44&lt;&gt;"",MAX(AZ$18:AZ43)+1,"")</f>
        <v/>
      </c>
      <c r="BA44" s="694" t="str">
        <f ca="1">IF($AM33=DropDown!$N$11,AJ33,"")</f>
        <v/>
      </c>
      <c r="BC44" s="701">
        <v>26</v>
      </c>
      <c r="BD44" s="705" t="e">
        <f t="shared" ca="1" si="2"/>
        <v>#N/A</v>
      </c>
      <c r="BE44" s="703" t="str">
        <f t="shared" ca="1" si="3"/>
        <v/>
      </c>
      <c r="BG44" s="722" t="str">
        <f ca="1">IF($BH44&lt;&gt;"",MAX(BG$18:BG43)+1,"")</f>
        <v/>
      </c>
      <c r="BH44" s="694" t="str">
        <f t="shared" ca="1" si="7"/>
        <v/>
      </c>
      <c r="BI44" s="693">
        <v>26</v>
      </c>
      <c r="BJ44" s="705" t="e">
        <f t="shared" ca="1" si="5"/>
        <v>#N/A</v>
      </c>
      <c r="BK44" s="724" t="str">
        <f t="shared" ca="1" si="6"/>
        <v/>
      </c>
    </row>
    <row r="45" spans="2:63" ht="15" customHeight="1">
      <c r="B45" s="448"/>
      <c r="C45" s="1464"/>
      <c r="D45" s="1464"/>
      <c r="E45" s="1464"/>
      <c r="F45" s="1464"/>
      <c r="G45" s="1464"/>
      <c r="H45" s="449"/>
      <c r="I45" s="449"/>
      <c r="J45" s="1475"/>
      <c r="K45" s="1475"/>
      <c r="L45" s="1475"/>
      <c r="M45" s="1475"/>
      <c r="N45" s="1475"/>
      <c r="O45" s="1475"/>
      <c r="P45" s="1475"/>
      <c r="Q45" s="1475"/>
      <c r="R45" s="1475"/>
      <c r="S45" s="1475"/>
      <c r="T45" s="1475"/>
      <c r="U45" s="1475"/>
      <c r="V45" s="1475"/>
      <c r="W45" s="1475"/>
      <c r="X45" s="1475"/>
      <c r="Y45" s="1475"/>
      <c r="Z45" s="1475"/>
      <c r="AA45" s="1475"/>
      <c r="AB45" s="1475"/>
      <c r="AC45" s="1475"/>
      <c r="AD45" s="1475"/>
      <c r="AE45" s="1475"/>
      <c r="AF45" s="1475"/>
      <c r="AG45" s="1475"/>
      <c r="AH45" s="1475"/>
      <c r="AI45" s="1475"/>
      <c r="AJ45" s="1475"/>
      <c r="AK45" s="449"/>
      <c r="AL45" s="449"/>
      <c r="AM45" s="449"/>
      <c r="AN45" s="449"/>
      <c r="AO45" s="450"/>
      <c r="AP45" s="547"/>
      <c r="AQ45" s="427"/>
      <c r="AR45" s="697"/>
      <c r="AS45" s="673" t="str">
        <f ca="1">IF($AT45&lt;&gt;"",MAX(AS$18:AS44)+1,"")</f>
        <v/>
      </c>
      <c r="AT45" s="694" t="str">
        <f ca="1">IF($U34=DropDown!$N$11,R34,"")</f>
        <v/>
      </c>
      <c r="AV45" s="701">
        <v>27</v>
      </c>
      <c r="AW45" s="705" t="e">
        <f t="shared" ca="1" si="0"/>
        <v>#N/A</v>
      </c>
      <c r="AX45" s="703" t="str">
        <f t="shared" ca="1" si="1"/>
        <v/>
      </c>
      <c r="AY45" s="697"/>
      <c r="AZ45" s="673" t="str">
        <f ca="1">IF($BA45&lt;&gt;"",MAX(AZ$18:AZ44)+1,"")</f>
        <v/>
      </c>
      <c r="BA45" s="694" t="str">
        <f ca="1">IF($AM34=DropDown!$N$11,AJ34,"")</f>
        <v/>
      </c>
      <c r="BC45" s="701">
        <v>27</v>
      </c>
      <c r="BD45" s="705" t="e">
        <f t="shared" ca="1" si="2"/>
        <v>#N/A</v>
      </c>
      <c r="BE45" s="703" t="str">
        <f t="shared" ca="1" si="3"/>
        <v/>
      </c>
      <c r="BG45" s="722" t="str">
        <f ca="1">IF($BH45&lt;&gt;"",MAX(BG$18:BG44)+1,"")</f>
        <v/>
      </c>
      <c r="BH45" s="694" t="str">
        <f t="shared" ca="1" si="7"/>
        <v/>
      </c>
      <c r="BI45" s="693">
        <v>27</v>
      </c>
      <c r="BJ45" s="705" t="e">
        <f t="shared" ca="1" si="5"/>
        <v>#N/A</v>
      </c>
      <c r="BK45" s="724" t="str">
        <f t="shared" ca="1" si="6"/>
        <v/>
      </c>
    </row>
    <row r="46" spans="2:63" s="24" customFormat="1" ht="32.1" customHeight="1">
      <c r="B46" s="470"/>
      <c r="C46" s="26"/>
      <c r="D46" s="26"/>
      <c r="E46" s="26"/>
      <c r="F46" s="1467" t="str">
        <f ca="1">INDIRECT('D1-D2-D3'!$J$4&amp;"!C139")</f>
        <v>Occurrence</v>
      </c>
      <c r="G46" s="1467"/>
      <c r="H46" s="1467"/>
      <c r="I46" s="1467"/>
      <c r="J46" s="1467"/>
      <c r="K46" s="1467"/>
      <c r="L46" s="1467"/>
      <c r="M46" s="1467"/>
      <c r="N46" s="1467"/>
      <c r="O46" s="1467"/>
      <c r="P46" s="1467"/>
      <c r="Q46" s="1467"/>
      <c r="R46" s="1467"/>
      <c r="S46" s="1467"/>
      <c r="T46" s="1467"/>
      <c r="U46" s="1467"/>
      <c r="V46" s="493"/>
      <c r="W46" s="493"/>
      <c r="X46" s="1467" t="str">
        <f ca="1">INDIRECT('D1-D2-D3'!$J$4&amp;"!C140")</f>
        <v>Non-detection</v>
      </c>
      <c r="Y46" s="1467"/>
      <c r="Z46" s="1467"/>
      <c r="AA46" s="1467"/>
      <c r="AB46" s="1467"/>
      <c r="AC46" s="1467"/>
      <c r="AD46" s="1467"/>
      <c r="AE46" s="1467"/>
      <c r="AF46" s="1467"/>
      <c r="AG46" s="1467"/>
      <c r="AH46" s="1467"/>
      <c r="AI46" s="1467"/>
      <c r="AJ46" s="1467"/>
      <c r="AK46" s="1467"/>
      <c r="AL46" s="1467"/>
      <c r="AM46" s="1467"/>
      <c r="AN46" s="473"/>
      <c r="AO46" s="480"/>
      <c r="AP46" s="548"/>
      <c r="AQ46" s="26"/>
      <c r="AR46" s="697"/>
      <c r="AS46" s="673" t="str">
        <f ca="1">IF($AT46&lt;&gt;"",MAX(AS$18:AS45)+1,"")</f>
        <v/>
      </c>
      <c r="AT46" s="694" t="str">
        <f ca="1">IF($U35=DropDown!$N$11,R35,"")</f>
        <v/>
      </c>
      <c r="AV46" s="701">
        <v>28</v>
      </c>
      <c r="AW46" s="705" t="e">
        <f t="shared" ca="1" si="0"/>
        <v>#N/A</v>
      </c>
      <c r="AX46" s="703" t="str">
        <f t="shared" ca="1" si="1"/>
        <v/>
      </c>
      <c r="AY46" s="697"/>
      <c r="AZ46" s="673" t="str">
        <f ca="1">IF($BA46&lt;&gt;"",MAX(AZ$18:AZ45)+1,"")</f>
        <v/>
      </c>
      <c r="BA46" s="694" t="str">
        <f ca="1">IF($AM35=DropDown!$N$11,AJ35,"")</f>
        <v/>
      </c>
      <c r="BC46" s="701">
        <v>28</v>
      </c>
      <c r="BD46" s="705" t="e">
        <f t="shared" ca="1" si="2"/>
        <v>#N/A</v>
      </c>
      <c r="BE46" s="703" t="str">
        <f t="shared" ca="1" si="3"/>
        <v/>
      </c>
      <c r="BG46" s="722" t="str">
        <f ca="1">IF($BH46&lt;&gt;"",MAX(BG$18:BG45)+1,"")</f>
        <v/>
      </c>
      <c r="BH46" s="694" t="str">
        <f t="shared" ca="1" si="7"/>
        <v/>
      </c>
      <c r="BI46" s="693">
        <v>28</v>
      </c>
      <c r="BJ46" s="705" t="e">
        <f t="shared" ca="1" si="5"/>
        <v>#N/A</v>
      </c>
      <c r="BK46" s="724" t="str">
        <f t="shared" ca="1" si="6"/>
        <v/>
      </c>
    </row>
    <row r="47" spans="2:63" s="363" customFormat="1" ht="32.1" customHeight="1">
      <c r="B47" s="471"/>
      <c r="C47" s="365"/>
      <c r="D47" s="365"/>
      <c r="E47" s="365"/>
      <c r="F47" s="365"/>
      <c r="G47" s="365"/>
      <c r="H47" s="365"/>
      <c r="I47" s="365"/>
      <c r="J47" s="1466" t="str">
        <f ca="1">INDIRECT('D1-D2-D3'!$J$4&amp;"!C141")</f>
        <v>Why it is not a root cause ?</v>
      </c>
      <c r="K47" s="1466"/>
      <c r="L47" s="1466"/>
      <c r="M47" s="1466"/>
      <c r="N47" s="1466"/>
      <c r="O47" s="1466"/>
      <c r="P47" s="1466"/>
      <c r="Q47" s="1466"/>
      <c r="R47" s="1466"/>
      <c r="S47" s="1466"/>
      <c r="T47" s="1466"/>
      <c r="U47" s="1466"/>
      <c r="V47" s="26"/>
      <c r="W47" s="26"/>
      <c r="X47" s="26"/>
      <c r="Y47" s="26"/>
      <c r="Z47" s="26"/>
      <c r="AA47" s="26"/>
      <c r="AB47" s="1466" t="str">
        <f ca="1">INDIRECT('D1-D2-D3'!$J$4&amp;"!C141")</f>
        <v>Why it is not a root cause ?</v>
      </c>
      <c r="AC47" s="1466"/>
      <c r="AD47" s="1466"/>
      <c r="AE47" s="1466"/>
      <c r="AF47" s="1466"/>
      <c r="AG47" s="1466"/>
      <c r="AH47" s="1466"/>
      <c r="AI47" s="1466"/>
      <c r="AJ47" s="1466"/>
      <c r="AK47" s="1466"/>
      <c r="AL47" s="1466"/>
      <c r="AM47" s="1466"/>
      <c r="AN47" s="473"/>
      <c r="AO47" s="481"/>
      <c r="AP47" s="370"/>
      <c r="AQ47" s="365"/>
      <c r="AR47" s="697"/>
      <c r="AS47" s="673" t="str">
        <f ca="1">IF($AT47&lt;&gt;"",MAX(AS$18:AS46)+1,"")</f>
        <v/>
      </c>
      <c r="AT47" s="694" t="str">
        <f ca="1">IF($U36=DropDown!$N$11,R36,"")</f>
        <v/>
      </c>
      <c r="AV47" s="701">
        <v>29</v>
      </c>
      <c r="AW47" s="705" t="e">
        <f t="shared" ca="1" si="0"/>
        <v>#N/A</v>
      </c>
      <c r="AX47" s="703" t="str">
        <f t="shared" ca="1" si="1"/>
        <v/>
      </c>
      <c r="AY47" s="697"/>
      <c r="AZ47" s="673" t="str">
        <f ca="1">IF($BA47&lt;&gt;"",MAX(AZ$18:AZ46)+1,"")</f>
        <v/>
      </c>
      <c r="BA47" s="694" t="str">
        <f ca="1">IF($AM36=DropDown!$N$11,AJ36,"")</f>
        <v/>
      </c>
      <c r="BC47" s="701">
        <v>29</v>
      </c>
      <c r="BD47" s="705" t="e">
        <f t="shared" ca="1" si="2"/>
        <v>#N/A</v>
      </c>
      <c r="BE47" s="703" t="str">
        <f t="shared" ca="1" si="3"/>
        <v/>
      </c>
      <c r="BG47" s="722" t="str">
        <f ca="1">IF($BH47&lt;&gt;"",MAX(BG$18:BG46)+1,"")</f>
        <v/>
      </c>
      <c r="BH47" s="694" t="str">
        <f t="shared" ca="1" si="7"/>
        <v/>
      </c>
      <c r="BI47" s="693">
        <v>29</v>
      </c>
      <c r="BJ47" s="705" t="e">
        <f t="shared" ca="1" si="5"/>
        <v>#N/A</v>
      </c>
      <c r="BK47" s="724" t="str">
        <f t="shared" ca="1" si="6"/>
        <v/>
      </c>
    </row>
    <row r="48" spans="2:63" ht="35.1" customHeight="1" thickBot="1">
      <c r="B48" s="448"/>
      <c r="C48" s="433"/>
      <c r="D48" s="26"/>
      <c r="E48" s="433"/>
      <c r="F48" s="1459" t="str">
        <f ca="1" xml:space="preserve"> IF(ISNA(AX51), " ",AX51)</f>
        <v/>
      </c>
      <c r="G48" s="1460"/>
      <c r="H48" s="1460"/>
      <c r="I48" s="1461"/>
      <c r="J48" s="1455"/>
      <c r="K48" s="1456"/>
      <c r="L48" s="1456"/>
      <c r="M48" s="1456"/>
      <c r="N48" s="1456"/>
      <c r="O48" s="1456"/>
      <c r="P48" s="1456"/>
      <c r="Q48" s="1456"/>
      <c r="R48" s="1456"/>
      <c r="S48" s="1456"/>
      <c r="T48" s="1456"/>
      <c r="U48" s="1457"/>
      <c r="V48" s="433"/>
      <c r="W48" s="433"/>
      <c r="X48" s="1459" t="str">
        <f ca="1" xml:space="preserve"> IF(ISNA(BE51), " ",BE51)</f>
        <v/>
      </c>
      <c r="Y48" s="1460"/>
      <c r="Z48" s="1460"/>
      <c r="AA48" s="1461"/>
      <c r="AB48" s="1455"/>
      <c r="AC48" s="1456"/>
      <c r="AD48" s="1456"/>
      <c r="AE48" s="1456"/>
      <c r="AF48" s="1456"/>
      <c r="AG48" s="1456"/>
      <c r="AH48" s="1456"/>
      <c r="AI48" s="1456"/>
      <c r="AJ48" s="1456"/>
      <c r="AK48" s="1456"/>
      <c r="AL48" s="1456"/>
      <c r="AM48" s="1457"/>
      <c r="AN48" s="763"/>
      <c r="AO48" s="482"/>
      <c r="AP48" s="543"/>
      <c r="AQ48" s="427"/>
      <c r="AR48" s="697"/>
      <c r="AS48" s="673" t="str">
        <f ca="1">IF($AT48&lt;&gt;"",MAX(AS$18:AS47)+1,"")</f>
        <v/>
      </c>
      <c r="AT48" s="694" t="str">
        <f ca="1">IF($U37=DropDown!$N$11,R37,"")</f>
        <v/>
      </c>
      <c r="AV48" s="701">
        <v>30</v>
      </c>
      <c r="AW48" s="705" t="e">
        <f t="shared" ca="1" si="0"/>
        <v>#N/A</v>
      </c>
      <c r="AX48" s="704" t="str">
        <f t="shared" ca="1" si="1"/>
        <v/>
      </c>
      <c r="AY48" s="697"/>
      <c r="AZ48" s="673" t="str">
        <f ca="1">IF($BA48&lt;&gt;"",MAX(AZ$18:AZ47)+1,"")</f>
        <v/>
      </c>
      <c r="BA48" s="694" t="str">
        <f ca="1">IF($AM37=DropDown!$N$11,AJ37,"")</f>
        <v/>
      </c>
      <c r="BC48" s="701">
        <v>30</v>
      </c>
      <c r="BD48" s="705" t="e">
        <f t="shared" ca="1" si="2"/>
        <v>#N/A</v>
      </c>
      <c r="BE48" s="704" t="str">
        <f t="shared" ca="1" si="3"/>
        <v/>
      </c>
      <c r="BG48" s="722" t="str">
        <f ca="1">IF($BH48&lt;&gt;"",MAX(BG$18:BG47)+1,"")</f>
        <v/>
      </c>
      <c r="BH48" s="694" t="str">
        <f t="shared" ca="1" si="7"/>
        <v/>
      </c>
      <c r="BI48" s="693">
        <v>30</v>
      </c>
      <c r="BJ48" s="705" t="e">
        <f t="shared" ca="1" si="5"/>
        <v>#N/A</v>
      </c>
      <c r="BK48" s="725" t="str">
        <f t="shared" ca="1" si="6"/>
        <v/>
      </c>
    </row>
    <row r="49" spans="2:57" ht="35.1" customHeight="1">
      <c r="B49" s="448"/>
      <c r="C49" s="433"/>
      <c r="D49" s="26"/>
      <c r="E49" s="433"/>
      <c r="F49" s="1459" t="str">
        <f t="shared" ref="F49:F67" ca="1" si="8" xml:space="preserve"> IF(ISNA(AX52), " ",AX52)</f>
        <v/>
      </c>
      <c r="G49" s="1460"/>
      <c r="H49" s="1460"/>
      <c r="I49" s="1461"/>
      <c r="J49" s="1455"/>
      <c r="K49" s="1456"/>
      <c r="L49" s="1456"/>
      <c r="M49" s="1456"/>
      <c r="N49" s="1456"/>
      <c r="O49" s="1456"/>
      <c r="P49" s="1456"/>
      <c r="Q49" s="1456"/>
      <c r="R49" s="1456"/>
      <c r="S49" s="1456"/>
      <c r="T49" s="1456"/>
      <c r="U49" s="1457"/>
      <c r="V49" s="433"/>
      <c r="W49" s="433"/>
      <c r="X49" s="1459" t="str">
        <f t="shared" ref="X49:X67" ca="1" si="9" xml:space="preserve"> IF(ISNA(BE52), " ",BE52)</f>
        <v/>
      </c>
      <c r="Y49" s="1460"/>
      <c r="Z49" s="1460"/>
      <c r="AA49" s="1461"/>
      <c r="AB49" s="1455"/>
      <c r="AC49" s="1456"/>
      <c r="AD49" s="1456"/>
      <c r="AE49" s="1456"/>
      <c r="AF49" s="1456"/>
      <c r="AG49" s="1456"/>
      <c r="AH49" s="1456"/>
      <c r="AI49" s="1456"/>
      <c r="AJ49" s="1456"/>
      <c r="AK49" s="1456"/>
      <c r="AL49" s="1456"/>
      <c r="AM49" s="1457"/>
      <c r="AN49" s="763"/>
      <c r="AO49" s="482"/>
      <c r="AP49" s="543"/>
      <c r="AQ49" s="427"/>
      <c r="AR49" s="697"/>
      <c r="AS49" s="700"/>
      <c r="AT49" s="427"/>
    </row>
    <row r="50" spans="2:57" ht="35.1" customHeight="1" thickBot="1">
      <c r="B50" s="448"/>
      <c r="C50" s="433"/>
      <c r="D50" s="26"/>
      <c r="E50" s="433"/>
      <c r="F50" s="1459" t="str">
        <f t="shared" ca="1" si="8"/>
        <v/>
      </c>
      <c r="G50" s="1460"/>
      <c r="H50" s="1460"/>
      <c r="I50" s="1461"/>
      <c r="J50" s="1455"/>
      <c r="K50" s="1456"/>
      <c r="L50" s="1456"/>
      <c r="M50" s="1456"/>
      <c r="N50" s="1456"/>
      <c r="O50" s="1456"/>
      <c r="P50" s="1456"/>
      <c r="Q50" s="1456"/>
      <c r="R50" s="1456"/>
      <c r="S50" s="1456"/>
      <c r="T50" s="1456"/>
      <c r="U50" s="1457"/>
      <c r="V50" s="433"/>
      <c r="W50" s="433"/>
      <c r="X50" s="1459" t="str">
        <f t="shared" ca="1" si="9"/>
        <v/>
      </c>
      <c r="Y50" s="1460"/>
      <c r="Z50" s="1460"/>
      <c r="AA50" s="1461"/>
      <c r="AB50" s="1455"/>
      <c r="AC50" s="1456"/>
      <c r="AD50" s="1456"/>
      <c r="AE50" s="1456"/>
      <c r="AF50" s="1456"/>
      <c r="AG50" s="1456"/>
      <c r="AH50" s="1456"/>
      <c r="AI50" s="1456"/>
      <c r="AJ50" s="1456"/>
      <c r="AK50" s="1456"/>
      <c r="AL50" s="1456"/>
      <c r="AM50" s="1457"/>
      <c r="AN50" s="763"/>
      <c r="AO50" s="482"/>
      <c r="AP50" s="543"/>
      <c r="AQ50" s="273" t="s">
        <v>895</v>
      </c>
      <c r="AR50" s="697"/>
      <c r="AS50" s="672">
        <v>0</v>
      </c>
      <c r="AT50" s="26"/>
      <c r="AU50" s="24"/>
      <c r="AV50" s="693"/>
      <c r="AW50" s="26"/>
      <c r="AX50" s="24" t="s">
        <v>1080</v>
      </c>
      <c r="AY50" s="697"/>
      <c r="AZ50" s="672">
        <v>0</v>
      </c>
      <c r="BA50" s="26"/>
      <c r="BB50" s="24"/>
      <c r="BC50" s="693"/>
      <c r="BD50" s="26"/>
      <c r="BE50" s="24" t="s">
        <v>1081</v>
      </c>
    </row>
    <row r="51" spans="2:57" ht="35.1" customHeight="1">
      <c r="B51" s="448"/>
      <c r="C51" s="433"/>
      <c r="D51" s="26"/>
      <c r="E51" s="433"/>
      <c r="F51" s="1459" t="str">
        <f t="shared" ca="1" si="8"/>
        <v/>
      </c>
      <c r="G51" s="1460"/>
      <c r="H51" s="1460"/>
      <c r="I51" s="1461"/>
      <c r="J51" s="1455"/>
      <c r="K51" s="1456"/>
      <c r="L51" s="1456"/>
      <c r="M51" s="1456"/>
      <c r="N51" s="1456"/>
      <c r="O51" s="1456"/>
      <c r="P51" s="1456"/>
      <c r="Q51" s="1456"/>
      <c r="R51" s="1456"/>
      <c r="S51" s="1456"/>
      <c r="T51" s="1456"/>
      <c r="U51" s="1457"/>
      <c r="V51" s="433"/>
      <c r="W51" s="433"/>
      <c r="X51" s="1459" t="str">
        <f t="shared" ca="1" si="9"/>
        <v/>
      </c>
      <c r="Y51" s="1460"/>
      <c r="Z51" s="1460"/>
      <c r="AA51" s="1461"/>
      <c r="AB51" s="1455"/>
      <c r="AC51" s="1456"/>
      <c r="AD51" s="1456"/>
      <c r="AE51" s="1456"/>
      <c r="AF51" s="1456"/>
      <c r="AG51" s="1456"/>
      <c r="AH51" s="1456"/>
      <c r="AI51" s="1456"/>
      <c r="AJ51" s="1456"/>
      <c r="AK51" s="1456"/>
      <c r="AL51" s="1456"/>
      <c r="AM51" s="1457"/>
      <c r="AN51" s="763"/>
      <c r="AO51" s="482"/>
      <c r="AP51" s="543"/>
      <c r="AQ51" s="427"/>
      <c r="AR51" s="697">
        <v>1</v>
      </c>
      <c r="AS51" s="673" t="str">
        <f ca="1">IF($AT51&lt;&gt;"",AS50+1,"")</f>
        <v/>
      </c>
      <c r="AT51" s="694" t="str">
        <f ca="1">IF($J19=DropDown!$N$12,F19,"")</f>
        <v/>
      </c>
      <c r="AV51" s="701">
        <v>1</v>
      </c>
      <c r="AW51" s="705" t="e">
        <f ca="1">VLOOKUP($AV51,$AS$51:$AT$80,2,FALSE)</f>
        <v>#N/A</v>
      </c>
      <c r="AX51" s="702" t="str">
        <f ca="1">IF(ISNA(AW51),"",AW51)</f>
        <v/>
      </c>
      <c r="AY51" s="697">
        <v>1</v>
      </c>
      <c r="AZ51" s="673" t="str">
        <f ca="1">IF($BA51&lt;&gt;"",AZ50+1,"")</f>
        <v/>
      </c>
      <c r="BA51" s="694" t="str">
        <f ca="1">IF($AB19=DropDown!$N$12,X19,"")</f>
        <v/>
      </c>
      <c r="BC51" s="701">
        <v>1</v>
      </c>
      <c r="BD51" s="705" t="e">
        <f t="shared" ref="BD51:BD80" ca="1" si="10">VLOOKUP($BC51,$AZ$51:$BA$80,2,FALSE)</f>
        <v>#N/A</v>
      </c>
      <c r="BE51" s="702" t="str">
        <f ca="1">IF(ISNA(BD51),"",BD51)</f>
        <v/>
      </c>
    </row>
    <row r="52" spans="2:57" ht="35.1" customHeight="1">
      <c r="B52" s="448"/>
      <c r="C52" s="433"/>
      <c r="D52" s="26"/>
      <c r="E52" s="433"/>
      <c r="F52" s="1459" t="str">
        <f t="shared" ca="1" si="8"/>
        <v/>
      </c>
      <c r="G52" s="1460"/>
      <c r="H52" s="1460"/>
      <c r="I52" s="1461"/>
      <c r="J52" s="1455"/>
      <c r="K52" s="1456"/>
      <c r="L52" s="1456"/>
      <c r="M52" s="1456"/>
      <c r="N52" s="1456"/>
      <c r="O52" s="1456"/>
      <c r="P52" s="1456"/>
      <c r="Q52" s="1456"/>
      <c r="R52" s="1456"/>
      <c r="S52" s="1456"/>
      <c r="T52" s="1456"/>
      <c r="U52" s="1457"/>
      <c r="V52" s="433"/>
      <c r="W52" s="433"/>
      <c r="X52" s="1459" t="str">
        <f t="shared" ca="1" si="9"/>
        <v/>
      </c>
      <c r="Y52" s="1460"/>
      <c r="Z52" s="1460"/>
      <c r="AA52" s="1461"/>
      <c r="AB52" s="1455"/>
      <c r="AC52" s="1456"/>
      <c r="AD52" s="1456"/>
      <c r="AE52" s="1456"/>
      <c r="AF52" s="1456"/>
      <c r="AG52" s="1456"/>
      <c r="AH52" s="1456"/>
      <c r="AI52" s="1456"/>
      <c r="AJ52" s="1456"/>
      <c r="AK52" s="1456"/>
      <c r="AL52" s="1456"/>
      <c r="AM52" s="1457"/>
      <c r="AN52" s="763"/>
      <c r="AO52" s="482"/>
      <c r="AP52" s="543"/>
      <c r="AQ52" s="427"/>
      <c r="AR52" s="697"/>
      <c r="AS52" s="673" t="str">
        <f ca="1">IF($AT52&lt;&gt;"",MAX(AS$50:AS51)+1,"")</f>
        <v/>
      </c>
      <c r="AT52" s="694" t="str">
        <f ca="1">IF($J20=DropDown!$N$12,F20,"")</f>
        <v/>
      </c>
      <c r="AV52" s="701">
        <v>2</v>
      </c>
      <c r="AW52" s="705" t="e">
        <f t="shared" ref="AW52:AW80" ca="1" si="11">VLOOKUP($AV52,$AS$51:$AT$80,2,FALSE)</f>
        <v>#N/A</v>
      </c>
      <c r="AX52" s="703" t="str">
        <f t="shared" ref="AX52:AX80" ca="1" si="12">IF(ISNA(AW52),"",AW52)</f>
        <v/>
      </c>
      <c r="AY52" s="697"/>
      <c r="AZ52" s="673" t="str">
        <f ca="1">IF($BA52&lt;&gt;"",MAX(AZ$50:AZ51)+1,"")</f>
        <v/>
      </c>
      <c r="BA52" s="694" t="str">
        <f ca="1">IF($AB20=DropDown!$N$12,X20,"")</f>
        <v/>
      </c>
      <c r="BC52" s="701">
        <v>2</v>
      </c>
      <c r="BD52" s="705" t="e">
        <f t="shared" ca="1" si="10"/>
        <v>#N/A</v>
      </c>
      <c r="BE52" s="703" t="str">
        <f t="shared" ref="BE52:BE80" ca="1" si="13">IF(ISNA(BD52),"",BD52)</f>
        <v/>
      </c>
    </row>
    <row r="53" spans="2:57" ht="35.1" customHeight="1">
      <c r="B53" s="448"/>
      <c r="C53" s="433"/>
      <c r="D53" s="26"/>
      <c r="E53" s="433"/>
      <c r="F53" s="1459" t="str">
        <f t="shared" ca="1" si="8"/>
        <v/>
      </c>
      <c r="G53" s="1460"/>
      <c r="H53" s="1460"/>
      <c r="I53" s="1461"/>
      <c r="J53" s="1455"/>
      <c r="K53" s="1456"/>
      <c r="L53" s="1456"/>
      <c r="M53" s="1456"/>
      <c r="N53" s="1456"/>
      <c r="O53" s="1456"/>
      <c r="P53" s="1456"/>
      <c r="Q53" s="1456"/>
      <c r="R53" s="1456"/>
      <c r="S53" s="1456"/>
      <c r="T53" s="1456"/>
      <c r="U53" s="1457"/>
      <c r="V53" s="433"/>
      <c r="W53" s="433"/>
      <c r="X53" s="1459" t="str">
        <f t="shared" ca="1" si="9"/>
        <v/>
      </c>
      <c r="Y53" s="1460"/>
      <c r="Z53" s="1460"/>
      <c r="AA53" s="1461"/>
      <c r="AB53" s="1455"/>
      <c r="AC53" s="1456"/>
      <c r="AD53" s="1456"/>
      <c r="AE53" s="1456"/>
      <c r="AF53" s="1456"/>
      <c r="AG53" s="1456"/>
      <c r="AH53" s="1456"/>
      <c r="AI53" s="1456"/>
      <c r="AJ53" s="1456"/>
      <c r="AK53" s="1456"/>
      <c r="AL53" s="1456"/>
      <c r="AM53" s="1457"/>
      <c r="AN53" s="763"/>
      <c r="AO53" s="482"/>
      <c r="AP53" s="543"/>
      <c r="AQ53" s="427"/>
      <c r="AR53" s="697"/>
      <c r="AS53" s="673" t="str">
        <f ca="1">IF($AT53&lt;&gt;"",MAX(AS$50:AS52)+1,"")</f>
        <v/>
      </c>
      <c r="AT53" s="694" t="str">
        <f ca="1">IF($J21=DropDown!$N$12,F21,"")</f>
        <v/>
      </c>
      <c r="AV53" s="701">
        <v>3</v>
      </c>
      <c r="AW53" s="705" t="e">
        <f t="shared" ca="1" si="11"/>
        <v>#N/A</v>
      </c>
      <c r="AX53" s="703" t="str">
        <f t="shared" ca="1" si="12"/>
        <v/>
      </c>
      <c r="AY53" s="697"/>
      <c r="AZ53" s="673" t="str">
        <f ca="1">IF($BA53&lt;&gt;"",MAX(AZ$50:AZ52)+1,"")</f>
        <v/>
      </c>
      <c r="BA53" s="694" t="str">
        <f ca="1">IF($AB21=DropDown!$N$12,X21,"")</f>
        <v/>
      </c>
      <c r="BC53" s="701">
        <v>3</v>
      </c>
      <c r="BD53" s="705" t="e">
        <f t="shared" ca="1" si="10"/>
        <v>#N/A</v>
      </c>
      <c r="BE53" s="703" t="str">
        <f t="shared" ca="1" si="13"/>
        <v/>
      </c>
    </row>
    <row r="54" spans="2:57" ht="35.1" customHeight="1">
      <c r="B54" s="448"/>
      <c r="C54" s="433"/>
      <c r="D54" s="26"/>
      <c r="E54" s="433"/>
      <c r="F54" s="1459" t="str">
        <f t="shared" ca="1" si="8"/>
        <v/>
      </c>
      <c r="G54" s="1460"/>
      <c r="H54" s="1460"/>
      <c r="I54" s="1461"/>
      <c r="J54" s="1455"/>
      <c r="K54" s="1456"/>
      <c r="L54" s="1456"/>
      <c r="M54" s="1456"/>
      <c r="N54" s="1456"/>
      <c r="O54" s="1456"/>
      <c r="P54" s="1456"/>
      <c r="Q54" s="1456"/>
      <c r="R54" s="1456"/>
      <c r="S54" s="1456"/>
      <c r="T54" s="1456"/>
      <c r="U54" s="1457"/>
      <c r="V54" s="433"/>
      <c r="W54" s="433"/>
      <c r="X54" s="1459" t="str">
        <f t="shared" ca="1" si="9"/>
        <v/>
      </c>
      <c r="Y54" s="1460"/>
      <c r="Z54" s="1460"/>
      <c r="AA54" s="1461"/>
      <c r="AB54" s="1455"/>
      <c r="AC54" s="1456"/>
      <c r="AD54" s="1456"/>
      <c r="AE54" s="1456"/>
      <c r="AF54" s="1456"/>
      <c r="AG54" s="1456"/>
      <c r="AH54" s="1456"/>
      <c r="AI54" s="1456"/>
      <c r="AJ54" s="1456"/>
      <c r="AK54" s="1456"/>
      <c r="AL54" s="1456"/>
      <c r="AM54" s="1457"/>
      <c r="AN54" s="763"/>
      <c r="AO54" s="482"/>
      <c r="AP54" s="543"/>
      <c r="AQ54" s="427"/>
      <c r="AR54" s="697"/>
      <c r="AS54" s="673" t="str">
        <f ca="1">IF($AT54&lt;&gt;"",MAX(AS$50:AS53)+1,"")</f>
        <v/>
      </c>
      <c r="AT54" s="694" t="str">
        <f ca="1">IF($J22=DropDown!$N$12,F22,"")</f>
        <v/>
      </c>
      <c r="AV54" s="701">
        <v>4</v>
      </c>
      <c r="AW54" s="705" t="e">
        <f t="shared" ca="1" si="11"/>
        <v>#N/A</v>
      </c>
      <c r="AX54" s="703" t="str">
        <f t="shared" ca="1" si="12"/>
        <v/>
      </c>
      <c r="AY54" s="697"/>
      <c r="AZ54" s="673" t="str">
        <f ca="1">IF($BA54&lt;&gt;"",MAX(AZ$50:AZ53)+1,"")</f>
        <v/>
      </c>
      <c r="BA54" s="694" t="str">
        <f ca="1">IF($AB22=DropDown!$N$12,X22,"")</f>
        <v/>
      </c>
      <c r="BC54" s="701">
        <v>4</v>
      </c>
      <c r="BD54" s="705" t="e">
        <f t="shared" ca="1" si="10"/>
        <v>#N/A</v>
      </c>
      <c r="BE54" s="703" t="str">
        <f t="shared" ca="1" si="13"/>
        <v/>
      </c>
    </row>
    <row r="55" spans="2:57" ht="35.1" customHeight="1">
      <c r="B55" s="448"/>
      <c r="C55" s="433"/>
      <c r="D55" s="26"/>
      <c r="E55" s="433"/>
      <c r="F55" s="1459" t="str">
        <f t="shared" ca="1" si="8"/>
        <v/>
      </c>
      <c r="G55" s="1460"/>
      <c r="H55" s="1460"/>
      <c r="I55" s="1461"/>
      <c r="J55" s="1455"/>
      <c r="K55" s="1456"/>
      <c r="L55" s="1456"/>
      <c r="M55" s="1456"/>
      <c r="N55" s="1456"/>
      <c r="O55" s="1456"/>
      <c r="P55" s="1456"/>
      <c r="Q55" s="1456"/>
      <c r="R55" s="1456"/>
      <c r="S55" s="1456"/>
      <c r="T55" s="1456"/>
      <c r="U55" s="1457"/>
      <c r="V55" s="433"/>
      <c r="W55" s="433"/>
      <c r="X55" s="1459" t="str">
        <f t="shared" ca="1" si="9"/>
        <v/>
      </c>
      <c r="Y55" s="1460"/>
      <c r="Z55" s="1460"/>
      <c r="AA55" s="1461"/>
      <c r="AB55" s="1455"/>
      <c r="AC55" s="1456"/>
      <c r="AD55" s="1456"/>
      <c r="AE55" s="1456"/>
      <c r="AF55" s="1456"/>
      <c r="AG55" s="1456"/>
      <c r="AH55" s="1456"/>
      <c r="AI55" s="1456"/>
      <c r="AJ55" s="1456"/>
      <c r="AK55" s="1456"/>
      <c r="AL55" s="1456"/>
      <c r="AM55" s="1457"/>
      <c r="AN55" s="763"/>
      <c r="AO55" s="482"/>
      <c r="AP55" s="543"/>
      <c r="AQ55" s="427"/>
      <c r="AR55" s="697"/>
      <c r="AS55" s="673" t="str">
        <f ca="1">IF($AT55&lt;&gt;"",MAX(AS$50:AS54)+1,"")</f>
        <v/>
      </c>
      <c r="AT55" s="694" t="str">
        <f ca="1">IF($J23=DropDown!$N$12,F23,"")</f>
        <v/>
      </c>
      <c r="AV55" s="701">
        <v>5</v>
      </c>
      <c r="AW55" s="705" t="e">
        <f t="shared" ca="1" si="11"/>
        <v>#N/A</v>
      </c>
      <c r="AX55" s="703" t="str">
        <f t="shared" ca="1" si="12"/>
        <v/>
      </c>
      <c r="AY55" s="697"/>
      <c r="AZ55" s="673" t="str">
        <f ca="1">IF($BA55&lt;&gt;"",MAX(AZ$50:AZ54)+1,"")</f>
        <v/>
      </c>
      <c r="BA55" s="694" t="str">
        <f ca="1">IF($AB23=DropDown!$N$12,X23,"")</f>
        <v/>
      </c>
      <c r="BC55" s="701">
        <v>5</v>
      </c>
      <c r="BD55" s="705" t="e">
        <f t="shared" ca="1" si="10"/>
        <v>#N/A</v>
      </c>
      <c r="BE55" s="703" t="str">
        <f t="shared" ca="1" si="13"/>
        <v/>
      </c>
    </row>
    <row r="56" spans="2:57" ht="35.1" customHeight="1">
      <c r="B56" s="448"/>
      <c r="C56" s="433"/>
      <c r="D56" s="26"/>
      <c r="E56" s="433"/>
      <c r="F56" s="1459" t="str">
        <f t="shared" ca="1" si="8"/>
        <v/>
      </c>
      <c r="G56" s="1460"/>
      <c r="H56" s="1460"/>
      <c r="I56" s="1461"/>
      <c r="J56" s="1455"/>
      <c r="K56" s="1456"/>
      <c r="L56" s="1456"/>
      <c r="M56" s="1456"/>
      <c r="N56" s="1456"/>
      <c r="O56" s="1456"/>
      <c r="P56" s="1456"/>
      <c r="Q56" s="1456"/>
      <c r="R56" s="1456"/>
      <c r="S56" s="1456"/>
      <c r="T56" s="1456"/>
      <c r="U56" s="1457"/>
      <c r="V56" s="433"/>
      <c r="W56" s="433"/>
      <c r="X56" s="1459" t="str">
        <f t="shared" ca="1" si="9"/>
        <v/>
      </c>
      <c r="Y56" s="1460"/>
      <c r="Z56" s="1460"/>
      <c r="AA56" s="1461"/>
      <c r="AB56" s="1455"/>
      <c r="AC56" s="1456"/>
      <c r="AD56" s="1456"/>
      <c r="AE56" s="1456"/>
      <c r="AF56" s="1456"/>
      <c r="AG56" s="1456"/>
      <c r="AH56" s="1456"/>
      <c r="AI56" s="1456"/>
      <c r="AJ56" s="1456"/>
      <c r="AK56" s="1456"/>
      <c r="AL56" s="1456"/>
      <c r="AM56" s="1457"/>
      <c r="AN56" s="763"/>
      <c r="AO56" s="482"/>
      <c r="AP56" s="543"/>
      <c r="AQ56" s="427"/>
      <c r="AR56" s="697">
        <v>2</v>
      </c>
      <c r="AS56" s="673" t="str">
        <f ca="1">IF($AT56&lt;&gt;"",MAX(AS$50:AS55)+1,"")</f>
        <v/>
      </c>
      <c r="AT56" s="694" t="str">
        <f ca="1">IF($P19=DropDown!$N$12,L19,"")</f>
        <v/>
      </c>
      <c r="AV56" s="701">
        <v>6</v>
      </c>
      <c r="AW56" s="705" t="e">
        <f t="shared" ca="1" si="11"/>
        <v>#N/A</v>
      </c>
      <c r="AX56" s="703" t="str">
        <f t="shared" ca="1" si="12"/>
        <v/>
      </c>
      <c r="AY56" s="697">
        <v>2</v>
      </c>
      <c r="AZ56" s="673" t="str">
        <f ca="1">IF($BA56&lt;&gt;"",MAX(AZ$50:AZ55)+1,"")</f>
        <v/>
      </c>
      <c r="BA56" s="694" t="str">
        <f ca="1">IF($AH19=DropDown!$N$12,AD19,"")</f>
        <v/>
      </c>
      <c r="BC56" s="701">
        <v>6</v>
      </c>
      <c r="BD56" s="705" t="e">
        <f t="shared" ca="1" si="10"/>
        <v>#N/A</v>
      </c>
      <c r="BE56" s="703" t="str">
        <f t="shared" ca="1" si="13"/>
        <v/>
      </c>
    </row>
    <row r="57" spans="2:57" ht="35.1" customHeight="1">
      <c r="B57" s="448"/>
      <c r="C57" s="433"/>
      <c r="D57" s="26"/>
      <c r="E57" s="433"/>
      <c r="F57" s="1459" t="str">
        <f t="shared" ca="1" si="8"/>
        <v/>
      </c>
      <c r="G57" s="1460"/>
      <c r="H57" s="1460"/>
      <c r="I57" s="1461"/>
      <c r="J57" s="1455"/>
      <c r="K57" s="1456"/>
      <c r="L57" s="1456"/>
      <c r="M57" s="1456"/>
      <c r="N57" s="1456"/>
      <c r="O57" s="1456"/>
      <c r="P57" s="1456"/>
      <c r="Q57" s="1456"/>
      <c r="R57" s="1456"/>
      <c r="S57" s="1456"/>
      <c r="T57" s="1456"/>
      <c r="U57" s="1457"/>
      <c r="V57" s="433"/>
      <c r="W57" s="433"/>
      <c r="X57" s="1459" t="str">
        <f t="shared" ca="1" si="9"/>
        <v/>
      </c>
      <c r="Y57" s="1460"/>
      <c r="Z57" s="1460"/>
      <c r="AA57" s="1461"/>
      <c r="AB57" s="1455"/>
      <c r="AC57" s="1456"/>
      <c r="AD57" s="1456"/>
      <c r="AE57" s="1456"/>
      <c r="AF57" s="1456"/>
      <c r="AG57" s="1456"/>
      <c r="AH57" s="1456"/>
      <c r="AI57" s="1456"/>
      <c r="AJ57" s="1456"/>
      <c r="AK57" s="1456"/>
      <c r="AL57" s="1456"/>
      <c r="AM57" s="1457"/>
      <c r="AN57" s="763"/>
      <c r="AO57" s="482"/>
      <c r="AP57" s="543"/>
      <c r="AQ57" s="427"/>
      <c r="AR57" s="697"/>
      <c r="AS57" s="673" t="str">
        <f ca="1">IF($AT57&lt;&gt;"",MAX(AS$50:AS56)+1,"")</f>
        <v/>
      </c>
      <c r="AT57" s="694" t="str">
        <f ca="1">IF($P20=DropDown!$N$12,L20,"")</f>
        <v/>
      </c>
      <c r="AV57" s="701">
        <v>7</v>
      </c>
      <c r="AW57" s="705" t="e">
        <f t="shared" ca="1" si="11"/>
        <v>#N/A</v>
      </c>
      <c r="AX57" s="703" t="str">
        <f t="shared" ca="1" si="12"/>
        <v/>
      </c>
      <c r="AY57" s="697"/>
      <c r="AZ57" s="673" t="str">
        <f ca="1">IF($BA57&lt;&gt;"",MAX(AZ$50:AZ56)+1,"")</f>
        <v/>
      </c>
      <c r="BA57" s="694" t="str">
        <f ca="1">IF($AH20=DropDown!$N$12,AD20,"")</f>
        <v/>
      </c>
      <c r="BC57" s="701">
        <v>7</v>
      </c>
      <c r="BD57" s="705" t="e">
        <f t="shared" ca="1" si="10"/>
        <v>#N/A</v>
      </c>
      <c r="BE57" s="703" t="str">
        <f t="shared" ca="1" si="13"/>
        <v/>
      </c>
    </row>
    <row r="58" spans="2:57" ht="35.1" customHeight="1">
      <c r="B58" s="448"/>
      <c r="C58" s="433"/>
      <c r="D58" s="26"/>
      <c r="E58" s="433"/>
      <c r="F58" s="1459" t="str">
        <f t="shared" ca="1" si="8"/>
        <v/>
      </c>
      <c r="G58" s="1460"/>
      <c r="H58" s="1460"/>
      <c r="I58" s="1461"/>
      <c r="J58" s="1455"/>
      <c r="K58" s="1456"/>
      <c r="L58" s="1456"/>
      <c r="M58" s="1456"/>
      <c r="N58" s="1456"/>
      <c r="O58" s="1456"/>
      <c r="P58" s="1456"/>
      <c r="Q58" s="1456"/>
      <c r="R58" s="1456"/>
      <c r="S58" s="1456"/>
      <c r="T58" s="1456"/>
      <c r="U58" s="1457"/>
      <c r="V58" s="433"/>
      <c r="W58" s="433"/>
      <c r="X58" s="1459" t="str">
        <f t="shared" ca="1" si="9"/>
        <v/>
      </c>
      <c r="Y58" s="1460"/>
      <c r="Z58" s="1460"/>
      <c r="AA58" s="1461"/>
      <c r="AB58" s="1455"/>
      <c r="AC58" s="1456"/>
      <c r="AD58" s="1456"/>
      <c r="AE58" s="1456"/>
      <c r="AF58" s="1456"/>
      <c r="AG58" s="1456"/>
      <c r="AH58" s="1456"/>
      <c r="AI58" s="1456"/>
      <c r="AJ58" s="1456"/>
      <c r="AK58" s="1456"/>
      <c r="AL58" s="1456"/>
      <c r="AM58" s="1457"/>
      <c r="AN58" s="763"/>
      <c r="AO58" s="482"/>
      <c r="AP58" s="543"/>
      <c r="AQ58" s="427"/>
      <c r="AR58" s="697"/>
      <c r="AS58" s="673" t="str">
        <f ca="1">IF($AT58&lt;&gt;"",MAX(AS$50:AS57)+1,"")</f>
        <v/>
      </c>
      <c r="AT58" s="694" t="str">
        <f ca="1">IF($P21=DropDown!$N$12,L21,"")</f>
        <v/>
      </c>
      <c r="AV58" s="701">
        <v>8</v>
      </c>
      <c r="AW58" s="705" t="e">
        <f t="shared" ca="1" si="11"/>
        <v>#N/A</v>
      </c>
      <c r="AX58" s="703" t="str">
        <f t="shared" ca="1" si="12"/>
        <v/>
      </c>
      <c r="AY58" s="697"/>
      <c r="AZ58" s="673" t="str">
        <f ca="1">IF($BA58&lt;&gt;"",MAX(AZ$50:AZ57)+1,"")</f>
        <v/>
      </c>
      <c r="BA58" s="694" t="str">
        <f ca="1">IF($AH21=DropDown!$N$12,AD21,"")</f>
        <v/>
      </c>
      <c r="BC58" s="701">
        <v>8</v>
      </c>
      <c r="BD58" s="705" t="e">
        <f t="shared" ca="1" si="10"/>
        <v>#N/A</v>
      </c>
      <c r="BE58" s="703" t="str">
        <f t="shared" ca="1" si="13"/>
        <v/>
      </c>
    </row>
    <row r="59" spans="2:57" ht="35.1" customHeight="1">
      <c r="B59" s="448"/>
      <c r="C59" s="433"/>
      <c r="D59" s="26"/>
      <c r="E59" s="433"/>
      <c r="F59" s="1459" t="str">
        <f t="shared" ca="1" si="8"/>
        <v/>
      </c>
      <c r="G59" s="1460"/>
      <c r="H59" s="1460"/>
      <c r="I59" s="1461"/>
      <c r="J59" s="1455"/>
      <c r="K59" s="1456"/>
      <c r="L59" s="1456"/>
      <c r="M59" s="1456"/>
      <c r="N59" s="1456"/>
      <c r="O59" s="1456"/>
      <c r="P59" s="1456"/>
      <c r="Q59" s="1456"/>
      <c r="R59" s="1456"/>
      <c r="S59" s="1456"/>
      <c r="T59" s="1456"/>
      <c r="U59" s="1457"/>
      <c r="V59" s="433"/>
      <c r="W59" s="433"/>
      <c r="X59" s="1459" t="str">
        <f t="shared" ca="1" si="9"/>
        <v/>
      </c>
      <c r="Y59" s="1460"/>
      <c r="Z59" s="1460"/>
      <c r="AA59" s="1461"/>
      <c r="AB59" s="1455"/>
      <c r="AC59" s="1456"/>
      <c r="AD59" s="1456"/>
      <c r="AE59" s="1456"/>
      <c r="AF59" s="1456"/>
      <c r="AG59" s="1456"/>
      <c r="AH59" s="1456"/>
      <c r="AI59" s="1456"/>
      <c r="AJ59" s="1456"/>
      <c r="AK59" s="1456"/>
      <c r="AL59" s="1456"/>
      <c r="AM59" s="1457"/>
      <c r="AN59" s="763"/>
      <c r="AO59" s="482"/>
      <c r="AP59" s="543"/>
      <c r="AQ59" s="427"/>
      <c r="AR59" s="697"/>
      <c r="AS59" s="673" t="str">
        <f ca="1">IF($AT59&lt;&gt;"",MAX(AS$50:AS58)+1,"")</f>
        <v/>
      </c>
      <c r="AT59" s="694" t="str">
        <f ca="1">IF($P22=DropDown!$N$12,L22,"")</f>
        <v/>
      </c>
      <c r="AV59" s="701">
        <v>9</v>
      </c>
      <c r="AW59" s="705" t="e">
        <f t="shared" ca="1" si="11"/>
        <v>#N/A</v>
      </c>
      <c r="AX59" s="703" t="str">
        <f t="shared" ca="1" si="12"/>
        <v/>
      </c>
      <c r="AY59" s="697"/>
      <c r="AZ59" s="673" t="str">
        <f ca="1">IF($BA59&lt;&gt;"",MAX(AZ$50:AZ58)+1,"")</f>
        <v/>
      </c>
      <c r="BA59" s="694" t="str">
        <f ca="1">IF($AH22=DropDown!$N$12,AD22,"")</f>
        <v/>
      </c>
      <c r="BC59" s="701">
        <v>9</v>
      </c>
      <c r="BD59" s="705" t="e">
        <f t="shared" ca="1" si="10"/>
        <v>#N/A</v>
      </c>
      <c r="BE59" s="703" t="str">
        <f t="shared" ca="1" si="13"/>
        <v/>
      </c>
    </row>
    <row r="60" spans="2:57" ht="35.1" customHeight="1">
      <c r="B60" s="448"/>
      <c r="C60" s="433"/>
      <c r="D60" s="26"/>
      <c r="E60" s="433"/>
      <c r="F60" s="1459" t="str">
        <f t="shared" ca="1" si="8"/>
        <v/>
      </c>
      <c r="G60" s="1460"/>
      <c r="H60" s="1460"/>
      <c r="I60" s="1461"/>
      <c r="J60" s="1455"/>
      <c r="K60" s="1456"/>
      <c r="L60" s="1456"/>
      <c r="M60" s="1456"/>
      <c r="N60" s="1456"/>
      <c r="O60" s="1456"/>
      <c r="P60" s="1456"/>
      <c r="Q60" s="1456"/>
      <c r="R60" s="1456"/>
      <c r="S60" s="1456"/>
      <c r="T60" s="1456"/>
      <c r="U60" s="1457"/>
      <c r="V60" s="433"/>
      <c r="W60" s="433"/>
      <c r="X60" s="1459" t="str">
        <f t="shared" ca="1" si="9"/>
        <v/>
      </c>
      <c r="Y60" s="1460"/>
      <c r="Z60" s="1460"/>
      <c r="AA60" s="1461"/>
      <c r="AB60" s="1455"/>
      <c r="AC60" s="1456"/>
      <c r="AD60" s="1456"/>
      <c r="AE60" s="1456"/>
      <c r="AF60" s="1456"/>
      <c r="AG60" s="1456"/>
      <c r="AH60" s="1456"/>
      <c r="AI60" s="1456"/>
      <c r="AJ60" s="1456"/>
      <c r="AK60" s="1456"/>
      <c r="AL60" s="1456"/>
      <c r="AM60" s="1457"/>
      <c r="AN60" s="763"/>
      <c r="AO60" s="482"/>
      <c r="AP60" s="543"/>
      <c r="AQ60" s="427"/>
      <c r="AR60" s="697"/>
      <c r="AS60" s="673" t="str">
        <f ca="1">IF($AT60&lt;&gt;"",MAX(AS$50:AS59)+1,"")</f>
        <v/>
      </c>
      <c r="AT60" s="694" t="str">
        <f ca="1">IF($P23=DropDown!$N$12,L23,"")</f>
        <v/>
      </c>
      <c r="AV60" s="701">
        <v>10</v>
      </c>
      <c r="AW60" s="705" t="e">
        <f t="shared" ca="1" si="11"/>
        <v>#N/A</v>
      </c>
      <c r="AX60" s="703" t="str">
        <f t="shared" ca="1" si="12"/>
        <v/>
      </c>
      <c r="AY60" s="697"/>
      <c r="AZ60" s="673" t="str">
        <f ca="1">IF($BA60&lt;&gt;"",MAX(AZ$50:AZ59)+1,"")</f>
        <v/>
      </c>
      <c r="BA60" s="694" t="str">
        <f ca="1">IF($AH23=DropDown!$N$12,AD23,"")</f>
        <v/>
      </c>
      <c r="BC60" s="701">
        <v>10</v>
      </c>
      <c r="BD60" s="705" t="e">
        <f t="shared" ca="1" si="10"/>
        <v>#N/A</v>
      </c>
      <c r="BE60" s="703" t="str">
        <f t="shared" ca="1" si="13"/>
        <v/>
      </c>
    </row>
    <row r="61" spans="2:57" ht="35.1" customHeight="1">
      <c r="B61" s="448"/>
      <c r="C61" s="433"/>
      <c r="D61" s="26"/>
      <c r="E61" s="433"/>
      <c r="F61" s="1459" t="str">
        <f t="shared" ca="1" si="8"/>
        <v/>
      </c>
      <c r="G61" s="1460"/>
      <c r="H61" s="1460"/>
      <c r="I61" s="1461"/>
      <c r="J61" s="1455"/>
      <c r="K61" s="1456"/>
      <c r="L61" s="1456"/>
      <c r="M61" s="1456"/>
      <c r="N61" s="1456"/>
      <c r="O61" s="1456"/>
      <c r="P61" s="1456"/>
      <c r="Q61" s="1456"/>
      <c r="R61" s="1456"/>
      <c r="S61" s="1456"/>
      <c r="T61" s="1456"/>
      <c r="U61" s="1457"/>
      <c r="V61" s="433"/>
      <c r="W61" s="433"/>
      <c r="X61" s="1459" t="str">
        <f t="shared" ca="1" si="9"/>
        <v/>
      </c>
      <c r="Y61" s="1460"/>
      <c r="Z61" s="1460"/>
      <c r="AA61" s="1461"/>
      <c r="AB61" s="1455"/>
      <c r="AC61" s="1456"/>
      <c r="AD61" s="1456"/>
      <c r="AE61" s="1456"/>
      <c r="AF61" s="1456"/>
      <c r="AG61" s="1456"/>
      <c r="AH61" s="1456"/>
      <c r="AI61" s="1456"/>
      <c r="AJ61" s="1456"/>
      <c r="AK61" s="1456"/>
      <c r="AL61" s="1456"/>
      <c r="AM61" s="1457"/>
      <c r="AN61" s="763"/>
      <c r="AO61" s="482"/>
      <c r="AP61" s="543"/>
      <c r="AQ61" s="427"/>
      <c r="AR61" s="697">
        <v>3</v>
      </c>
      <c r="AS61" s="673" t="str">
        <f ca="1">IF($AT61&lt;&gt;"",MAX(AS$50:AS60)+1,"")</f>
        <v/>
      </c>
      <c r="AT61" s="694" t="str">
        <f ca="1">IF($U19=DropDown!$N$12,R19,"")</f>
        <v/>
      </c>
      <c r="AU61" s="24"/>
      <c r="AV61" s="701">
        <v>11</v>
      </c>
      <c r="AW61" s="705" t="e">
        <f t="shared" ca="1" si="11"/>
        <v>#N/A</v>
      </c>
      <c r="AX61" s="703" t="str">
        <f t="shared" ca="1" si="12"/>
        <v/>
      </c>
      <c r="AY61" s="697">
        <v>3</v>
      </c>
      <c r="AZ61" s="673" t="str">
        <f ca="1">IF($BA61&lt;&gt;"",MAX(AZ$50:AZ60)+1,"")</f>
        <v/>
      </c>
      <c r="BA61" s="694" t="str">
        <f ca="1">IF($AM19=DropDown!$N$12,AJ19,"")</f>
        <v/>
      </c>
      <c r="BB61" s="24"/>
      <c r="BC61" s="701">
        <v>11</v>
      </c>
      <c r="BD61" s="705" t="e">
        <f t="shared" ca="1" si="10"/>
        <v>#N/A</v>
      </c>
      <c r="BE61" s="703" t="str">
        <f t="shared" ca="1" si="13"/>
        <v/>
      </c>
    </row>
    <row r="62" spans="2:57" ht="35.1" customHeight="1">
      <c r="B62" s="448"/>
      <c r="C62" s="433"/>
      <c r="D62" s="26"/>
      <c r="E62" s="433"/>
      <c r="F62" s="1459" t="str">
        <f t="shared" ca="1" si="8"/>
        <v/>
      </c>
      <c r="G62" s="1460"/>
      <c r="H62" s="1460"/>
      <c r="I62" s="1461"/>
      <c r="J62" s="1455"/>
      <c r="K62" s="1456"/>
      <c r="L62" s="1456"/>
      <c r="M62" s="1456"/>
      <c r="N62" s="1456"/>
      <c r="O62" s="1456"/>
      <c r="P62" s="1456"/>
      <c r="Q62" s="1456"/>
      <c r="R62" s="1456"/>
      <c r="S62" s="1456"/>
      <c r="T62" s="1456"/>
      <c r="U62" s="1457"/>
      <c r="V62" s="433"/>
      <c r="W62" s="433"/>
      <c r="X62" s="1459" t="str">
        <f t="shared" ca="1" si="9"/>
        <v/>
      </c>
      <c r="Y62" s="1460"/>
      <c r="Z62" s="1460"/>
      <c r="AA62" s="1461"/>
      <c r="AB62" s="1455"/>
      <c r="AC62" s="1456"/>
      <c r="AD62" s="1456"/>
      <c r="AE62" s="1456"/>
      <c r="AF62" s="1456"/>
      <c r="AG62" s="1456"/>
      <c r="AH62" s="1456"/>
      <c r="AI62" s="1456"/>
      <c r="AJ62" s="1456"/>
      <c r="AK62" s="1456"/>
      <c r="AL62" s="1456"/>
      <c r="AM62" s="1457"/>
      <c r="AN62" s="763"/>
      <c r="AO62" s="482"/>
      <c r="AP62" s="543"/>
      <c r="AQ62" s="427"/>
      <c r="AR62" s="697"/>
      <c r="AS62" s="673" t="str">
        <f ca="1">IF($AT62&lt;&gt;"",MAX(AS$50:AS61)+1,"")</f>
        <v/>
      </c>
      <c r="AT62" s="694" t="str">
        <f ca="1">IF($U20=DropDown!$N$12,R20,"")</f>
        <v/>
      </c>
      <c r="AV62" s="701">
        <v>12</v>
      </c>
      <c r="AW62" s="705" t="e">
        <f t="shared" ca="1" si="11"/>
        <v>#N/A</v>
      </c>
      <c r="AX62" s="703" t="str">
        <f t="shared" ca="1" si="12"/>
        <v/>
      </c>
      <c r="AY62" s="697"/>
      <c r="AZ62" s="673" t="str">
        <f ca="1">IF($BA62&lt;&gt;"",MAX(AZ$50:AZ61)+1,"")</f>
        <v/>
      </c>
      <c r="BA62" s="694" t="str">
        <f ca="1">IF($AM20=DropDown!$N$12,AJ20,"")</f>
        <v/>
      </c>
      <c r="BC62" s="701">
        <v>12</v>
      </c>
      <c r="BD62" s="705" t="e">
        <f t="shared" ca="1" si="10"/>
        <v>#N/A</v>
      </c>
      <c r="BE62" s="703" t="str">
        <f t="shared" ca="1" si="13"/>
        <v/>
      </c>
    </row>
    <row r="63" spans="2:57" ht="35.1" customHeight="1">
      <c r="B63" s="448"/>
      <c r="C63" s="433"/>
      <c r="D63" s="26"/>
      <c r="E63" s="433"/>
      <c r="F63" s="1459" t="str">
        <f t="shared" ca="1" si="8"/>
        <v/>
      </c>
      <c r="G63" s="1460"/>
      <c r="H63" s="1460"/>
      <c r="I63" s="1461"/>
      <c r="J63" s="1455"/>
      <c r="K63" s="1456"/>
      <c r="L63" s="1456"/>
      <c r="M63" s="1456"/>
      <c r="N63" s="1456"/>
      <c r="O63" s="1456"/>
      <c r="P63" s="1456"/>
      <c r="Q63" s="1456"/>
      <c r="R63" s="1456"/>
      <c r="S63" s="1456"/>
      <c r="T63" s="1456"/>
      <c r="U63" s="1457"/>
      <c r="V63" s="433"/>
      <c r="W63" s="433"/>
      <c r="X63" s="1459" t="str">
        <f t="shared" ca="1" si="9"/>
        <v/>
      </c>
      <c r="Y63" s="1460"/>
      <c r="Z63" s="1460"/>
      <c r="AA63" s="1461"/>
      <c r="AB63" s="1455"/>
      <c r="AC63" s="1456"/>
      <c r="AD63" s="1456"/>
      <c r="AE63" s="1456"/>
      <c r="AF63" s="1456"/>
      <c r="AG63" s="1456"/>
      <c r="AH63" s="1456"/>
      <c r="AI63" s="1456"/>
      <c r="AJ63" s="1456"/>
      <c r="AK63" s="1456"/>
      <c r="AL63" s="1456"/>
      <c r="AM63" s="1457"/>
      <c r="AN63" s="763"/>
      <c r="AO63" s="482"/>
      <c r="AP63" s="543"/>
      <c r="AQ63" s="427"/>
      <c r="AR63" s="697"/>
      <c r="AS63" s="673" t="str">
        <f ca="1">IF($AT63&lt;&gt;"",MAX(AS$50:AS62)+1,"")</f>
        <v/>
      </c>
      <c r="AT63" s="694" t="str">
        <f ca="1">IF($U21=DropDown!$N$12,R21,"")</f>
        <v/>
      </c>
      <c r="AU63" s="24"/>
      <c r="AV63" s="701">
        <v>13</v>
      </c>
      <c r="AW63" s="705" t="e">
        <f t="shared" ca="1" si="11"/>
        <v>#N/A</v>
      </c>
      <c r="AX63" s="703" t="str">
        <f t="shared" ca="1" si="12"/>
        <v/>
      </c>
      <c r="AY63" s="697"/>
      <c r="AZ63" s="673" t="str">
        <f ca="1">IF($BA63&lt;&gt;"",MAX(AZ$50:AZ62)+1,"")</f>
        <v/>
      </c>
      <c r="BA63" s="694" t="str">
        <f ca="1">IF($AM21=DropDown!$N$12,AJ21,"")</f>
        <v/>
      </c>
      <c r="BB63" s="24"/>
      <c r="BC63" s="701">
        <v>13</v>
      </c>
      <c r="BD63" s="705" t="e">
        <f t="shared" ca="1" si="10"/>
        <v>#N/A</v>
      </c>
      <c r="BE63" s="703" t="str">
        <f t="shared" ca="1" si="13"/>
        <v/>
      </c>
    </row>
    <row r="64" spans="2:57" ht="35.1" customHeight="1">
      <c r="B64" s="448"/>
      <c r="C64" s="433"/>
      <c r="D64" s="26"/>
      <c r="E64" s="433"/>
      <c r="F64" s="1459" t="str">
        <f t="shared" ca="1" si="8"/>
        <v/>
      </c>
      <c r="G64" s="1460"/>
      <c r="H64" s="1460"/>
      <c r="I64" s="1461"/>
      <c r="J64" s="1455"/>
      <c r="K64" s="1456"/>
      <c r="L64" s="1456"/>
      <c r="M64" s="1456"/>
      <c r="N64" s="1456"/>
      <c r="O64" s="1456"/>
      <c r="P64" s="1456"/>
      <c r="Q64" s="1456"/>
      <c r="R64" s="1456"/>
      <c r="S64" s="1456"/>
      <c r="T64" s="1456"/>
      <c r="U64" s="1457"/>
      <c r="V64" s="433"/>
      <c r="W64" s="433"/>
      <c r="X64" s="1459" t="str">
        <f t="shared" ca="1" si="9"/>
        <v/>
      </c>
      <c r="Y64" s="1460"/>
      <c r="Z64" s="1460"/>
      <c r="AA64" s="1461"/>
      <c r="AB64" s="1455"/>
      <c r="AC64" s="1456"/>
      <c r="AD64" s="1456"/>
      <c r="AE64" s="1456"/>
      <c r="AF64" s="1456"/>
      <c r="AG64" s="1456"/>
      <c r="AH64" s="1456"/>
      <c r="AI64" s="1456"/>
      <c r="AJ64" s="1456"/>
      <c r="AK64" s="1456"/>
      <c r="AL64" s="1456"/>
      <c r="AM64" s="1457"/>
      <c r="AN64" s="763"/>
      <c r="AO64" s="482"/>
      <c r="AP64" s="543"/>
      <c r="AQ64" s="427"/>
      <c r="AR64" s="697"/>
      <c r="AS64" s="673" t="str">
        <f ca="1">IF($AT64&lt;&gt;"",MAX(AS$50:AS63)+1,"")</f>
        <v/>
      </c>
      <c r="AT64" s="694" t="str">
        <f ca="1">IF($U22=DropDown!$N$12,R22,"")</f>
        <v/>
      </c>
      <c r="AU64" s="427"/>
      <c r="AV64" s="701">
        <v>14</v>
      </c>
      <c r="AW64" s="705" t="e">
        <f t="shared" ca="1" si="11"/>
        <v>#N/A</v>
      </c>
      <c r="AX64" s="703" t="str">
        <f t="shared" ca="1" si="12"/>
        <v/>
      </c>
      <c r="AY64" s="697"/>
      <c r="AZ64" s="673" t="str">
        <f ca="1">IF($BA64&lt;&gt;"",MAX(AZ$50:AZ63)+1,"")</f>
        <v/>
      </c>
      <c r="BA64" s="694" t="str">
        <f ca="1">IF($AM22=DropDown!$N$12,AJ22,"")</f>
        <v/>
      </c>
      <c r="BB64" s="427"/>
      <c r="BC64" s="701">
        <v>14</v>
      </c>
      <c r="BD64" s="705" t="e">
        <f t="shared" ca="1" si="10"/>
        <v>#N/A</v>
      </c>
      <c r="BE64" s="703" t="str">
        <f t="shared" ca="1" si="13"/>
        <v/>
      </c>
    </row>
    <row r="65" spans="2:57" ht="35.1" customHeight="1">
      <c r="B65" s="448"/>
      <c r="C65" s="433"/>
      <c r="D65" s="26"/>
      <c r="E65" s="433"/>
      <c r="F65" s="1459" t="str">
        <f t="shared" ca="1" si="8"/>
        <v/>
      </c>
      <c r="G65" s="1460"/>
      <c r="H65" s="1460"/>
      <c r="I65" s="1461"/>
      <c r="J65" s="1455"/>
      <c r="K65" s="1456"/>
      <c r="L65" s="1456"/>
      <c r="M65" s="1456"/>
      <c r="N65" s="1456"/>
      <c r="O65" s="1456"/>
      <c r="P65" s="1456"/>
      <c r="Q65" s="1456"/>
      <c r="R65" s="1456"/>
      <c r="S65" s="1456"/>
      <c r="T65" s="1456"/>
      <c r="U65" s="1457"/>
      <c r="V65" s="433"/>
      <c r="W65" s="433"/>
      <c r="X65" s="1459" t="str">
        <f t="shared" ca="1" si="9"/>
        <v/>
      </c>
      <c r="Y65" s="1460"/>
      <c r="Z65" s="1460"/>
      <c r="AA65" s="1461"/>
      <c r="AB65" s="1455"/>
      <c r="AC65" s="1456"/>
      <c r="AD65" s="1456"/>
      <c r="AE65" s="1456"/>
      <c r="AF65" s="1456"/>
      <c r="AG65" s="1456"/>
      <c r="AH65" s="1456"/>
      <c r="AI65" s="1456"/>
      <c r="AJ65" s="1456"/>
      <c r="AK65" s="1456"/>
      <c r="AL65" s="1456"/>
      <c r="AM65" s="1457"/>
      <c r="AN65" s="763"/>
      <c r="AO65" s="482"/>
      <c r="AP65" s="543"/>
      <c r="AQ65" s="427"/>
      <c r="AR65" s="697"/>
      <c r="AS65" s="673" t="str">
        <f ca="1">IF($AT65&lt;&gt;"",MAX(AS$50:AS64)+1,"")</f>
        <v/>
      </c>
      <c r="AT65" s="694" t="str">
        <f ca="1">IF($U23=DropDown!$N$12,R23,"")</f>
        <v/>
      </c>
      <c r="AU65" s="427"/>
      <c r="AV65" s="701">
        <v>15</v>
      </c>
      <c r="AW65" s="705" t="e">
        <f t="shared" ca="1" si="11"/>
        <v>#N/A</v>
      </c>
      <c r="AX65" s="703" t="str">
        <f t="shared" ca="1" si="12"/>
        <v/>
      </c>
      <c r="AY65" s="697"/>
      <c r="AZ65" s="673" t="str">
        <f ca="1">IF($BA65&lt;&gt;"",MAX(AZ$50:AZ64)+1,"")</f>
        <v/>
      </c>
      <c r="BA65" s="694" t="str">
        <f ca="1">IF($AM23=DropDown!$N$12,AJ23,"")</f>
        <v/>
      </c>
      <c r="BB65" s="427"/>
      <c r="BC65" s="701">
        <v>15</v>
      </c>
      <c r="BD65" s="705" t="e">
        <f t="shared" ca="1" si="10"/>
        <v>#N/A</v>
      </c>
      <c r="BE65" s="703" t="str">
        <f t="shared" ca="1" si="13"/>
        <v/>
      </c>
    </row>
    <row r="66" spans="2:57" ht="35.1" customHeight="1">
      <c r="B66" s="448"/>
      <c r="C66" s="433"/>
      <c r="D66" s="26"/>
      <c r="E66" s="433"/>
      <c r="F66" s="1459" t="str">
        <f t="shared" ca="1" si="8"/>
        <v/>
      </c>
      <c r="G66" s="1460"/>
      <c r="H66" s="1460"/>
      <c r="I66" s="1461"/>
      <c r="J66" s="1455"/>
      <c r="K66" s="1456"/>
      <c r="L66" s="1456"/>
      <c r="M66" s="1456"/>
      <c r="N66" s="1456"/>
      <c r="O66" s="1456"/>
      <c r="P66" s="1456"/>
      <c r="Q66" s="1456"/>
      <c r="R66" s="1456"/>
      <c r="S66" s="1456"/>
      <c r="T66" s="1456"/>
      <c r="U66" s="1457"/>
      <c r="V66" s="433"/>
      <c r="W66" s="433"/>
      <c r="X66" s="1459" t="str">
        <f t="shared" ca="1" si="9"/>
        <v/>
      </c>
      <c r="Y66" s="1460"/>
      <c r="Z66" s="1460"/>
      <c r="AA66" s="1461"/>
      <c r="AB66" s="1455"/>
      <c r="AC66" s="1456"/>
      <c r="AD66" s="1456"/>
      <c r="AE66" s="1456"/>
      <c r="AF66" s="1456"/>
      <c r="AG66" s="1456"/>
      <c r="AH66" s="1456"/>
      <c r="AI66" s="1456"/>
      <c r="AJ66" s="1456"/>
      <c r="AK66" s="1456"/>
      <c r="AL66" s="1456"/>
      <c r="AM66" s="1457"/>
      <c r="AN66" s="763"/>
      <c r="AO66" s="482"/>
      <c r="AP66" s="543"/>
      <c r="AQ66" s="427"/>
      <c r="AR66" s="697">
        <v>4</v>
      </c>
      <c r="AS66" s="673" t="str">
        <f ca="1">IF($AT66&lt;&gt;"",MAX(AS$50:AS65)+1,"")</f>
        <v/>
      </c>
      <c r="AT66" s="694" t="str">
        <f ca="1">IF($J33=DropDown!$N$12,F33,"")</f>
        <v/>
      </c>
      <c r="AU66" s="427"/>
      <c r="AV66" s="701">
        <v>16</v>
      </c>
      <c r="AW66" s="705" t="e">
        <f t="shared" ca="1" si="11"/>
        <v>#N/A</v>
      </c>
      <c r="AX66" s="703" t="str">
        <f t="shared" ca="1" si="12"/>
        <v/>
      </c>
      <c r="AY66" s="697">
        <v>4</v>
      </c>
      <c r="AZ66" s="673" t="str">
        <f ca="1">IF($BA66&lt;&gt;"",MAX(AZ$50:AZ65)+1,"")</f>
        <v/>
      </c>
      <c r="BA66" s="694" t="str">
        <f ca="1">IF($AB33=DropDown!$N$12,X33,"")</f>
        <v/>
      </c>
      <c r="BB66" s="427"/>
      <c r="BC66" s="701">
        <v>16</v>
      </c>
      <c r="BD66" s="705" t="e">
        <f t="shared" ca="1" si="10"/>
        <v>#N/A</v>
      </c>
      <c r="BE66" s="703" t="str">
        <f t="shared" ca="1" si="13"/>
        <v/>
      </c>
    </row>
    <row r="67" spans="2:57" ht="35.1" customHeight="1">
      <c r="B67" s="448"/>
      <c r="C67" s="433"/>
      <c r="D67" s="26"/>
      <c r="E67" s="433"/>
      <c r="F67" s="1459" t="str">
        <f t="shared" ca="1" si="8"/>
        <v/>
      </c>
      <c r="G67" s="1460"/>
      <c r="H67" s="1460"/>
      <c r="I67" s="1461"/>
      <c r="J67" s="1455"/>
      <c r="K67" s="1456"/>
      <c r="L67" s="1456"/>
      <c r="M67" s="1456"/>
      <c r="N67" s="1456"/>
      <c r="O67" s="1456"/>
      <c r="P67" s="1456"/>
      <c r="Q67" s="1456"/>
      <c r="R67" s="1456"/>
      <c r="S67" s="1456"/>
      <c r="T67" s="1456"/>
      <c r="U67" s="1457"/>
      <c r="V67" s="433"/>
      <c r="W67" s="433"/>
      <c r="X67" s="1459" t="str">
        <f t="shared" ca="1" si="9"/>
        <v/>
      </c>
      <c r="Y67" s="1460"/>
      <c r="Z67" s="1460"/>
      <c r="AA67" s="1461"/>
      <c r="AB67" s="1455"/>
      <c r="AC67" s="1456"/>
      <c r="AD67" s="1456"/>
      <c r="AE67" s="1456"/>
      <c r="AF67" s="1456"/>
      <c r="AG67" s="1456"/>
      <c r="AH67" s="1456"/>
      <c r="AI67" s="1456"/>
      <c r="AJ67" s="1456"/>
      <c r="AK67" s="1456"/>
      <c r="AL67" s="1456"/>
      <c r="AM67" s="1457"/>
      <c r="AN67" s="763"/>
      <c r="AO67" s="482"/>
      <c r="AP67" s="543"/>
      <c r="AQ67" s="427"/>
      <c r="AR67" s="697"/>
      <c r="AS67" s="673" t="str">
        <f ca="1">IF($AT67&lt;&gt;"",MAX(AS$50:AS66)+1,"")</f>
        <v/>
      </c>
      <c r="AT67" s="694" t="str">
        <f ca="1">IF($J34=DropDown!$N$12,F34,"")</f>
        <v/>
      </c>
      <c r="AU67" s="427"/>
      <c r="AV67" s="701">
        <v>17</v>
      </c>
      <c r="AW67" s="705" t="e">
        <f t="shared" ca="1" si="11"/>
        <v>#N/A</v>
      </c>
      <c r="AX67" s="703" t="str">
        <f t="shared" ca="1" si="12"/>
        <v/>
      </c>
      <c r="AY67" s="697"/>
      <c r="AZ67" s="673" t="str">
        <f ca="1">IF($BA67&lt;&gt;"",MAX(AZ$50:AZ66)+1,"")</f>
        <v/>
      </c>
      <c r="BA67" s="694" t="str">
        <f ca="1">IF($AB34=DropDown!$N$12,X34,"")</f>
        <v/>
      </c>
      <c r="BB67" s="427"/>
      <c r="BC67" s="701">
        <v>17</v>
      </c>
      <c r="BD67" s="705" t="e">
        <f t="shared" ca="1" si="10"/>
        <v>#N/A</v>
      </c>
      <c r="BE67" s="703" t="str">
        <f t="shared" ca="1" si="13"/>
        <v/>
      </c>
    </row>
    <row r="68" spans="2:57" ht="5.25" customHeight="1">
      <c r="B68" s="448"/>
      <c r="C68" s="427"/>
      <c r="D68" s="26"/>
      <c r="E68" s="427"/>
      <c r="F68" s="427"/>
      <c r="G68" s="427"/>
      <c r="H68" s="427"/>
      <c r="I68" s="427"/>
      <c r="J68" s="427"/>
      <c r="K68" s="427"/>
      <c r="L68" s="427"/>
      <c r="M68" s="427"/>
      <c r="N68" s="427"/>
      <c r="O68" s="427"/>
      <c r="P68" s="427"/>
      <c r="Q68" s="427"/>
      <c r="R68" s="427"/>
      <c r="S68" s="427"/>
      <c r="T68" s="427"/>
      <c r="U68" s="427"/>
      <c r="V68" s="427"/>
      <c r="W68" s="427"/>
      <c r="X68" s="427"/>
      <c r="Y68" s="427"/>
      <c r="Z68" s="427"/>
      <c r="AA68" s="427"/>
      <c r="AB68" s="427"/>
      <c r="AC68" s="427"/>
      <c r="AD68" s="427"/>
      <c r="AE68" s="427"/>
      <c r="AF68" s="427"/>
      <c r="AG68" s="427"/>
      <c r="AH68" s="427"/>
      <c r="AI68" s="427"/>
      <c r="AJ68" s="427"/>
      <c r="AK68" s="427"/>
      <c r="AL68" s="427"/>
      <c r="AM68" s="427"/>
      <c r="AN68" s="427"/>
      <c r="AO68" s="483"/>
      <c r="AP68" s="543"/>
      <c r="AQ68" s="427"/>
      <c r="AR68" s="697"/>
      <c r="AS68" s="673" t="str">
        <f ca="1">IF($AT68&lt;&gt;"",MAX(AS$50:AS67)+1,"")</f>
        <v/>
      </c>
      <c r="AT68" s="694" t="str">
        <f ca="1">IF($J35=DropDown!$N$12,F35,"")</f>
        <v/>
      </c>
      <c r="AU68" s="427"/>
      <c r="AV68" s="701">
        <v>18</v>
      </c>
      <c r="AW68" s="705" t="e">
        <f t="shared" ca="1" si="11"/>
        <v>#N/A</v>
      </c>
      <c r="AX68" s="703" t="str">
        <f t="shared" ca="1" si="12"/>
        <v/>
      </c>
      <c r="AY68" s="697"/>
      <c r="AZ68" s="673" t="str">
        <f ca="1">IF($BA68&lt;&gt;"",MAX(AZ$50:AZ67)+1,"")</f>
        <v/>
      </c>
      <c r="BA68" s="694" t="str">
        <f ca="1">IF($AB35=DropDown!$N$12,X35,"")</f>
        <v/>
      </c>
      <c r="BB68" s="427"/>
      <c r="BC68" s="701">
        <v>18</v>
      </c>
      <c r="BD68" s="705" t="e">
        <f t="shared" ca="1" si="10"/>
        <v>#N/A</v>
      </c>
      <c r="BE68" s="703" t="str">
        <f t="shared" ca="1" si="13"/>
        <v/>
      </c>
    </row>
    <row r="69" spans="2:57" ht="6" customHeight="1" thickBot="1">
      <c r="B69" s="451"/>
      <c r="C69" s="452"/>
      <c r="D69" s="353"/>
      <c r="E69" s="452"/>
      <c r="F69" s="452"/>
      <c r="G69" s="452"/>
      <c r="H69" s="452"/>
      <c r="I69" s="452"/>
      <c r="J69" s="452"/>
      <c r="K69" s="452"/>
      <c r="L69" s="452"/>
      <c r="M69" s="452"/>
      <c r="N69" s="452"/>
      <c r="O69" s="452"/>
      <c r="P69" s="452"/>
      <c r="Q69" s="452"/>
      <c r="R69" s="452"/>
      <c r="S69" s="452"/>
      <c r="T69" s="452"/>
      <c r="U69" s="452"/>
      <c r="V69" s="452"/>
      <c r="W69" s="452"/>
      <c r="X69" s="452"/>
      <c r="Y69" s="452"/>
      <c r="Z69" s="452"/>
      <c r="AA69" s="452"/>
      <c r="AB69" s="452"/>
      <c r="AC69" s="452"/>
      <c r="AD69" s="452"/>
      <c r="AE69" s="452"/>
      <c r="AF69" s="452"/>
      <c r="AG69" s="452"/>
      <c r="AH69" s="452"/>
      <c r="AI69" s="452"/>
      <c r="AJ69" s="452"/>
      <c r="AK69" s="452"/>
      <c r="AL69" s="452"/>
      <c r="AM69" s="452"/>
      <c r="AN69" s="452"/>
      <c r="AO69" s="453"/>
      <c r="AP69" s="547"/>
      <c r="AQ69" s="427"/>
      <c r="AR69" s="697"/>
      <c r="AS69" s="673" t="str">
        <f ca="1">IF($AT69&lt;&gt;"",MAX(AS$50:AS68)+1,"")</f>
        <v/>
      </c>
      <c r="AT69" s="694" t="str">
        <f ca="1">IF($J36=DropDown!$N$12,F36,"")</f>
        <v/>
      </c>
      <c r="AU69" s="427"/>
      <c r="AV69" s="701">
        <v>19</v>
      </c>
      <c r="AW69" s="705" t="e">
        <f t="shared" ca="1" si="11"/>
        <v>#N/A</v>
      </c>
      <c r="AX69" s="703" t="str">
        <f t="shared" ca="1" si="12"/>
        <v/>
      </c>
      <c r="AY69" s="697"/>
      <c r="AZ69" s="673" t="str">
        <f ca="1">IF($BA69&lt;&gt;"",MAX(AZ$50:AZ68)+1,"")</f>
        <v/>
      </c>
      <c r="BA69" s="694" t="str">
        <f ca="1">IF($AB36=DropDown!$N$12,X36,"")</f>
        <v/>
      </c>
      <c r="BB69" s="427"/>
      <c r="BC69" s="701">
        <v>19</v>
      </c>
      <c r="BD69" s="705" t="e">
        <f t="shared" ca="1" si="10"/>
        <v>#N/A</v>
      </c>
      <c r="BE69" s="703" t="str">
        <f t="shared" ca="1" si="13"/>
        <v/>
      </c>
    </row>
    <row r="70" spans="2:57" ht="30" customHeight="1">
      <c r="B70" s="447"/>
      <c r="C70" s="447"/>
      <c r="D70" s="464"/>
      <c r="E70" s="447"/>
      <c r="F70" s="447"/>
      <c r="G70" s="447"/>
      <c r="H70" s="447"/>
      <c r="I70" s="447"/>
      <c r="J70" s="447"/>
      <c r="K70" s="447"/>
      <c r="L70" s="447"/>
      <c r="M70" s="447"/>
      <c r="N70" s="447"/>
      <c r="O70" s="447"/>
      <c r="P70" s="447"/>
      <c r="Q70" s="447"/>
      <c r="R70" s="447"/>
      <c r="S70" s="447"/>
      <c r="T70" s="447"/>
      <c r="U70" s="447"/>
      <c r="V70" s="447"/>
      <c r="W70" s="447"/>
      <c r="X70" s="447"/>
      <c r="Y70" s="447"/>
      <c r="Z70" s="447"/>
      <c r="AA70" s="447"/>
      <c r="AB70" s="447"/>
      <c r="AC70" s="447"/>
      <c r="AD70" s="447"/>
      <c r="AE70" s="447"/>
      <c r="AF70" s="447"/>
      <c r="AG70" s="447"/>
      <c r="AH70" s="447"/>
      <c r="AI70" s="447"/>
      <c r="AJ70" s="447"/>
      <c r="AK70" s="447"/>
      <c r="AL70" s="447"/>
      <c r="AM70" s="447"/>
      <c r="AN70" s="447"/>
      <c r="AO70" s="447"/>
      <c r="AP70" s="447"/>
      <c r="AR70" s="697"/>
      <c r="AS70" s="673" t="str">
        <f ca="1">IF($AT70&lt;&gt;"",MAX(AS$50:AS69)+1,"")</f>
        <v/>
      </c>
      <c r="AT70" s="694" t="str">
        <f ca="1">IF($J37=DropDown!$N$12,F37,"")</f>
        <v/>
      </c>
      <c r="AV70" s="701">
        <v>20</v>
      </c>
      <c r="AW70" s="705" t="e">
        <f t="shared" ca="1" si="11"/>
        <v>#N/A</v>
      </c>
      <c r="AX70" s="703" t="str">
        <f t="shared" ca="1" si="12"/>
        <v/>
      </c>
      <c r="AY70" s="697"/>
      <c r="AZ70" s="673" t="str">
        <f ca="1">IF($BA70&lt;&gt;"",MAX(AZ$50:AZ69)+1,"")</f>
        <v/>
      </c>
      <c r="BA70" s="694" t="str">
        <f ca="1">IF($AB37=DropDown!$N$12,X37,"")</f>
        <v/>
      </c>
      <c r="BC70" s="701">
        <v>20</v>
      </c>
      <c r="BD70" s="705" t="e">
        <f t="shared" ca="1" si="10"/>
        <v>#N/A</v>
      </c>
      <c r="BE70" s="703" t="str">
        <f t="shared" ca="1" si="13"/>
        <v/>
      </c>
    </row>
    <row r="71" spans="2:57" ht="30" customHeight="1">
      <c r="B71" s="447"/>
      <c r="C71" s="447"/>
      <c r="D71" s="464"/>
      <c r="E71" s="447"/>
      <c r="F71" s="447"/>
      <c r="G71" s="447"/>
      <c r="H71" s="447"/>
      <c r="I71" s="447"/>
      <c r="J71" s="447"/>
      <c r="K71" s="447"/>
      <c r="L71" s="447"/>
      <c r="M71" s="447"/>
      <c r="N71" s="447"/>
      <c r="O71" s="447"/>
      <c r="P71" s="447"/>
      <c r="Q71" s="447"/>
      <c r="R71" s="447"/>
      <c r="S71" s="447"/>
      <c r="T71" s="447"/>
      <c r="U71" s="447"/>
      <c r="V71" s="447"/>
      <c r="W71" s="447"/>
      <c r="X71" s="447"/>
      <c r="Y71" s="447"/>
      <c r="Z71" s="447"/>
      <c r="AA71" s="447"/>
      <c r="AB71" s="447"/>
      <c r="AC71" s="447"/>
      <c r="AD71" s="447"/>
      <c r="AE71" s="447"/>
      <c r="AF71" s="447"/>
      <c r="AG71" s="447"/>
      <c r="AH71" s="447"/>
      <c r="AI71" s="447"/>
      <c r="AJ71" s="447"/>
      <c r="AK71" s="447"/>
      <c r="AL71" s="447"/>
      <c r="AM71" s="447"/>
      <c r="AN71" s="447"/>
      <c r="AO71" s="447"/>
      <c r="AP71" s="447"/>
      <c r="AR71" s="697">
        <v>5</v>
      </c>
      <c r="AS71" s="673" t="str">
        <f ca="1">IF($AT71&lt;&gt;"",MAX(AS$50:AS70)+1,"")</f>
        <v/>
      </c>
      <c r="AT71" s="694" t="str">
        <f ca="1">IF($P33=DropDown!$N$12,L33,"")</f>
        <v/>
      </c>
      <c r="AV71" s="701">
        <v>21</v>
      </c>
      <c r="AW71" s="705" t="e">
        <f t="shared" ca="1" si="11"/>
        <v>#N/A</v>
      </c>
      <c r="AX71" s="703" t="str">
        <f t="shared" ca="1" si="12"/>
        <v/>
      </c>
      <c r="AY71" s="697">
        <v>5</v>
      </c>
      <c r="AZ71" s="673" t="str">
        <f ca="1">IF($BA71&lt;&gt;"",MAX(AZ$50:AZ70)+1,"")</f>
        <v/>
      </c>
      <c r="BA71" s="694" t="str">
        <f ca="1">IF($AH33=DropDown!$N$12,AD33,"")</f>
        <v/>
      </c>
      <c r="BC71" s="701">
        <v>21</v>
      </c>
      <c r="BD71" s="705" t="e">
        <f t="shared" ca="1" si="10"/>
        <v>#N/A</v>
      </c>
      <c r="BE71" s="703" t="str">
        <f t="shared" ca="1" si="13"/>
        <v/>
      </c>
    </row>
    <row r="72" spans="2:57" ht="30" customHeight="1">
      <c r="B72" s="447"/>
      <c r="C72" s="447"/>
      <c r="D72" s="464"/>
      <c r="E72" s="447"/>
      <c r="F72" s="447"/>
      <c r="G72" s="447"/>
      <c r="H72" s="447"/>
      <c r="I72" s="447"/>
      <c r="J72" s="447"/>
      <c r="K72" s="447"/>
      <c r="L72" s="447"/>
      <c r="M72" s="447"/>
      <c r="N72" s="447"/>
      <c r="O72" s="447"/>
      <c r="P72" s="447"/>
      <c r="Q72" s="447"/>
      <c r="R72" s="447"/>
      <c r="S72" s="447"/>
      <c r="T72" s="447"/>
      <c r="U72" s="447"/>
      <c r="V72" s="447"/>
      <c r="W72" s="447"/>
      <c r="X72" s="447"/>
      <c r="Y72" s="447"/>
      <c r="Z72" s="447"/>
      <c r="AA72" s="447"/>
      <c r="AB72" s="447"/>
      <c r="AC72" s="447"/>
      <c r="AD72" s="447"/>
      <c r="AE72" s="447"/>
      <c r="AF72" s="447"/>
      <c r="AG72" s="447"/>
      <c r="AH72" s="447"/>
      <c r="AI72" s="447"/>
      <c r="AJ72" s="447"/>
      <c r="AK72" s="447"/>
      <c r="AL72" s="447"/>
      <c r="AM72" s="447"/>
      <c r="AN72" s="447"/>
      <c r="AO72" s="447"/>
      <c r="AP72" s="447"/>
      <c r="AR72" s="697"/>
      <c r="AS72" s="673" t="str">
        <f ca="1">IF($AT72&lt;&gt;"",MAX(AS$50:AS71)+1,"")</f>
        <v/>
      </c>
      <c r="AT72" s="694" t="str">
        <f ca="1">IF($P34=DropDown!$N$12,L34,"")</f>
        <v/>
      </c>
      <c r="AV72" s="701">
        <v>22</v>
      </c>
      <c r="AW72" s="705" t="e">
        <f t="shared" ca="1" si="11"/>
        <v>#N/A</v>
      </c>
      <c r="AX72" s="703" t="str">
        <f t="shared" ca="1" si="12"/>
        <v/>
      </c>
      <c r="AY72" s="697"/>
      <c r="AZ72" s="673" t="str">
        <f ca="1">IF($BA72&lt;&gt;"",MAX(AZ$50:AZ71)+1,"")</f>
        <v/>
      </c>
      <c r="BA72" s="694" t="str">
        <f ca="1">IF($AH34=DropDown!$N$12,AD34,"")</f>
        <v/>
      </c>
      <c r="BC72" s="701">
        <v>22</v>
      </c>
      <c r="BD72" s="705" t="e">
        <f t="shared" ca="1" si="10"/>
        <v>#N/A</v>
      </c>
      <c r="BE72" s="703" t="str">
        <f t="shared" ca="1" si="13"/>
        <v/>
      </c>
    </row>
    <row r="73" spans="2:57" ht="30" customHeight="1">
      <c r="B73" s="447"/>
      <c r="C73" s="447"/>
      <c r="D73" s="464"/>
      <c r="E73" s="447"/>
      <c r="F73" s="447"/>
      <c r="G73" s="447"/>
      <c r="H73" s="447"/>
      <c r="I73" s="447"/>
      <c r="J73" s="447"/>
      <c r="K73" s="447"/>
      <c r="L73" s="447"/>
      <c r="M73" s="447"/>
      <c r="N73" s="447"/>
      <c r="O73" s="447"/>
      <c r="P73" s="447"/>
      <c r="Q73" s="447"/>
      <c r="R73" s="447"/>
      <c r="S73" s="447"/>
      <c r="T73" s="447"/>
      <c r="U73" s="447"/>
      <c r="V73" s="447"/>
      <c r="W73" s="447"/>
      <c r="X73" s="447"/>
      <c r="Y73" s="447"/>
      <c r="Z73" s="447"/>
      <c r="AA73" s="447"/>
      <c r="AB73" s="447"/>
      <c r="AC73" s="447"/>
      <c r="AD73" s="447"/>
      <c r="AE73" s="447"/>
      <c r="AF73" s="447"/>
      <c r="AG73" s="447"/>
      <c r="AH73" s="447"/>
      <c r="AI73" s="447"/>
      <c r="AJ73" s="447"/>
      <c r="AK73" s="447"/>
      <c r="AL73" s="447"/>
      <c r="AM73" s="447"/>
      <c r="AN73" s="447"/>
      <c r="AO73" s="447"/>
      <c r="AP73" s="447"/>
      <c r="AR73" s="697"/>
      <c r="AS73" s="673" t="str">
        <f ca="1">IF($AT73&lt;&gt;"",MAX(AS$50:AS72)+1,"")</f>
        <v/>
      </c>
      <c r="AT73" s="694" t="str">
        <f ca="1">IF($P35=DropDown!$N$12,L35,"")</f>
        <v/>
      </c>
      <c r="AV73" s="701">
        <v>23</v>
      </c>
      <c r="AW73" s="705" t="e">
        <f t="shared" ca="1" si="11"/>
        <v>#N/A</v>
      </c>
      <c r="AX73" s="703" t="str">
        <f t="shared" ca="1" si="12"/>
        <v/>
      </c>
      <c r="AY73" s="697"/>
      <c r="AZ73" s="673" t="str">
        <f ca="1">IF($BA73&lt;&gt;"",MAX(AZ$50:AZ72)+1,"")</f>
        <v/>
      </c>
      <c r="BA73" s="694" t="str">
        <f ca="1">IF($AH35=DropDown!$N$12,AD35,"")</f>
        <v/>
      </c>
      <c r="BC73" s="701">
        <v>23</v>
      </c>
      <c r="BD73" s="705" t="e">
        <f t="shared" ca="1" si="10"/>
        <v>#N/A</v>
      </c>
      <c r="BE73" s="703" t="str">
        <f t="shared" ca="1" si="13"/>
        <v/>
      </c>
    </row>
    <row r="74" spans="2:57" ht="30" customHeight="1">
      <c r="B74" s="447"/>
      <c r="C74" s="447"/>
      <c r="D74" s="464"/>
      <c r="E74" s="447"/>
      <c r="F74" s="447"/>
      <c r="G74" s="447"/>
      <c r="H74" s="447"/>
      <c r="I74" s="447"/>
      <c r="J74" s="447"/>
      <c r="K74" s="447"/>
      <c r="L74" s="447"/>
      <c r="M74" s="447"/>
      <c r="N74" s="447"/>
      <c r="O74" s="447"/>
      <c r="P74" s="447"/>
      <c r="Q74" s="447"/>
      <c r="R74" s="447"/>
      <c r="S74" s="447"/>
      <c r="T74" s="447"/>
      <c r="U74" s="447"/>
      <c r="V74" s="447"/>
      <c r="W74" s="447"/>
      <c r="X74" s="447"/>
      <c r="Y74" s="447"/>
      <c r="Z74" s="447"/>
      <c r="AA74" s="447"/>
      <c r="AB74" s="447"/>
      <c r="AC74" s="447"/>
      <c r="AD74" s="447"/>
      <c r="AE74" s="447"/>
      <c r="AF74" s="447"/>
      <c r="AG74" s="447"/>
      <c r="AH74" s="447"/>
      <c r="AI74" s="447"/>
      <c r="AJ74" s="447"/>
      <c r="AK74" s="447"/>
      <c r="AL74" s="447"/>
      <c r="AM74" s="447"/>
      <c r="AN74" s="447"/>
      <c r="AO74" s="447"/>
      <c r="AP74" s="447"/>
      <c r="AR74" s="697"/>
      <c r="AS74" s="673" t="str">
        <f ca="1">IF($AT74&lt;&gt;"",MAX(AS$50:AS73)+1,"")</f>
        <v/>
      </c>
      <c r="AT74" s="694" t="str">
        <f ca="1">IF($P36=DropDown!$N$12,L36,"")</f>
        <v/>
      </c>
      <c r="AU74" s="24"/>
      <c r="AV74" s="701">
        <v>24</v>
      </c>
      <c r="AW74" s="705" t="e">
        <f t="shared" ca="1" si="11"/>
        <v>#N/A</v>
      </c>
      <c r="AX74" s="703" t="str">
        <f t="shared" ca="1" si="12"/>
        <v/>
      </c>
      <c r="AY74" s="697"/>
      <c r="AZ74" s="673" t="str">
        <f ca="1">IF($BA74&lt;&gt;"",MAX(AZ$50:AZ73)+1,"")</f>
        <v/>
      </c>
      <c r="BA74" s="694" t="str">
        <f ca="1">IF($AH36=DropDown!$N$12,AD36,"")</f>
        <v/>
      </c>
      <c r="BB74" s="24"/>
      <c r="BC74" s="701">
        <v>24</v>
      </c>
      <c r="BD74" s="705" t="e">
        <f t="shared" ca="1" si="10"/>
        <v>#N/A</v>
      </c>
      <c r="BE74" s="703" t="str">
        <f t="shared" ca="1" si="13"/>
        <v/>
      </c>
    </row>
    <row r="75" spans="2:57" ht="30" customHeight="1">
      <c r="B75" s="447"/>
      <c r="C75" s="447"/>
      <c r="D75" s="464"/>
      <c r="E75" s="447"/>
      <c r="F75" s="447"/>
      <c r="G75" s="447"/>
      <c r="H75" s="447"/>
      <c r="I75" s="447"/>
      <c r="J75" s="447"/>
      <c r="K75" s="447"/>
      <c r="L75" s="447"/>
      <c r="M75" s="447"/>
      <c r="N75" s="447"/>
      <c r="O75" s="447"/>
      <c r="P75" s="447"/>
      <c r="Q75" s="447"/>
      <c r="R75" s="447"/>
      <c r="S75" s="447"/>
      <c r="T75" s="447"/>
      <c r="U75" s="447"/>
      <c r="V75" s="447"/>
      <c r="W75" s="447"/>
      <c r="X75" s="447"/>
      <c r="Y75" s="447"/>
      <c r="Z75" s="447"/>
      <c r="AA75" s="447"/>
      <c r="AB75" s="447"/>
      <c r="AC75" s="447"/>
      <c r="AD75" s="447"/>
      <c r="AE75" s="447"/>
      <c r="AF75" s="447"/>
      <c r="AG75" s="447"/>
      <c r="AH75" s="447"/>
      <c r="AI75" s="447"/>
      <c r="AJ75" s="447"/>
      <c r="AK75" s="447"/>
      <c r="AL75" s="447"/>
      <c r="AM75" s="447"/>
      <c r="AN75" s="447"/>
      <c r="AO75" s="447"/>
      <c r="AP75" s="447"/>
      <c r="AR75" s="697"/>
      <c r="AS75" s="673" t="str">
        <f ca="1">IF($AT75&lt;&gt;"",MAX(AS$50:AS74)+1,"")</f>
        <v/>
      </c>
      <c r="AT75" s="694" t="str">
        <f ca="1">IF($P37=DropDown!$N$12,L37,"")</f>
        <v/>
      </c>
      <c r="AV75" s="701">
        <v>25</v>
      </c>
      <c r="AW75" s="705" t="e">
        <f t="shared" ca="1" si="11"/>
        <v>#N/A</v>
      </c>
      <c r="AX75" s="703" t="str">
        <f t="shared" ca="1" si="12"/>
        <v/>
      </c>
      <c r="AY75" s="697"/>
      <c r="AZ75" s="673" t="str">
        <f ca="1">IF($BA75&lt;&gt;"",MAX(AZ$50:AZ74)+1,"")</f>
        <v/>
      </c>
      <c r="BA75" s="694" t="str">
        <f ca="1">IF($AH37=DropDown!$N$12,AD37,"")</f>
        <v/>
      </c>
      <c r="BC75" s="701">
        <v>25</v>
      </c>
      <c r="BD75" s="705" t="e">
        <f t="shared" ca="1" si="10"/>
        <v>#N/A</v>
      </c>
      <c r="BE75" s="703" t="str">
        <f t="shared" ca="1" si="13"/>
        <v/>
      </c>
    </row>
    <row r="76" spans="2:57" ht="30" customHeight="1">
      <c r="B76" s="447"/>
      <c r="C76" s="447"/>
      <c r="D76" s="464"/>
      <c r="E76" s="447"/>
      <c r="F76" s="447"/>
      <c r="G76" s="447"/>
      <c r="H76" s="447"/>
      <c r="I76" s="447"/>
      <c r="J76" s="447"/>
      <c r="K76" s="447"/>
      <c r="L76" s="447"/>
      <c r="M76" s="447"/>
      <c r="N76" s="447"/>
      <c r="O76" s="447"/>
      <c r="P76" s="447"/>
      <c r="Q76" s="447"/>
      <c r="R76" s="447"/>
      <c r="S76" s="447"/>
      <c r="T76" s="447"/>
      <c r="U76" s="447"/>
      <c r="V76" s="447"/>
      <c r="W76" s="447"/>
      <c r="X76" s="447"/>
      <c r="Y76" s="447"/>
      <c r="Z76" s="447"/>
      <c r="AA76" s="447"/>
      <c r="AB76" s="447"/>
      <c r="AC76" s="447"/>
      <c r="AD76" s="447"/>
      <c r="AE76" s="447"/>
      <c r="AF76" s="447"/>
      <c r="AG76" s="447"/>
      <c r="AH76" s="447"/>
      <c r="AI76" s="447"/>
      <c r="AJ76" s="447"/>
      <c r="AK76" s="447"/>
      <c r="AL76" s="447"/>
      <c r="AM76" s="447"/>
      <c r="AN76" s="447"/>
      <c r="AO76" s="447"/>
      <c r="AP76" s="447"/>
      <c r="AR76" s="697">
        <v>6</v>
      </c>
      <c r="AS76" s="673" t="str">
        <f ca="1">IF($AT76&lt;&gt;"",MAX(AS$50:AS75)+1,"")</f>
        <v/>
      </c>
      <c r="AT76" s="694" t="str">
        <f ca="1">IF($U33=DropDown!$N$12,R33,"")</f>
        <v/>
      </c>
      <c r="AV76" s="701">
        <v>26</v>
      </c>
      <c r="AW76" s="705" t="e">
        <f t="shared" ca="1" si="11"/>
        <v>#N/A</v>
      </c>
      <c r="AX76" s="703" t="str">
        <f t="shared" ca="1" si="12"/>
        <v/>
      </c>
      <c r="AY76" s="697">
        <v>6</v>
      </c>
      <c r="AZ76" s="673" t="str">
        <f ca="1">IF($BA76&lt;&gt;"",MAX(AZ$50:AZ75)+1,"")</f>
        <v/>
      </c>
      <c r="BA76" s="694" t="str">
        <f ca="1">IF($AM33=DropDown!$N$12,AJ33,"")</f>
        <v/>
      </c>
      <c r="BC76" s="701">
        <v>26</v>
      </c>
      <c r="BD76" s="705" t="e">
        <f t="shared" ca="1" si="10"/>
        <v>#N/A</v>
      </c>
      <c r="BE76" s="703" t="str">
        <f t="shared" ca="1" si="13"/>
        <v/>
      </c>
    </row>
    <row r="77" spans="2:57" ht="30" customHeight="1">
      <c r="B77" s="447"/>
      <c r="C77" s="447"/>
      <c r="D77" s="464"/>
      <c r="E77" s="447"/>
      <c r="F77" s="447"/>
      <c r="G77" s="447"/>
      <c r="H77" s="447"/>
      <c r="I77" s="447"/>
      <c r="J77" s="447"/>
      <c r="K77" s="447"/>
      <c r="L77" s="447"/>
      <c r="M77" s="447"/>
      <c r="N77" s="447"/>
      <c r="O77" s="447"/>
      <c r="P77" s="447"/>
      <c r="Q77" s="447"/>
      <c r="R77" s="447"/>
      <c r="S77" s="447"/>
      <c r="T77" s="447"/>
      <c r="U77" s="447"/>
      <c r="V77" s="447"/>
      <c r="W77" s="447"/>
      <c r="X77" s="447"/>
      <c r="Y77" s="447"/>
      <c r="Z77" s="447"/>
      <c r="AA77" s="447"/>
      <c r="AB77" s="447"/>
      <c r="AC77" s="447"/>
      <c r="AD77" s="447"/>
      <c r="AE77" s="447"/>
      <c r="AF77" s="447"/>
      <c r="AG77" s="447"/>
      <c r="AH77" s="447"/>
      <c r="AI77" s="447"/>
      <c r="AJ77" s="447"/>
      <c r="AK77" s="447"/>
      <c r="AL77" s="447"/>
      <c r="AM77" s="447"/>
      <c r="AN77" s="447"/>
      <c r="AO77" s="447"/>
      <c r="AP77" s="447"/>
      <c r="AR77" s="697"/>
      <c r="AS77" s="673" t="str">
        <f ca="1">IF($AT77&lt;&gt;"",MAX(AS$50:AS76)+1,"")</f>
        <v/>
      </c>
      <c r="AT77" s="694" t="str">
        <f ca="1">IF($U34=DropDown!$N$12,R34,"")</f>
        <v/>
      </c>
      <c r="AV77" s="701">
        <v>27</v>
      </c>
      <c r="AW77" s="705" t="e">
        <f t="shared" ca="1" si="11"/>
        <v>#N/A</v>
      </c>
      <c r="AX77" s="703" t="str">
        <f t="shared" ca="1" si="12"/>
        <v/>
      </c>
      <c r="AY77" s="697"/>
      <c r="AZ77" s="673" t="str">
        <f ca="1">IF($BA77&lt;&gt;"",MAX(AZ$50:AZ76)+1,"")</f>
        <v/>
      </c>
      <c r="BA77" s="694" t="str">
        <f ca="1">IF($AM34=DropDown!$N$12,AJ34,"")</f>
        <v/>
      </c>
      <c r="BC77" s="701">
        <v>27</v>
      </c>
      <c r="BD77" s="705" t="e">
        <f t="shared" ca="1" si="10"/>
        <v>#N/A</v>
      </c>
      <c r="BE77" s="703" t="str">
        <f t="shared" ca="1" si="13"/>
        <v/>
      </c>
    </row>
    <row r="78" spans="2:57" ht="30" customHeight="1">
      <c r="B78" s="447"/>
      <c r="C78" s="447"/>
      <c r="D78" s="464"/>
      <c r="E78" s="447"/>
      <c r="F78" s="447"/>
      <c r="G78" s="447"/>
      <c r="H78" s="447"/>
      <c r="I78" s="447"/>
      <c r="J78" s="447"/>
      <c r="K78" s="447"/>
      <c r="L78" s="447"/>
      <c r="M78" s="447"/>
      <c r="N78" s="447"/>
      <c r="O78" s="447"/>
      <c r="P78" s="447"/>
      <c r="Q78" s="447"/>
      <c r="R78" s="447"/>
      <c r="S78" s="447"/>
      <c r="T78" s="447"/>
      <c r="U78" s="447"/>
      <c r="V78" s="447"/>
      <c r="W78" s="447"/>
      <c r="X78" s="447"/>
      <c r="Y78" s="447"/>
      <c r="Z78" s="447"/>
      <c r="AA78" s="447"/>
      <c r="AB78" s="447"/>
      <c r="AC78" s="447"/>
      <c r="AD78" s="447"/>
      <c r="AE78" s="447"/>
      <c r="AF78" s="447"/>
      <c r="AG78" s="447"/>
      <c r="AH78" s="447"/>
      <c r="AI78" s="447"/>
      <c r="AJ78" s="447"/>
      <c r="AK78" s="447"/>
      <c r="AL78" s="447"/>
      <c r="AM78" s="447"/>
      <c r="AN78" s="447"/>
      <c r="AO78" s="447"/>
      <c r="AP78" s="447"/>
      <c r="AR78" s="697"/>
      <c r="AS78" s="673" t="str">
        <f ca="1">IF($AT78&lt;&gt;"",MAX(AS$50:AS77)+1,"")</f>
        <v/>
      </c>
      <c r="AT78" s="694" t="str">
        <f ca="1">IF($U35=DropDown!$N$12,R35,"")</f>
        <v/>
      </c>
      <c r="AU78" s="24"/>
      <c r="AV78" s="701">
        <v>28</v>
      </c>
      <c r="AW78" s="705" t="e">
        <f t="shared" ca="1" si="11"/>
        <v>#N/A</v>
      </c>
      <c r="AX78" s="703" t="str">
        <f t="shared" ca="1" si="12"/>
        <v/>
      </c>
      <c r="AY78" s="697"/>
      <c r="AZ78" s="673" t="str">
        <f ca="1">IF($BA78&lt;&gt;"",MAX(AZ$50:AZ77)+1,"")</f>
        <v/>
      </c>
      <c r="BA78" s="694" t="str">
        <f ca="1">IF($AM35=DropDown!$N$12,AJ35,"")</f>
        <v/>
      </c>
      <c r="BB78" s="24"/>
      <c r="BC78" s="701">
        <v>28</v>
      </c>
      <c r="BD78" s="705" t="e">
        <f t="shared" ca="1" si="10"/>
        <v>#N/A</v>
      </c>
      <c r="BE78" s="703" t="str">
        <f t="shared" ca="1" si="13"/>
        <v/>
      </c>
    </row>
    <row r="79" spans="2:57" ht="30" customHeight="1">
      <c r="B79" s="447"/>
      <c r="C79" s="447"/>
      <c r="D79" s="464"/>
      <c r="E79" s="447"/>
      <c r="F79" s="447"/>
      <c r="G79" s="447"/>
      <c r="H79" s="447"/>
      <c r="I79" s="447"/>
      <c r="J79" s="447"/>
      <c r="K79" s="447"/>
      <c r="L79" s="447"/>
      <c r="M79" s="447"/>
      <c r="N79" s="447"/>
      <c r="O79" s="447"/>
      <c r="P79" s="447"/>
      <c r="Q79" s="447"/>
      <c r="R79" s="447"/>
      <c r="S79" s="447"/>
      <c r="T79" s="447"/>
      <c r="U79" s="447"/>
      <c r="V79" s="447"/>
      <c r="W79" s="447"/>
      <c r="X79" s="447"/>
      <c r="Y79" s="447"/>
      <c r="Z79" s="447"/>
      <c r="AA79" s="447"/>
      <c r="AB79" s="447"/>
      <c r="AC79" s="447"/>
      <c r="AD79" s="447"/>
      <c r="AE79" s="447"/>
      <c r="AF79" s="447"/>
      <c r="AG79" s="447"/>
      <c r="AH79" s="447"/>
      <c r="AI79" s="447"/>
      <c r="AJ79" s="447"/>
      <c r="AK79" s="447"/>
      <c r="AL79" s="447"/>
      <c r="AM79" s="447"/>
      <c r="AN79" s="447"/>
      <c r="AO79" s="447"/>
      <c r="AP79" s="447"/>
      <c r="AR79" s="697"/>
      <c r="AS79" s="673" t="str">
        <f ca="1">IF($AT79&lt;&gt;"",MAX(AS$50:AS78)+1,"")</f>
        <v/>
      </c>
      <c r="AT79" s="694" t="str">
        <f ca="1">IF($U36=DropDown!$N$12,R36,"")</f>
        <v/>
      </c>
      <c r="AU79" s="363"/>
      <c r="AV79" s="701">
        <v>29</v>
      </c>
      <c r="AW79" s="705" t="e">
        <f t="shared" ca="1" si="11"/>
        <v>#N/A</v>
      </c>
      <c r="AX79" s="703" t="str">
        <f t="shared" ca="1" si="12"/>
        <v/>
      </c>
      <c r="AY79" s="697"/>
      <c r="AZ79" s="673" t="str">
        <f ca="1">IF($BA79&lt;&gt;"",MAX(AZ$50:AZ78)+1,"")</f>
        <v/>
      </c>
      <c r="BA79" s="694" t="str">
        <f ca="1">IF($AM36=DropDown!$N$12,AJ36,"")</f>
        <v/>
      </c>
      <c r="BB79" s="363"/>
      <c r="BC79" s="701">
        <v>29</v>
      </c>
      <c r="BD79" s="705" t="e">
        <f t="shared" ca="1" si="10"/>
        <v>#N/A</v>
      </c>
      <c r="BE79" s="703" t="str">
        <f t="shared" ca="1" si="13"/>
        <v/>
      </c>
    </row>
    <row r="80" spans="2:57" ht="30" customHeight="1" thickBot="1">
      <c r="B80" s="447"/>
      <c r="C80" s="447"/>
      <c r="D80" s="464"/>
      <c r="E80" s="447"/>
      <c r="F80" s="447"/>
      <c r="G80" s="447"/>
      <c r="H80" s="447"/>
      <c r="I80" s="447"/>
      <c r="J80" s="447"/>
      <c r="K80" s="447"/>
      <c r="L80" s="447"/>
      <c r="M80" s="447"/>
      <c r="N80" s="447"/>
      <c r="O80" s="447"/>
      <c r="P80" s="447"/>
      <c r="Q80" s="447"/>
      <c r="R80" s="447"/>
      <c r="S80" s="447"/>
      <c r="T80" s="447"/>
      <c r="U80" s="447"/>
      <c r="V80" s="447"/>
      <c r="W80" s="447"/>
      <c r="X80" s="447"/>
      <c r="Y80" s="447"/>
      <c r="Z80" s="447"/>
      <c r="AA80" s="447"/>
      <c r="AB80" s="447"/>
      <c r="AC80" s="447"/>
      <c r="AD80" s="447"/>
      <c r="AE80" s="447"/>
      <c r="AF80" s="447"/>
      <c r="AG80" s="447"/>
      <c r="AH80" s="447"/>
      <c r="AI80" s="447"/>
      <c r="AJ80" s="447"/>
      <c r="AK80" s="447"/>
      <c r="AL80" s="447"/>
      <c r="AM80" s="447"/>
      <c r="AN80" s="447"/>
      <c r="AO80" s="447"/>
      <c r="AP80" s="447"/>
      <c r="AR80" s="697"/>
      <c r="AS80" s="673" t="str">
        <f ca="1">IF($AT80&lt;&gt;"",MAX(AS$50:AS79)+1,"")</f>
        <v/>
      </c>
      <c r="AT80" s="694" t="str">
        <f ca="1">IF($U37=DropDown!$N$12,R37,"")</f>
        <v/>
      </c>
      <c r="AV80" s="701">
        <v>30</v>
      </c>
      <c r="AW80" s="705" t="e">
        <f t="shared" ca="1" si="11"/>
        <v>#N/A</v>
      </c>
      <c r="AX80" s="704" t="str">
        <f t="shared" ca="1" si="12"/>
        <v/>
      </c>
      <c r="AY80" s="697"/>
      <c r="AZ80" s="673" t="str">
        <f ca="1">IF($BA80&lt;&gt;"",MAX(AZ$50:AZ79)+1,"")</f>
        <v/>
      </c>
      <c r="BA80" s="694" t="str">
        <f ca="1">IF($AM37=DropDown!$N$12,AJ37,"")</f>
        <v/>
      </c>
      <c r="BC80" s="701">
        <v>30</v>
      </c>
      <c r="BD80" s="705" t="e">
        <f t="shared" ca="1" si="10"/>
        <v>#N/A</v>
      </c>
      <c r="BE80" s="704" t="str">
        <f t="shared" ca="1" si="13"/>
        <v/>
      </c>
    </row>
    <row r="81" spans="1:46" ht="30" customHeight="1">
      <c r="B81" s="447"/>
      <c r="C81" s="447"/>
      <c r="D81" s="464"/>
      <c r="E81" s="447"/>
      <c r="F81" s="447"/>
      <c r="G81" s="447"/>
      <c r="H81" s="447"/>
      <c r="I81" s="447"/>
      <c r="J81" s="447"/>
      <c r="K81" s="447"/>
      <c r="L81" s="447"/>
      <c r="M81" s="447"/>
      <c r="N81" s="447"/>
      <c r="O81" s="447"/>
      <c r="P81" s="447"/>
      <c r="Q81" s="447"/>
      <c r="R81" s="447"/>
      <c r="S81" s="447"/>
      <c r="T81" s="447"/>
      <c r="U81" s="447"/>
      <c r="V81" s="447"/>
      <c r="W81" s="447"/>
      <c r="X81" s="447"/>
      <c r="Y81" s="447"/>
      <c r="Z81" s="447"/>
      <c r="AA81" s="447"/>
      <c r="AB81" s="447"/>
      <c r="AC81" s="447"/>
      <c r="AD81" s="447"/>
      <c r="AE81" s="447"/>
      <c r="AF81" s="447"/>
      <c r="AG81" s="447"/>
      <c r="AH81" s="447"/>
      <c r="AI81" s="447"/>
      <c r="AJ81" s="447"/>
      <c r="AK81" s="447"/>
      <c r="AL81" s="447"/>
      <c r="AM81" s="447"/>
      <c r="AN81" s="447"/>
      <c r="AO81" s="447"/>
      <c r="AP81" s="447"/>
      <c r="AS81" s="700"/>
      <c r="AT81" s="427"/>
    </row>
    <row r="82" spans="1:46" ht="30" customHeight="1">
      <c r="B82" s="447"/>
      <c r="C82" s="447"/>
      <c r="D82" s="464"/>
      <c r="E82" s="447"/>
      <c r="F82" s="447"/>
      <c r="G82" s="447"/>
      <c r="H82" s="447"/>
      <c r="I82" s="447"/>
      <c r="J82" s="447"/>
      <c r="K82" s="447"/>
      <c r="L82" s="447"/>
      <c r="M82" s="447"/>
      <c r="N82" s="447"/>
      <c r="O82" s="447"/>
      <c r="P82" s="447"/>
      <c r="Q82" s="447"/>
      <c r="R82" s="447"/>
      <c r="S82" s="447"/>
      <c r="T82" s="447"/>
      <c r="U82" s="447"/>
      <c r="V82" s="447"/>
      <c r="W82" s="447"/>
      <c r="X82" s="447"/>
      <c r="Y82" s="447"/>
      <c r="Z82" s="447"/>
      <c r="AA82" s="447"/>
      <c r="AB82" s="447"/>
      <c r="AC82" s="447"/>
      <c r="AD82" s="447"/>
      <c r="AE82" s="447"/>
      <c r="AF82" s="447"/>
      <c r="AG82" s="447"/>
      <c r="AH82" s="447"/>
      <c r="AI82" s="447"/>
      <c r="AJ82" s="447"/>
      <c r="AK82" s="447"/>
      <c r="AL82" s="447"/>
      <c r="AM82" s="447"/>
      <c r="AN82" s="447"/>
      <c r="AO82" s="447"/>
      <c r="AP82" s="447"/>
      <c r="AS82" s="700"/>
      <c r="AT82" s="427"/>
    </row>
    <row r="83" spans="1:46" ht="30" customHeight="1">
      <c r="A83" s="454"/>
      <c r="B83" s="447"/>
      <c r="C83" s="447"/>
      <c r="D83" s="464"/>
      <c r="E83" s="447"/>
      <c r="F83" s="447"/>
      <c r="G83" s="447"/>
      <c r="H83" s="447"/>
      <c r="I83" s="447"/>
      <c r="J83" s="447"/>
      <c r="K83" s="447"/>
      <c r="L83" s="447"/>
      <c r="M83" s="447"/>
      <c r="N83" s="447"/>
      <c r="O83" s="447"/>
      <c r="P83" s="447"/>
      <c r="Q83" s="447"/>
      <c r="R83" s="447"/>
      <c r="S83" s="447"/>
      <c r="T83" s="447"/>
      <c r="U83" s="447"/>
      <c r="V83" s="447"/>
      <c r="W83" s="447"/>
      <c r="X83" s="447"/>
      <c r="Y83" s="447"/>
      <c r="Z83" s="447"/>
      <c r="AA83" s="447"/>
      <c r="AB83" s="447"/>
      <c r="AC83" s="447"/>
      <c r="AD83" s="447"/>
      <c r="AE83" s="447"/>
      <c r="AF83" s="447"/>
      <c r="AG83" s="447"/>
      <c r="AH83" s="447"/>
      <c r="AI83" s="447"/>
      <c r="AJ83" s="447"/>
      <c r="AK83" s="447"/>
      <c r="AL83" s="447"/>
      <c r="AM83" s="447"/>
      <c r="AN83" s="447"/>
      <c r="AO83" s="447"/>
      <c r="AP83" s="447"/>
      <c r="AS83" s="700"/>
      <c r="AT83" s="427"/>
    </row>
    <row r="84" spans="1:46" ht="9" customHeight="1">
      <c r="A84" s="454"/>
      <c r="B84" s="447"/>
      <c r="C84" s="447"/>
      <c r="D84" s="464"/>
      <c r="E84" s="447"/>
      <c r="F84" s="447"/>
      <c r="G84" s="447"/>
      <c r="H84" s="447"/>
      <c r="I84" s="447"/>
      <c r="J84" s="447"/>
      <c r="K84" s="447"/>
      <c r="L84" s="447"/>
      <c r="M84" s="447"/>
      <c r="N84" s="447"/>
      <c r="O84" s="447"/>
      <c r="P84" s="447"/>
      <c r="Q84" s="447"/>
      <c r="R84" s="447"/>
      <c r="S84" s="447"/>
      <c r="T84" s="447"/>
      <c r="U84" s="447"/>
      <c r="V84" s="447"/>
      <c r="W84" s="447"/>
      <c r="X84" s="447"/>
      <c r="Y84" s="447"/>
      <c r="Z84" s="447"/>
      <c r="AA84" s="447"/>
      <c r="AB84" s="447"/>
      <c r="AC84" s="447"/>
      <c r="AD84" s="447"/>
      <c r="AE84" s="447"/>
      <c r="AF84" s="447"/>
      <c r="AG84" s="447"/>
      <c r="AH84" s="447"/>
      <c r="AI84" s="447"/>
      <c r="AJ84" s="447"/>
      <c r="AK84" s="447"/>
      <c r="AL84" s="447"/>
      <c r="AM84" s="447"/>
      <c r="AN84" s="447"/>
      <c r="AO84" s="447"/>
      <c r="AP84" s="447"/>
      <c r="AS84" s="700"/>
      <c r="AT84" s="427"/>
    </row>
    <row r="85" spans="1:46" ht="9" customHeight="1">
      <c r="A85" s="427"/>
      <c r="B85" s="427"/>
      <c r="C85" s="427"/>
      <c r="D85" s="26"/>
      <c r="E85" s="427"/>
      <c r="F85" s="427"/>
      <c r="G85" s="427"/>
      <c r="H85" s="427"/>
      <c r="I85" s="427"/>
      <c r="J85" s="427"/>
      <c r="K85" s="427"/>
      <c r="L85" s="427"/>
      <c r="M85" s="427"/>
      <c r="N85" s="427"/>
      <c r="O85" s="427"/>
      <c r="P85" s="427"/>
      <c r="Q85" s="427"/>
      <c r="R85" s="427"/>
      <c r="S85" s="427"/>
      <c r="T85" s="427"/>
      <c r="U85" s="427"/>
      <c r="V85" s="427"/>
      <c r="W85" s="427"/>
      <c r="X85" s="427"/>
      <c r="Y85" s="427"/>
      <c r="Z85" s="427"/>
      <c r="AA85" s="427"/>
      <c r="AB85" s="427"/>
      <c r="AC85" s="427"/>
      <c r="AD85" s="427"/>
      <c r="AE85" s="427"/>
      <c r="AF85" s="427"/>
      <c r="AG85" s="427"/>
      <c r="AH85" s="427"/>
      <c r="AI85" s="427"/>
      <c r="AJ85" s="427"/>
      <c r="AK85" s="427"/>
      <c r="AL85" s="427"/>
      <c r="AM85" s="427"/>
      <c r="AN85" s="427"/>
      <c r="AO85" s="427"/>
      <c r="AS85" s="700"/>
      <c r="AT85" s="427"/>
    </row>
    <row r="86" spans="1:46" ht="30" customHeight="1">
      <c r="A86" s="427"/>
      <c r="B86" s="427"/>
      <c r="C86" s="427"/>
      <c r="D86" s="26"/>
      <c r="E86" s="427"/>
      <c r="F86" s="427"/>
      <c r="G86" s="427"/>
      <c r="H86" s="427"/>
      <c r="I86" s="427"/>
      <c r="J86" s="427"/>
      <c r="K86" s="427"/>
      <c r="L86" s="427"/>
      <c r="M86" s="427"/>
      <c r="N86" s="427"/>
      <c r="O86" s="427"/>
      <c r="P86" s="427"/>
      <c r="Q86" s="427"/>
      <c r="R86" s="427"/>
      <c r="S86" s="427"/>
      <c r="T86" s="427"/>
      <c r="U86" s="427"/>
      <c r="V86" s="427"/>
      <c r="W86" s="427"/>
      <c r="X86" s="427"/>
      <c r="Y86" s="427"/>
      <c r="Z86" s="427"/>
      <c r="AA86" s="427"/>
      <c r="AB86" s="427"/>
      <c r="AC86" s="427"/>
      <c r="AD86" s="427"/>
      <c r="AE86" s="427"/>
      <c r="AF86" s="427"/>
      <c r="AG86" s="427"/>
      <c r="AH86" s="427"/>
      <c r="AI86" s="427"/>
      <c r="AJ86" s="427"/>
      <c r="AK86" s="427"/>
      <c r="AL86" s="427"/>
      <c r="AM86" s="427"/>
      <c r="AN86" s="427"/>
      <c r="AO86" s="427"/>
      <c r="AS86" s="700"/>
      <c r="AT86" s="427"/>
    </row>
    <row r="87" spans="1:46" ht="30" customHeight="1">
      <c r="A87" s="427"/>
      <c r="B87" s="427"/>
      <c r="C87" s="427"/>
      <c r="D87" s="26"/>
      <c r="E87" s="427"/>
      <c r="F87" s="427"/>
      <c r="G87" s="427"/>
      <c r="H87" s="427"/>
      <c r="I87" s="427"/>
      <c r="J87" s="427"/>
      <c r="K87" s="427"/>
      <c r="L87" s="427"/>
      <c r="M87" s="427"/>
      <c r="N87" s="427"/>
      <c r="O87" s="427"/>
      <c r="P87" s="427"/>
      <c r="Q87" s="427"/>
      <c r="R87" s="427"/>
      <c r="S87" s="427"/>
      <c r="T87" s="427"/>
      <c r="U87" s="427"/>
      <c r="V87" s="427"/>
      <c r="W87" s="427"/>
      <c r="X87" s="427"/>
      <c r="Y87" s="427"/>
      <c r="Z87" s="427"/>
      <c r="AA87" s="427"/>
      <c r="AB87" s="427"/>
      <c r="AC87" s="427"/>
      <c r="AD87" s="427"/>
      <c r="AE87" s="427"/>
      <c r="AF87" s="427"/>
      <c r="AG87" s="427"/>
      <c r="AH87" s="427"/>
      <c r="AI87" s="427"/>
      <c r="AJ87" s="427"/>
      <c r="AK87" s="427"/>
      <c r="AL87" s="427"/>
      <c r="AM87" s="427"/>
      <c r="AN87" s="427"/>
      <c r="AO87" s="427"/>
      <c r="AS87" s="700"/>
      <c r="AT87" s="427"/>
    </row>
    <row r="88" spans="1:46" ht="42" customHeight="1">
      <c r="A88" s="427"/>
      <c r="B88" s="427"/>
      <c r="C88" s="427"/>
      <c r="D88" s="26"/>
      <c r="E88" s="427"/>
      <c r="F88" s="427"/>
      <c r="G88" s="427"/>
      <c r="H88" s="427"/>
      <c r="I88" s="427"/>
      <c r="J88" s="427"/>
      <c r="K88" s="427"/>
      <c r="L88" s="427"/>
      <c r="M88" s="427"/>
      <c r="N88" s="427"/>
      <c r="O88" s="427"/>
      <c r="P88" s="427"/>
      <c r="Q88" s="427"/>
      <c r="R88" s="427"/>
      <c r="S88" s="427"/>
      <c r="T88" s="427"/>
      <c r="U88" s="427"/>
      <c r="V88" s="427"/>
      <c r="W88" s="427"/>
      <c r="X88" s="427"/>
      <c r="Y88" s="427"/>
      <c r="Z88" s="427"/>
      <c r="AA88" s="427"/>
      <c r="AB88" s="427"/>
      <c r="AC88" s="427"/>
      <c r="AD88" s="427"/>
      <c r="AE88" s="427"/>
      <c r="AF88" s="427"/>
      <c r="AG88" s="427"/>
      <c r="AH88" s="427"/>
      <c r="AI88" s="427"/>
      <c r="AJ88" s="427"/>
      <c r="AK88" s="427"/>
      <c r="AL88" s="427"/>
      <c r="AM88" s="427"/>
      <c r="AN88" s="427"/>
      <c r="AO88" s="427"/>
      <c r="AS88" s="700"/>
      <c r="AT88" s="427"/>
    </row>
    <row r="89" spans="1:46" ht="42" customHeight="1">
      <c r="A89" s="427"/>
      <c r="B89" s="427"/>
      <c r="C89" s="427"/>
      <c r="D89" s="26"/>
      <c r="E89" s="427"/>
      <c r="F89" s="427"/>
      <c r="G89" s="427"/>
      <c r="H89" s="427"/>
      <c r="I89" s="427"/>
      <c r="J89" s="427"/>
      <c r="K89" s="427"/>
      <c r="L89" s="427"/>
      <c r="M89" s="427"/>
      <c r="N89" s="427"/>
      <c r="O89" s="427"/>
      <c r="P89" s="427"/>
      <c r="Q89" s="427"/>
      <c r="R89" s="427"/>
      <c r="S89" s="427"/>
      <c r="T89" s="427"/>
      <c r="U89" s="427"/>
      <c r="V89" s="427"/>
      <c r="W89" s="427"/>
      <c r="X89" s="427"/>
      <c r="Y89" s="427"/>
      <c r="Z89" s="427"/>
      <c r="AA89" s="427"/>
      <c r="AB89" s="427"/>
      <c r="AC89" s="427"/>
      <c r="AD89" s="427"/>
      <c r="AE89" s="427"/>
      <c r="AF89" s="427"/>
      <c r="AG89" s="427"/>
      <c r="AH89" s="427"/>
      <c r="AI89" s="427"/>
      <c r="AJ89" s="427"/>
      <c r="AK89" s="427"/>
      <c r="AL89" s="427"/>
      <c r="AM89" s="427"/>
      <c r="AN89" s="427"/>
      <c r="AO89" s="427"/>
      <c r="AS89" s="700"/>
      <c r="AT89" s="427"/>
    </row>
    <row r="90" spans="1:46" ht="42" customHeight="1">
      <c r="A90" s="427"/>
      <c r="B90" s="427"/>
      <c r="C90" s="427"/>
      <c r="D90" s="26"/>
      <c r="E90" s="427"/>
      <c r="F90" s="427"/>
      <c r="G90" s="427"/>
      <c r="H90" s="427"/>
      <c r="I90" s="427"/>
      <c r="J90" s="427"/>
      <c r="K90" s="427"/>
      <c r="L90" s="427"/>
      <c r="M90" s="427"/>
      <c r="N90" s="427"/>
      <c r="O90" s="427"/>
      <c r="P90" s="427"/>
      <c r="Q90" s="427"/>
      <c r="R90" s="427"/>
      <c r="S90" s="427"/>
      <c r="T90" s="427"/>
      <c r="U90" s="427"/>
      <c r="V90" s="427"/>
      <c r="W90" s="427"/>
      <c r="X90" s="427"/>
      <c r="Y90" s="427"/>
      <c r="Z90" s="427"/>
      <c r="AA90" s="427"/>
      <c r="AB90" s="427"/>
      <c r="AC90" s="427"/>
      <c r="AD90" s="427"/>
      <c r="AE90" s="427"/>
      <c r="AF90" s="427"/>
      <c r="AG90" s="427"/>
      <c r="AH90" s="427"/>
      <c r="AI90" s="427"/>
      <c r="AJ90" s="427"/>
      <c r="AK90" s="427"/>
      <c r="AL90" s="427"/>
      <c r="AM90" s="427"/>
      <c r="AN90" s="427"/>
      <c r="AO90" s="427"/>
      <c r="AS90" s="700"/>
      <c r="AT90" s="427"/>
    </row>
    <row r="91" spans="1:46" ht="42" customHeight="1">
      <c r="A91" s="427"/>
      <c r="B91" s="427"/>
      <c r="C91" s="427"/>
      <c r="D91" s="26"/>
      <c r="E91" s="427"/>
      <c r="F91" s="427"/>
      <c r="G91" s="427"/>
      <c r="H91" s="427"/>
      <c r="I91" s="427"/>
      <c r="J91" s="427"/>
      <c r="K91" s="427"/>
      <c r="L91" s="427"/>
      <c r="M91" s="427"/>
      <c r="N91" s="427"/>
      <c r="O91" s="427"/>
      <c r="P91" s="427"/>
      <c r="Q91" s="427"/>
      <c r="R91" s="427"/>
      <c r="S91" s="427"/>
      <c r="T91" s="427"/>
      <c r="U91" s="427"/>
      <c r="V91" s="427"/>
      <c r="W91" s="427"/>
      <c r="X91" s="427"/>
      <c r="Y91" s="427"/>
      <c r="Z91" s="427"/>
      <c r="AA91" s="427"/>
      <c r="AB91" s="427"/>
      <c r="AC91" s="427"/>
      <c r="AD91" s="427"/>
      <c r="AE91" s="427"/>
      <c r="AF91" s="427"/>
      <c r="AG91" s="427"/>
      <c r="AH91" s="427"/>
      <c r="AI91" s="427"/>
      <c r="AJ91" s="427"/>
      <c r="AK91" s="427"/>
      <c r="AL91" s="427"/>
      <c r="AM91" s="427"/>
      <c r="AN91" s="427"/>
      <c r="AO91" s="427"/>
      <c r="AS91" s="700"/>
      <c r="AT91" s="427"/>
    </row>
    <row r="92" spans="1:46" ht="42" customHeight="1">
      <c r="A92" s="427"/>
      <c r="B92" s="427"/>
      <c r="C92" s="427"/>
      <c r="D92" s="26"/>
      <c r="E92" s="427"/>
      <c r="F92" s="427"/>
      <c r="G92" s="427"/>
      <c r="H92" s="427"/>
      <c r="I92" s="427"/>
      <c r="J92" s="427"/>
      <c r="K92" s="427"/>
      <c r="L92" s="427"/>
      <c r="M92" s="427"/>
      <c r="N92" s="427"/>
      <c r="O92" s="427"/>
      <c r="P92" s="427"/>
      <c r="Q92" s="427"/>
      <c r="R92" s="427"/>
      <c r="S92" s="427"/>
      <c r="T92" s="427"/>
      <c r="U92" s="427"/>
      <c r="V92" s="427"/>
      <c r="W92" s="427"/>
      <c r="X92" s="427"/>
      <c r="Y92" s="427"/>
      <c r="Z92" s="427"/>
      <c r="AA92" s="427"/>
      <c r="AB92" s="427"/>
      <c r="AC92" s="427"/>
      <c r="AD92" s="427"/>
      <c r="AE92" s="427"/>
      <c r="AF92" s="427"/>
      <c r="AG92" s="427"/>
      <c r="AH92" s="427"/>
      <c r="AI92" s="427"/>
      <c r="AJ92" s="427"/>
      <c r="AK92" s="427"/>
      <c r="AL92" s="427"/>
      <c r="AM92" s="427"/>
      <c r="AN92" s="427"/>
      <c r="AO92" s="427"/>
      <c r="AS92" s="700"/>
      <c r="AT92" s="427"/>
    </row>
    <row r="93" spans="1:46" ht="42" customHeight="1">
      <c r="A93" s="427"/>
      <c r="B93" s="427"/>
      <c r="C93" s="427"/>
      <c r="D93" s="26"/>
      <c r="E93" s="427"/>
      <c r="F93" s="427"/>
      <c r="G93" s="427"/>
      <c r="H93" s="427"/>
      <c r="I93" s="427"/>
      <c r="J93" s="427"/>
      <c r="K93" s="427"/>
      <c r="L93" s="427"/>
      <c r="M93" s="427"/>
      <c r="N93" s="427"/>
      <c r="O93" s="427"/>
      <c r="P93" s="427"/>
      <c r="Q93" s="427"/>
      <c r="R93" s="427"/>
      <c r="S93" s="427"/>
      <c r="T93" s="427"/>
      <c r="U93" s="427"/>
      <c r="V93" s="427"/>
      <c r="W93" s="427"/>
      <c r="X93" s="427"/>
      <c r="Y93" s="427"/>
      <c r="Z93" s="427"/>
      <c r="AA93" s="427"/>
      <c r="AB93" s="427"/>
      <c r="AC93" s="427"/>
      <c r="AD93" s="427"/>
      <c r="AE93" s="427"/>
      <c r="AF93" s="427"/>
      <c r="AG93" s="427"/>
      <c r="AH93" s="427"/>
      <c r="AI93" s="427"/>
      <c r="AJ93" s="427"/>
      <c r="AK93" s="427"/>
      <c r="AL93" s="427"/>
      <c r="AM93" s="427"/>
      <c r="AN93" s="427"/>
      <c r="AO93" s="427"/>
      <c r="AS93" s="700"/>
      <c r="AT93" s="427"/>
    </row>
    <row r="94" spans="1:46" ht="42" customHeight="1">
      <c r="A94" s="427"/>
      <c r="B94" s="427"/>
      <c r="C94" s="427"/>
      <c r="D94" s="26"/>
      <c r="E94" s="427"/>
      <c r="F94" s="427"/>
      <c r="G94" s="427"/>
      <c r="H94" s="427"/>
      <c r="I94" s="427"/>
      <c r="J94" s="427"/>
      <c r="K94" s="427"/>
      <c r="L94" s="427"/>
      <c r="M94" s="427"/>
      <c r="N94" s="427"/>
      <c r="O94" s="427"/>
      <c r="P94" s="427"/>
      <c r="Q94" s="427"/>
      <c r="R94" s="427"/>
      <c r="S94" s="427"/>
      <c r="T94" s="427"/>
      <c r="U94" s="427"/>
      <c r="V94" s="427"/>
      <c r="W94" s="427"/>
      <c r="X94" s="427"/>
      <c r="Y94" s="427"/>
      <c r="Z94" s="427"/>
      <c r="AA94" s="427"/>
      <c r="AB94" s="427"/>
      <c r="AC94" s="427"/>
      <c r="AD94" s="427"/>
      <c r="AE94" s="427"/>
      <c r="AF94" s="427"/>
      <c r="AG94" s="427"/>
      <c r="AH94" s="427"/>
      <c r="AI94" s="427"/>
      <c r="AJ94" s="427"/>
      <c r="AK94" s="427"/>
      <c r="AL94" s="427"/>
      <c r="AM94" s="427"/>
      <c r="AN94" s="427"/>
      <c r="AO94" s="427"/>
      <c r="AS94" s="700"/>
      <c r="AT94" s="427"/>
    </row>
    <row r="95" spans="1:46" ht="42" customHeight="1">
      <c r="A95" s="427"/>
      <c r="B95" s="427"/>
      <c r="C95" s="427"/>
      <c r="D95" s="26"/>
      <c r="E95" s="427"/>
      <c r="F95" s="427"/>
      <c r="G95" s="427"/>
      <c r="H95" s="427"/>
      <c r="I95" s="427"/>
      <c r="J95" s="427"/>
      <c r="K95" s="427"/>
      <c r="L95" s="427"/>
      <c r="M95" s="427"/>
      <c r="N95" s="427"/>
      <c r="O95" s="427"/>
      <c r="P95" s="427"/>
      <c r="Q95" s="427"/>
      <c r="R95" s="427"/>
      <c r="S95" s="427"/>
      <c r="T95" s="427"/>
      <c r="U95" s="427"/>
      <c r="V95" s="427"/>
      <c r="W95" s="427"/>
      <c r="X95" s="427"/>
      <c r="Y95" s="427"/>
      <c r="Z95" s="427"/>
      <c r="AA95" s="427"/>
      <c r="AB95" s="427"/>
      <c r="AC95" s="427"/>
      <c r="AD95" s="427"/>
      <c r="AE95" s="427"/>
      <c r="AF95" s="427"/>
      <c r="AG95" s="427"/>
      <c r="AH95" s="427"/>
      <c r="AI95" s="427"/>
      <c r="AJ95" s="427"/>
      <c r="AK95" s="427"/>
      <c r="AL95" s="427"/>
      <c r="AM95" s="427"/>
      <c r="AN95" s="427"/>
      <c r="AO95" s="427"/>
      <c r="AS95" s="700"/>
      <c r="AT95" s="427"/>
    </row>
    <row r="96" spans="1:46" ht="42" customHeight="1">
      <c r="A96" s="427"/>
      <c r="B96" s="427"/>
      <c r="C96" s="427"/>
      <c r="D96" s="26"/>
      <c r="E96" s="427"/>
      <c r="F96" s="427"/>
      <c r="G96" s="427"/>
      <c r="H96" s="427"/>
      <c r="I96" s="427"/>
      <c r="J96" s="427"/>
      <c r="K96" s="427"/>
      <c r="L96" s="427"/>
      <c r="M96" s="427"/>
      <c r="N96" s="427"/>
      <c r="O96" s="427"/>
      <c r="P96" s="427"/>
      <c r="Q96" s="427"/>
      <c r="R96" s="427"/>
      <c r="S96" s="427"/>
      <c r="T96" s="427"/>
      <c r="U96" s="427"/>
      <c r="V96" s="427"/>
      <c r="W96" s="427"/>
      <c r="X96" s="427"/>
      <c r="Y96" s="427"/>
      <c r="Z96" s="427"/>
      <c r="AA96" s="427"/>
      <c r="AB96" s="427"/>
      <c r="AC96" s="427"/>
      <c r="AD96" s="427"/>
      <c r="AE96" s="427"/>
      <c r="AF96" s="427"/>
      <c r="AG96" s="427"/>
      <c r="AH96" s="427"/>
      <c r="AI96" s="427"/>
      <c r="AJ96" s="427"/>
      <c r="AK96" s="427"/>
      <c r="AL96" s="427"/>
      <c r="AM96" s="427"/>
      <c r="AN96" s="427"/>
      <c r="AO96" s="427"/>
      <c r="AS96" s="700"/>
      <c r="AT96" s="427"/>
    </row>
    <row r="97" spans="1:46" ht="42" customHeight="1">
      <c r="A97" s="427"/>
      <c r="B97" s="427"/>
      <c r="C97" s="427"/>
      <c r="D97" s="26"/>
      <c r="E97" s="427"/>
      <c r="F97" s="427"/>
      <c r="G97" s="427"/>
      <c r="H97" s="427"/>
      <c r="I97" s="427"/>
      <c r="J97" s="427"/>
      <c r="K97" s="427"/>
      <c r="L97" s="427"/>
      <c r="M97" s="427"/>
      <c r="N97" s="427"/>
      <c r="O97" s="427"/>
      <c r="P97" s="427"/>
      <c r="Q97" s="427"/>
      <c r="R97" s="427"/>
      <c r="S97" s="427"/>
      <c r="T97" s="427"/>
      <c r="U97" s="427"/>
      <c r="V97" s="427"/>
      <c r="W97" s="427"/>
      <c r="X97" s="427"/>
      <c r="Y97" s="427"/>
      <c r="Z97" s="427"/>
      <c r="AA97" s="427"/>
      <c r="AB97" s="427"/>
      <c r="AC97" s="427"/>
      <c r="AD97" s="427"/>
      <c r="AE97" s="427"/>
      <c r="AF97" s="427"/>
      <c r="AG97" s="427"/>
      <c r="AH97" s="427"/>
      <c r="AI97" s="427"/>
      <c r="AJ97" s="427"/>
      <c r="AK97" s="427"/>
      <c r="AL97" s="427"/>
      <c r="AM97" s="427"/>
      <c r="AN97" s="427"/>
      <c r="AO97" s="427"/>
      <c r="AS97" s="700"/>
      <c r="AT97" s="427"/>
    </row>
    <row r="98" spans="1:46" ht="42" customHeight="1">
      <c r="A98" s="427"/>
      <c r="B98" s="427"/>
      <c r="C98" s="427"/>
      <c r="D98" s="26"/>
      <c r="E98" s="427"/>
      <c r="F98" s="427"/>
      <c r="G98" s="427"/>
      <c r="H98" s="427"/>
      <c r="I98" s="427"/>
      <c r="J98" s="427"/>
      <c r="K98" s="427"/>
      <c r="L98" s="427"/>
      <c r="M98" s="427"/>
      <c r="N98" s="427"/>
      <c r="O98" s="427"/>
      <c r="P98" s="427"/>
      <c r="Q98" s="427"/>
      <c r="R98" s="427"/>
      <c r="S98" s="427"/>
      <c r="T98" s="427"/>
      <c r="U98" s="427"/>
      <c r="V98" s="427"/>
      <c r="W98" s="427"/>
      <c r="X98" s="427"/>
      <c r="Y98" s="427"/>
      <c r="Z98" s="427"/>
      <c r="AA98" s="427"/>
      <c r="AB98" s="427"/>
      <c r="AC98" s="427"/>
      <c r="AD98" s="427"/>
      <c r="AE98" s="427"/>
      <c r="AF98" s="427"/>
      <c r="AG98" s="427"/>
      <c r="AH98" s="427"/>
      <c r="AI98" s="427"/>
      <c r="AJ98" s="427"/>
      <c r="AK98" s="427"/>
      <c r="AL98" s="427"/>
      <c r="AM98" s="427"/>
      <c r="AN98" s="427"/>
      <c r="AO98" s="427"/>
      <c r="AS98" s="700"/>
      <c r="AT98" s="427"/>
    </row>
    <row r="99" spans="1:46" ht="42" customHeight="1">
      <c r="A99" s="427"/>
      <c r="B99" s="427"/>
      <c r="C99" s="427"/>
      <c r="D99" s="26"/>
      <c r="E99" s="427"/>
      <c r="F99" s="427"/>
      <c r="G99" s="427"/>
      <c r="H99" s="427"/>
      <c r="I99" s="427"/>
      <c r="J99" s="427"/>
      <c r="K99" s="427"/>
      <c r="L99" s="427"/>
      <c r="M99" s="427"/>
      <c r="N99" s="427"/>
      <c r="O99" s="427"/>
      <c r="P99" s="427"/>
      <c r="Q99" s="427"/>
      <c r="R99" s="427"/>
      <c r="S99" s="427"/>
      <c r="T99" s="427"/>
      <c r="U99" s="427"/>
      <c r="V99" s="427"/>
      <c r="W99" s="427"/>
      <c r="X99" s="427"/>
      <c r="Y99" s="427"/>
      <c r="Z99" s="427"/>
      <c r="AA99" s="427"/>
      <c r="AB99" s="427"/>
      <c r="AC99" s="427"/>
      <c r="AD99" s="427"/>
      <c r="AE99" s="427"/>
      <c r="AF99" s="427"/>
      <c r="AG99" s="427"/>
      <c r="AH99" s="427"/>
      <c r="AI99" s="427"/>
      <c r="AJ99" s="427"/>
      <c r="AK99" s="427"/>
      <c r="AL99" s="427"/>
      <c r="AM99" s="427"/>
      <c r="AN99" s="427"/>
      <c r="AO99" s="427"/>
      <c r="AS99" s="700"/>
      <c r="AT99" s="427"/>
    </row>
    <row r="100" spans="1:46" ht="42" customHeight="1">
      <c r="A100" s="427"/>
      <c r="B100" s="427"/>
      <c r="C100" s="427"/>
      <c r="D100" s="26"/>
      <c r="E100" s="427"/>
      <c r="F100" s="427"/>
      <c r="G100" s="427"/>
      <c r="H100" s="427"/>
      <c r="I100" s="427"/>
      <c r="J100" s="427"/>
      <c r="K100" s="427"/>
      <c r="L100" s="427"/>
      <c r="M100" s="427"/>
      <c r="N100" s="427"/>
      <c r="O100" s="427"/>
      <c r="P100" s="427"/>
      <c r="Q100" s="427"/>
      <c r="R100" s="427"/>
      <c r="S100" s="427"/>
      <c r="T100" s="427"/>
      <c r="U100" s="427"/>
      <c r="V100" s="427"/>
      <c r="W100" s="427"/>
      <c r="X100" s="427"/>
      <c r="Y100" s="427"/>
      <c r="Z100" s="427"/>
      <c r="AA100" s="427"/>
      <c r="AB100" s="427"/>
      <c r="AC100" s="427"/>
      <c r="AD100" s="427"/>
      <c r="AE100" s="427"/>
      <c r="AF100" s="427"/>
      <c r="AG100" s="427"/>
      <c r="AH100" s="427"/>
      <c r="AI100" s="427"/>
      <c r="AJ100" s="427"/>
      <c r="AK100" s="427"/>
      <c r="AL100" s="427"/>
      <c r="AM100" s="427"/>
      <c r="AN100" s="427"/>
      <c r="AO100" s="427"/>
    </row>
    <row r="101" spans="1:46" ht="42" customHeight="1">
      <c r="A101" s="427"/>
      <c r="B101" s="427"/>
      <c r="C101" s="427"/>
      <c r="D101" s="26"/>
      <c r="E101" s="427"/>
      <c r="F101" s="427"/>
      <c r="G101" s="427"/>
      <c r="H101" s="427"/>
      <c r="I101" s="427"/>
      <c r="J101" s="427"/>
      <c r="K101" s="427"/>
      <c r="L101" s="427"/>
      <c r="M101" s="427"/>
      <c r="N101" s="427"/>
      <c r="O101" s="427"/>
      <c r="P101" s="427"/>
      <c r="Q101" s="427"/>
      <c r="R101" s="427"/>
      <c r="S101" s="427"/>
      <c r="T101" s="427"/>
      <c r="U101" s="427"/>
      <c r="V101" s="427"/>
      <c r="W101" s="427"/>
      <c r="X101" s="427"/>
      <c r="Y101" s="427"/>
      <c r="Z101" s="427"/>
      <c r="AA101" s="427"/>
      <c r="AB101" s="427"/>
      <c r="AC101" s="427"/>
      <c r="AD101" s="427"/>
      <c r="AE101" s="427"/>
      <c r="AF101" s="427"/>
      <c r="AG101" s="427"/>
      <c r="AH101" s="427"/>
      <c r="AI101" s="427"/>
      <c r="AJ101" s="427"/>
      <c r="AK101" s="427"/>
      <c r="AL101" s="427"/>
      <c r="AM101" s="427"/>
      <c r="AN101" s="427"/>
      <c r="AO101" s="427"/>
    </row>
    <row r="102" spans="1:46" ht="42" customHeight="1">
      <c r="A102" s="427"/>
      <c r="B102" s="427"/>
      <c r="C102" s="427"/>
      <c r="D102" s="26"/>
      <c r="E102" s="427"/>
      <c r="F102" s="427"/>
      <c r="G102" s="427"/>
      <c r="H102" s="427"/>
      <c r="I102" s="427"/>
      <c r="J102" s="427"/>
      <c r="K102" s="427"/>
      <c r="L102" s="427"/>
      <c r="M102" s="427"/>
      <c r="N102" s="427"/>
      <c r="O102" s="427"/>
      <c r="P102" s="427"/>
      <c r="Q102" s="427"/>
      <c r="R102" s="427"/>
      <c r="S102" s="427"/>
      <c r="T102" s="427"/>
      <c r="U102" s="427"/>
      <c r="V102" s="427"/>
      <c r="W102" s="427"/>
      <c r="X102" s="427"/>
      <c r="Y102" s="427"/>
      <c r="Z102" s="427"/>
      <c r="AA102" s="427"/>
      <c r="AB102" s="427"/>
      <c r="AC102" s="427"/>
      <c r="AD102" s="427"/>
      <c r="AE102" s="427"/>
      <c r="AF102" s="427"/>
      <c r="AG102" s="427"/>
      <c r="AH102" s="427"/>
      <c r="AI102" s="427"/>
      <c r="AJ102" s="427"/>
      <c r="AK102" s="427"/>
      <c r="AL102" s="427"/>
      <c r="AM102" s="427"/>
      <c r="AN102" s="427"/>
      <c r="AO102" s="427"/>
    </row>
  </sheetData>
  <sheetProtection algorithmName="SHA-512" hashValue="EUmpL1IEQ9tdktjV7qSXteDlv+6Du9SVeMvj0INE5YoawM7GmD8hRqEEyYmY4BqtDZF2XkH45Dj3DNgDVy6aCQ==" saltValue="53nZo+DrWtl5zTR897RPGA==" spinCount="100000" sheet="1" formatCells="0" formatRows="0"/>
  <customSheetViews>
    <customSheetView guid="{727552C9-10E3-4948-B2AE-8FE165517887}" scale="40" showPageBreaks="1" printArea="1" view="pageBreakPreview">
      <selection activeCell="R12" sqref="R12"/>
      <pageMargins left="0.7" right="0.7" top="0.75" bottom="0.75" header="0.3" footer="0.3"/>
      <pageSetup paperSize="9" scale="30" orientation="landscape" r:id="rId1"/>
    </customSheetView>
  </customSheetViews>
  <mergeCells count="215">
    <mergeCell ref="J44:AJ45"/>
    <mergeCell ref="V4:AD4"/>
    <mergeCell ref="X65:AA65"/>
    <mergeCell ref="C14:AN14"/>
    <mergeCell ref="AE3:AO3"/>
    <mergeCell ref="AE4:AO4"/>
    <mergeCell ref="AE5:AO5"/>
    <mergeCell ref="AE6:AO6"/>
    <mergeCell ref="AE7:AO7"/>
    <mergeCell ref="AE8:AO8"/>
    <mergeCell ref="AE9:AO9"/>
    <mergeCell ref="B3:K3"/>
    <mergeCell ref="B4:K4"/>
    <mergeCell ref="B5:K5"/>
    <mergeCell ref="B6:K6"/>
    <mergeCell ref="B7:K7"/>
    <mergeCell ref="B8:K8"/>
    <mergeCell ref="B9:K9"/>
    <mergeCell ref="L3:U3"/>
    <mergeCell ref="V3:AD3"/>
    <mergeCell ref="L4:U4"/>
    <mergeCell ref="L5:U5"/>
    <mergeCell ref="L6:U6"/>
    <mergeCell ref="L7:U7"/>
    <mergeCell ref="L8:U8"/>
    <mergeCell ref="F66:I66"/>
    <mergeCell ref="J66:U66"/>
    <mergeCell ref="F67:I67"/>
    <mergeCell ref="J67:U67"/>
    <mergeCell ref="L9:U9"/>
    <mergeCell ref="AB49:AM49"/>
    <mergeCell ref="V5:AD5"/>
    <mergeCell ref="V6:AD6"/>
    <mergeCell ref="V7:AD7"/>
    <mergeCell ref="V8:AD8"/>
    <mergeCell ref="V9:AD9"/>
    <mergeCell ref="X67:AA67"/>
    <mergeCell ref="AB67:AM67"/>
    <mergeCell ref="X66:AA66"/>
    <mergeCell ref="AB66:AM66"/>
    <mergeCell ref="X63:AA63"/>
    <mergeCell ref="AB63:AM63"/>
    <mergeCell ref="X64:AA64"/>
    <mergeCell ref="AB64:AM64"/>
    <mergeCell ref="AD42:AI42"/>
    <mergeCell ref="AB65:AM65"/>
    <mergeCell ref="F50:I50"/>
    <mergeCell ref="X46:AM46"/>
    <mergeCell ref="X49:AA49"/>
    <mergeCell ref="F64:I64"/>
    <mergeCell ref="J64:U64"/>
    <mergeCell ref="F65:I65"/>
    <mergeCell ref="J65:U65"/>
    <mergeCell ref="X36:AA36"/>
    <mergeCell ref="X37:AA37"/>
    <mergeCell ref="L37:O37"/>
    <mergeCell ref="J58:U58"/>
    <mergeCell ref="J59:U59"/>
    <mergeCell ref="J60:U60"/>
    <mergeCell ref="J61:U61"/>
    <mergeCell ref="J62:U62"/>
    <mergeCell ref="F57:I57"/>
    <mergeCell ref="F51:I51"/>
    <mergeCell ref="F54:I54"/>
    <mergeCell ref="F58:I58"/>
    <mergeCell ref="F59:I59"/>
    <mergeCell ref="F60:I60"/>
    <mergeCell ref="F55:I55"/>
    <mergeCell ref="F56:I56"/>
    <mergeCell ref="F52:I52"/>
    <mergeCell ref="J49:U49"/>
    <mergeCell ref="J50:U50"/>
    <mergeCell ref="C44:G45"/>
    <mergeCell ref="C31:C42"/>
    <mergeCell ref="J51:U51"/>
    <mergeCell ref="F63:I63"/>
    <mergeCell ref="J63:U63"/>
    <mergeCell ref="F36:I36"/>
    <mergeCell ref="X53:AA53"/>
    <mergeCell ref="X42:AC42"/>
    <mergeCell ref="AB52:AM52"/>
    <mergeCell ref="J48:U48"/>
    <mergeCell ref="J47:U47"/>
    <mergeCell ref="AB47:AM47"/>
    <mergeCell ref="X48:AA48"/>
    <mergeCell ref="AB48:AM48"/>
    <mergeCell ref="F46:U46"/>
    <mergeCell ref="F48:I48"/>
    <mergeCell ref="F49:I49"/>
    <mergeCell ref="X51:AA51"/>
    <mergeCell ref="AB51:AM51"/>
    <mergeCell ref="F62:I62"/>
    <mergeCell ref="X57:AA57"/>
    <mergeCell ref="AB57:AM57"/>
    <mergeCell ref="X59:AA59"/>
    <mergeCell ref="AB59:AM59"/>
    <mergeCell ref="AJ42:AM42"/>
    <mergeCell ref="X50:AA50"/>
    <mergeCell ref="X61:AA61"/>
    <mergeCell ref="X19:AA19"/>
    <mergeCell ref="AD19:AG19"/>
    <mergeCell ref="AD20:AG20"/>
    <mergeCell ref="F35:I35"/>
    <mergeCell ref="L23:O23"/>
    <mergeCell ref="L33:O33"/>
    <mergeCell ref="L34:O34"/>
    <mergeCell ref="L35:O35"/>
    <mergeCell ref="R29:U29"/>
    <mergeCell ref="X23:AA23"/>
    <mergeCell ref="X33:AA33"/>
    <mergeCell ref="X34:AA34"/>
    <mergeCell ref="X35:AA35"/>
    <mergeCell ref="R32:T32"/>
    <mergeCell ref="J55:U55"/>
    <mergeCell ref="J56:U56"/>
    <mergeCell ref="F61:I61"/>
    <mergeCell ref="F53:I53"/>
    <mergeCell ref="J53:U53"/>
    <mergeCell ref="J54:U54"/>
    <mergeCell ref="AB50:AM50"/>
    <mergeCell ref="F32:I32"/>
    <mergeCell ref="L32:O32"/>
    <mergeCell ref="R31:U31"/>
    <mergeCell ref="F29:J29"/>
    <mergeCell ref="L29:P29"/>
    <mergeCell ref="F31:J31"/>
    <mergeCell ref="L31:P31"/>
    <mergeCell ref="F20:I20"/>
    <mergeCell ref="F21:I21"/>
    <mergeCell ref="F22:I22"/>
    <mergeCell ref="X62:AA62"/>
    <mergeCell ref="X58:AA58"/>
    <mergeCell ref="AB62:AM62"/>
    <mergeCell ref="AB53:AM53"/>
    <mergeCell ref="X54:AA54"/>
    <mergeCell ref="AB54:AM54"/>
    <mergeCell ref="X55:AA55"/>
    <mergeCell ref="AB55:AM55"/>
    <mergeCell ref="X56:AA56"/>
    <mergeCell ref="AB58:AM58"/>
    <mergeCell ref="AB56:AM56"/>
    <mergeCell ref="X60:AA60"/>
    <mergeCell ref="AB60:AM60"/>
    <mergeCell ref="X18:AC18"/>
    <mergeCell ref="AD18:AI18"/>
    <mergeCell ref="F42:J42"/>
    <mergeCell ref="L42:P42"/>
    <mergeCell ref="R42:U42"/>
    <mergeCell ref="AB61:AM61"/>
    <mergeCell ref="J57:U57"/>
    <mergeCell ref="L36:O36"/>
    <mergeCell ref="R36:T36"/>
    <mergeCell ref="AD32:AH32"/>
    <mergeCell ref="X32:AB32"/>
    <mergeCell ref="F34:I34"/>
    <mergeCell ref="AJ34:AL34"/>
    <mergeCell ref="R37:T37"/>
    <mergeCell ref="X52:AA52"/>
    <mergeCell ref="J52:U52"/>
    <mergeCell ref="AJ32:AM32"/>
    <mergeCell ref="F19:I19"/>
    <mergeCell ref="L19:O19"/>
    <mergeCell ref="AD33:AG33"/>
    <mergeCell ref="AD34:AG34"/>
    <mergeCell ref="L20:O20"/>
    <mergeCell ref="L21:O21"/>
    <mergeCell ref="L22:O22"/>
    <mergeCell ref="AJ33:AL33"/>
    <mergeCell ref="F23:I23"/>
    <mergeCell ref="AJ31:AM31"/>
    <mergeCell ref="X31:AC31"/>
    <mergeCell ref="AD31:AI31"/>
    <mergeCell ref="AB12:AE12"/>
    <mergeCell ref="Y12:AA12"/>
    <mergeCell ref="W12:X12"/>
    <mergeCell ref="I12:V12"/>
    <mergeCell ref="AJ19:AL19"/>
    <mergeCell ref="AJ20:AL20"/>
    <mergeCell ref="AJ21:AL21"/>
    <mergeCell ref="AJ22:AL22"/>
    <mergeCell ref="AJ23:AL23"/>
    <mergeCell ref="R23:T23"/>
    <mergeCell ref="X20:AA20"/>
    <mergeCell ref="X21:AA21"/>
    <mergeCell ref="X22:AA22"/>
    <mergeCell ref="AJ18:AM18"/>
    <mergeCell ref="AF12:AO12"/>
    <mergeCell ref="W16:AO16"/>
    <mergeCell ref="R18:U18"/>
    <mergeCell ref="L18:P18"/>
    <mergeCell ref="F18:J18"/>
    <mergeCell ref="X29:AC29"/>
    <mergeCell ref="AD29:AI29"/>
    <mergeCell ref="AD21:AG21"/>
    <mergeCell ref="AD22:AG22"/>
    <mergeCell ref="AD23:AG23"/>
    <mergeCell ref="D18:D29"/>
    <mergeCell ref="F16:U16"/>
    <mergeCell ref="AJ36:AL36"/>
    <mergeCell ref="AJ37:AL37"/>
    <mergeCell ref="AJ35:AL35"/>
    <mergeCell ref="AD35:AG35"/>
    <mergeCell ref="AD36:AG36"/>
    <mergeCell ref="AD37:AG37"/>
    <mergeCell ref="R33:T33"/>
    <mergeCell ref="R34:T34"/>
    <mergeCell ref="R35:T35"/>
    <mergeCell ref="F37:I37"/>
    <mergeCell ref="D31:D42"/>
    <mergeCell ref="R19:T19"/>
    <mergeCell ref="R20:T20"/>
    <mergeCell ref="R21:T21"/>
    <mergeCell ref="R22:T22"/>
    <mergeCell ref="AJ29:AM29"/>
    <mergeCell ref="F33:I33"/>
  </mergeCells>
  <phoneticPr fontId="198" type="noConversion"/>
  <conditionalFormatting sqref="AO32 J19:J23 P19:P23 P33:P37 U19:U23 U33:U37 AB19:AB23 AB33:AB37 AH19:AH23 AH33:AH37 AM19:AM23 AM33:AM37">
    <cfRule type="containsText" dxfId="1912" priority="50" operator="containsText" text="Yes">
      <formula>NOT(ISERROR(SEARCH("Yes",J19)))</formula>
    </cfRule>
    <cfRule type="containsText" dxfId="1911" priority="52" operator="containsText" text="No">
      <formula>NOT(ISERROR(SEARCH("No",J19)))</formula>
    </cfRule>
  </conditionalFormatting>
  <conditionalFormatting sqref="P32">
    <cfRule type="containsText" dxfId="1910" priority="13" operator="containsText" text="Yes">
      <formula>NOT(ISERROR(SEARCH("Yes",P32)))</formula>
    </cfRule>
    <cfRule type="containsText" dxfId="1909" priority="14" operator="containsText" text="No">
      <formula>NOT(ISERROR(SEARCH("No",P32)))</formula>
    </cfRule>
  </conditionalFormatting>
  <conditionalFormatting sqref="U32">
    <cfRule type="containsText" dxfId="1908" priority="11" operator="containsText" text="Yes">
      <formula>NOT(ISERROR(SEARCH("Yes",U32)))</formula>
    </cfRule>
    <cfRule type="containsText" dxfId="1907" priority="12" operator="containsText" text="No">
      <formula>NOT(ISERROR(SEARCH("No",U32)))</formula>
    </cfRule>
  </conditionalFormatting>
  <conditionalFormatting sqref="J33:J37">
    <cfRule type="containsText" dxfId="1906" priority="3" operator="containsText" text="Yes">
      <formula>NOT(ISERROR(SEARCH("Yes",J33)))</formula>
    </cfRule>
    <cfRule type="containsText" dxfId="1905" priority="4" operator="containsText" text="No">
      <formula>NOT(ISERROR(SEARCH("No",J33)))</formula>
    </cfRule>
  </conditionalFormatting>
  <conditionalFormatting sqref="J19:J23 P19:P23 U19:U23 AB19:AB23 AH19:AH23 AM19:AM23 J33:J37 P33:P37 U33:U37 AB33:AB37 AH33:AH37 AM33:AM37">
    <cfRule type="containsText" dxfId="1904" priority="1" operator="containsText" text="Nein">
      <formula>NOT(ISERROR(SEARCH("Nein",J19)))</formula>
    </cfRule>
    <cfRule type="containsText" dxfId="1903" priority="2" operator="containsText" text="Ja">
      <formula>NOT(ISERROR(SEARCH("Ja",J19)))</formula>
    </cfRule>
  </conditionalFormatting>
  <pageMargins left="0.25" right="0.25" top="0.75" bottom="0.75" header="0.3" footer="0.3"/>
  <pageSetup paperSize="9" scale="30" orientation="landscape" r:id="rId2"/>
  <drawing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14:formula1>
            <xm:f>DropDown!$N$11:$N$12</xm:f>
          </x14:formula1>
          <xm:sqref>AH19:AH23 J19:J23 P19:P23 U19:U23 AB19:AB23 U33:U37 P33:P37 AH33:AH37 AM33:AM37 AB33:AB37 AN24:AN28 AM19:AN23 AN32:AN41 J33:J37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DJ106"/>
  <sheetViews>
    <sheetView view="pageBreakPreview" topLeftCell="A5" zoomScale="70" zoomScaleNormal="80" zoomScaleSheetLayoutView="70" zoomScalePageLayoutView="25" workbookViewId="0">
      <selection activeCell="I3" sqref="I3:S3"/>
    </sheetView>
  </sheetViews>
  <sheetFormatPr defaultColWidth="12.5546875" defaultRowHeight="13.8"/>
  <cols>
    <col min="1" max="1" width="1.44140625" style="148" customWidth="1"/>
    <col min="2" max="3" width="1.6640625" style="148" customWidth="1"/>
    <col min="4" max="5" width="1" style="148" customWidth="1"/>
    <col min="6" max="6" width="3.44140625" style="148" customWidth="1"/>
    <col min="7" max="7" width="5.33203125" style="148" customWidth="1"/>
    <col min="8" max="8" width="7.5546875" style="148" customWidth="1"/>
    <col min="9" max="9" width="22.6640625" style="148" customWidth="1"/>
    <col min="10" max="11" width="10.6640625" style="148" customWidth="1"/>
    <col min="12" max="14" width="7.44140625" style="148" customWidth="1"/>
    <col min="15" max="16" width="10.6640625" style="148" customWidth="1"/>
    <col min="17" max="19" width="7.33203125" style="148" customWidth="1"/>
    <col min="20" max="23" width="5.6640625" style="148" customWidth="1"/>
    <col min="24" max="25" width="7.6640625" style="148" customWidth="1"/>
    <col min="26" max="27" width="10.6640625" style="148" customWidth="1"/>
    <col min="28" max="28" width="15" style="148" customWidth="1"/>
    <col min="29" max="29" width="12.6640625" style="148" customWidth="1"/>
    <col min="30" max="30" width="15.6640625" style="148" customWidth="1"/>
    <col min="31" max="31" width="5.5546875" style="148" customWidth="1"/>
    <col min="32" max="33" width="10.6640625" style="148" customWidth="1"/>
    <col min="34" max="35" width="8.33203125" style="148" customWidth="1"/>
    <col min="36" max="36" width="15.6640625" style="148" customWidth="1"/>
    <col min="37" max="38" width="1.6640625" style="148" customWidth="1"/>
    <col min="39" max="39" width="4.5546875" style="148" hidden="1" customWidth="1"/>
    <col min="40" max="40" width="4.88671875" style="148" hidden="1" customWidth="1"/>
    <col min="41" max="41" width="6" style="148" hidden="1" customWidth="1"/>
    <col min="42" max="42" width="5.44140625" style="148" hidden="1" customWidth="1"/>
    <col min="43" max="43" width="6.88671875" style="148" hidden="1" customWidth="1"/>
    <col min="44" max="44" width="5.33203125" style="355" hidden="1" customWidth="1"/>
    <col min="45" max="45" width="5.44140625" style="355" hidden="1" customWidth="1"/>
    <col min="46" max="53" width="6.88671875" style="148" hidden="1" customWidth="1"/>
    <col min="54" max="54" width="6.5546875" style="355" hidden="1" customWidth="1"/>
    <col min="55" max="55" width="6.88671875" style="148" hidden="1" customWidth="1"/>
    <col min="56" max="56" width="7.6640625" style="148" hidden="1" customWidth="1"/>
    <col min="57" max="57" width="6.88671875" style="148" hidden="1" customWidth="1"/>
    <col min="58" max="58" width="7.33203125" style="148" hidden="1" customWidth="1"/>
    <col min="59" max="60" width="7" style="148" hidden="1" customWidth="1"/>
    <col min="61" max="61" width="7.44140625" style="148" hidden="1" customWidth="1"/>
    <col min="62" max="62" width="7" style="148" hidden="1" customWidth="1"/>
    <col min="63" max="63" width="16.5546875" style="148" hidden="1" customWidth="1"/>
    <col min="64" max="64" width="12.109375" style="148" hidden="1" customWidth="1"/>
    <col min="65" max="65" width="13" style="148" hidden="1" customWidth="1"/>
    <col min="66" max="66" width="13.44140625" style="148" hidden="1" customWidth="1"/>
    <col min="67" max="67" width="5.88671875" style="148" hidden="1" customWidth="1"/>
    <col min="68" max="68" width="8.6640625" style="148" hidden="1" customWidth="1"/>
    <col min="69" max="69" width="14" style="148" hidden="1" customWidth="1"/>
    <col min="70" max="70" width="16.88671875" style="148" hidden="1" customWidth="1"/>
    <col min="71" max="71" width="7.5546875" style="148" hidden="1" customWidth="1"/>
    <col min="72" max="73" width="12" style="148" hidden="1" customWidth="1"/>
    <col min="74" max="74" width="4.88671875" style="148" hidden="1" customWidth="1"/>
    <col min="75" max="75" width="7.88671875" style="148" hidden="1" customWidth="1"/>
    <col min="76" max="76" width="19.88671875" style="148" hidden="1" customWidth="1"/>
    <col min="77" max="77" width="29.5546875" style="148" hidden="1" customWidth="1"/>
    <col min="78" max="79" width="13.44140625" style="148" hidden="1" customWidth="1"/>
    <col min="80" max="80" width="13.33203125" style="148" hidden="1" customWidth="1"/>
    <col min="81" max="82" width="12" style="148" hidden="1" customWidth="1"/>
    <col min="83" max="86" width="9.6640625" style="148" hidden="1" customWidth="1"/>
    <col min="87" max="87" width="9.6640625" style="148" customWidth="1"/>
    <col min="88" max="88" width="13" style="148" customWidth="1"/>
    <col min="89" max="89" width="15.44140625" style="148" customWidth="1"/>
    <col min="90" max="90" width="9.6640625" style="148" customWidth="1"/>
    <col min="91" max="91" width="10.109375" style="148" customWidth="1"/>
    <col min="92" max="92" width="5.33203125" style="148" customWidth="1"/>
    <col min="93" max="114" width="9.6640625" style="148" customWidth="1"/>
    <col min="115" max="267" width="10.33203125" style="148" customWidth="1"/>
    <col min="268" max="16384" width="12.5546875" style="148"/>
  </cols>
  <sheetData>
    <row r="1" spans="1:114" ht="41.4" hidden="1">
      <c r="A1" s="147"/>
      <c r="B1" s="746"/>
      <c r="C1" s="747"/>
      <c r="D1" s="747"/>
      <c r="E1" s="747"/>
      <c r="F1" s="747"/>
      <c r="G1" s="747"/>
      <c r="H1" s="747"/>
      <c r="I1" s="747"/>
      <c r="J1" s="747"/>
      <c r="K1" s="747"/>
      <c r="L1" s="747"/>
      <c r="M1" s="748" t="str">
        <f ca="1">INDIRECT('D1-D2-D3'!$J$4&amp;"!C224")</f>
        <v>AP-team leader</v>
      </c>
      <c r="N1" s="747"/>
      <c r="O1" s="747"/>
      <c r="P1" s="747"/>
      <c r="Q1" s="747"/>
      <c r="R1" s="747"/>
      <c r="S1" s="747"/>
      <c r="T1" s="747"/>
      <c r="U1" s="747"/>
      <c r="V1" s="747"/>
      <c r="W1" s="747"/>
      <c r="X1" s="747"/>
      <c r="Y1" s="747"/>
      <c r="Z1" s="747"/>
      <c r="AA1" s="747"/>
      <c r="AB1" s="747"/>
      <c r="AC1" s="747"/>
      <c r="AD1" s="747"/>
      <c r="AE1" s="747"/>
      <c r="AF1" s="747"/>
      <c r="AG1" s="747"/>
      <c r="AH1" s="747"/>
      <c r="AI1" s="747"/>
      <c r="AJ1" s="747"/>
      <c r="AK1" s="749"/>
      <c r="AL1" s="750"/>
    </row>
    <row r="2" spans="1:114" ht="5.25" customHeight="1" thickBot="1">
      <c r="A2" s="149"/>
      <c r="B2" s="751"/>
      <c r="C2" s="752"/>
      <c r="D2" s="752"/>
      <c r="E2" s="752"/>
      <c r="F2" s="752"/>
      <c r="G2" s="752"/>
      <c r="H2" s="752"/>
      <c r="I2" s="752"/>
      <c r="J2" s="752"/>
      <c r="K2" s="752"/>
      <c r="L2" s="752"/>
      <c r="M2" s="752"/>
      <c r="N2" s="752"/>
      <c r="O2" s="752"/>
      <c r="P2" s="752"/>
      <c r="Q2" s="752"/>
      <c r="R2" s="752"/>
      <c r="S2" s="752"/>
      <c r="T2" s="752"/>
      <c r="U2" s="752"/>
      <c r="V2" s="752"/>
      <c r="W2" s="752"/>
      <c r="X2" s="752"/>
      <c r="Y2" s="752"/>
      <c r="Z2" s="752"/>
      <c r="AA2" s="752"/>
      <c r="AB2" s="752"/>
      <c r="AC2" s="752"/>
      <c r="AD2" s="752"/>
      <c r="AE2" s="752"/>
      <c r="AF2" s="752"/>
      <c r="AG2" s="752"/>
      <c r="AH2" s="752"/>
      <c r="AI2" s="752"/>
      <c r="AJ2" s="752"/>
      <c r="AK2" s="580"/>
      <c r="AL2" s="505"/>
    </row>
    <row r="3" spans="1:114" ht="39" customHeight="1" thickBot="1">
      <c r="A3" s="147"/>
      <c r="B3" s="150"/>
      <c r="C3" s="151"/>
      <c r="D3" s="151"/>
      <c r="E3" s="152"/>
      <c r="F3" s="152"/>
      <c r="G3" s="152"/>
      <c r="H3" s="152"/>
      <c r="I3" s="1544" t="str">
        <f ca="1">INDIRECT('D1-D2-D3'!$J$4&amp;"!C2")&amp;"
"&amp;INDIRECT('D1-D2-D3'!$J$4&amp;"!C145")</f>
        <v>PROBLEM SOLVING SHEET
D4 - Root cause analysis</v>
      </c>
      <c r="J3" s="1545"/>
      <c r="K3" s="1545"/>
      <c r="L3" s="1545"/>
      <c r="M3" s="1545"/>
      <c r="N3" s="1545"/>
      <c r="O3" s="1545"/>
      <c r="P3" s="1545"/>
      <c r="Q3" s="1545"/>
      <c r="R3" s="1545"/>
      <c r="S3" s="1546"/>
      <c r="T3" s="1540" t="str">
        <f ca="1">INDIRECT('D1-D2-D3'!$J$4&amp;"!C3")</f>
        <v>PSS No.</v>
      </c>
      <c r="U3" s="1541"/>
      <c r="V3" s="1547">
        <f>'D1-D2-D3'!AI4</f>
        <v>0</v>
      </c>
      <c r="W3" s="1548"/>
      <c r="X3" s="1549"/>
      <c r="Y3" s="1537" t="s">
        <v>454</v>
      </c>
      <c r="Z3" s="1538"/>
      <c r="AA3" s="1538"/>
      <c r="AB3" s="1538"/>
      <c r="AC3" s="1538"/>
      <c r="AD3" s="1539"/>
      <c r="AE3" s="1535" t="str">
        <f ca="1">INDIRECT('D1-D2-D3'!$J$4&amp;"!C143")</f>
        <v>Page 4:  D4-D5-D6</v>
      </c>
      <c r="AF3" s="1536"/>
      <c r="AG3" s="1536"/>
      <c r="AH3" s="1536"/>
      <c r="AI3" s="1536"/>
      <c r="AJ3" s="1536"/>
      <c r="AK3" s="513"/>
      <c r="AL3" s="514"/>
    </row>
    <row r="4" spans="1:114" ht="6" customHeight="1">
      <c r="B4" s="154"/>
      <c r="C4" s="155"/>
      <c r="D4" s="155"/>
      <c r="E4" s="156"/>
      <c r="F4" s="156"/>
      <c r="G4" s="157"/>
      <c r="H4" s="157"/>
      <c r="I4" s="157"/>
      <c r="J4" s="157"/>
      <c r="K4" s="157"/>
      <c r="L4" s="157"/>
      <c r="M4" s="157"/>
      <c r="N4" s="157"/>
      <c r="O4" s="157"/>
      <c r="P4" s="157"/>
      <c r="Q4" s="157"/>
      <c r="R4" s="157"/>
      <c r="S4" s="157"/>
      <c r="T4" s="157"/>
      <c r="U4" s="157"/>
      <c r="V4" s="157"/>
      <c r="W4" s="157"/>
      <c r="X4" s="157"/>
      <c r="Y4" s="157"/>
      <c r="Z4" s="158"/>
      <c r="AA4" s="772"/>
      <c r="AB4" s="158"/>
      <c r="AC4" s="158"/>
      <c r="AD4" s="158"/>
      <c r="AE4" s="153"/>
      <c r="AF4" s="153"/>
      <c r="AG4" s="153"/>
      <c r="AH4" s="153"/>
      <c r="AI4" s="153"/>
      <c r="AJ4" s="153"/>
      <c r="AK4" s="153"/>
      <c r="AL4" s="505"/>
    </row>
    <row r="5" spans="1:114" ht="6" customHeight="1">
      <c r="B5" s="504"/>
      <c r="C5" s="715"/>
      <c r="D5" s="715"/>
      <c r="E5" s="715"/>
      <c r="F5" s="715"/>
      <c r="G5" s="160"/>
      <c r="H5" s="173"/>
      <c r="I5" s="160"/>
      <c r="J5" s="160"/>
      <c r="K5" s="160"/>
      <c r="L5" s="160"/>
      <c r="M5" s="160"/>
      <c r="N5" s="160"/>
      <c r="O5" s="160"/>
      <c r="P5" s="160"/>
      <c r="Q5" s="160"/>
      <c r="R5" s="160"/>
      <c r="S5" s="160"/>
      <c r="T5" s="160"/>
      <c r="U5" s="160"/>
      <c r="V5" s="160"/>
      <c r="W5" s="160"/>
      <c r="X5" s="173"/>
      <c r="Y5" s="603"/>
      <c r="Z5" s="173"/>
      <c r="AA5" s="773"/>
      <c r="AB5" s="173"/>
      <c r="AC5" s="495"/>
      <c r="AD5" s="495"/>
      <c r="AE5" s="495"/>
      <c r="AF5" s="173"/>
      <c r="AG5" s="730"/>
      <c r="AH5" s="730"/>
      <c r="AI5" s="730"/>
      <c r="AJ5" s="730"/>
      <c r="AK5" s="730"/>
      <c r="AL5" s="753"/>
    </row>
    <row r="6" spans="1:114" ht="27.9" customHeight="1">
      <c r="A6" s="159"/>
      <c r="B6" s="770" t="str">
        <f ca="1">INDIRECT('D1-D2-D3'!$J$4&amp;"!C145")</f>
        <v>D4 - Root cause analysis</v>
      </c>
      <c r="C6" s="715"/>
      <c r="D6" s="715"/>
      <c r="E6" s="715"/>
      <c r="F6" s="715"/>
      <c r="G6" s="173"/>
      <c r="H6" s="160"/>
      <c r="I6" s="160"/>
      <c r="J6" s="161"/>
      <c r="K6" s="727" t="str">
        <f ca="1">INDIRECT('D1-D2-D3'!$J$4&amp;"!C68")</f>
        <v>Status</v>
      </c>
      <c r="L6" s="1552"/>
      <c r="M6" s="1553"/>
      <c r="N6" s="1554"/>
      <c r="O6" s="162"/>
      <c r="P6" s="735" t="str">
        <f ca="1">INDIRECT('D1-D2-D3'!$J$4&amp;"!C69")</f>
        <v>Date</v>
      </c>
      <c r="Q6" s="1559"/>
      <c r="R6" s="1560"/>
      <c r="S6" s="1561"/>
      <c r="T6" s="173"/>
      <c r="U6" s="173"/>
      <c r="V6" s="173"/>
      <c r="W6" s="161"/>
      <c r="X6" s="173"/>
      <c r="Y6" s="173"/>
      <c r="Z6" s="173"/>
      <c r="AA6" s="774"/>
      <c r="AB6" s="1565" t="str">
        <f ca="1">INDIRECT('D1-D2-D3'!$J$4&amp;"!C161")</f>
        <v>D5 - Corrective Action(s)</v>
      </c>
      <c r="AC6" s="1566"/>
      <c r="AD6" s="1566"/>
      <c r="AE6" s="1566"/>
      <c r="AF6" s="1582" t="str">
        <f ca="1">INDIRECT('D1-D2-D3'!$J$4&amp;"!C162")</f>
        <v>D6 - Implementation of permanent corrective action(s)</v>
      </c>
      <c r="AG6" s="1582"/>
      <c r="AH6" s="1582"/>
      <c r="AI6" s="1582"/>
      <c r="AJ6" s="1582"/>
      <c r="AK6" s="1582"/>
      <c r="AL6" s="753"/>
    </row>
    <row r="7" spans="1:114" ht="12.75" customHeight="1">
      <c r="A7" s="159"/>
      <c r="B7" s="754"/>
      <c r="C7" s="715"/>
      <c r="D7" s="715"/>
      <c r="E7" s="715"/>
      <c r="F7" s="715"/>
      <c r="G7" s="173"/>
      <c r="H7" s="160"/>
      <c r="I7" s="160"/>
      <c r="J7" s="161"/>
      <c r="K7" s="161"/>
      <c r="L7" s="496"/>
      <c r="M7" s="737"/>
      <c r="N7" s="737"/>
      <c r="O7" s="162"/>
      <c r="P7" s="349"/>
      <c r="Q7" s="163"/>
      <c r="R7" s="163"/>
      <c r="S7" s="497"/>
      <c r="T7" s="861"/>
      <c r="U7" s="861"/>
      <c r="V7" s="861"/>
      <c r="W7" s="161"/>
      <c r="X7" s="603"/>
      <c r="Y7" s="603"/>
      <c r="Z7" s="603"/>
      <c r="AA7" s="773"/>
      <c r="AB7" s="1565"/>
      <c r="AC7" s="1566"/>
      <c r="AD7" s="1566"/>
      <c r="AE7" s="1566"/>
      <c r="AF7" s="1582"/>
      <c r="AG7" s="1582"/>
      <c r="AH7" s="1582"/>
      <c r="AI7" s="1582"/>
      <c r="AJ7" s="1582"/>
      <c r="AK7" s="1582"/>
      <c r="AL7" s="753"/>
    </row>
    <row r="8" spans="1:114" ht="6" customHeight="1">
      <c r="A8" s="149"/>
      <c r="B8" s="215"/>
      <c r="C8" s="715"/>
      <c r="D8" s="715"/>
      <c r="E8" s="715"/>
      <c r="F8" s="715"/>
      <c r="G8" s="715"/>
      <c r="H8" s="715"/>
      <c r="I8" s="715"/>
      <c r="J8" s="715"/>
      <c r="K8" s="715"/>
      <c r="L8" s="715"/>
      <c r="M8" s="715"/>
      <c r="N8" s="715"/>
      <c r="O8" s="715"/>
      <c r="P8" s="715"/>
      <c r="Q8" s="715"/>
      <c r="R8" s="715"/>
      <c r="S8" s="715"/>
      <c r="T8" s="715"/>
      <c r="U8" s="715"/>
      <c r="V8" s="715"/>
      <c r="W8" s="715"/>
      <c r="X8" s="715"/>
      <c r="Y8" s="715"/>
      <c r="Z8" s="715"/>
      <c r="AA8" s="775"/>
      <c r="AB8" s="1565"/>
      <c r="AC8" s="1566"/>
      <c r="AD8" s="1566"/>
      <c r="AE8" s="1566"/>
      <c r="AF8" s="730"/>
      <c r="AG8" s="730"/>
      <c r="AH8" s="730"/>
      <c r="AI8" s="730"/>
      <c r="AJ8" s="730"/>
      <c r="AK8" s="730"/>
      <c r="AL8" s="753"/>
    </row>
    <row r="9" spans="1:114" ht="27.75" customHeight="1">
      <c r="A9" s="149"/>
      <c r="B9" s="215"/>
      <c r="C9" s="715"/>
      <c r="D9" s="715"/>
      <c r="E9" s="715"/>
      <c r="F9" s="715"/>
      <c r="G9" s="726"/>
      <c r="H9" s="163"/>
      <c r="I9" s="164"/>
      <c r="J9" s="173"/>
      <c r="K9" s="173"/>
      <c r="L9" s="715"/>
      <c r="M9" s="605"/>
      <c r="N9" s="173"/>
      <c r="O9" s="1550"/>
      <c r="P9" s="1550"/>
      <c r="Q9" s="728"/>
      <c r="R9" s="728"/>
      <c r="S9" s="728"/>
      <c r="T9" s="173"/>
      <c r="U9" s="173"/>
      <c r="V9" s="173"/>
      <c r="W9" s="715"/>
      <c r="X9" s="173"/>
      <c r="Y9" s="173"/>
      <c r="Z9" s="173"/>
      <c r="AA9" s="174"/>
      <c r="AB9" s="1567" t="str">
        <f ca="1">INDIRECT('D1-D2-D3'!$J$4&amp;"!C146")</f>
        <v>Were the relevant emloyees trained ?</v>
      </c>
      <c r="AC9" s="1568"/>
      <c r="AD9" s="1568"/>
      <c r="AE9" s="1568"/>
      <c r="AF9" s="734"/>
      <c r="AG9" s="161"/>
      <c r="AH9" s="161"/>
      <c r="AI9" s="605" t="str">
        <f ca="1">INDIRECT('D1-D2-D3'!$J$4&amp;"!C147")</f>
        <v>Date of training</v>
      </c>
      <c r="AJ9" s="857"/>
      <c r="AK9" s="738"/>
      <c r="AL9" s="604"/>
      <c r="BD9" s="166"/>
      <c r="BE9" s="167"/>
      <c r="BF9" s="167"/>
      <c r="BG9" s="167"/>
      <c r="BH9" s="167"/>
      <c r="BI9" s="167"/>
      <c r="BJ9" s="167"/>
      <c r="BK9" s="167"/>
      <c r="BL9" s="167"/>
      <c r="BM9" s="167"/>
      <c r="BN9" s="167"/>
      <c r="BO9" s="167"/>
      <c r="BP9" s="167"/>
      <c r="BQ9" s="167"/>
      <c r="BR9" s="167"/>
      <c r="BS9" s="167"/>
      <c r="BT9" s="167"/>
      <c r="BU9" s="167"/>
      <c r="BV9" s="167"/>
      <c r="BW9" s="167"/>
      <c r="BX9" s="167"/>
      <c r="BY9" s="167"/>
      <c r="BZ9" s="167"/>
      <c r="CA9" s="167"/>
      <c r="CB9" s="167"/>
      <c r="CC9" s="167"/>
      <c r="CD9" s="167"/>
      <c r="CE9" s="167"/>
      <c r="CF9" s="167"/>
      <c r="CG9" s="167"/>
      <c r="CH9" s="167"/>
      <c r="CI9" s="168"/>
      <c r="CJ9" s="168"/>
      <c r="CK9" s="168"/>
      <c r="CL9" s="168"/>
      <c r="CM9" s="168"/>
      <c r="CN9" s="168"/>
      <c r="CO9" s="168"/>
      <c r="CP9" s="168"/>
      <c r="CQ9" s="168"/>
      <c r="CR9" s="168"/>
      <c r="CS9" s="168"/>
      <c r="CT9" s="168"/>
      <c r="CU9" s="168"/>
      <c r="CV9" s="168"/>
      <c r="CW9" s="168"/>
      <c r="CX9" s="168"/>
      <c r="CY9" s="168"/>
      <c r="CZ9" s="168"/>
    </row>
    <row r="10" spans="1:114" ht="6" customHeight="1">
      <c r="A10" s="149"/>
      <c r="B10" s="215"/>
      <c r="C10" s="715"/>
      <c r="D10" s="715"/>
      <c r="E10" s="715"/>
      <c r="F10" s="715"/>
      <c r="G10" s="715"/>
      <c r="H10" s="715"/>
      <c r="I10" s="715"/>
      <c r="J10" s="715"/>
      <c r="K10" s="715"/>
      <c r="L10" s="715"/>
      <c r="M10" s="715"/>
      <c r="N10" s="715"/>
      <c r="O10" s="715"/>
      <c r="P10" s="715"/>
      <c r="Q10" s="715"/>
      <c r="R10" s="715"/>
      <c r="S10" s="715"/>
      <c r="T10" s="715"/>
      <c r="U10" s="715"/>
      <c r="V10" s="715"/>
      <c r="W10" s="715"/>
      <c r="X10" s="715"/>
      <c r="Y10" s="715"/>
      <c r="Z10" s="715"/>
      <c r="AA10" s="775"/>
      <c r="AB10" s="1567"/>
      <c r="AC10" s="1568"/>
      <c r="AD10" s="1568"/>
      <c r="AE10" s="1568"/>
      <c r="AF10" s="161"/>
      <c r="AG10" s="161"/>
      <c r="AH10" s="161"/>
      <c r="AI10" s="161"/>
      <c r="AJ10" s="161"/>
      <c r="AK10" s="161"/>
      <c r="AL10" s="604"/>
      <c r="BD10" s="168"/>
      <c r="BE10" s="168"/>
      <c r="BF10" s="168"/>
      <c r="BG10" s="168"/>
      <c r="BH10" s="168"/>
      <c r="BI10" s="168"/>
      <c r="BJ10" s="168"/>
      <c r="BK10" s="168"/>
      <c r="BL10" s="168"/>
      <c r="BM10" s="168"/>
      <c r="BN10" s="168"/>
      <c r="BO10" s="168"/>
      <c r="BP10" s="168"/>
      <c r="BQ10" s="168"/>
      <c r="BR10" s="168"/>
      <c r="BS10" s="168"/>
      <c r="BT10" s="168"/>
      <c r="BU10" s="168"/>
      <c r="BV10" s="168"/>
      <c r="BW10" s="168"/>
      <c r="BX10" s="168"/>
      <c r="BY10" s="168"/>
      <c r="BZ10" s="168"/>
      <c r="CA10" s="168"/>
      <c r="CB10" s="168"/>
      <c r="CC10" s="168"/>
      <c r="CD10" s="168"/>
      <c r="CE10" s="168"/>
      <c r="CF10" s="168"/>
      <c r="CG10" s="168"/>
      <c r="CH10" s="168"/>
      <c r="CI10" s="168"/>
      <c r="CJ10" s="168"/>
      <c r="CK10" s="168"/>
      <c r="CL10" s="168"/>
      <c r="CM10" s="168"/>
      <c r="CN10" s="168"/>
      <c r="CO10" s="168"/>
      <c r="CP10" s="168"/>
      <c r="CQ10" s="168"/>
      <c r="CR10" s="168"/>
      <c r="CS10" s="168"/>
      <c r="CT10" s="168"/>
      <c r="CU10" s="168"/>
      <c r="CV10" s="168"/>
      <c r="CW10" s="168"/>
      <c r="CX10" s="168"/>
      <c r="CY10" s="168"/>
      <c r="CZ10" s="168"/>
    </row>
    <row r="11" spans="1:114" ht="27.9" customHeight="1">
      <c r="A11" s="149"/>
      <c r="B11" s="215"/>
      <c r="C11" s="715"/>
      <c r="D11" s="715"/>
      <c r="E11" s="715"/>
      <c r="F11" s="715"/>
      <c r="G11" s="715"/>
      <c r="H11" s="715"/>
      <c r="I11" s="715"/>
      <c r="J11" s="715"/>
      <c r="K11" s="715"/>
      <c r="L11" s="715"/>
      <c r="M11" s="715"/>
      <c r="N11" s="715"/>
      <c r="O11" s="715"/>
      <c r="P11" s="715"/>
      <c r="Q11" s="715"/>
      <c r="R11" s="715"/>
      <c r="S11" s="715"/>
      <c r="T11" s="715"/>
      <c r="U11" s="715"/>
      <c r="V11" s="715"/>
      <c r="W11" s="715"/>
      <c r="X11" s="715"/>
      <c r="Y11" s="715"/>
      <c r="Z11" s="715"/>
      <c r="AA11" s="174"/>
      <c r="AB11" s="1570" t="str">
        <f ca="1">INDIRECT('D1-D2-D3'!$J$4&amp;"!C93")</f>
        <v>Comments</v>
      </c>
      <c r="AC11" s="1571"/>
      <c r="AD11" s="1569"/>
      <c r="AE11" s="1569"/>
      <c r="AF11" s="1569"/>
      <c r="AG11" s="1579" t="str">
        <f ca="1">INDIRECT('D1-D2-D3'!$J$4&amp;"!C83")</f>
        <v>Responsible</v>
      </c>
      <c r="AH11" s="1580"/>
      <c r="AI11" s="1575"/>
      <c r="AJ11" s="1576"/>
      <c r="AK11" s="161"/>
      <c r="AL11" s="604"/>
      <c r="BD11" s="168"/>
      <c r="BE11" s="168"/>
      <c r="BF11" s="168"/>
      <c r="BG11" s="168"/>
      <c r="BH11" s="168"/>
      <c r="BI11" s="168"/>
      <c r="BJ11" s="168"/>
      <c r="BK11" s="168"/>
      <c r="BL11" s="168"/>
      <c r="BM11" s="168"/>
      <c r="BN11" s="168"/>
      <c r="BO11" s="168"/>
      <c r="BP11" s="168"/>
      <c r="BQ11" s="168"/>
      <c r="BR11" s="168"/>
      <c r="BS11" s="168"/>
      <c r="BT11" s="168"/>
      <c r="BU11" s="168"/>
      <c r="BV11" s="168"/>
      <c r="BW11" s="168"/>
      <c r="BX11" s="168"/>
      <c r="BY11" s="168"/>
      <c r="BZ11" s="168"/>
      <c r="CA11" s="168"/>
      <c r="CB11" s="168"/>
      <c r="CC11" s="168"/>
      <c r="CD11" s="168"/>
      <c r="CE11" s="168"/>
      <c r="CF11" s="168"/>
      <c r="CG11" s="168"/>
      <c r="CH11" s="168"/>
      <c r="CI11" s="168"/>
      <c r="CJ11" s="168"/>
      <c r="CK11" s="168"/>
      <c r="CL11" s="168"/>
      <c r="CM11" s="168"/>
      <c r="CN11" s="168"/>
      <c r="CO11" s="168"/>
      <c r="CP11" s="168"/>
      <c r="CQ11" s="168"/>
      <c r="CR11" s="168"/>
      <c r="CS11" s="168"/>
      <c r="CT11" s="168"/>
      <c r="CU11" s="168"/>
      <c r="CV11" s="168"/>
      <c r="CW11" s="168"/>
      <c r="CX11" s="168"/>
      <c r="CY11" s="168"/>
      <c r="CZ11" s="168"/>
    </row>
    <row r="12" spans="1:114" ht="6" customHeight="1">
      <c r="A12" s="149"/>
      <c r="B12" s="215"/>
      <c r="C12" s="715"/>
      <c r="D12" s="715"/>
      <c r="E12" s="715"/>
      <c r="F12" s="715"/>
      <c r="G12" s="715"/>
      <c r="H12" s="715"/>
      <c r="I12" s="715"/>
      <c r="J12" s="715"/>
      <c r="K12" s="715"/>
      <c r="L12" s="715"/>
      <c r="M12" s="715"/>
      <c r="N12" s="715"/>
      <c r="O12" s="715"/>
      <c r="P12" s="715"/>
      <c r="Q12" s="715"/>
      <c r="R12" s="715"/>
      <c r="S12" s="715"/>
      <c r="T12" s="715"/>
      <c r="U12" s="715"/>
      <c r="V12" s="715"/>
      <c r="W12" s="715"/>
      <c r="X12" s="715"/>
      <c r="Y12" s="715"/>
      <c r="Z12" s="715"/>
      <c r="AA12" s="174"/>
      <c r="AB12" s="1570"/>
      <c r="AC12" s="1571"/>
      <c r="AD12" s="1569"/>
      <c r="AE12" s="1569"/>
      <c r="AF12" s="1569"/>
      <c r="AG12" s="865"/>
      <c r="AH12" s="865"/>
      <c r="AI12" s="865"/>
      <c r="AJ12" s="861"/>
      <c r="AK12" s="161"/>
      <c r="AL12" s="604"/>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68"/>
      <c r="CU12" s="168"/>
      <c r="CV12" s="168"/>
      <c r="CW12" s="168"/>
      <c r="CX12" s="168"/>
      <c r="CY12" s="168"/>
      <c r="CZ12" s="168"/>
    </row>
    <row r="13" spans="1:114" ht="27.75" customHeight="1">
      <c r="A13" s="149"/>
      <c r="B13" s="215"/>
      <c r="C13" s="1581"/>
      <c r="D13" s="1581"/>
      <c r="E13" s="1581"/>
      <c r="F13" s="1581"/>
      <c r="G13" s="1581"/>
      <c r="H13" s="1581"/>
      <c r="I13" s="729"/>
      <c r="J13" s="173"/>
      <c r="K13" s="1551"/>
      <c r="L13" s="1551"/>
      <c r="M13" s="1551"/>
      <c r="N13" s="1551"/>
      <c r="O13" s="1551"/>
      <c r="P13" s="1551"/>
      <c r="Q13" s="1551"/>
      <c r="R13" s="1551"/>
      <c r="S13" s="1551"/>
      <c r="T13" s="1551"/>
      <c r="U13" s="1551"/>
      <c r="V13" s="1551"/>
      <c r="W13" s="1551"/>
      <c r="X13" s="1551"/>
      <c r="Y13" s="1551"/>
      <c r="Z13" s="1551"/>
      <c r="AA13" s="776"/>
      <c r="AB13" s="1570"/>
      <c r="AC13" s="1571"/>
      <c r="AD13" s="1569"/>
      <c r="AE13" s="1569"/>
      <c r="AF13" s="1569"/>
      <c r="AG13" s="1562" t="str">
        <f ca="1">INDIRECT('D1-D2-D3'!$J$4&amp;"!C148")</f>
        <v>Date of effectiveness check of training</v>
      </c>
      <c r="AH13" s="1563"/>
      <c r="AI13" s="1564"/>
      <c r="AJ13" s="857"/>
      <c r="AK13" s="161"/>
      <c r="AL13" s="604"/>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68"/>
      <c r="CU13" s="168"/>
      <c r="CV13" s="168"/>
      <c r="CW13" s="168"/>
      <c r="CX13" s="168"/>
      <c r="CY13" s="168"/>
      <c r="CZ13" s="168"/>
    </row>
    <row r="14" spans="1:114" ht="6" customHeight="1">
      <c r="A14" s="149"/>
      <c r="B14" s="215"/>
      <c r="C14" s="715"/>
      <c r="D14" s="715"/>
      <c r="E14" s="715"/>
      <c r="F14" s="715"/>
      <c r="G14" s="715"/>
      <c r="H14" s="715"/>
      <c r="I14" s="715"/>
      <c r="J14" s="715"/>
      <c r="K14" s="715"/>
      <c r="L14" s="715"/>
      <c r="M14" s="715"/>
      <c r="N14" s="715"/>
      <c r="O14" s="715"/>
      <c r="P14" s="715"/>
      <c r="Q14" s="715"/>
      <c r="R14" s="715"/>
      <c r="S14" s="715"/>
      <c r="T14" s="715"/>
      <c r="U14" s="715"/>
      <c r="V14" s="715"/>
      <c r="W14" s="715"/>
      <c r="X14" s="715"/>
      <c r="Y14" s="715"/>
      <c r="Z14" s="715"/>
      <c r="AA14" s="775"/>
      <c r="AB14" s="161"/>
      <c r="AC14" s="161"/>
      <c r="AD14" s="161"/>
      <c r="AE14" s="161"/>
      <c r="AF14" s="161"/>
      <c r="AG14" s="161"/>
      <c r="AH14" s="161"/>
      <c r="AI14" s="161"/>
      <c r="AJ14" s="161"/>
      <c r="AK14" s="161"/>
      <c r="AL14" s="604"/>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68"/>
      <c r="CU14" s="168"/>
      <c r="CV14" s="168"/>
      <c r="CW14" s="168"/>
      <c r="CX14" s="168"/>
      <c r="CY14" s="168"/>
      <c r="CZ14" s="168"/>
    </row>
    <row r="15" spans="1:114" ht="6" customHeight="1" thickBot="1">
      <c r="A15" s="149"/>
      <c r="B15" s="215"/>
      <c r="C15" s="503"/>
      <c r="D15" s="503"/>
      <c r="E15" s="503"/>
      <c r="F15" s="503"/>
      <c r="G15" s="169"/>
      <c r="H15" s="169"/>
      <c r="I15" s="169"/>
      <c r="J15" s="169"/>
      <c r="K15" s="169"/>
      <c r="L15" s="169"/>
      <c r="M15" s="169"/>
      <c r="N15" s="169"/>
      <c r="O15" s="169"/>
      <c r="P15" s="169"/>
      <c r="Q15" s="169"/>
      <c r="R15" s="169"/>
      <c r="S15" s="169"/>
      <c r="T15" s="169"/>
      <c r="U15" s="169"/>
      <c r="V15" s="169"/>
      <c r="W15" s="169"/>
      <c r="X15" s="169"/>
      <c r="Y15" s="169"/>
      <c r="Z15" s="169"/>
      <c r="AA15" s="777"/>
      <c r="AB15" s="169"/>
      <c r="AC15" s="169"/>
      <c r="AD15" s="169"/>
      <c r="AE15" s="169"/>
      <c r="AF15" s="169"/>
      <c r="AG15" s="169"/>
      <c r="AH15" s="169"/>
      <c r="AI15" s="169"/>
      <c r="AJ15" s="169"/>
      <c r="AK15" s="169"/>
      <c r="AL15" s="604"/>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8"/>
      <c r="CR15" s="168"/>
      <c r="CS15" s="168"/>
      <c r="CT15" s="168"/>
      <c r="CU15" s="168"/>
      <c r="CV15" s="168"/>
      <c r="CW15" s="168"/>
      <c r="CX15" s="168"/>
      <c r="CY15" s="168"/>
      <c r="CZ15" s="168"/>
    </row>
    <row r="16" spans="1:114" ht="18.75" customHeight="1">
      <c r="A16" s="149"/>
      <c r="B16" s="215"/>
      <c r="C16" s="503"/>
      <c r="D16" s="1632" t="str">
        <f ca="1">'D1-D2-D3'!D48&amp;":"</f>
        <v>Problem description:</v>
      </c>
      <c r="E16" s="1633"/>
      <c r="F16" s="1633"/>
      <c r="G16" s="1633"/>
      <c r="H16" s="1633"/>
      <c r="I16" s="1634"/>
      <c r="J16" s="1629" t="str">
        <f ca="1">INDIRECT('D1-D2-D3'!$J$4&amp;"!C150")</f>
        <v>5-Why-Analysis</v>
      </c>
      <c r="K16" s="1630"/>
      <c r="L16" s="1630"/>
      <c r="M16" s="1630"/>
      <c r="N16" s="1630"/>
      <c r="O16" s="1630"/>
      <c r="P16" s="1630"/>
      <c r="Q16" s="1630"/>
      <c r="R16" s="1630"/>
      <c r="S16" s="1630"/>
      <c r="T16" s="1630"/>
      <c r="U16" s="1630"/>
      <c r="V16" s="1630"/>
      <c r="W16" s="1631"/>
      <c r="X16" s="1622" t="str">
        <f ca="1">INDIRECT('D1-D2-D3'!$J$4&amp;"!C157")</f>
        <v>Fault category</v>
      </c>
      <c r="Y16" s="1623"/>
      <c r="Z16" s="1555" t="str">
        <f ca="1">INDIRECT('D1-D2-D3'!$J$4&amp;"!C158")</f>
        <v>Verification of the causes</v>
      </c>
      <c r="AA16" s="1556"/>
      <c r="AB16" s="1595" t="str">
        <f ca="1">INDIRECT('D1-D2-D3'!$J$4&amp;"!C163")</f>
        <v>Action Plan</v>
      </c>
      <c r="AC16" s="1590"/>
      <c r="AD16" s="1590"/>
      <c r="AE16" s="1590"/>
      <c r="AF16" s="1590"/>
      <c r="AG16" s="1590"/>
      <c r="AH16" s="1590"/>
      <c r="AI16" s="1590"/>
      <c r="AJ16" s="1596"/>
      <c r="AK16" s="169"/>
      <c r="AL16" s="174"/>
      <c r="BD16" s="168"/>
      <c r="BE16" s="168"/>
      <c r="BF16" s="168"/>
      <c r="BG16" s="168"/>
      <c r="BH16" s="168"/>
      <c r="BI16" s="168"/>
      <c r="BJ16" s="168"/>
      <c r="BK16" s="168"/>
      <c r="BL16" s="168"/>
      <c r="BM16" s="168"/>
      <c r="BN16" s="168"/>
      <c r="BO16" s="168"/>
      <c r="BP16" s="168"/>
      <c r="BQ16" s="168"/>
      <c r="BR16" s="168"/>
      <c r="BS16" s="168"/>
      <c r="BT16" s="168"/>
      <c r="BU16" s="168"/>
      <c r="BV16" s="168"/>
      <c r="BW16" s="168"/>
      <c r="BX16" s="168"/>
      <c r="BY16" s="168"/>
      <c r="BZ16" s="168"/>
      <c r="CA16" s="168"/>
      <c r="CB16" s="168"/>
      <c r="CC16" s="168"/>
      <c r="CD16" s="168"/>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row>
    <row r="17" spans="1:114" ht="33" customHeight="1">
      <c r="A17" s="149"/>
      <c r="B17" s="215"/>
      <c r="C17" s="503"/>
      <c r="D17" s="1572" t="str">
        <f>IF('D1-D2-D3'!V48="","",'D1-D2-D3'!V48)</f>
        <v/>
      </c>
      <c r="E17" s="1573"/>
      <c r="F17" s="1573"/>
      <c r="G17" s="1573"/>
      <c r="H17" s="1573"/>
      <c r="I17" s="1574"/>
      <c r="J17" s="1641" t="str">
        <f ca="1">INDIRECT('D1-D2-D3'!$J$4&amp;"!C137")</f>
        <v>Technical consideration</v>
      </c>
      <c r="K17" s="1642"/>
      <c r="L17" s="1642"/>
      <c r="M17" s="1642"/>
      <c r="N17" s="1642"/>
      <c r="O17" s="1642"/>
      <c r="P17" s="1642"/>
      <c r="Q17" s="1642"/>
      <c r="R17" s="1642"/>
      <c r="S17" s="1642"/>
      <c r="T17" s="1642"/>
      <c r="U17" s="1642"/>
      <c r="V17" s="1642"/>
      <c r="W17" s="1643"/>
      <c r="X17" s="1624"/>
      <c r="Y17" s="1625"/>
      <c r="Z17" s="1557"/>
      <c r="AA17" s="1558"/>
      <c r="AB17" s="1600"/>
      <c r="AC17" s="1601"/>
      <c r="AD17" s="1601"/>
      <c r="AE17" s="1601"/>
      <c r="AF17" s="1601"/>
      <c r="AG17" s="1601"/>
      <c r="AH17" s="1601"/>
      <c r="AI17" s="1601"/>
      <c r="AJ17" s="1602"/>
      <c r="AK17" s="169"/>
      <c r="AL17" s="174"/>
      <c r="AM17" s="1626" t="s">
        <v>991</v>
      </c>
      <c r="AN17" s="1627"/>
      <c r="AO17" s="1627"/>
      <c r="AP17" s="1627"/>
      <c r="AQ17" s="1627"/>
      <c r="AR17" s="1627"/>
      <c r="AS17" s="1627"/>
      <c r="AT17" s="1627"/>
      <c r="AU17" s="584"/>
      <c r="AV17" s="584"/>
      <c r="AW17" s="584"/>
      <c r="AX17" s="913" t="s">
        <v>1754</v>
      </c>
      <c r="AY17" s="584"/>
      <c r="AZ17" s="584"/>
      <c r="BA17" s="584"/>
      <c r="BD17" s="515"/>
      <c r="BE17" s="168"/>
      <c r="BF17" s="168"/>
      <c r="BG17" s="168"/>
      <c r="BH17" s="901" t="s">
        <v>1748</v>
      </c>
      <c r="BI17" s="168"/>
      <c r="BJ17" s="168"/>
      <c r="BK17" s="168"/>
      <c r="BL17" s="168"/>
      <c r="BM17" s="168"/>
      <c r="BN17" s="168"/>
      <c r="BO17" s="168"/>
      <c r="BP17" s="901" t="s">
        <v>1749</v>
      </c>
      <c r="BQ17" s="168"/>
      <c r="BR17" s="168"/>
      <c r="BS17" s="168"/>
      <c r="BT17" s="168"/>
      <c r="BU17" s="168"/>
      <c r="BV17" s="168"/>
      <c r="BW17" s="634" t="s">
        <v>1756</v>
      </c>
      <c r="BX17" s="168"/>
      <c r="BY17" s="168"/>
      <c r="BZ17" s="168"/>
      <c r="CA17" s="168"/>
      <c r="CB17" s="168"/>
      <c r="CC17" s="168"/>
      <c r="CD17" s="168"/>
      <c r="CE17" s="168"/>
      <c r="CF17" s="168"/>
      <c r="CG17" s="168"/>
      <c r="CH17" s="622" t="s">
        <v>1098</v>
      </c>
      <c r="CI17" s="168"/>
      <c r="CJ17" s="168"/>
      <c r="CK17" s="1618"/>
      <c r="CL17" s="1618"/>
      <c r="CM17" s="1618"/>
      <c r="CN17" s="1618"/>
      <c r="CO17" s="1618"/>
      <c r="CP17" s="1618"/>
      <c r="CQ17" s="1618"/>
      <c r="CR17" s="1618"/>
      <c r="CS17" s="168"/>
      <c r="CT17" s="168"/>
      <c r="CU17" s="515"/>
      <c r="CV17" s="168"/>
      <c r="CW17" s="168"/>
      <c r="CX17" s="168"/>
      <c r="CY17" s="168"/>
      <c r="CZ17" s="168"/>
      <c r="DA17" s="168"/>
      <c r="DB17" s="168"/>
      <c r="DC17" s="168"/>
      <c r="DD17" s="168"/>
      <c r="DE17" s="168"/>
      <c r="DF17" s="168"/>
      <c r="DG17" s="168"/>
      <c r="DH17" s="168"/>
      <c r="DI17" s="168"/>
      <c r="DJ17" s="168"/>
    </row>
    <row r="18" spans="1:114" ht="33" customHeight="1" thickBot="1">
      <c r="A18" s="149"/>
      <c r="B18" s="215"/>
      <c r="C18" s="717"/>
      <c r="D18" s="1583" t="str">
        <f ca="1">INDIRECT('D1-D2-D3'!$J$4&amp;"!C149")</f>
        <v>Factors identification</v>
      </c>
      <c r="E18" s="1584"/>
      <c r="F18" s="1584"/>
      <c r="G18" s="1584"/>
      <c r="H18" s="1585"/>
      <c r="I18" s="932" t="str">
        <f ca="1">INDIRECT('D1-D2-D3'!$J$4&amp;"!C151")</f>
        <v>Influent factors</v>
      </c>
      <c r="J18" s="1543" t="str">
        <f ca="1">INDIRECT('D1-D2-D3'!$J$4&amp;"!C152")</f>
        <v>Why 1</v>
      </c>
      <c r="K18" s="1543"/>
      <c r="L18" s="1542" t="str">
        <f ca="1">INDIRECT('D1-D2-D3'!$J$4&amp;"!C153")</f>
        <v>Why 2</v>
      </c>
      <c r="M18" s="1542"/>
      <c r="N18" s="1542"/>
      <c r="O18" s="1543" t="str">
        <f ca="1">INDIRECT('D1-D2-D3'!$J$4&amp;"!C154")</f>
        <v>Why 3</v>
      </c>
      <c r="P18" s="1543"/>
      <c r="Q18" s="1543" t="str">
        <f ca="1">INDIRECT('D1-D2-D3'!$J$4&amp;"!C155")</f>
        <v>Why 4</v>
      </c>
      <c r="R18" s="1543"/>
      <c r="S18" s="1543"/>
      <c r="T18" s="1524" t="str">
        <f ca="1">INDIRECT('D1-D2-D3'!$J$4&amp;"!C156")</f>
        <v>Why 5</v>
      </c>
      <c r="U18" s="1525"/>
      <c r="V18" s="1525"/>
      <c r="W18" s="1526"/>
      <c r="X18" s="1592" t="str">
        <f ca="1">INDIRECT('D1-D2-D3'!$J$4&amp;"!C159")</f>
        <v>Category</v>
      </c>
      <c r="Y18" s="1592"/>
      <c r="Z18" s="1592" t="str">
        <f ca="1">INDIRECT('D1-D2-D3'!$J$4&amp;"!C160")</f>
        <v xml:space="preserve">Method of cause verification </v>
      </c>
      <c r="AA18" s="1593"/>
      <c r="AB18" s="1594" t="str">
        <f ca="1">INDIRECT('D1-D2-D3'!$J$4&amp;"!C164")</f>
        <v>Corrective Action</v>
      </c>
      <c r="AC18" s="1523"/>
      <c r="AD18" s="1523"/>
      <c r="AE18" s="668" t="str">
        <f ca="1">INDIRECT('D1-D2-D3'!$J$4&amp;"!C165")</f>
        <v>Pic. No.</v>
      </c>
      <c r="AF18" s="1592" t="str">
        <f ca="1">INDIRECT('D1-D2-D3'!$J$4&amp;"!C83")</f>
        <v>Responsible</v>
      </c>
      <c r="AG18" s="1592"/>
      <c r="AH18" s="1577" t="str">
        <f ca="1">INDIRECT('D1-D2-D3'!$J$4&amp;"!C166")</f>
        <v>Target Date</v>
      </c>
      <c r="AI18" s="1578"/>
      <c r="AJ18" s="983" t="str">
        <f ca="1">INDIRECT('D1-D2-D3'!$J$4&amp;"!C84")</f>
        <v>Impl. Date</v>
      </c>
      <c r="AK18" s="169"/>
      <c r="AL18" s="510"/>
      <c r="AM18" s="148">
        <v>0</v>
      </c>
      <c r="AP18" s="148">
        <v>1</v>
      </c>
      <c r="AQ18" s="148">
        <v>2</v>
      </c>
      <c r="AR18" s="355">
        <v>3</v>
      </c>
      <c r="AS18" s="355">
        <v>4</v>
      </c>
      <c r="AT18" s="148">
        <v>5</v>
      </c>
      <c r="AX18" s="693" t="s">
        <v>1755</v>
      </c>
      <c r="AY18" s="168"/>
      <c r="AZ18" s="168"/>
      <c r="BA18" s="168"/>
      <c r="BB18" s="168"/>
      <c r="BC18" s="168"/>
      <c r="BD18" s="168"/>
      <c r="BE18" s="168"/>
      <c r="BH18" s="148">
        <v>0</v>
      </c>
      <c r="BI18" s="619" t="s">
        <v>997</v>
      </c>
      <c r="BJ18" s="619" t="s">
        <v>998</v>
      </c>
      <c r="BK18" s="619" t="s">
        <v>999</v>
      </c>
      <c r="BL18" s="619" t="s">
        <v>1000</v>
      </c>
      <c r="BM18" s="619" t="s">
        <v>1001</v>
      </c>
      <c r="BN18" s="607" t="s">
        <v>1002</v>
      </c>
      <c r="BO18" s="607">
        <v>0</v>
      </c>
      <c r="BP18" s="607"/>
      <c r="BQ18" s="607"/>
      <c r="BR18" s="607"/>
      <c r="BS18" s="607"/>
      <c r="BT18" s="607"/>
      <c r="BU18" s="607"/>
      <c r="BV18" s="168"/>
      <c r="BW18" s="634" t="s">
        <v>1750</v>
      </c>
      <c r="BX18" s="168"/>
      <c r="BY18" s="621" t="s">
        <v>1102</v>
      </c>
      <c r="BZ18" s="621" t="s">
        <v>1003</v>
      </c>
      <c r="CA18" s="628" t="s">
        <v>1005</v>
      </c>
      <c r="CB18" s="607" t="s">
        <v>1004</v>
      </c>
      <c r="CC18" s="622"/>
      <c r="CD18" s="622"/>
      <c r="CE18" s="168"/>
      <c r="CF18" s="628"/>
      <c r="CG18" s="607"/>
      <c r="CH18" s="607"/>
      <c r="CI18" s="168"/>
      <c r="CJ18" s="168"/>
      <c r="CK18" s="168"/>
      <c r="CL18" s="669"/>
      <c r="CM18" s="669"/>
      <c r="CP18" s="168"/>
      <c r="CQ18" s="168"/>
      <c r="CR18" s="168"/>
      <c r="CS18" s="168"/>
      <c r="CT18" s="168"/>
      <c r="CU18" s="168"/>
      <c r="CV18" s="168"/>
      <c r="CW18" s="168"/>
      <c r="CX18" s="168"/>
      <c r="CY18" s="168"/>
      <c r="CZ18" s="168"/>
      <c r="DA18" s="168"/>
      <c r="DB18" s="168"/>
      <c r="DC18" s="168"/>
      <c r="DD18" s="168"/>
      <c r="DE18" s="168"/>
      <c r="DF18" s="168"/>
      <c r="DG18" s="168"/>
      <c r="DH18" s="168"/>
      <c r="DI18" s="168"/>
      <c r="DJ18" s="168"/>
    </row>
    <row r="19" spans="1:114" ht="60" customHeight="1">
      <c r="A19" s="149"/>
      <c r="B19" s="1619"/>
      <c r="C19" s="168"/>
      <c r="D19" s="1512" t="str">
        <f ca="1">INDIRECT('D1-D2-D3'!$J$4&amp;"!C149")&amp;"/"&amp; INDIRECT('D1-D2-D3'!$J$4&amp;"!C151")</f>
        <v>Factors identification/Influent factors</v>
      </c>
      <c r="E19" s="1513"/>
      <c r="F19" s="1514"/>
      <c r="G19" s="1527"/>
      <c r="H19" s="1528"/>
      <c r="I19" s="909"/>
      <c r="J19" s="1506"/>
      <c r="K19" s="1507"/>
      <c r="L19" s="1506"/>
      <c r="M19" s="1508"/>
      <c r="N19" s="1507"/>
      <c r="O19" s="1506"/>
      <c r="P19" s="1507"/>
      <c r="Q19" s="1506"/>
      <c r="R19" s="1508"/>
      <c r="S19" s="1507"/>
      <c r="T19" s="1509"/>
      <c r="U19" s="1510"/>
      <c r="V19" s="1510"/>
      <c r="W19" s="1511"/>
      <c r="X19" s="1499"/>
      <c r="Y19" s="1500"/>
      <c r="Z19" s="1501"/>
      <c r="AA19" s="1502"/>
      <c r="AB19" s="1503"/>
      <c r="AC19" s="1504"/>
      <c r="AD19" s="1505"/>
      <c r="AE19" s="898"/>
      <c r="AF19" s="1496"/>
      <c r="AG19" s="1497"/>
      <c r="AH19" s="1495"/>
      <c r="AI19" s="1487"/>
      <c r="AJ19" s="899"/>
      <c r="AK19" s="169"/>
      <c r="AL19" s="510"/>
      <c r="AM19" s="507" t="str">
        <f>IF($AN19&lt;&gt;"",AM18+1,"")</f>
        <v/>
      </c>
      <c r="AN19" s="146" t="str">
        <f t="shared" ref="AN19:AN28" si="0">IF(AP19=0,"",IF(ISNA(AP19),"",IF($I19&lt;&gt;"",G19,"")))</f>
        <v/>
      </c>
      <c r="AO19" s="146" t="str">
        <f t="shared" ref="AO19:AO28" si="1">IF(AP19=0,"",IF(ISNA(AP19),"",IF($I19&lt;&gt;"",I19,"")))</f>
        <v/>
      </c>
      <c r="AP19" s="755" t="str">
        <f t="shared" ref="AP19:AP28" si="2">IF($I19&lt;&gt;"",J19,"")</f>
        <v/>
      </c>
      <c r="AQ19" s="755" t="str">
        <f t="shared" ref="AQ19:AQ28" si="3">IF($I19&lt;&gt;"",L19,"")</f>
        <v/>
      </c>
      <c r="AR19" s="756" t="str">
        <f t="shared" ref="AR19:AR28" si="4">IF($I19&lt;&gt;"",O19,"")</f>
        <v/>
      </c>
      <c r="AS19" s="756" t="str">
        <f t="shared" ref="AS19:AS28" si="5">IF($I19&lt;&gt;"",Q19,"")</f>
        <v/>
      </c>
      <c r="AT19" s="516" t="str">
        <f t="shared" ref="AT19:AT28" si="6">IF($I19&lt;&gt;"",T19,"")</f>
        <v/>
      </c>
      <c r="AU19" s="755" t="str">
        <f t="shared" ref="AU19:AU28" si="7">IF($I19&lt;&gt;"",X19,"")</f>
        <v/>
      </c>
      <c r="AV19" s="516" t="str">
        <f t="shared" ref="AV19:AV28" si="8">IF($I19&lt;&gt;"",Z19,"")</f>
        <v/>
      </c>
      <c r="AW19" s="148">
        <v>1</v>
      </c>
      <c r="AX19" s="528" t="e">
        <f>VLOOKUP($AW19,$AM$19:$AV$28,2,FALSE)</f>
        <v>#N/A</v>
      </c>
      <c r="AY19" s="529" t="e">
        <f>VLOOKUP($AW19,$AM$19:$AV$28,3,FALSE)</f>
        <v>#N/A</v>
      </c>
      <c r="AZ19" s="529" t="e">
        <f>VLOOKUP($AW19,$AM$19:$AV$28,4,FALSE)</f>
        <v>#N/A</v>
      </c>
      <c r="BA19" s="529" t="e">
        <f>VLOOKUP($AW19,$AM$19:$AV$28,5,FALSE)</f>
        <v>#N/A</v>
      </c>
      <c r="BB19" s="529" t="e">
        <f>VLOOKUP($AW19,$AM$19:$AV$28,6,FALSE)</f>
        <v>#N/A</v>
      </c>
      <c r="BC19" s="529" t="e">
        <f>VLOOKUP($AW19,$AM$19:$AV$28,7,FALSE)</f>
        <v>#N/A</v>
      </c>
      <c r="BD19" s="529" t="e">
        <f>VLOOKUP($AW19,$AM$19:$AV$28,8,FALSE)</f>
        <v>#N/A</v>
      </c>
      <c r="BE19" s="529" t="e">
        <f>VLOOKUP($AW19,$AM$19:$AV$28,9,FALSE)</f>
        <v>#N/A</v>
      </c>
      <c r="BF19" s="588" t="e">
        <f>VLOOKUP($AW19,$AM$19:$AV$28,10,FALSE)</f>
        <v>#N/A</v>
      </c>
      <c r="BH19" s="146" t="str">
        <f>IF($BI19&lt;&gt;"",BH18+1,"")</f>
        <v/>
      </c>
      <c r="BI19" s="507" t="str">
        <f t="shared" ref="BI19:BI28" si="9">IF($I19&lt;&gt;"",G19,"")</f>
        <v/>
      </c>
      <c r="BJ19" s="146">
        <f>IF(ISNA($AB19&lt;&gt;""),"",$I19)</f>
        <v>0</v>
      </c>
      <c r="BK19" s="611" t="str">
        <f t="shared" ref="BK19:BK28" si="10">IF(AB19=0,"",IF(ISNA(AB19),"",IF($AB19&lt;&gt;"",AB19,"")))</f>
        <v/>
      </c>
      <c r="BL19" s="613" t="str">
        <f t="shared" ref="BL19:BL28" si="11">IF(ISNA(AB19),"",IF($AB19&lt;&gt;"",AF19,""))</f>
        <v/>
      </c>
      <c r="BM19" s="612" t="str">
        <f>IF(AH19&lt;&gt;"",AH19,"")</f>
        <v/>
      </c>
      <c r="BN19" s="612" t="str">
        <f>IF(AJ19&lt;&gt;"",AJ19,"")</f>
        <v/>
      </c>
      <c r="BO19" s="624" t="str">
        <f>IF($BP19&lt;&gt;"",BO18+1,"")</f>
        <v/>
      </c>
      <c r="BP19" s="625" t="str">
        <f>IF(BK19&lt;&gt;"", BI19,"")</f>
        <v/>
      </c>
      <c r="BQ19" s="625" t="str">
        <f>IF(BL19&lt;&gt;"", BJ19,"")</f>
        <v/>
      </c>
      <c r="BR19" s="625" t="str">
        <f>IF(BJ19&lt;&gt;"", BK19,"")</f>
        <v/>
      </c>
      <c r="BS19" s="625" t="str">
        <f>IF(BK19&lt;&gt;"", BL19,"")</f>
        <v/>
      </c>
      <c r="BT19" s="626" t="str">
        <f>IF(BK19&lt;&gt;"", BM19,"")</f>
        <v/>
      </c>
      <c r="BU19" s="626" t="str">
        <f>IF(BK19&lt;&gt;"", BN19,"")</f>
        <v/>
      </c>
      <c r="BV19" s="620">
        <v>1</v>
      </c>
      <c r="BW19" s="632" t="e">
        <f>VLOOKUP($BV19,$BO$19:$BR$28,2,FALSE)</f>
        <v>#N/A</v>
      </c>
      <c r="BX19" s="529" t="e">
        <f>VLOOKUP($BV19,$BO$19:$BU$28,3,FALSE)</f>
        <v>#N/A</v>
      </c>
      <c r="BY19" s="623" t="e">
        <f>VLOOKUP($BV19,$BO$19:$BU$28,4,FALSE)</f>
        <v>#N/A</v>
      </c>
      <c r="BZ19" s="627" t="e">
        <f>VLOOKUP($BV19,$BO$19:$BU$28,5,FALSE)</f>
        <v>#N/A</v>
      </c>
      <c r="CA19" s="629" t="e">
        <f>VLOOKUP($BV19,$BO$19:$BU$28,6,FALSE)</f>
        <v>#N/A</v>
      </c>
      <c r="CB19" s="888" t="e">
        <f>VLOOKUP($BV19,$BO$19:$BU$28,7,FALSE)</f>
        <v>#N/A</v>
      </c>
      <c r="CC19" s="170"/>
      <c r="CD19" s="170"/>
      <c r="CE19" s="168"/>
      <c r="CF19" s="670"/>
      <c r="CG19" s="624"/>
      <c r="CH19" s="625" t="str">
        <f>IF(ISNA(BD19),"",BD19)</f>
        <v/>
      </c>
      <c r="CI19" s="670"/>
      <c r="CJ19" s="671"/>
      <c r="CK19" s="671"/>
      <c r="CL19" s="578"/>
      <c r="CM19" s="578"/>
      <c r="CP19" s="599"/>
      <c r="CQ19" s="587"/>
      <c r="CR19" s="587"/>
      <c r="CS19" s="168"/>
      <c r="CT19" s="168"/>
      <c r="CU19" s="170"/>
      <c r="CV19" s="170"/>
      <c r="CW19" s="170"/>
      <c r="CX19" s="170"/>
      <c r="CY19" s="170"/>
      <c r="CZ19" s="170"/>
      <c r="DA19" s="170"/>
      <c r="DB19" s="170"/>
      <c r="DC19" s="170"/>
      <c r="DD19" s="170"/>
      <c r="DE19" s="170"/>
      <c r="DF19" s="170"/>
      <c r="DG19" s="170"/>
      <c r="DH19" s="170"/>
      <c r="DI19" s="170"/>
      <c r="DJ19" s="170"/>
    </row>
    <row r="20" spans="1:114" ht="60" customHeight="1">
      <c r="A20" s="149"/>
      <c r="B20" s="1619"/>
      <c r="C20" s="717"/>
      <c r="D20" s="1515"/>
      <c r="E20" s="1516"/>
      <c r="F20" s="1517"/>
      <c r="G20" s="1527"/>
      <c r="H20" s="1528"/>
      <c r="I20" s="909"/>
      <c r="J20" s="1506"/>
      <c r="K20" s="1507"/>
      <c r="L20" s="1506"/>
      <c r="M20" s="1508"/>
      <c r="N20" s="1507"/>
      <c r="O20" s="1506"/>
      <c r="P20" s="1507"/>
      <c r="Q20" s="1506"/>
      <c r="R20" s="1508"/>
      <c r="S20" s="1507"/>
      <c r="T20" s="1509"/>
      <c r="U20" s="1510"/>
      <c r="V20" s="1510"/>
      <c r="W20" s="1511"/>
      <c r="X20" s="1499"/>
      <c r="Y20" s="1500"/>
      <c r="Z20" s="1501"/>
      <c r="AA20" s="1502"/>
      <c r="AB20" s="1503"/>
      <c r="AC20" s="1504"/>
      <c r="AD20" s="1505"/>
      <c r="AE20" s="898"/>
      <c r="AF20" s="1496"/>
      <c r="AG20" s="1497"/>
      <c r="AH20" s="1495"/>
      <c r="AI20" s="1487"/>
      <c r="AJ20" s="899"/>
      <c r="AK20" s="169"/>
      <c r="AL20" s="510"/>
      <c r="AM20" s="508" t="str">
        <f>IF($AN20&lt;&gt;"",MAX(AM$18:AM19)+1,"")</f>
        <v/>
      </c>
      <c r="AN20" s="146" t="str">
        <f t="shared" si="0"/>
        <v/>
      </c>
      <c r="AO20" s="146" t="str">
        <f t="shared" si="1"/>
        <v/>
      </c>
      <c r="AP20" s="755" t="str">
        <f t="shared" si="2"/>
        <v/>
      </c>
      <c r="AQ20" s="755" t="str">
        <f t="shared" si="3"/>
        <v/>
      </c>
      <c r="AR20" s="756" t="str">
        <f t="shared" si="4"/>
        <v/>
      </c>
      <c r="AS20" s="756" t="str">
        <f t="shared" si="5"/>
        <v/>
      </c>
      <c r="AT20" s="516" t="str">
        <f t="shared" si="6"/>
        <v/>
      </c>
      <c r="AU20" s="755" t="str">
        <f t="shared" si="7"/>
        <v/>
      </c>
      <c r="AV20" s="516" t="str">
        <f t="shared" si="8"/>
        <v/>
      </c>
      <c r="AW20" s="148">
        <v>2</v>
      </c>
      <c r="AX20" s="530" t="e">
        <f t="shared" ref="AX20:AX28" si="12">VLOOKUP($AW20,$AM$19:$AV$28,2,FALSE)</f>
        <v>#N/A</v>
      </c>
      <c r="AY20" s="165" t="e">
        <f t="shared" ref="AY20:AY28" si="13">VLOOKUP($AW20,$AM$19:$AV$28,3,FALSE)</f>
        <v>#N/A</v>
      </c>
      <c r="AZ20" s="165" t="e">
        <f t="shared" ref="AZ20:AZ28" si="14">VLOOKUP($AW20,$AM$19:$AV$28,4,FALSE)</f>
        <v>#N/A</v>
      </c>
      <c r="BA20" s="165" t="e">
        <f t="shared" ref="BA20:BA28" si="15">VLOOKUP($AW20,$AM$19:$AV$28,5,FALSE)</f>
        <v>#N/A</v>
      </c>
      <c r="BB20" s="165" t="e">
        <f t="shared" ref="BB20:BB28" si="16">VLOOKUP($AW20,$AM$19:$AV$28,6,FALSE)</f>
        <v>#N/A</v>
      </c>
      <c r="BC20" s="165" t="e">
        <f t="shared" ref="BC20:BC28" si="17">VLOOKUP($AW20,$AM$19:$AV$28,7,FALSE)</f>
        <v>#N/A</v>
      </c>
      <c r="BD20" s="165" t="e">
        <f t="shared" ref="BD20:BD28" si="18">VLOOKUP($AW20,$AM$19:$AV$28,8,FALSE)</f>
        <v>#N/A</v>
      </c>
      <c r="BE20" s="165" t="e">
        <f t="shared" ref="BE20:BE28" si="19">VLOOKUP($AW20,$AM$19:$AV$28,9,FALSE)</f>
        <v>#N/A</v>
      </c>
      <c r="BF20" s="589" t="e">
        <f t="shared" ref="BF20:BF28" si="20">VLOOKUP($AW20,$AM$19:$AV$28,10,FALSE)</f>
        <v>#N/A</v>
      </c>
      <c r="BH20" s="171" t="str">
        <f>IF($BI20&lt;&gt;"",MAX(BH$18:BH19)+1,"")</f>
        <v/>
      </c>
      <c r="BI20" s="507" t="str">
        <f t="shared" si="9"/>
        <v/>
      </c>
      <c r="BJ20" s="146">
        <f t="shared" ref="BJ20:BJ28" si="21">IF(ISNA($AB20&lt;&gt;""),"",$I20)</f>
        <v>0</v>
      </c>
      <c r="BK20" s="611" t="str">
        <f t="shared" si="10"/>
        <v/>
      </c>
      <c r="BL20" s="613" t="str">
        <f t="shared" si="11"/>
        <v/>
      </c>
      <c r="BM20" s="612" t="str">
        <f t="shared" ref="BM20:BM28" si="22">IF(AH20&lt;&gt;"",AH20,"")</f>
        <v/>
      </c>
      <c r="BN20" s="612" t="str">
        <f t="shared" ref="BN20:BN28" si="23">IF(AJ20&lt;&gt;"",AJ20,"")</f>
        <v/>
      </c>
      <c r="BO20" s="624" t="str">
        <f>IF($BP20&lt;&gt;"",MAX(BO$18:BO19)+1,"")</f>
        <v/>
      </c>
      <c r="BP20" s="625" t="str">
        <f t="shared" ref="BP20:BP28" si="24">IF(BK20&lt;&gt;"", BI20,"")</f>
        <v/>
      </c>
      <c r="BQ20" s="625" t="str">
        <f t="shared" ref="BQ20:BQ28" si="25">IF(BL20&lt;&gt;"", BJ20,"")</f>
        <v/>
      </c>
      <c r="BR20" s="625" t="str">
        <f t="shared" ref="BR20:BR28" si="26">IF(BJ20&lt;&gt;"", BK20,"")</f>
        <v/>
      </c>
      <c r="BS20" s="625" t="str">
        <f t="shared" ref="BS20:BS28" si="27">IF(BK20&lt;&gt;"", BL20,"")</f>
        <v/>
      </c>
      <c r="BT20" s="626" t="str">
        <f t="shared" ref="BT20:BT28" si="28">IF(BK20&lt;&gt;"", BM20,"")</f>
        <v/>
      </c>
      <c r="BU20" s="626" t="str">
        <f t="shared" ref="BU20:BU28" si="29">IF(BK20&lt;&gt;"", BN20,"")</f>
        <v/>
      </c>
      <c r="BV20" s="620">
        <v>2</v>
      </c>
      <c r="BW20" s="633" t="e">
        <f t="shared" ref="BW20:BW28" si="30">VLOOKUP($BV20,$BO$19:$BR$28,2,FALSE)</f>
        <v>#N/A</v>
      </c>
      <c r="BX20" s="165" t="e">
        <f t="shared" ref="BX20:BX28" si="31">VLOOKUP($BV20,$BO$19:$BU$28,3,FALSE)</f>
        <v>#N/A</v>
      </c>
      <c r="BY20" s="171" t="e">
        <f t="shared" ref="BY20:BY28" si="32">VLOOKUP($BV20,$BO$19:$BU$28,4,FALSE)</f>
        <v>#N/A</v>
      </c>
      <c r="BZ20" s="630" t="e">
        <f t="shared" ref="BZ20:BZ28" si="33">VLOOKUP($BV20,$BO$19:$BU$28,5,FALSE)</f>
        <v>#N/A</v>
      </c>
      <c r="CA20" s="631" t="e">
        <f t="shared" ref="CA20:CA28" si="34">VLOOKUP($BV20,$BO$19:$BU$28,6,FALSE)</f>
        <v>#N/A</v>
      </c>
      <c r="CB20" s="658" t="e">
        <f t="shared" ref="CB20:CB28" si="35">VLOOKUP($BV20,$BO$19:$BU$28,7,FALSE)</f>
        <v>#N/A</v>
      </c>
      <c r="CC20" s="170"/>
      <c r="CD20" s="170"/>
      <c r="CE20" s="168"/>
      <c r="CF20" s="670"/>
      <c r="CG20" s="670"/>
      <c r="CH20" s="625" t="str">
        <f t="shared" ref="CH20:CH28" si="36">IF(ISNA(BD20),"",BD20)</f>
        <v/>
      </c>
      <c r="CI20" s="670"/>
      <c r="CJ20" s="671"/>
      <c r="CK20" s="671"/>
      <c r="CL20" s="578"/>
      <c r="CM20" s="578"/>
      <c r="CP20" s="599"/>
      <c r="CQ20" s="587"/>
      <c r="CR20" s="587"/>
      <c r="CS20" s="168"/>
      <c r="CT20" s="168"/>
      <c r="CU20" s="170"/>
      <c r="CV20" s="170"/>
      <c r="CW20" s="170"/>
      <c r="CX20" s="170"/>
      <c r="CY20" s="170"/>
      <c r="CZ20" s="170"/>
      <c r="DA20" s="170"/>
      <c r="DB20" s="170"/>
      <c r="DC20" s="170"/>
      <c r="DD20" s="170"/>
      <c r="DE20" s="170"/>
      <c r="DF20" s="170"/>
      <c r="DG20" s="170"/>
      <c r="DH20" s="170"/>
      <c r="DI20" s="170"/>
      <c r="DJ20" s="170"/>
    </row>
    <row r="21" spans="1:114" ht="60" customHeight="1">
      <c r="A21" s="149"/>
      <c r="B21" s="1619"/>
      <c r="C21" s="717"/>
      <c r="D21" s="1515"/>
      <c r="E21" s="1516"/>
      <c r="F21" s="1517"/>
      <c r="G21" s="1527"/>
      <c r="H21" s="1528"/>
      <c r="I21" s="909"/>
      <c r="J21" s="1506"/>
      <c r="K21" s="1507"/>
      <c r="L21" s="1506"/>
      <c r="M21" s="1508"/>
      <c r="N21" s="1507"/>
      <c r="O21" s="1506"/>
      <c r="P21" s="1507"/>
      <c r="Q21" s="1506"/>
      <c r="R21" s="1508"/>
      <c r="S21" s="1507"/>
      <c r="T21" s="1509"/>
      <c r="U21" s="1510"/>
      <c r="V21" s="1510"/>
      <c r="W21" s="1511"/>
      <c r="X21" s="1499"/>
      <c r="Y21" s="1500"/>
      <c r="Z21" s="1501"/>
      <c r="AA21" s="1502"/>
      <c r="AB21" s="1503"/>
      <c r="AC21" s="1504"/>
      <c r="AD21" s="1505"/>
      <c r="AE21" s="898"/>
      <c r="AF21" s="1496"/>
      <c r="AG21" s="1497"/>
      <c r="AH21" s="1486"/>
      <c r="AI21" s="1487"/>
      <c r="AJ21" s="899"/>
      <c r="AK21" s="169"/>
      <c r="AL21" s="510"/>
      <c r="AM21" s="508" t="str">
        <f>IF($AN21&lt;&gt;"",MAX(AM$18:AM20)+1,"")</f>
        <v/>
      </c>
      <c r="AN21" s="146" t="str">
        <f t="shared" si="0"/>
        <v/>
      </c>
      <c r="AO21" s="146" t="str">
        <f t="shared" si="1"/>
        <v/>
      </c>
      <c r="AP21" s="755" t="str">
        <f t="shared" si="2"/>
        <v/>
      </c>
      <c r="AQ21" s="755" t="str">
        <f t="shared" si="3"/>
        <v/>
      </c>
      <c r="AR21" s="756" t="str">
        <f t="shared" si="4"/>
        <v/>
      </c>
      <c r="AS21" s="756" t="str">
        <f t="shared" si="5"/>
        <v/>
      </c>
      <c r="AT21" s="516" t="str">
        <f t="shared" si="6"/>
        <v/>
      </c>
      <c r="AU21" s="755" t="str">
        <f t="shared" si="7"/>
        <v/>
      </c>
      <c r="AV21" s="516" t="str">
        <f t="shared" si="8"/>
        <v/>
      </c>
      <c r="AW21" s="148">
        <v>3</v>
      </c>
      <c r="AX21" s="530" t="e">
        <f t="shared" si="12"/>
        <v>#N/A</v>
      </c>
      <c r="AY21" s="165" t="e">
        <f t="shared" si="13"/>
        <v>#N/A</v>
      </c>
      <c r="AZ21" s="165" t="e">
        <f t="shared" si="14"/>
        <v>#N/A</v>
      </c>
      <c r="BA21" s="165" t="e">
        <f t="shared" si="15"/>
        <v>#N/A</v>
      </c>
      <c r="BB21" s="165" t="e">
        <f t="shared" si="16"/>
        <v>#N/A</v>
      </c>
      <c r="BC21" s="165" t="e">
        <f t="shared" si="17"/>
        <v>#N/A</v>
      </c>
      <c r="BD21" s="165" t="e">
        <f t="shared" si="18"/>
        <v>#N/A</v>
      </c>
      <c r="BE21" s="165" t="e">
        <f t="shared" si="19"/>
        <v>#N/A</v>
      </c>
      <c r="BF21" s="589" t="e">
        <f t="shared" si="20"/>
        <v>#N/A</v>
      </c>
      <c r="BH21" s="171" t="str">
        <f>IF($BI21&lt;&gt;"",MAX(BH$18:BH20)+1,"")</f>
        <v/>
      </c>
      <c r="BI21" s="507" t="str">
        <f t="shared" si="9"/>
        <v/>
      </c>
      <c r="BJ21" s="146">
        <f t="shared" si="21"/>
        <v>0</v>
      </c>
      <c r="BK21" s="611" t="str">
        <f t="shared" si="10"/>
        <v/>
      </c>
      <c r="BL21" s="613" t="str">
        <f t="shared" si="11"/>
        <v/>
      </c>
      <c r="BM21" s="612" t="str">
        <f t="shared" si="22"/>
        <v/>
      </c>
      <c r="BN21" s="612" t="str">
        <f t="shared" si="23"/>
        <v/>
      </c>
      <c r="BO21" s="624" t="str">
        <f>IF($BP21&lt;&gt;"",MAX(BO$18:BO20)+1,"")</f>
        <v/>
      </c>
      <c r="BP21" s="625" t="str">
        <f t="shared" si="24"/>
        <v/>
      </c>
      <c r="BQ21" s="625" t="str">
        <f t="shared" si="25"/>
        <v/>
      </c>
      <c r="BR21" s="625" t="str">
        <f t="shared" si="26"/>
        <v/>
      </c>
      <c r="BS21" s="625" t="str">
        <f t="shared" si="27"/>
        <v/>
      </c>
      <c r="BT21" s="626" t="str">
        <f t="shared" si="28"/>
        <v/>
      </c>
      <c r="BU21" s="626" t="str">
        <f t="shared" si="29"/>
        <v/>
      </c>
      <c r="BV21" s="620">
        <v>3</v>
      </c>
      <c r="BW21" s="633" t="e">
        <f t="shared" si="30"/>
        <v>#N/A</v>
      </c>
      <c r="BX21" s="165" t="e">
        <f t="shared" si="31"/>
        <v>#N/A</v>
      </c>
      <c r="BY21" s="171" t="e">
        <f t="shared" si="32"/>
        <v>#N/A</v>
      </c>
      <c r="BZ21" s="630" t="e">
        <f t="shared" si="33"/>
        <v>#N/A</v>
      </c>
      <c r="CA21" s="631" t="e">
        <f t="shared" si="34"/>
        <v>#N/A</v>
      </c>
      <c r="CB21" s="658" t="e">
        <f t="shared" si="35"/>
        <v>#N/A</v>
      </c>
      <c r="CC21" s="170"/>
      <c r="CD21" s="170"/>
      <c r="CE21" s="168"/>
      <c r="CF21" s="670"/>
      <c r="CG21" s="670"/>
      <c r="CH21" s="625" t="str">
        <f t="shared" si="36"/>
        <v/>
      </c>
      <c r="CI21" s="670"/>
      <c r="CJ21" s="671"/>
      <c r="CK21" s="671"/>
      <c r="CL21" s="578"/>
      <c r="CM21" s="578"/>
      <c r="CP21" s="599"/>
      <c r="CQ21" s="587"/>
      <c r="CR21" s="587"/>
      <c r="CS21" s="168"/>
      <c r="CT21" s="168"/>
      <c r="CU21" s="170"/>
      <c r="CV21" s="170"/>
      <c r="CW21" s="170"/>
      <c r="CX21" s="170"/>
      <c r="CY21" s="170"/>
      <c r="CZ21" s="170"/>
      <c r="DA21" s="170"/>
      <c r="DB21" s="170"/>
      <c r="DC21" s="170"/>
      <c r="DD21" s="170"/>
      <c r="DE21" s="170"/>
      <c r="DF21" s="170"/>
      <c r="DG21" s="170"/>
      <c r="DH21" s="170"/>
      <c r="DI21" s="170"/>
      <c r="DJ21" s="170"/>
    </row>
    <row r="22" spans="1:114" ht="60" customHeight="1">
      <c r="A22" s="149"/>
      <c r="B22" s="1619"/>
      <c r="C22" s="717"/>
      <c r="D22" s="1515"/>
      <c r="E22" s="1516"/>
      <c r="F22" s="1517"/>
      <c r="G22" s="1527"/>
      <c r="H22" s="1528"/>
      <c r="I22" s="909"/>
      <c r="J22" s="1506"/>
      <c r="K22" s="1507"/>
      <c r="L22" s="1506"/>
      <c r="M22" s="1508"/>
      <c r="N22" s="1507"/>
      <c r="O22" s="1506"/>
      <c r="P22" s="1507"/>
      <c r="Q22" s="1506"/>
      <c r="R22" s="1508"/>
      <c r="S22" s="1507"/>
      <c r="T22" s="1509"/>
      <c r="U22" s="1510"/>
      <c r="V22" s="1510"/>
      <c r="W22" s="1511"/>
      <c r="X22" s="1499"/>
      <c r="Y22" s="1500"/>
      <c r="Z22" s="1501"/>
      <c r="AA22" s="1502"/>
      <c r="AB22" s="1503"/>
      <c r="AC22" s="1504"/>
      <c r="AD22" s="1505"/>
      <c r="AE22" s="898"/>
      <c r="AF22" s="1496"/>
      <c r="AG22" s="1497"/>
      <c r="AH22" s="1486"/>
      <c r="AI22" s="1487"/>
      <c r="AJ22" s="899"/>
      <c r="AK22" s="169"/>
      <c r="AL22" s="510"/>
      <c r="AM22" s="508" t="str">
        <f>IF($AN22&lt;&gt;"",MAX(AM$18:AM21)+1,"")</f>
        <v/>
      </c>
      <c r="AN22" s="146" t="str">
        <f t="shared" si="0"/>
        <v/>
      </c>
      <c r="AO22" s="146" t="str">
        <f t="shared" si="1"/>
        <v/>
      </c>
      <c r="AP22" s="755" t="str">
        <f t="shared" si="2"/>
        <v/>
      </c>
      <c r="AQ22" s="755" t="str">
        <f t="shared" si="3"/>
        <v/>
      </c>
      <c r="AR22" s="756" t="str">
        <f t="shared" si="4"/>
        <v/>
      </c>
      <c r="AS22" s="756" t="str">
        <f t="shared" si="5"/>
        <v/>
      </c>
      <c r="AT22" s="516" t="str">
        <f t="shared" si="6"/>
        <v/>
      </c>
      <c r="AU22" s="755" t="str">
        <f t="shared" si="7"/>
        <v/>
      </c>
      <c r="AV22" s="516" t="str">
        <f t="shared" si="8"/>
        <v/>
      </c>
      <c r="AW22" s="148">
        <v>4</v>
      </c>
      <c r="AX22" s="530" t="e">
        <f t="shared" si="12"/>
        <v>#N/A</v>
      </c>
      <c r="AY22" s="165" t="e">
        <f t="shared" si="13"/>
        <v>#N/A</v>
      </c>
      <c r="AZ22" s="165" t="e">
        <f t="shared" si="14"/>
        <v>#N/A</v>
      </c>
      <c r="BA22" s="165" t="e">
        <f t="shared" si="15"/>
        <v>#N/A</v>
      </c>
      <c r="BB22" s="165" t="e">
        <f t="shared" si="16"/>
        <v>#N/A</v>
      </c>
      <c r="BC22" s="165" t="e">
        <f t="shared" si="17"/>
        <v>#N/A</v>
      </c>
      <c r="BD22" s="165" t="e">
        <f t="shared" si="18"/>
        <v>#N/A</v>
      </c>
      <c r="BE22" s="165" t="e">
        <f t="shared" si="19"/>
        <v>#N/A</v>
      </c>
      <c r="BF22" s="589" t="e">
        <f t="shared" si="20"/>
        <v>#N/A</v>
      </c>
      <c r="BH22" s="171" t="str">
        <f>IF($BI22&lt;&gt;"",MAX(BH$18:BH21)+1,"")</f>
        <v/>
      </c>
      <c r="BI22" s="507" t="str">
        <f t="shared" si="9"/>
        <v/>
      </c>
      <c r="BJ22" s="146">
        <f t="shared" si="21"/>
        <v>0</v>
      </c>
      <c r="BK22" s="611" t="str">
        <f t="shared" si="10"/>
        <v/>
      </c>
      <c r="BL22" s="613" t="str">
        <f t="shared" si="11"/>
        <v/>
      </c>
      <c r="BM22" s="612" t="str">
        <f t="shared" si="22"/>
        <v/>
      </c>
      <c r="BN22" s="612" t="str">
        <f t="shared" si="23"/>
        <v/>
      </c>
      <c r="BO22" s="624" t="str">
        <f>IF($BP22&lt;&gt;"",MAX(BO$18:BO21)+1,"")</f>
        <v/>
      </c>
      <c r="BP22" s="625" t="str">
        <f t="shared" si="24"/>
        <v/>
      </c>
      <c r="BQ22" s="625" t="str">
        <f t="shared" si="25"/>
        <v/>
      </c>
      <c r="BR22" s="625" t="str">
        <f t="shared" si="26"/>
        <v/>
      </c>
      <c r="BS22" s="625" t="str">
        <f t="shared" si="27"/>
        <v/>
      </c>
      <c r="BT22" s="626" t="str">
        <f t="shared" si="28"/>
        <v/>
      </c>
      <c r="BU22" s="626" t="str">
        <f t="shared" si="29"/>
        <v/>
      </c>
      <c r="BV22" s="620">
        <v>4</v>
      </c>
      <c r="BW22" s="633" t="e">
        <f t="shared" si="30"/>
        <v>#N/A</v>
      </c>
      <c r="BX22" s="165" t="e">
        <f t="shared" si="31"/>
        <v>#N/A</v>
      </c>
      <c r="BY22" s="171" t="e">
        <f t="shared" si="32"/>
        <v>#N/A</v>
      </c>
      <c r="BZ22" s="630" t="e">
        <f t="shared" si="33"/>
        <v>#N/A</v>
      </c>
      <c r="CA22" s="631" t="e">
        <f t="shared" si="34"/>
        <v>#N/A</v>
      </c>
      <c r="CB22" s="658" t="e">
        <f t="shared" si="35"/>
        <v>#N/A</v>
      </c>
      <c r="CC22" s="170"/>
      <c r="CD22" s="170"/>
      <c r="CE22" s="168"/>
      <c r="CF22" s="670"/>
      <c r="CG22" s="670"/>
      <c r="CH22" s="625" t="str">
        <f t="shared" si="36"/>
        <v/>
      </c>
      <c r="CI22" s="670"/>
      <c r="CJ22" s="671"/>
      <c r="CK22" s="671"/>
      <c r="CL22" s="578"/>
      <c r="CM22" s="578"/>
      <c r="CP22" s="599"/>
      <c r="CQ22" s="587"/>
      <c r="CR22" s="587"/>
      <c r="CS22" s="168"/>
      <c r="CT22" s="168"/>
      <c r="CU22" s="170"/>
      <c r="CV22" s="170"/>
      <c r="CW22" s="170"/>
      <c r="CX22" s="170"/>
      <c r="CY22" s="170"/>
      <c r="CZ22" s="170"/>
      <c r="DA22" s="170"/>
      <c r="DB22" s="170"/>
      <c r="DC22" s="170"/>
      <c r="DD22" s="170"/>
      <c r="DE22" s="170"/>
      <c r="DF22" s="170"/>
      <c r="DG22" s="170"/>
      <c r="DH22" s="170"/>
      <c r="DI22" s="170"/>
      <c r="DJ22" s="170"/>
    </row>
    <row r="23" spans="1:114" ht="60" customHeight="1">
      <c r="A23" s="149"/>
      <c r="B23" s="1619"/>
      <c r="C23" s="717"/>
      <c r="D23" s="1515"/>
      <c r="E23" s="1516"/>
      <c r="F23" s="1517"/>
      <c r="G23" s="1527"/>
      <c r="H23" s="1528"/>
      <c r="I23" s="909"/>
      <c r="J23" s="1506"/>
      <c r="K23" s="1507"/>
      <c r="L23" s="1506"/>
      <c r="M23" s="1508"/>
      <c r="N23" s="1507"/>
      <c r="O23" s="1506"/>
      <c r="P23" s="1507"/>
      <c r="Q23" s="1506"/>
      <c r="R23" s="1508"/>
      <c r="S23" s="1507"/>
      <c r="T23" s="1509"/>
      <c r="U23" s="1510"/>
      <c r="V23" s="1510"/>
      <c r="W23" s="1511"/>
      <c r="X23" s="1499"/>
      <c r="Y23" s="1500"/>
      <c r="Z23" s="1501"/>
      <c r="AA23" s="1502"/>
      <c r="AB23" s="1503"/>
      <c r="AC23" s="1504"/>
      <c r="AD23" s="1505"/>
      <c r="AE23" s="898"/>
      <c r="AF23" s="1496"/>
      <c r="AG23" s="1497"/>
      <c r="AH23" s="1486"/>
      <c r="AI23" s="1487"/>
      <c r="AJ23" s="899"/>
      <c r="AK23" s="169"/>
      <c r="AL23" s="510"/>
      <c r="AM23" s="508" t="str">
        <f>IF($AN23&lt;&gt;"",MAX(AM$18:AM22)+1,"")</f>
        <v/>
      </c>
      <c r="AN23" s="146" t="str">
        <f t="shared" si="0"/>
        <v/>
      </c>
      <c r="AO23" s="146" t="str">
        <f t="shared" si="1"/>
        <v/>
      </c>
      <c r="AP23" s="755" t="str">
        <f t="shared" si="2"/>
        <v/>
      </c>
      <c r="AQ23" s="755" t="str">
        <f t="shared" si="3"/>
        <v/>
      </c>
      <c r="AR23" s="756" t="str">
        <f t="shared" si="4"/>
        <v/>
      </c>
      <c r="AS23" s="756" t="str">
        <f t="shared" si="5"/>
        <v/>
      </c>
      <c r="AT23" s="516" t="str">
        <f t="shared" si="6"/>
        <v/>
      </c>
      <c r="AU23" s="755" t="str">
        <f t="shared" si="7"/>
        <v/>
      </c>
      <c r="AV23" s="516" t="str">
        <f t="shared" si="8"/>
        <v/>
      </c>
      <c r="AW23" s="148">
        <v>5</v>
      </c>
      <c r="AX23" s="530" t="e">
        <f t="shared" si="12"/>
        <v>#N/A</v>
      </c>
      <c r="AY23" s="165" t="e">
        <f t="shared" si="13"/>
        <v>#N/A</v>
      </c>
      <c r="AZ23" s="165" t="e">
        <f t="shared" si="14"/>
        <v>#N/A</v>
      </c>
      <c r="BA23" s="165" t="e">
        <f t="shared" si="15"/>
        <v>#N/A</v>
      </c>
      <c r="BB23" s="165" t="e">
        <f t="shared" si="16"/>
        <v>#N/A</v>
      </c>
      <c r="BC23" s="165" t="e">
        <f t="shared" si="17"/>
        <v>#N/A</v>
      </c>
      <c r="BD23" s="165" t="e">
        <f t="shared" si="18"/>
        <v>#N/A</v>
      </c>
      <c r="BE23" s="165" t="e">
        <f t="shared" si="19"/>
        <v>#N/A</v>
      </c>
      <c r="BF23" s="589" t="e">
        <f t="shared" si="20"/>
        <v>#N/A</v>
      </c>
      <c r="BH23" s="171" t="str">
        <f>IF($BI23&lt;&gt;"",MAX(BH$18:BH22)+1,"")</f>
        <v/>
      </c>
      <c r="BI23" s="507" t="str">
        <f t="shared" si="9"/>
        <v/>
      </c>
      <c r="BJ23" s="146">
        <f t="shared" si="21"/>
        <v>0</v>
      </c>
      <c r="BK23" s="611" t="str">
        <f t="shared" si="10"/>
        <v/>
      </c>
      <c r="BL23" s="613" t="str">
        <f t="shared" si="11"/>
        <v/>
      </c>
      <c r="BM23" s="612" t="str">
        <f t="shared" si="22"/>
        <v/>
      </c>
      <c r="BN23" s="612" t="str">
        <f t="shared" si="23"/>
        <v/>
      </c>
      <c r="BO23" s="624" t="str">
        <f>IF($BP23&lt;&gt;"",MAX(BO$18:BO22)+1,"")</f>
        <v/>
      </c>
      <c r="BP23" s="625" t="str">
        <f t="shared" si="24"/>
        <v/>
      </c>
      <c r="BQ23" s="625" t="str">
        <f t="shared" si="25"/>
        <v/>
      </c>
      <c r="BR23" s="625" t="str">
        <f t="shared" si="26"/>
        <v/>
      </c>
      <c r="BS23" s="625" t="str">
        <f t="shared" si="27"/>
        <v/>
      </c>
      <c r="BT23" s="626" t="str">
        <f t="shared" si="28"/>
        <v/>
      </c>
      <c r="BU23" s="626" t="str">
        <f t="shared" si="29"/>
        <v/>
      </c>
      <c r="BV23" s="620">
        <v>5</v>
      </c>
      <c r="BW23" s="633" t="e">
        <f t="shared" si="30"/>
        <v>#N/A</v>
      </c>
      <c r="BX23" s="165" t="e">
        <f t="shared" si="31"/>
        <v>#N/A</v>
      </c>
      <c r="BY23" s="171" t="e">
        <f t="shared" si="32"/>
        <v>#N/A</v>
      </c>
      <c r="BZ23" s="630" t="e">
        <f t="shared" si="33"/>
        <v>#N/A</v>
      </c>
      <c r="CA23" s="631" t="e">
        <f t="shared" si="34"/>
        <v>#N/A</v>
      </c>
      <c r="CB23" s="658" t="e">
        <f t="shared" si="35"/>
        <v>#N/A</v>
      </c>
      <c r="CC23" s="170"/>
      <c r="CD23" s="170"/>
      <c r="CE23" s="168"/>
      <c r="CF23" s="670"/>
      <c r="CG23" s="670"/>
      <c r="CH23" s="625" t="str">
        <f t="shared" si="36"/>
        <v/>
      </c>
      <c r="CI23" s="670"/>
      <c r="CJ23" s="671"/>
      <c r="CK23" s="671"/>
      <c r="CL23" s="578"/>
      <c r="CM23" s="578"/>
      <c r="CP23" s="599"/>
      <c r="CQ23" s="587"/>
      <c r="CR23" s="587"/>
      <c r="CS23" s="168"/>
      <c r="CT23" s="168"/>
      <c r="CU23" s="170"/>
      <c r="CV23" s="170"/>
      <c r="CW23" s="170"/>
      <c r="CX23" s="170"/>
      <c r="CY23" s="170"/>
      <c r="CZ23" s="170"/>
      <c r="DA23" s="170"/>
      <c r="DB23" s="170"/>
      <c r="DC23" s="170"/>
      <c r="DD23" s="170"/>
      <c r="DE23" s="170"/>
      <c r="DF23" s="170"/>
      <c r="DG23" s="170"/>
      <c r="DH23" s="170"/>
      <c r="DI23" s="170"/>
      <c r="DJ23" s="170"/>
    </row>
    <row r="24" spans="1:114" ht="60" customHeight="1">
      <c r="A24" s="149"/>
      <c r="B24" s="1619"/>
      <c r="C24" s="717"/>
      <c r="D24" s="1515"/>
      <c r="E24" s="1516"/>
      <c r="F24" s="1517"/>
      <c r="G24" s="1527"/>
      <c r="H24" s="1528"/>
      <c r="I24" s="909"/>
      <c r="J24" s="1506"/>
      <c r="K24" s="1507"/>
      <c r="L24" s="1506"/>
      <c r="M24" s="1508"/>
      <c r="N24" s="1507"/>
      <c r="O24" s="1506"/>
      <c r="P24" s="1507"/>
      <c r="Q24" s="1506"/>
      <c r="R24" s="1508"/>
      <c r="S24" s="1507"/>
      <c r="T24" s="1509"/>
      <c r="U24" s="1510"/>
      <c r="V24" s="1510"/>
      <c r="W24" s="1511"/>
      <c r="X24" s="1499"/>
      <c r="Y24" s="1500"/>
      <c r="Z24" s="1501"/>
      <c r="AA24" s="1502"/>
      <c r="AB24" s="1503"/>
      <c r="AC24" s="1504"/>
      <c r="AD24" s="1505"/>
      <c r="AE24" s="898"/>
      <c r="AF24" s="1496"/>
      <c r="AG24" s="1497"/>
      <c r="AH24" s="1486"/>
      <c r="AI24" s="1487"/>
      <c r="AJ24" s="899"/>
      <c r="AK24" s="169"/>
      <c r="AL24" s="510"/>
      <c r="AM24" s="508" t="str">
        <f>IF($AN24&lt;&gt;"",MAX(AM$18:AM23)+1,"")</f>
        <v/>
      </c>
      <c r="AN24" s="146" t="str">
        <f t="shared" si="0"/>
        <v/>
      </c>
      <c r="AO24" s="146" t="str">
        <f t="shared" si="1"/>
        <v/>
      </c>
      <c r="AP24" s="755" t="str">
        <f t="shared" si="2"/>
        <v/>
      </c>
      <c r="AQ24" s="755" t="str">
        <f t="shared" si="3"/>
        <v/>
      </c>
      <c r="AR24" s="756" t="str">
        <f t="shared" si="4"/>
        <v/>
      </c>
      <c r="AS24" s="756" t="str">
        <f t="shared" si="5"/>
        <v/>
      </c>
      <c r="AT24" s="516" t="str">
        <f t="shared" si="6"/>
        <v/>
      </c>
      <c r="AU24" s="755" t="str">
        <f t="shared" si="7"/>
        <v/>
      </c>
      <c r="AV24" s="516" t="str">
        <f t="shared" si="8"/>
        <v/>
      </c>
      <c r="AW24" s="148">
        <v>6</v>
      </c>
      <c r="AX24" s="530" t="e">
        <f t="shared" si="12"/>
        <v>#N/A</v>
      </c>
      <c r="AY24" s="165" t="e">
        <f t="shared" si="13"/>
        <v>#N/A</v>
      </c>
      <c r="AZ24" s="165" t="e">
        <f t="shared" si="14"/>
        <v>#N/A</v>
      </c>
      <c r="BA24" s="165" t="e">
        <f t="shared" si="15"/>
        <v>#N/A</v>
      </c>
      <c r="BB24" s="165" t="e">
        <f t="shared" si="16"/>
        <v>#N/A</v>
      </c>
      <c r="BC24" s="165" t="e">
        <f t="shared" si="17"/>
        <v>#N/A</v>
      </c>
      <c r="BD24" s="165" t="e">
        <f t="shared" si="18"/>
        <v>#N/A</v>
      </c>
      <c r="BE24" s="165" t="e">
        <f t="shared" si="19"/>
        <v>#N/A</v>
      </c>
      <c r="BF24" s="589" t="e">
        <f t="shared" si="20"/>
        <v>#N/A</v>
      </c>
      <c r="BH24" s="171" t="str">
        <f>IF($BI24&lt;&gt;"",MAX(BH$18:BH23)+1,"")</f>
        <v/>
      </c>
      <c r="BI24" s="507" t="str">
        <f t="shared" si="9"/>
        <v/>
      </c>
      <c r="BJ24" s="146">
        <f t="shared" si="21"/>
        <v>0</v>
      </c>
      <c r="BK24" s="611" t="str">
        <f t="shared" si="10"/>
        <v/>
      </c>
      <c r="BL24" s="613" t="str">
        <f t="shared" si="11"/>
        <v/>
      </c>
      <c r="BM24" s="612" t="str">
        <f t="shared" si="22"/>
        <v/>
      </c>
      <c r="BN24" s="612" t="str">
        <f t="shared" si="23"/>
        <v/>
      </c>
      <c r="BO24" s="624" t="str">
        <f>IF($BP24&lt;&gt;"",MAX(BO$18:BO23)+1,"")</f>
        <v/>
      </c>
      <c r="BP24" s="625" t="str">
        <f t="shared" si="24"/>
        <v/>
      </c>
      <c r="BQ24" s="625" t="str">
        <f t="shared" si="25"/>
        <v/>
      </c>
      <c r="BR24" s="625" t="str">
        <f t="shared" si="26"/>
        <v/>
      </c>
      <c r="BS24" s="625" t="str">
        <f t="shared" si="27"/>
        <v/>
      </c>
      <c r="BT24" s="626" t="str">
        <f t="shared" si="28"/>
        <v/>
      </c>
      <c r="BU24" s="626" t="str">
        <f t="shared" si="29"/>
        <v/>
      </c>
      <c r="BV24" s="620">
        <v>6</v>
      </c>
      <c r="BW24" s="633" t="e">
        <f t="shared" si="30"/>
        <v>#N/A</v>
      </c>
      <c r="BX24" s="165" t="e">
        <f t="shared" si="31"/>
        <v>#N/A</v>
      </c>
      <c r="BY24" s="171" t="e">
        <f t="shared" si="32"/>
        <v>#N/A</v>
      </c>
      <c r="BZ24" s="630" t="e">
        <f t="shared" si="33"/>
        <v>#N/A</v>
      </c>
      <c r="CA24" s="631" t="e">
        <f t="shared" si="34"/>
        <v>#N/A</v>
      </c>
      <c r="CB24" s="658" t="e">
        <f t="shared" si="35"/>
        <v>#N/A</v>
      </c>
      <c r="CC24" s="170"/>
      <c r="CD24" s="170"/>
      <c r="CE24" s="168"/>
      <c r="CF24" s="670"/>
      <c r="CG24" s="670"/>
      <c r="CH24" s="625" t="str">
        <f t="shared" si="36"/>
        <v/>
      </c>
      <c r="CI24" s="670"/>
      <c r="CJ24" s="671"/>
      <c r="CK24" s="671"/>
      <c r="CL24" s="578"/>
      <c r="CM24" s="578"/>
      <c r="CP24" s="599"/>
      <c r="CQ24" s="587"/>
      <c r="CR24" s="587"/>
      <c r="CS24" s="168"/>
      <c r="CT24" s="168"/>
      <c r="CU24" s="170"/>
      <c r="CV24" s="170"/>
      <c r="CW24" s="170"/>
      <c r="CX24" s="170"/>
      <c r="CY24" s="170"/>
      <c r="CZ24" s="170"/>
      <c r="DA24" s="170"/>
      <c r="DB24" s="170"/>
      <c r="DC24" s="170"/>
      <c r="DD24" s="170"/>
      <c r="DE24" s="170"/>
      <c r="DF24" s="170"/>
      <c r="DG24" s="170"/>
      <c r="DH24" s="170"/>
      <c r="DI24" s="170"/>
      <c r="DJ24" s="170"/>
    </row>
    <row r="25" spans="1:114" ht="60" customHeight="1">
      <c r="A25" s="149"/>
      <c r="B25" s="1619"/>
      <c r="C25" s="717"/>
      <c r="D25" s="1515"/>
      <c r="E25" s="1516"/>
      <c r="F25" s="1517"/>
      <c r="G25" s="1527"/>
      <c r="H25" s="1528"/>
      <c r="I25" s="909"/>
      <c r="J25" s="1506"/>
      <c r="K25" s="1507"/>
      <c r="L25" s="1506"/>
      <c r="M25" s="1508"/>
      <c r="N25" s="1507"/>
      <c r="O25" s="1506"/>
      <c r="P25" s="1507"/>
      <c r="Q25" s="1506"/>
      <c r="R25" s="1508"/>
      <c r="S25" s="1507"/>
      <c r="T25" s="1509"/>
      <c r="U25" s="1510"/>
      <c r="V25" s="1510"/>
      <c r="W25" s="1511"/>
      <c r="X25" s="1499"/>
      <c r="Y25" s="1500"/>
      <c r="Z25" s="1501"/>
      <c r="AA25" s="1502"/>
      <c r="AB25" s="1503"/>
      <c r="AC25" s="1504"/>
      <c r="AD25" s="1505"/>
      <c r="AE25" s="898"/>
      <c r="AF25" s="1496"/>
      <c r="AG25" s="1497"/>
      <c r="AH25" s="1486"/>
      <c r="AI25" s="1487"/>
      <c r="AJ25" s="899"/>
      <c r="AK25" s="169"/>
      <c r="AL25" s="510"/>
      <c r="AM25" s="508" t="str">
        <f>IF($AN25&lt;&gt;"",MAX(AM$18:AM24)+1,"")</f>
        <v/>
      </c>
      <c r="AN25" s="146" t="str">
        <f t="shared" si="0"/>
        <v/>
      </c>
      <c r="AO25" s="146" t="str">
        <f t="shared" si="1"/>
        <v/>
      </c>
      <c r="AP25" s="755" t="str">
        <f t="shared" si="2"/>
        <v/>
      </c>
      <c r="AQ25" s="755" t="str">
        <f t="shared" si="3"/>
        <v/>
      </c>
      <c r="AR25" s="756" t="str">
        <f t="shared" si="4"/>
        <v/>
      </c>
      <c r="AS25" s="756" t="str">
        <f t="shared" si="5"/>
        <v/>
      </c>
      <c r="AT25" s="516" t="str">
        <f t="shared" si="6"/>
        <v/>
      </c>
      <c r="AU25" s="755" t="str">
        <f t="shared" si="7"/>
        <v/>
      </c>
      <c r="AV25" s="516" t="str">
        <f t="shared" si="8"/>
        <v/>
      </c>
      <c r="AW25" s="148">
        <v>7</v>
      </c>
      <c r="AX25" s="530" t="e">
        <f t="shared" si="12"/>
        <v>#N/A</v>
      </c>
      <c r="AY25" s="165" t="e">
        <f t="shared" si="13"/>
        <v>#N/A</v>
      </c>
      <c r="AZ25" s="165" t="e">
        <f t="shared" si="14"/>
        <v>#N/A</v>
      </c>
      <c r="BA25" s="165" t="e">
        <f t="shared" si="15"/>
        <v>#N/A</v>
      </c>
      <c r="BB25" s="165" t="e">
        <f t="shared" si="16"/>
        <v>#N/A</v>
      </c>
      <c r="BC25" s="165" t="e">
        <f t="shared" si="17"/>
        <v>#N/A</v>
      </c>
      <c r="BD25" s="165" t="e">
        <f t="shared" si="18"/>
        <v>#N/A</v>
      </c>
      <c r="BE25" s="165" t="e">
        <f t="shared" si="19"/>
        <v>#N/A</v>
      </c>
      <c r="BF25" s="589" t="e">
        <f t="shared" si="20"/>
        <v>#N/A</v>
      </c>
      <c r="BH25" s="171" t="str">
        <f>IF($BI25&lt;&gt;"",MAX(BH$18:BH24)+1,"")</f>
        <v/>
      </c>
      <c r="BI25" s="507" t="str">
        <f t="shared" si="9"/>
        <v/>
      </c>
      <c r="BJ25" s="146">
        <f t="shared" si="21"/>
        <v>0</v>
      </c>
      <c r="BK25" s="611" t="str">
        <f t="shared" si="10"/>
        <v/>
      </c>
      <c r="BL25" s="613" t="str">
        <f t="shared" si="11"/>
        <v/>
      </c>
      <c r="BM25" s="612" t="str">
        <f t="shared" si="22"/>
        <v/>
      </c>
      <c r="BN25" s="612" t="str">
        <f t="shared" si="23"/>
        <v/>
      </c>
      <c r="BO25" s="624" t="str">
        <f>IF($BP25&lt;&gt;"",MAX(BO$18:BO24)+1,"")</f>
        <v/>
      </c>
      <c r="BP25" s="625" t="str">
        <f t="shared" si="24"/>
        <v/>
      </c>
      <c r="BQ25" s="625" t="str">
        <f t="shared" si="25"/>
        <v/>
      </c>
      <c r="BR25" s="625" t="str">
        <f t="shared" si="26"/>
        <v/>
      </c>
      <c r="BS25" s="625" t="str">
        <f t="shared" si="27"/>
        <v/>
      </c>
      <c r="BT25" s="626" t="str">
        <f t="shared" si="28"/>
        <v/>
      </c>
      <c r="BU25" s="626" t="str">
        <f t="shared" si="29"/>
        <v/>
      </c>
      <c r="BV25" s="620">
        <v>7</v>
      </c>
      <c r="BW25" s="633" t="e">
        <f t="shared" si="30"/>
        <v>#N/A</v>
      </c>
      <c r="BX25" s="165" t="e">
        <f t="shared" si="31"/>
        <v>#N/A</v>
      </c>
      <c r="BY25" s="171" t="e">
        <f t="shared" si="32"/>
        <v>#N/A</v>
      </c>
      <c r="BZ25" s="630" t="e">
        <f t="shared" si="33"/>
        <v>#N/A</v>
      </c>
      <c r="CA25" s="631" t="e">
        <f t="shared" si="34"/>
        <v>#N/A</v>
      </c>
      <c r="CB25" s="658" t="e">
        <f t="shared" si="35"/>
        <v>#N/A</v>
      </c>
      <c r="CC25" s="170"/>
      <c r="CD25" s="170"/>
      <c r="CE25" s="168"/>
      <c r="CF25" s="670"/>
      <c r="CG25" s="670"/>
      <c r="CH25" s="625" t="str">
        <f t="shared" si="36"/>
        <v/>
      </c>
      <c r="CI25" s="670"/>
      <c r="CJ25" s="671"/>
      <c r="CK25" s="671"/>
      <c r="CL25" s="578"/>
      <c r="CM25" s="578"/>
      <c r="CP25" s="599"/>
      <c r="CQ25" s="587"/>
      <c r="CR25" s="587"/>
      <c r="CS25" s="168"/>
      <c r="CT25" s="168"/>
      <c r="CU25" s="170"/>
      <c r="CV25" s="170"/>
      <c r="CW25" s="170"/>
      <c r="CX25" s="170"/>
      <c r="CY25" s="170"/>
      <c r="CZ25" s="170"/>
      <c r="DA25" s="170"/>
      <c r="DB25" s="170"/>
      <c r="DC25" s="170"/>
      <c r="DD25" s="170"/>
      <c r="DE25" s="170"/>
      <c r="DF25" s="170"/>
      <c r="DG25" s="170"/>
      <c r="DH25" s="170"/>
      <c r="DI25" s="170"/>
      <c r="DJ25" s="170"/>
    </row>
    <row r="26" spans="1:114" ht="60" customHeight="1">
      <c r="A26" s="149"/>
      <c r="B26" s="1619"/>
      <c r="C26" s="717"/>
      <c r="D26" s="1515"/>
      <c r="E26" s="1516"/>
      <c r="F26" s="1517"/>
      <c r="G26" s="1527"/>
      <c r="H26" s="1528"/>
      <c r="I26" s="909"/>
      <c r="J26" s="1506"/>
      <c r="K26" s="1507"/>
      <c r="L26" s="1506"/>
      <c r="M26" s="1508"/>
      <c r="N26" s="1507"/>
      <c r="O26" s="1506"/>
      <c r="P26" s="1507"/>
      <c r="Q26" s="1506"/>
      <c r="R26" s="1508"/>
      <c r="S26" s="1507"/>
      <c r="T26" s="1509"/>
      <c r="U26" s="1510"/>
      <c r="V26" s="1510"/>
      <c r="W26" s="1511"/>
      <c r="X26" s="1499"/>
      <c r="Y26" s="1500"/>
      <c r="Z26" s="1501"/>
      <c r="AA26" s="1502"/>
      <c r="AB26" s="1503"/>
      <c r="AC26" s="1504"/>
      <c r="AD26" s="1505"/>
      <c r="AE26" s="898"/>
      <c r="AF26" s="1496"/>
      <c r="AG26" s="1497"/>
      <c r="AH26" s="1486"/>
      <c r="AI26" s="1487"/>
      <c r="AJ26" s="899"/>
      <c r="AK26" s="169"/>
      <c r="AL26" s="510"/>
      <c r="AM26" s="508" t="str">
        <f>IF($AN26&lt;&gt;"",MAX(AM$18:AM25)+1,"")</f>
        <v/>
      </c>
      <c r="AN26" s="146" t="str">
        <f t="shared" si="0"/>
        <v/>
      </c>
      <c r="AO26" s="146" t="str">
        <f t="shared" si="1"/>
        <v/>
      </c>
      <c r="AP26" s="755" t="str">
        <f t="shared" si="2"/>
        <v/>
      </c>
      <c r="AQ26" s="755" t="str">
        <f t="shared" si="3"/>
        <v/>
      </c>
      <c r="AR26" s="756" t="str">
        <f t="shared" si="4"/>
        <v/>
      </c>
      <c r="AS26" s="756" t="str">
        <f t="shared" si="5"/>
        <v/>
      </c>
      <c r="AT26" s="516" t="str">
        <f t="shared" si="6"/>
        <v/>
      </c>
      <c r="AU26" s="755" t="str">
        <f t="shared" si="7"/>
        <v/>
      </c>
      <c r="AV26" s="516" t="str">
        <f t="shared" si="8"/>
        <v/>
      </c>
      <c r="AW26" s="148">
        <v>8</v>
      </c>
      <c r="AX26" s="530" t="e">
        <f t="shared" si="12"/>
        <v>#N/A</v>
      </c>
      <c r="AY26" s="165" t="e">
        <f t="shared" si="13"/>
        <v>#N/A</v>
      </c>
      <c r="AZ26" s="165" t="e">
        <f t="shared" si="14"/>
        <v>#N/A</v>
      </c>
      <c r="BA26" s="165" t="e">
        <f t="shared" si="15"/>
        <v>#N/A</v>
      </c>
      <c r="BB26" s="165" t="e">
        <f t="shared" si="16"/>
        <v>#N/A</v>
      </c>
      <c r="BC26" s="165" t="e">
        <f t="shared" si="17"/>
        <v>#N/A</v>
      </c>
      <c r="BD26" s="165" t="e">
        <f t="shared" si="18"/>
        <v>#N/A</v>
      </c>
      <c r="BE26" s="165" t="e">
        <f t="shared" si="19"/>
        <v>#N/A</v>
      </c>
      <c r="BF26" s="589" t="e">
        <f t="shared" si="20"/>
        <v>#N/A</v>
      </c>
      <c r="BH26" s="171" t="str">
        <f>IF($BI26&lt;&gt;"",MAX(BH$18:BH25)+1,"")</f>
        <v/>
      </c>
      <c r="BI26" s="507" t="str">
        <f t="shared" si="9"/>
        <v/>
      </c>
      <c r="BJ26" s="146">
        <f t="shared" si="21"/>
        <v>0</v>
      </c>
      <c r="BK26" s="611" t="str">
        <f t="shared" si="10"/>
        <v/>
      </c>
      <c r="BL26" s="613" t="str">
        <f t="shared" si="11"/>
        <v/>
      </c>
      <c r="BM26" s="612" t="str">
        <f t="shared" si="22"/>
        <v/>
      </c>
      <c r="BN26" s="612" t="str">
        <f t="shared" si="23"/>
        <v/>
      </c>
      <c r="BO26" s="624" t="str">
        <f>IF($BP26&lt;&gt;"",MAX(BO$18:BO25)+1,"")</f>
        <v/>
      </c>
      <c r="BP26" s="625" t="str">
        <f t="shared" si="24"/>
        <v/>
      </c>
      <c r="BQ26" s="625" t="str">
        <f t="shared" si="25"/>
        <v/>
      </c>
      <c r="BR26" s="625" t="str">
        <f t="shared" si="26"/>
        <v/>
      </c>
      <c r="BS26" s="625" t="str">
        <f t="shared" si="27"/>
        <v/>
      </c>
      <c r="BT26" s="626" t="str">
        <f t="shared" si="28"/>
        <v/>
      </c>
      <c r="BU26" s="626" t="str">
        <f t="shared" si="29"/>
        <v/>
      </c>
      <c r="BV26" s="168">
        <v>8</v>
      </c>
      <c r="BW26" s="633" t="e">
        <f t="shared" si="30"/>
        <v>#N/A</v>
      </c>
      <c r="BX26" s="165" t="e">
        <f t="shared" si="31"/>
        <v>#N/A</v>
      </c>
      <c r="BY26" s="171" t="e">
        <f t="shared" si="32"/>
        <v>#N/A</v>
      </c>
      <c r="BZ26" s="630" t="e">
        <f t="shared" si="33"/>
        <v>#N/A</v>
      </c>
      <c r="CA26" s="631" t="e">
        <f t="shared" si="34"/>
        <v>#N/A</v>
      </c>
      <c r="CB26" s="658" t="e">
        <f t="shared" si="35"/>
        <v>#N/A</v>
      </c>
      <c r="CC26" s="170"/>
      <c r="CD26" s="170"/>
      <c r="CE26" s="168"/>
      <c r="CF26" s="670"/>
      <c r="CG26" s="670"/>
      <c r="CH26" s="625" t="str">
        <f t="shared" si="36"/>
        <v/>
      </c>
      <c r="CI26" s="670"/>
      <c r="CJ26" s="671"/>
      <c r="CK26" s="671"/>
      <c r="CL26" s="578"/>
      <c r="CM26" s="578"/>
      <c r="CP26" s="599"/>
      <c r="CQ26" s="587"/>
      <c r="CR26" s="587"/>
      <c r="CS26" s="168"/>
      <c r="CT26" s="168"/>
      <c r="CU26" s="170"/>
      <c r="CV26" s="170"/>
      <c r="CW26" s="170"/>
      <c r="CX26" s="170"/>
      <c r="CY26" s="170"/>
      <c r="CZ26" s="170"/>
      <c r="DA26" s="170"/>
      <c r="DB26" s="170"/>
      <c r="DC26" s="170"/>
      <c r="DD26" s="170"/>
      <c r="DE26" s="170"/>
      <c r="DF26" s="170"/>
      <c r="DG26" s="170"/>
      <c r="DH26" s="170"/>
      <c r="DI26" s="170"/>
      <c r="DJ26" s="170"/>
    </row>
    <row r="27" spans="1:114" ht="60" customHeight="1">
      <c r="A27" s="149"/>
      <c r="B27" s="1619"/>
      <c r="C27" s="717"/>
      <c r="D27" s="1515"/>
      <c r="E27" s="1516"/>
      <c r="F27" s="1517"/>
      <c r="G27" s="1527"/>
      <c r="H27" s="1528"/>
      <c r="I27" s="909"/>
      <c r="J27" s="1506"/>
      <c r="K27" s="1507"/>
      <c r="L27" s="1506"/>
      <c r="M27" s="1508"/>
      <c r="N27" s="1507"/>
      <c r="O27" s="1506"/>
      <c r="P27" s="1507"/>
      <c r="Q27" s="1506"/>
      <c r="R27" s="1508"/>
      <c r="S27" s="1507"/>
      <c r="T27" s="1509"/>
      <c r="U27" s="1510"/>
      <c r="V27" s="1510"/>
      <c r="W27" s="1511"/>
      <c r="X27" s="1499"/>
      <c r="Y27" s="1500"/>
      <c r="Z27" s="1501"/>
      <c r="AA27" s="1502"/>
      <c r="AB27" s="1503"/>
      <c r="AC27" s="1504"/>
      <c r="AD27" s="1505"/>
      <c r="AE27" s="898"/>
      <c r="AF27" s="1496"/>
      <c r="AG27" s="1497"/>
      <c r="AH27" s="1486"/>
      <c r="AI27" s="1487"/>
      <c r="AJ27" s="899"/>
      <c r="AK27" s="169"/>
      <c r="AL27" s="510"/>
      <c r="AM27" s="508" t="str">
        <f>IF($AN27&lt;&gt;"",MAX(AM$18:AM26)+1,"")</f>
        <v/>
      </c>
      <c r="AN27" s="146" t="str">
        <f t="shared" si="0"/>
        <v/>
      </c>
      <c r="AO27" s="146" t="str">
        <f t="shared" si="1"/>
        <v/>
      </c>
      <c r="AP27" s="755" t="str">
        <f t="shared" si="2"/>
        <v/>
      </c>
      <c r="AQ27" s="755" t="str">
        <f t="shared" si="3"/>
        <v/>
      </c>
      <c r="AR27" s="756" t="str">
        <f t="shared" si="4"/>
        <v/>
      </c>
      <c r="AS27" s="756" t="str">
        <f t="shared" si="5"/>
        <v/>
      </c>
      <c r="AT27" s="516" t="str">
        <f t="shared" si="6"/>
        <v/>
      </c>
      <c r="AU27" s="755" t="str">
        <f t="shared" si="7"/>
        <v/>
      </c>
      <c r="AV27" s="516" t="str">
        <f t="shared" si="8"/>
        <v/>
      </c>
      <c r="AW27" s="148">
        <v>9</v>
      </c>
      <c r="AX27" s="530" t="e">
        <f t="shared" si="12"/>
        <v>#N/A</v>
      </c>
      <c r="AY27" s="165" t="e">
        <f t="shared" si="13"/>
        <v>#N/A</v>
      </c>
      <c r="AZ27" s="165" t="e">
        <f t="shared" si="14"/>
        <v>#N/A</v>
      </c>
      <c r="BA27" s="165" t="e">
        <f t="shared" si="15"/>
        <v>#N/A</v>
      </c>
      <c r="BB27" s="165" t="e">
        <f t="shared" si="16"/>
        <v>#N/A</v>
      </c>
      <c r="BC27" s="165" t="e">
        <f t="shared" si="17"/>
        <v>#N/A</v>
      </c>
      <c r="BD27" s="165" t="e">
        <f t="shared" si="18"/>
        <v>#N/A</v>
      </c>
      <c r="BE27" s="165" t="e">
        <f t="shared" si="19"/>
        <v>#N/A</v>
      </c>
      <c r="BF27" s="589" t="e">
        <f t="shared" si="20"/>
        <v>#N/A</v>
      </c>
      <c r="BH27" s="171" t="str">
        <f>IF($BI27&lt;&gt;"",MAX(BH$18:BH26)+1,"")</f>
        <v/>
      </c>
      <c r="BI27" s="507" t="str">
        <f t="shared" si="9"/>
        <v/>
      </c>
      <c r="BJ27" s="146">
        <f t="shared" si="21"/>
        <v>0</v>
      </c>
      <c r="BK27" s="611" t="str">
        <f t="shared" si="10"/>
        <v/>
      </c>
      <c r="BL27" s="613" t="str">
        <f t="shared" si="11"/>
        <v/>
      </c>
      <c r="BM27" s="612" t="str">
        <f t="shared" si="22"/>
        <v/>
      </c>
      <c r="BN27" s="612" t="str">
        <f t="shared" si="23"/>
        <v/>
      </c>
      <c r="BO27" s="624" t="str">
        <f>IF($BP27&lt;&gt;"",MAX(BO$18:BO26)+1,"")</f>
        <v/>
      </c>
      <c r="BP27" s="625" t="str">
        <f t="shared" si="24"/>
        <v/>
      </c>
      <c r="BQ27" s="625" t="str">
        <f t="shared" si="25"/>
        <v/>
      </c>
      <c r="BR27" s="625" t="str">
        <f t="shared" si="26"/>
        <v/>
      </c>
      <c r="BS27" s="625" t="str">
        <f t="shared" si="27"/>
        <v/>
      </c>
      <c r="BT27" s="626" t="str">
        <f t="shared" si="28"/>
        <v/>
      </c>
      <c r="BU27" s="626" t="str">
        <f t="shared" si="29"/>
        <v/>
      </c>
      <c r="BV27" s="168">
        <v>9</v>
      </c>
      <c r="BW27" s="633" t="e">
        <f t="shared" si="30"/>
        <v>#N/A</v>
      </c>
      <c r="BX27" s="165" t="e">
        <f t="shared" si="31"/>
        <v>#N/A</v>
      </c>
      <c r="BY27" s="171" t="e">
        <f t="shared" si="32"/>
        <v>#N/A</v>
      </c>
      <c r="BZ27" s="630" t="e">
        <f t="shared" si="33"/>
        <v>#N/A</v>
      </c>
      <c r="CA27" s="631" t="e">
        <f t="shared" si="34"/>
        <v>#N/A</v>
      </c>
      <c r="CB27" s="658" t="e">
        <f t="shared" si="35"/>
        <v>#N/A</v>
      </c>
      <c r="CC27" s="170"/>
      <c r="CD27" s="170"/>
      <c r="CE27" s="168"/>
      <c r="CF27" s="670"/>
      <c r="CG27" s="670"/>
      <c r="CH27" s="625" t="str">
        <f t="shared" si="36"/>
        <v/>
      </c>
      <c r="CI27" s="670"/>
      <c r="CJ27" s="671"/>
      <c r="CK27" s="671"/>
      <c r="CL27" s="578"/>
      <c r="CM27" s="578"/>
      <c r="CP27" s="599"/>
      <c r="CQ27" s="587"/>
      <c r="CR27" s="587"/>
      <c r="CS27" s="168"/>
      <c r="CT27" s="168"/>
      <c r="CU27" s="170"/>
      <c r="CV27" s="170"/>
      <c r="CW27" s="170"/>
      <c r="CX27" s="170"/>
      <c r="CY27" s="170"/>
      <c r="CZ27" s="170"/>
      <c r="DA27" s="170"/>
      <c r="DB27" s="170"/>
      <c r="DC27" s="170"/>
      <c r="DD27" s="170"/>
      <c r="DE27" s="170"/>
      <c r="DF27" s="170"/>
      <c r="DG27" s="170"/>
      <c r="DH27" s="170"/>
      <c r="DI27" s="170"/>
      <c r="DJ27" s="170"/>
    </row>
    <row r="28" spans="1:114" ht="60" customHeight="1" thickBot="1">
      <c r="A28" s="149"/>
      <c r="B28" s="1619"/>
      <c r="C28" s="717"/>
      <c r="D28" s="1518"/>
      <c r="E28" s="1519"/>
      <c r="F28" s="1520"/>
      <c r="G28" s="1529"/>
      <c r="H28" s="1530"/>
      <c r="I28" s="910"/>
      <c r="J28" s="1660"/>
      <c r="K28" s="1661"/>
      <c r="L28" s="1660"/>
      <c r="M28" s="1662"/>
      <c r="N28" s="1661"/>
      <c r="O28" s="1660"/>
      <c r="P28" s="1661"/>
      <c r="Q28" s="1660"/>
      <c r="R28" s="1662"/>
      <c r="S28" s="1661"/>
      <c r="T28" s="1663"/>
      <c r="U28" s="1664"/>
      <c r="V28" s="1664"/>
      <c r="W28" s="1665"/>
      <c r="X28" s="1644"/>
      <c r="Y28" s="1645"/>
      <c r="Z28" s="1655"/>
      <c r="AA28" s="1656"/>
      <c r="AB28" s="1657"/>
      <c r="AC28" s="1658"/>
      <c r="AD28" s="1659"/>
      <c r="AE28" s="990"/>
      <c r="AF28" s="1488"/>
      <c r="AG28" s="1489"/>
      <c r="AH28" s="1488"/>
      <c r="AI28" s="1489"/>
      <c r="AJ28" s="991"/>
      <c r="AK28" s="169"/>
      <c r="AL28" s="510"/>
      <c r="AM28" s="508" t="str">
        <f>IF($AN28&lt;&gt;"",MAX(AM$18:AM27)+1,"")</f>
        <v/>
      </c>
      <c r="AN28" s="146" t="str">
        <f t="shared" si="0"/>
        <v/>
      </c>
      <c r="AO28" s="146" t="str">
        <f t="shared" si="1"/>
        <v/>
      </c>
      <c r="AP28" s="755" t="str">
        <f t="shared" si="2"/>
        <v/>
      </c>
      <c r="AQ28" s="755" t="str">
        <f t="shared" si="3"/>
        <v/>
      </c>
      <c r="AR28" s="756" t="str">
        <f t="shared" si="4"/>
        <v/>
      </c>
      <c r="AS28" s="756" t="str">
        <f t="shared" si="5"/>
        <v/>
      </c>
      <c r="AT28" s="516" t="str">
        <f t="shared" si="6"/>
        <v/>
      </c>
      <c r="AU28" s="755" t="str">
        <f t="shared" si="7"/>
        <v/>
      </c>
      <c r="AV28" s="516" t="str">
        <f t="shared" si="8"/>
        <v/>
      </c>
      <c r="AW28" s="148">
        <v>10</v>
      </c>
      <c r="AX28" s="902" t="e">
        <f t="shared" si="12"/>
        <v>#N/A</v>
      </c>
      <c r="AY28" s="590" t="e">
        <f t="shared" si="13"/>
        <v>#N/A</v>
      </c>
      <c r="AZ28" s="590" t="e">
        <f t="shared" si="14"/>
        <v>#N/A</v>
      </c>
      <c r="BA28" s="590" t="e">
        <f t="shared" si="15"/>
        <v>#N/A</v>
      </c>
      <c r="BB28" s="590" t="e">
        <f t="shared" si="16"/>
        <v>#N/A</v>
      </c>
      <c r="BC28" s="590" t="e">
        <f t="shared" si="17"/>
        <v>#N/A</v>
      </c>
      <c r="BD28" s="590" t="e">
        <f t="shared" si="18"/>
        <v>#N/A</v>
      </c>
      <c r="BE28" s="590" t="e">
        <f t="shared" si="19"/>
        <v>#N/A</v>
      </c>
      <c r="BF28" s="900" t="e">
        <f t="shared" si="20"/>
        <v>#N/A</v>
      </c>
      <c r="BH28" s="171" t="str">
        <f>IF($BI28&lt;&gt;"",MAX(BH$18:BH27)+1,"")</f>
        <v/>
      </c>
      <c r="BI28" s="507" t="str">
        <f t="shared" si="9"/>
        <v/>
      </c>
      <c r="BJ28" s="146">
        <f t="shared" si="21"/>
        <v>0</v>
      </c>
      <c r="BK28" s="611" t="str">
        <f t="shared" si="10"/>
        <v/>
      </c>
      <c r="BL28" s="613" t="str">
        <f t="shared" si="11"/>
        <v/>
      </c>
      <c r="BM28" s="612" t="str">
        <f t="shared" si="22"/>
        <v/>
      </c>
      <c r="BN28" s="612" t="str">
        <f t="shared" si="23"/>
        <v/>
      </c>
      <c r="BO28" s="624" t="str">
        <f>IF($BP28&lt;&gt;"",MAX(BO$18:BO27)+1,"")</f>
        <v/>
      </c>
      <c r="BP28" s="625" t="str">
        <f t="shared" si="24"/>
        <v/>
      </c>
      <c r="BQ28" s="625" t="str">
        <f t="shared" si="25"/>
        <v/>
      </c>
      <c r="BR28" s="625" t="str">
        <f t="shared" si="26"/>
        <v/>
      </c>
      <c r="BS28" s="625" t="str">
        <f t="shared" si="27"/>
        <v/>
      </c>
      <c r="BT28" s="626" t="str">
        <f t="shared" si="28"/>
        <v/>
      </c>
      <c r="BU28" s="626" t="str">
        <f t="shared" si="29"/>
        <v/>
      </c>
      <c r="BV28" s="168">
        <v>10</v>
      </c>
      <c r="BW28" s="889" t="e">
        <f t="shared" si="30"/>
        <v>#N/A</v>
      </c>
      <c r="BX28" s="590" t="e">
        <f t="shared" si="31"/>
        <v>#N/A</v>
      </c>
      <c r="BY28" s="890" t="e">
        <f t="shared" si="32"/>
        <v>#N/A</v>
      </c>
      <c r="BZ28" s="891" t="e">
        <f t="shared" si="33"/>
        <v>#N/A</v>
      </c>
      <c r="CA28" s="892" t="e">
        <f t="shared" si="34"/>
        <v>#N/A</v>
      </c>
      <c r="CB28" s="893" t="e">
        <f t="shared" si="35"/>
        <v>#N/A</v>
      </c>
      <c r="CC28" s="170"/>
      <c r="CD28" s="170"/>
      <c r="CE28" s="168"/>
      <c r="CF28" s="670"/>
      <c r="CG28" s="670"/>
      <c r="CH28" s="625" t="str">
        <f t="shared" si="36"/>
        <v/>
      </c>
      <c r="CI28" s="670"/>
      <c r="CJ28" s="671"/>
      <c r="CK28" s="671"/>
      <c r="CL28" s="578"/>
      <c r="CM28" s="578"/>
      <c r="CP28" s="599"/>
      <c r="CQ28" s="587"/>
      <c r="CR28" s="587"/>
      <c r="CS28" s="168"/>
      <c r="CT28" s="168"/>
      <c r="CU28" s="170"/>
      <c r="CV28" s="170"/>
      <c r="CW28" s="170"/>
      <c r="CX28" s="170"/>
      <c r="CY28" s="170"/>
      <c r="CZ28" s="170"/>
      <c r="DA28" s="170"/>
      <c r="DB28" s="170"/>
      <c r="DC28" s="170"/>
      <c r="DD28" s="170"/>
      <c r="DE28" s="170"/>
      <c r="DF28" s="170"/>
      <c r="DG28" s="170"/>
      <c r="DH28" s="170"/>
      <c r="DI28" s="170"/>
      <c r="DJ28" s="170"/>
    </row>
    <row r="29" spans="1:114" ht="6" customHeight="1">
      <c r="B29" s="1619"/>
      <c r="C29" s="717"/>
      <c r="D29" s="717"/>
      <c r="E29" s="717"/>
      <c r="F29" s="717"/>
      <c r="G29" s="717"/>
      <c r="H29" s="717"/>
      <c r="I29" s="717"/>
      <c r="J29" s="717"/>
      <c r="K29" s="717"/>
      <c r="L29" s="717"/>
      <c r="M29" s="717"/>
      <c r="N29" s="717"/>
      <c r="O29" s="717"/>
      <c r="P29" s="717"/>
      <c r="Q29" s="717"/>
      <c r="R29" s="717"/>
      <c r="S29" s="717"/>
      <c r="T29" s="717"/>
      <c r="U29" s="717"/>
      <c r="V29" s="717"/>
      <c r="W29" s="717"/>
      <c r="X29" s="717"/>
      <c r="Y29" s="717"/>
      <c r="Z29" s="717"/>
      <c r="AA29" s="717"/>
      <c r="AB29" s="717"/>
      <c r="AC29" s="717"/>
      <c r="AD29" s="717"/>
      <c r="AE29" s="717"/>
      <c r="AF29" s="717"/>
      <c r="AG29" s="717"/>
      <c r="AH29" s="717"/>
      <c r="AI29" s="717"/>
      <c r="AJ29" s="717"/>
      <c r="AK29" s="717"/>
      <c r="AL29" s="510"/>
      <c r="BD29" s="175"/>
      <c r="BE29" s="168"/>
      <c r="BF29" s="168"/>
      <c r="BG29" s="168"/>
      <c r="BH29" s="168"/>
      <c r="BI29" s="168"/>
      <c r="BJ29" s="168"/>
      <c r="BK29" s="168"/>
      <c r="BL29" s="175"/>
      <c r="BM29" s="175"/>
      <c r="BN29" s="176"/>
      <c r="BO29" s="176"/>
      <c r="BP29" s="176"/>
      <c r="BQ29" s="176"/>
      <c r="BR29" s="176"/>
      <c r="BS29" s="176"/>
      <c r="BT29" s="176"/>
      <c r="BU29" s="176"/>
      <c r="BV29" s="176"/>
      <c r="BW29" s="176"/>
      <c r="BX29" s="176"/>
      <c r="BY29" s="176"/>
      <c r="BZ29" s="176"/>
      <c r="CA29" s="176"/>
      <c r="CB29" s="176"/>
      <c r="CC29" s="176"/>
      <c r="CD29" s="176"/>
      <c r="CE29" s="176"/>
      <c r="CF29" s="175"/>
      <c r="CG29" s="176"/>
      <c r="CH29" s="168"/>
      <c r="CI29" s="168"/>
      <c r="CJ29" s="168"/>
      <c r="CK29" s="168"/>
      <c r="CL29" s="168"/>
      <c r="CM29" s="168"/>
      <c r="CN29" s="168"/>
      <c r="CO29" s="168"/>
      <c r="CP29" s="168"/>
      <c r="CQ29" s="168"/>
      <c r="CR29" s="168"/>
      <c r="CS29" s="168"/>
      <c r="CT29" s="168"/>
      <c r="CU29" s="168"/>
      <c r="CV29" s="168"/>
      <c r="CW29" s="168"/>
      <c r="CX29" s="168"/>
      <c r="CY29" s="168"/>
      <c r="CZ29" s="168"/>
      <c r="DA29" s="168"/>
      <c r="DB29" s="168"/>
      <c r="DC29" s="168"/>
      <c r="DD29" s="168"/>
      <c r="DE29" s="168"/>
      <c r="DF29" s="168"/>
      <c r="DG29" s="168"/>
      <c r="DH29" s="168"/>
      <c r="DI29" s="168"/>
      <c r="DJ29" s="168"/>
    </row>
    <row r="30" spans="1:114" ht="18.75" customHeight="1">
      <c r="B30" s="1619"/>
      <c r="C30" s="745"/>
      <c r="D30" s="1498" t="str">
        <f ca="1">INDIRECT('D1-D2-D3'!$J$4&amp;"!C169")</f>
        <v>Simulation</v>
      </c>
      <c r="E30" s="1498"/>
      <c r="F30" s="1498"/>
      <c r="G30" s="733" t="str">
        <f ca="1">INDIRECT('D1-D2-D3'!$J$4&amp;"!C158")</f>
        <v>Verification of the causes</v>
      </c>
      <c r="H30" s="736"/>
      <c r="I30" s="736"/>
      <c r="J30" s="736"/>
      <c r="K30" s="736"/>
      <c r="L30" s="736"/>
      <c r="M30" s="736"/>
      <c r="N30" s="736"/>
      <c r="O30" s="736"/>
      <c r="P30" s="172"/>
      <c r="Q30" s="172"/>
      <c r="R30" s="172"/>
      <c r="S30" s="172"/>
      <c r="T30" s="172"/>
      <c r="U30" s="172"/>
      <c r="V30" s="172"/>
      <c r="W30" s="172"/>
      <c r="X30" s="172"/>
      <c r="Y30" s="172"/>
      <c r="Z30" s="172"/>
      <c r="AA30" s="172"/>
      <c r="AB30" s="172"/>
      <c r="AC30" s="172"/>
      <c r="AD30" s="172"/>
      <c r="AE30" s="172"/>
      <c r="AF30" s="172"/>
      <c r="AG30" s="172"/>
      <c r="AH30" s="172"/>
      <c r="AI30" s="172"/>
      <c r="AJ30" s="173"/>
      <c r="AK30" s="173"/>
      <c r="AL30" s="510"/>
      <c r="BD30" s="175"/>
      <c r="BE30" s="168"/>
      <c r="BF30" s="168"/>
      <c r="BG30" s="168"/>
      <c r="BH30" s="168"/>
      <c r="BI30" s="168"/>
      <c r="BJ30" s="168"/>
      <c r="BK30" s="168"/>
      <c r="BL30" s="175"/>
      <c r="BM30" s="175"/>
      <c r="BN30" s="176"/>
      <c r="BO30" s="176"/>
      <c r="BP30" s="176"/>
      <c r="BQ30" s="176"/>
      <c r="BR30" s="176"/>
      <c r="BS30" s="176"/>
      <c r="BT30" s="176"/>
      <c r="BU30" s="176"/>
      <c r="BV30" s="176"/>
      <c r="BW30" s="176"/>
      <c r="BX30" s="176"/>
      <c r="BY30" s="176"/>
      <c r="BZ30" s="176"/>
      <c r="CA30" s="176"/>
      <c r="CB30" s="176"/>
      <c r="CC30" s="176"/>
      <c r="CD30" s="176"/>
      <c r="CE30" s="176"/>
      <c r="CF30" s="175"/>
      <c r="CG30" s="176"/>
      <c r="CH30" s="168"/>
      <c r="CI30" s="168"/>
      <c r="CJ30" s="168"/>
      <c r="CK30" s="168"/>
      <c r="CL30" s="168"/>
      <c r="CM30" s="168"/>
      <c r="CN30" s="168"/>
      <c r="CO30" s="168"/>
      <c r="CP30" s="168"/>
      <c r="CQ30" s="168"/>
      <c r="CR30" s="168"/>
      <c r="CS30" s="168"/>
      <c r="CT30" s="168"/>
      <c r="CU30" s="168"/>
      <c r="CV30" s="168"/>
      <c r="CW30" s="168"/>
      <c r="CX30" s="168"/>
      <c r="CY30" s="168"/>
      <c r="CZ30" s="168"/>
      <c r="DA30" s="168"/>
      <c r="DB30" s="168"/>
      <c r="DC30" s="168"/>
      <c r="DD30" s="168"/>
      <c r="DE30" s="168"/>
      <c r="DF30" s="168"/>
      <c r="DG30" s="168"/>
      <c r="DH30" s="168"/>
      <c r="DI30" s="168"/>
      <c r="DJ30" s="168"/>
    </row>
    <row r="31" spans="1:114" ht="27.9" customHeight="1">
      <c r="A31" s="147"/>
      <c r="B31" s="1619"/>
      <c r="C31" s="745"/>
      <c r="D31" s="1498"/>
      <c r="E31" s="1498"/>
      <c r="F31" s="1498"/>
      <c r="G31" s="860" t="str">
        <f ca="1">INDIRECT('D1-D2-D3'!$J$4&amp;"!C170")</f>
        <v>In order to confirm root causes defect must be reproduced by creating same condition if possible</v>
      </c>
      <c r="H31" s="173"/>
      <c r="I31" s="173"/>
      <c r="J31" s="177"/>
      <c r="K31" s="177"/>
      <c r="L31" s="177"/>
      <c r="M31" s="177"/>
      <c r="N31" s="177"/>
      <c r="O31" s="177"/>
      <c r="P31" s="177"/>
      <c r="Q31" s="356"/>
      <c r="R31" s="356"/>
      <c r="S31" s="173"/>
      <c r="T31" s="173"/>
      <c r="U31" s="173"/>
      <c r="V31" s="173"/>
      <c r="W31" s="177"/>
      <c r="X31" s="177"/>
      <c r="Y31" s="173"/>
      <c r="Z31" s="173"/>
      <c r="AA31" s="879" t="str">
        <f ca="1">INDIRECT('D1-D2-D3'!$J$4&amp;"!C171")</f>
        <v>Simulation possible ?</v>
      </c>
      <c r="AB31" s="808"/>
      <c r="AC31" s="1652" t="str">
        <f ca="1">INDIRECT('D1-D2-D3'!$J$4&amp;"!C83")</f>
        <v>Responsible</v>
      </c>
      <c r="AD31" s="1621"/>
      <c r="AE31" s="1490"/>
      <c r="AF31" s="1491"/>
      <c r="AG31" s="1491"/>
      <c r="AH31" s="1492"/>
      <c r="AI31" s="731" t="str">
        <f ca="1">INDIRECT('D1-D2-D3'!$J$4&amp;"!C69")</f>
        <v>Date</v>
      </c>
      <c r="AJ31" s="858"/>
      <c r="AK31" s="173"/>
      <c r="AL31" s="510"/>
      <c r="BD31" s="168"/>
      <c r="BE31" s="168"/>
      <c r="BF31" s="168"/>
      <c r="BG31" s="168"/>
      <c r="BH31" s="168"/>
      <c r="BI31" s="168"/>
      <c r="BJ31" s="168"/>
      <c r="BK31" s="168"/>
      <c r="BL31" s="168"/>
      <c r="BM31" s="168"/>
      <c r="BN31" s="168"/>
      <c r="BO31" s="168"/>
      <c r="BP31" s="168"/>
      <c r="BQ31" s="168"/>
      <c r="BR31" s="168"/>
      <c r="BS31" s="168"/>
      <c r="BT31" s="168"/>
      <c r="BU31" s="168"/>
      <c r="BV31" s="168"/>
      <c r="BW31" s="168"/>
      <c r="BX31" s="168"/>
      <c r="BY31" s="168"/>
      <c r="BZ31" s="168"/>
      <c r="CA31" s="168"/>
      <c r="CB31" s="168"/>
      <c r="CC31" s="168"/>
      <c r="CD31" s="168"/>
      <c r="CE31" s="168"/>
      <c r="CF31" s="168"/>
      <c r="CG31" s="168"/>
      <c r="CH31" s="168"/>
      <c r="CI31" s="168"/>
      <c r="CJ31" s="168"/>
      <c r="CK31" s="168"/>
      <c r="CL31" s="168"/>
      <c r="CM31" s="168"/>
      <c r="CN31" s="168"/>
      <c r="CO31" s="168"/>
      <c r="CP31" s="168"/>
      <c r="CQ31" s="168"/>
      <c r="CR31" s="168"/>
      <c r="CS31" s="168"/>
      <c r="CT31" s="168"/>
      <c r="CU31" s="168"/>
      <c r="CV31" s="168"/>
      <c r="CW31" s="168"/>
      <c r="CX31" s="168"/>
      <c r="CY31" s="168"/>
      <c r="CZ31" s="168"/>
    </row>
    <row r="32" spans="1:114" ht="6" customHeight="1">
      <c r="A32" s="147"/>
      <c r="B32" s="1619"/>
      <c r="C32" s="745"/>
      <c r="D32" s="1498"/>
      <c r="E32" s="1498"/>
      <c r="F32" s="1498"/>
      <c r="G32" s="173"/>
      <c r="H32" s="736"/>
      <c r="I32" s="177"/>
      <c r="J32" s="177"/>
      <c r="K32" s="177"/>
      <c r="L32" s="177"/>
      <c r="M32" s="177"/>
      <c r="N32" s="177"/>
      <c r="O32" s="178"/>
      <c r="P32" s="173"/>
      <c r="Q32" s="173"/>
      <c r="R32" s="173"/>
      <c r="S32" s="173"/>
      <c r="T32" s="173"/>
      <c r="U32" s="173"/>
      <c r="V32" s="173"/>
      <c r="W32" s="173"/>
      <c r="X32" s="173"/>
      <c r="Y32" s="173"/>
      <c r="Z32" s="179"/>
      <c r="AA32" s="179"/>
      <c r="AB32" s="179"/>
      <c r="AC32" s="173"/>
      <c r="AD32" s="179"/>
      <c r="AE32" s="179"/>
      <c r="AF32" s="178"/>
      <c r="AG32" s="178"/>
      <c r="AH32" s="178"/>
      <c r="AI32" s="178"/>
      <c r="AJ32" s="173"/>
      <c r="AK32" s="173"/>
      <c r="AL32" s="510"/>
      <c r="BD32" s="168"/>
      <c r="BE32" s="168"/>
      <c r="BF32" s="168"/>
      <c r="BG32" s="168"/>
      <c r="BH32" s="168"/>
      <c r="BI32" s="168"/>
      <c r="BJ32" s="168"/>
      <c r="BK32" s="168"/>
      <c r="BL32" s="168"/>
      <c r="BM32" s="168"/>
      <c r="BN32" s="168"/>
      <c r="BO32" s="168"/>
      <c r="BP32" s="168"/>
      <c r="BQ32" s="168"/>
      <c r="BR32" s="168"/>
      <c r="BS32" s="168"/>
      <c r="BT32" s="168"/>
      <c r="BU32" s="168"/>
      <c r="BV32" s="168"/>
      <c r="BW32" s="168"/>
      <c r="BX32" s="168"/>
      <c r="BY32" s="168"/>
      <c r="BZ32" s="168"/>
      <c r="CA32" s="168"/>
      <c r="CB32" s="168"/>
      <c r="CC32" s="168"/>
      <c r="CD32" s="168"/>
      <c r="CE32" s="168"/>
      <c r="CF32" s="168"/>
      <c r="CG32" s="168"/>
      <c r="CH32" s="168"/>
      <c r="CI32" s="168"/>
      <c r="CJ32" s="168"/>
      <c r="CK32" s="168"/>
      <c r="CL32" s="168"/>
      <c r="CM32" s="168"/>
      <c r="CN32" s="168"/>
      <c r="CO32" s="168"/>
      <c r="CP32" s="168"/>
      <c r="CQ32" s="168"/>
      <c r="CR32" s="168"/>
      <c r="CS32" s="168"/>
      <c r="CT32" s="168"/>
      <c r="CU32" s="168"/>
      <c r="CV32" s="168"/>
      <c r="CW32" s="168"/>
      <c r="CX32" s="168"/>
      <c r="CY32" s="168"/>
      <c r="CZ32" s="168"/>
    </row>
    <row r="33" spans="1:104" ht="30" customHeight="1">
      <c r="A33" s="147"/>
      <c r="B33" s="1619"/>
      <c r="C33" s="745"/>
      <c r="D33" s="1498"/>
      <c r="E33" s="1498"/>
      <c r="F33" s="1498"/>
      <c r="G33" s="173"/>
      <c r="H33" s="1620" t="str">
        <f ca="1">IF(AB31=DropDown!N11,INDIRECT('D1-D2-D3'!$J$4&amp;"!C172"),INDIRECT('D1-D2-D3'!$J$4&amp;"!C173"))</f>
        <v>Reason why simulation is not possible:</v>
      </c>
      <c r="I33" s="1620"/>
      <c r="J33" s="1621"/>
      <c r="K33" s="1635"/>
      <c r="L33" s="1636"/>
      <c r="M33" s="1636"/>
      <c r="N33" s="1636"/>
      <c r="O33" s="1636"/>
      <c r="P33" s="1636"/>
      <c r="Q33" s="1636"/>
      <c r="R33" s="1636"/>
      <c r="S33" s="1636"/>
      <c r="T33" s="1636"/>
      <c r="U33" s="1636"/>
      <c r="V33" s="1636"/>
      <c r="W33" s="1636"/>
      <c r="X33" s="1636"/>
      <c r="Y33" s="1636"/>
      <c r="Z33" s="1636"/>
      <c r="AA33" s="1636"/>
      <c r="AB33" s="1636"/>
      <c r="AC33" s="1636"/>
      <c r="AD33" s="1636"/>
      <c r="AE33" s="1636"/>
      <c r="AF33" s="1636"/>
      <c r="AG33" s="1636"/>
      <c r="AH33" s="1636"/>
      <c r="AI33" s="1636"/>
      <c r="AJ33" s="1637"/>
      <c r="AK33" s="173"/>
      <c r="AL33" s="510"/>
      <c r="BC33" s="168"/>
      <c r="BD33" s="170"/>
      <c r="BE33" s="170"/>
      <c r="BF33" s="170"/>
      <c r="BG33" s="170"/>
      <c r="BH33" s="170"/>
      <c r="BI33" s="170"/>
      <c r="BJ33" s="170"/>
      <c r="BK33" s="168"/>
      <c r="BL33" s="168"/>
      <c r="BM33" s="168"/>
      <c r="BN33" s="168"/>
      <c r="BO33" s="168"/>
      <c r="BP33" s="168"/>
      <c r="BQ33" s="168"/>
      <c r="BR33" s="168"/>
      <c r="BS33" s="168"/>
      <c r="BT33" s="168"/>
      <c r="BU33" s="168"/>
      <c r="BV33" s="168"/>
      <c r="BW33" s="168"/>
      <c r="BX33" s="168"/>
      <c r="BY33" s="168"/>
      <c r="BZ33" s="168"/>
      <c r="CA33" s="168"/>
      <c r="CB33" s="168"/>
      <c r="CC33" s="168"/>
      <c r="CD33" s="168"/>
      <c r="CE33" s="168"/>
      <c r="CF33" s="168"/>
      <c r="CG33" s="168"/>
      <c r="CH33" s="168"/>
      <c r="CI33" s="168"/>
      <c r="CJ33" s="168"/>
      <c r="CK33" s="168"/>
      <c r="CL33" s="168"/>
      <c r="CM33" s="168"/>
      <c r="CN33" s="168"/>
      <c r="CO33" s="168"/>
      <c r="CP33" s="168"/>
      <c r="CQ33" s="168"/>
      <c r="CR33" s="168"/>
      <c r="CS33" s="168"/>
      <c r="CT33" s="168"/>
      <c r="CU33" s="168"/>
      <c r="CV33" s="168"/>
      <c r="CW33" s="168"/>
      <c r="CX33" s="168"/>
      <c r="CY33" s="168"/>
      <c r="CZ33" s="168"/>
    </row>
    <row r="34" spans="1:104" ht="30" customHeight="1">
      <c r="A34" s="147"/>
      <c r="B34" s="1619"/>
      <c r="C34" s="745"/>
      <c r="D34" s="1498"/>
      <c r="E34" s="1498"/>
      <c r="F34" s="1498"/>
      <c r="G34" s="173"/>
      <c r="H34" s="1620"/>
      <c r="I34" s="1620"/>
      <c r="J34" s="1621"/>
      <c r="K34" s="1638"/>
      <c r="L34" s="1639"/>
      <c r="M34" s="1639"/>
      <c r="N34" s="1639"/>
      <c r="O34" s="1639"/>
      <c r="P34" s="1639"/>
      <c r="Q34" s="1639"/>
      <c r="R34" s="1639"/>
      <c r="S34" s="1639"/>
      <c r="T34" s="1639"/>
      <c r="U34" s="1639"/>
      <c r="V34" s="1639"/>
      <c r="W34" s="1639"/>
      <c r="X34" s="1639"/>
      <c r="Y34" s="1639"/>
      <c r="Z34" s="1639"/>
      <c r="AA34" s="1639"/>
      <c r="AB34" s="1639"/>
      <c r="AC34" s="1639"/>
      <c r="AD34" s="1639"/>
      <c r="AE34" s="1639"/>
      <c r="AF34" s="1639"/>
      <c r="AG34" s="1639"/>
      <c r="AH34" s="1639"/>
      <c r="AI34" s="1639"/>
      <c r="AJ34" s="1640"/>
      <c r="AK34" s="173"/>
      <c r="AL34" s="510"/>
      <c r="BC34" s="168"/>
      <c r="BD34" s="170"/>
      <c r="BE34" s="170"/>
      <c r="BF34" s="170"/>
      <c r="BG34" s="170"/>
      <c r="BH34" s="170"/>
      <c r="BI34" s="170"/>
      <c r="BJ34" s="170"/>
      <c r="BK34" s="168"/>
      <c r="BL34" s="168"/>
      <c r="BM34" s="168"/>
      <c r="BN34" s="168"/>
      <c r="BO34" s="168"/>
      <c r="BP34" s="168"/>
      <c r="BQ34" s="168"/>
      <c r="BR34" s="168"/>
      <c r="BS34" s="168"/>
      <c r="BT34" s="168"/>
      <c r="BU34" s="168"/>
      <c r="BV34" s="168"/>
      <c r="BW34" s="168"/>
      <c r="BX34" s="168"/>
      <c r="BY34" s="168"/>
      <c r="BZ34" s="168"/>
      <c r="CA34" s="168"/>
      <c r="CB34" s="168"/>
      <c r="CC34" s="168"/>
      <c r="CD34" s="168"/>
      <c r="CE34" s="168"/>
      <c r="CF34" s="168"/>
      <c r="CG34" s="168"/>
      <c r="CH34" s="168"/>
      <c r="CI34" s="168"/>
      <c r="CJ34" s="168"/>
      <c r="CK34" s="168"/>
      <c r="CL34" s="168"/>
      <c r="CM34" s="168"/>
      <c r="CN34" s="168"/>
      <c r="CO34" s="168"/>
      <c r="CP34" s="168"/>
      <c r="CQ34" s="168"/>
      <c r="CR34" s="168"/>
      <c r="CS34" s="168"/>
      <c r="CT34" s="168"/>
      <c r="CU34" s="168"/>
      <c r="CV34" s="168"/>
      <c r="CW34" s="168"/>
      <c r="CX34" s="168"/>
      <c r="CY34" s="168"/>
      <c r="CZ34" s="168"/>
    </row>
    <row r="35" spans="1:104" ht="6" customHeight="1">
      <c r="A35" s="147"/>
      <c r="B35" s="1619"/>
      <c r="C35" s="745"/>
      <c r="D35" s="1498"/>
      <c r="E35" s="1498"/>
      <c r="F35" s="1498"/>
      <c r="G35" s="173"/>
      <c r="H35" s="736"/>
      <c r="I35" s="178"/>
      <c r="J35" s="178"/>
      <c r="K35" s="178"/>
      <c r="L35" s="178"/>
      <c r="M35" s="178"/>
      <c r="N35" s="178"/>
      <c r="O35" s="178"/>
      <c r="P35" s="178"/>
      <c r="Q35" s="178"/>
      <c r="R35" s="178"/>
      <c r="S35" s="178"/>
      <c r="T35" s="178"/>
      <c r="U35" s="178"/>
      <c r="V35" s="178"/>
      <c r="W35" s="178"/>
      <c r="X35" s="178"/>
      <c r="Y35" s="178"/>
      <c r="Z35" s="178"/>
      <c r="AA35" s="178"/>
      <c r="AB35" s="178"/>
      <c r="AC35" s="178"/>
      <c r="AD35" s="178"/>
      <c r="AE35" s="178"/>
      <c r="AF35" s="178"/>
      <c r="AG35" s="178"/>
      <c r="AH35" s="178"/>
      <c r="AI35" s="178"/>
      <c r="AJ35" s="173"/>
      <c r="AK35" s="173"/>
      <c r="AL35" s="510"/>
    </row>
    <row r="36" spans="1:104" ht="15" customHeight="1">
      <c r="A36" s="147"/>
      <c r="B36" s="1619"/>
      <c r="C36" s="745"/>
      <c r="D36" s="1498"/>
      <c r="E36" s="1498"/>
      <c r="F36" s="1498"/>
      <c r="G36" s="173"/>
      <c r="H36" s="1620" t="str">
        <f ca="1">INDIRECT('D1-D2-D3'!$J$4&amp;"!C174")</f>
        <v>Does the reproduced defect match the given fault ?</v>
      </c>
      <c r="I36" s="1620"/>
      <c r="J36" s="1621"/>
      <c r="K36" s="1628"/>
      <c r="L36" s="1653" t="str">
        <f ca="1">IF(K36=DropDown!N11,INDIRECT('D1-D2-D3'!$J$4&amp;"!C175"),INDIRECT('D1-D2-D3'!$J$4&amp;"!C176"))</f>
        <v>→ Root cause not verified → Go back to D4 to find the right root cause</v>
      </c>
      <c r="M36" s="1654"/>
      <c r="N36" s="1654"/>
      <c r="O36" s="1654"/>
      <c r="P36" s="1654"/>
      <c r="Q36" s="1654"/>
      <c r="R36" s="1654"/>
      <c r="S36" s="1654"/>
      <c r="T36" s="1654"/>
      <c r="U36" s="1654"/>
      <c r="V36" s="1654"/>
      <c r="W36" s="1654"/>
      <c r="X36" s="1654"/>
      <c r="Y36" s="1654"/>
      <c r="Z36" s="1654"/>
      <c r="AA36" s="1654"/>
      <c r="AB36" s="1654"/>
      <c r="AC36" s="1654"/>
      <c r="AD36" s="1654"/>
      <c r="AE36" s="1654"/>
      <c r="AF36" s="1654"/>
      <c r="AG36" s="1654"/>
      <c r="AH36" s="1654"/>
      <c r="AI36" s="1654"/>
      <c r="AJ36" s="1654"/>
      <c r="AK36" s="173"/>
      <c r="AL36" s="510"/>
    </row>
    <row r="37" spans="1:104" ht="15" customHeight="1">
      <c r="A37" s="147"/>
      <c r="B37" s="1619"/>
      <c r="C37" s="745"/>
      <c r="D37" s="1498"/>
      <c r="E37" s="1498"/>
      <c r="F37" s="1498"/>
      <c r="G37" s="173"/>
      <c r="H37" s="1620"/>
      <c r="I37" s="1620"/>
      <c r="J37" s="1621"/>
      <c r="K37" s="1628"/>
      <c r="L37" s="1653"/>
      <c r="M37" s="1654"/>
      <c r="N37" s="1654"/>
      <c r="O37" s="1654"/>
      <c r="P37" s="1654"/>
      <c r="Q37" s="1654"/>
      <c r="R37" s="1654"/>
      <c r="S37" s="1654"/>
      <c r="T37" s="1654"/>
      <c r="U37" s="1654"/>
      <c r="V37" s="1654"/>
      <c r="W37" s="1654"/>
      <c r="X37" s="1654"/>
      <c r="Y37" s="1654"/>
      <c r="Z37" s="1654"/>
      <c r="AA37" s="1654"/>
      <c r="AB37" s="1654"/>
      <c r="AC37" s="1654"/>
      <c r="AD37" s="1654"/>
      <c r="AE37" s="1654"/>
      <c r="AF37" s="1654"/>
      <c r="AG37" s="1654"/>
      <c r="AH37" s="1654"/>
      <c r="AI37" s="1654"/>
      <c r="AJ37" s="1654"/>
      <c r="AK37" s="173"/>
      <c r="AL37" s="510"/>
    </row>
    <row r="38" spans="1:104" ht="6" customHeight="1">
      <c r="A38" s="147"/>
      <c r="B38" s="1619"/>
      <c r="C38" s="745"/>
      <c r="D38" s="1498"/>
      <c r="E38" s="1498"/>
      <c r="F38" s="1498"/>
      <c r="G38" s="173"/>
      <c r="H38" s="736"/>
      <c r="I38" s="177"/>
      <c r="J38" s="179"/>
      <c r="K38" s="349"/>
      <c r="L38" s="349"/>
      <c r="M38" s="349"/>
      <c r="N38" s="742"/>
      <c r="O38" s="743"/>
      <c r="P38" s="744"/>
      <c r="Q38" s="179"/>
      <c r="R38" s="179"/>
      <c r="S38" s="179"/>
      <c r="T38" s="179"/>
      <c r="U38" s="162"/>
      <c r="V38" s="162"/>
      <c r="W38" s="349"/>
      <c r="X38" s="349"/>
      <c r="Y38" s="179"/>
      <c r="Z38" s="349"/>
      <c r="AA38" s="173"/>
      <c r="AB38" s="173"/>
      <c r="AC38" s="173"/>
      <c r="AD38" s="173"/>
      <c r="AE38" s="173"/>
      <c r="AF38" s="173"/>
      <c r="AG38" s="173"/>
      <c r="AH38" s="173"/>
      <c r="AI38" s="173"/>
      <c r="AJ38" s="173"/>
      <c r="AK38" s="173"/>
      <c r="AL38" s="510"/>
    </row>
    <row r="39" spans="1:104" ht="6" customHeight="1" thickBot="1">
      <c r="B39" s="1619"/>
      <c r="C39" s="716"/>
      <c r="D39" s="716"/>
      <c r="E39" s="716"/>
      <c r="F39" s="716"/>
      <c r="G39" s="168"/>
      <c r="H39" s="168"/>
      <c r="I39" s="168"/>
      <c r="J39" s="168"/>
      <c r="K39" s="168"/>
      <c r="L39" s="168"/>
      <c r="M39" s="168"/>
      <c r="N39" s="168"/>
      <c r="O39" s="168"/>
      <c r="P39" s="168"/>
      <c r="Q39" s="168"/>
      <c r="R39" s="168"/>
      <c r="S39" s="168"/>
      <c r="T39" s="168"/>
      <c r="U39" s="168"/>
      <c r="V39" s="168"/>
      <c r="W39" s="168"/>
      <c r="X39" s="168"/>
      <c r="Y39" s="168"/>
      <c r="Z39" s="168"/>
      <c r="AA39" s="168"/>
      <c r="AB39" s="168"/>
      <c r="AC39" s="168"/>
      <c r="AD39" s="168"/>
      <c r="AE39" s="168"/>
      <c r="AF39" s="168"/>
      <c r="AG39" s="168"/>
      <c r="AH39" s="168"/>
      <c r="AI39" s="168"/>
      <c r="AJ39" s="168"/>
      <c r="AK39" s="168"/>
      <c r="AL39" s="174"/>
    </row>
    <row r="40" spans="1:104" ht="15" customHeight="1">
      <c r="B40" s="1619"/>
      <c r="C40" s="716"/>
      <c r="D40" s="1531" t="str">
        <f ca="1">INDIRECT('D1-D2-D3'!$J$4&amp;"!C269")</f>
        <v>Technical consideration factors</v>
      </c>
      <c r="E40" s="1532"/>
      <c r="F40" s="1532"/>
      <c r="G40" s="1532"/>
      <c r="H40" s="1532"/>
      <c r="I40" s="1532"/>
      <c r="J40" s="1589" t="str">
        <f ca="1">INDIRECT('D1-D2-D3'!$J$4&amp;"!C150")</f>
        <v>5-Why-Analysis</v>
      </c>
      <c r="K40" s="1590"/>
      <c r="L40" s="1590"/>
      <c r="M40" s="1590"/>
      <c r="N40" s="1590"/>
      <c r="O40" s="1590"/>
      <c r="P40" s="1590"/>
      <c r="Q40" s="1590"/>
      <c r="R40" s="1590"/>
      <c r="S40" s="1590"/>
      <c r="T40" s="1590"/>
      <c r="U40" s="1590"/>
      <c r="V40" s="1590"/>
      <c r="W40" s="1591"/>
      <c r="X40" s="1555" t="str">
        <f ca="1">INDIRECT('D1-D2-D3'!$J$4&amp;"!C157")</f>
        <v>Fault category</v>
      </c>
      <c r="Y40" s="1603"/>
      <c r="Z40" s="1555" t="str">
        <f ca="1">INDIRECT('D1-D2-D3'!$J$4&amp;"!C158")</f>
        <v>Verification of the causes</v>
      </c>
      <c r="AA40" s="1556"/>
      <c r="AB40" s="1595" t="str">
        <f ca="1">INDIRECT('D1-D2-D3'!$J$4&amp;"!C163")</f>
        <v>Action Plan</v>
      </c>
      <c r="AC40" s="1590"/>
      <c r="AD40" s="1590"/>
      <c r="AE40" s="1590"/>
      <c r="AF40" s="1590"/>
      <c r="AG40" s="1590"/>
      <c r="AH40" s="1590"/>
      <c r="AI40" s="1590"/>
      <c r="AJ40" s="1596"/>
      <c r="AK40" s="168"/>
      <c r="AL40" s="174"/>
    </row>
    <row r="41" spans="1:104" ht="15.9" customHeight="1">
      <c r="B41" s="1619"/>
      <c r="C41" s="716"/>
      <c r="D41" s="1533"/>
      <c r="E41" s="1534"/>
      <c r="F41" s="1534"/>
      <c r="G41" s="1534"/>
      <c r="H41" s="1534"/>
      <c r="I41" s="1534"/>
      <c r="J41" s="1646" t="str">
        <f ca="1">INDIRECT('D1-D2-D3'!$J$4&amp;"!C138")</f>
        <v>Systemic consideration</v>
      </c>
      <c r="K41" s="1647"/>
      <c r="L41" s="1647"/>
      <c r="M41" s="1647"/>
      <c r="N41" s="1647"/>
      <c r="O41" s="1647"/>
      <c r="P41" s="1647"/>
      <c r="Q41" s="1647"/>
      <c r="R41" s="1647"/>
      <c r="S41" s="1647"/>
      <c r="T41" s="1647"/>
      <c r="U41" s="1647"/>
      <c r="V41" s="1647"/>
      <c r="W41" s="1648"/>
      <c r="X41" s="1604"/>
      <c r="Y41" s="1605"/>
      <c r="Z41" s="1604"/>
      <c r="AA41" s="1607"/>
      <c r="AB41" s="1597"/>
      <c r="AC41" s="1598"/>
      <c r="AD41" s="1598"/>
      <c r="AE41" s="1598"/>
      <c r="AF41" s="1598"/>
      <c r="AG41" s="1598"/>
      <c r="AH41" s="1598"/>
      <c r="AI41" s="1598"/>
      <c r="AJ41" s="1599"/>
      <c r="AK41" s="168"/>
      <c r="AL41" s="174"/>
      <c r="AM41" s="1626" t="s">
        <v>992</v>
      </c>
      <c r="AN41" s="1626"/>
      <c r="AO41" s="1626"/>
      <c r="AP41" s="1626"/>
      <c r="AQ41" s="1626"/>
      <c r="AR41" s="1626"/>
      <c r="AS41" s="1626"/>
      <c r="AT41" s="1626"/>
      <c r="AU41" s="168"/>
      <c r="AV41" s="168"/>
      <c r="AW41" s="168"/>
      <c r="AX41" s="168"/>
      <c r="AY41" s="168"/>
      <c r="AZ41" s="168"/>
      <c r="BA41" s="168"/>
      <c r="BB41" s="591"/>
      <c r="BC41" s="168"/>
      <c r="BD41" s="592"/>
      <c r="BE41" s="168"/>
      <c r="BF41" s="168"/>
      <c r="BG41" s="168"/>
      <c r="BH41" s="640" t="s">
        <v>1009</v>
      </c>
      <c r="BI41" s="168"/>
      <c r="BJ41" s="168"/>
      <c r="BK41" s="168"/>
      <c r="BL41" s="168"/>
      <c r="BM41" s="168"/>
      <c r="BN41" s="168"/>
      <c r="BO41" s="168"/>
      <c r="BP41" s="168"/>
      <c r="BQ41" s="168"/>
      <c r="BR41" s="168"/>
      <c r="BS41" s="168"/>
      <c r="BT41" s="168"/>
      <c r="BU41" s="168"/>
      <c r="BV41" s="168"/>
      <c r="BW41" s="168"/>
      <c r="BX41" s="168"/>
      <c r="BY41" s="168"/>
      <c r="BZ41" s="168"/>
      <c r="CA41" s="168"/>
      <c r="CB41" s="168"/>
      <c r="CC41" s="168"/>
      <c r="CD41" s="168"/>
      <c r="CE41" s="168"/>
      <c r="CF41" s="168"/>
      <c r="CG41" s="168"/>
      <c r="CH41" s="168"/>
      <c r="CI41" s="168"/>
      <c r="CJ41" s="168"/>
    </row>
    <row r="42" spans="1:104" ht="15.9" customHeight="1">
      <c r="B42" s="1619"/>
      <c r="C42" s="716"/>
      <c r="D42" s="1533"/>
      <c r="E42" s="1534"/>
      <c r="F42" s="1534"/>
      <c r="G42" s="1534"/>
      <c r="H42" s="1534"/>
      <c r="I42" s="1534"/>
      <c r="J42" s="1649"/>
      <c r="K42" s="1650"/>
      <c r="L42" s="1650"/>
      <c r="M42" s="1650"/>
      <c r="N42" s="1650"/>
      <c r="O42" s="1650"/>
      <c r="P42" s="1650"/>
      <c r="Q42" s="1650"/>
      <c r="R42" s="1650"/>
      <c r="S42" s="1650"/>
      <c r="T42" s="1650"/>
      <c r="U42" s="1650"/>
      <c r="V42" s="1650"/>
      <c r="W42" s="1651"/>
      <c r="X42" s="1557"/>
      <c r="Y42" s="1606"/>
      <c r="Z42" s="1557"/>
      <c r="AA42" s="1558"/>
      <c r="AB42" s="1600"/>
      <c r="AC42" s="1601"/>
      <c r="AD42" s="1601"/>
      <c r="AE42" s="1601"/>
      <c r="AF42" s="1601"/>
      <c r="AG42" s="1601"/>
      <c r="AH42" s="1601"/>
      <c r="AI42" s="1601"/>
      <c r="AJ42" s="1602"/>
      <c r="AK42" s="168"/>
      <c r="AL42" s="174"/>
      <c r="AM42" s="1626"/>
      <c r="AN42" s="1626"/>
      <c r="AO42" s="1626"/>
      <c r="AP42" s="1626"/>
      <c r="AQ42" s="1626"/>
      <c r="AR42" s="1626"/>
      <c r="AS42" s="1626"/>
      <c r="AT42" s="1626"/>
      <c r="AU42" s="168"/>
      <c r="AV42" s="168"/>
      <c r="AW42" s="168"/>
      <c r="AX42" s="622" t="s">
        <v>1757</v>
      </c>
      <c r="AY42" s="168"/>
      <c r="AZ42" s="168"/>
      <c r="BA42" s="168"/>
      <c r="BB42" s="591"/>
      <c r="BC42" s="168"/>
      <c r="BD42" s="168"/>
      <c r="BE42" s="168"/>
      <c r="BF42" s="168"/>
      <c r="BG42" s="168"/>
      <c r="BH42" s="168"/>
      <c r="BI42" s="168"/>
      <c r="BJ42" s="168"/>
      <c r="BK42" s="168"/>
      <c r="BL42" s="168"/>
      <c r="BM42" s="168"/>
      <c r="BN42" s="168"/>
      <c r="BO42" s="168"/>
      <c r="BP42" s="168"/>
      <c r="BQ42" s="168"/>
      <c r="BR42" s="168"/>
      <c r="BS42" s="168"/>
      <c r="BT42" s="168"/>
      <c r="BU42" s="168"/>
      <c r="BV42" s="168"/>
      <c r="BW42" s="622" t="s">
        <v>1751</v>
      </c>
      <c r="BX42" s="168"/>
      <c r="BY42" s="168"/>
      <c r="BZ42" s="168"/>
      <c r="CA42" s="168"/>
      <c r="CB42" s="168"/>
      <c r="CC42" s="168"/>
      <c r="CD42" s="168"/>
      <c r="CE42" s="168"/>
      <c r="CF42" s="168"/>
      <c r="CG42" s="168"/>
      <c r="CH42" s="168"/>
      <c r="CI42" s="168"/>
      <c r="CJ42" s="168"/>
    </row>
    <row r="43" spans="1:104" ht="33" customHeight="1" thickBot="1">
      <c r="B43" s="1619"/>
      <c r="C43" s="716"/>
      <c r="D43" s="1672" t="str">
        <f ca="1">INDIRECT('D1-D2-D3'!$J$4&amp;"!C149")</f>
        <v>Factors identification</v>
      </c>
      <c r="E43" s="1673"/>
      <c r="F43" s="1673"/>
      <c r="G43" s="1673"/>
      <c r="H43" s="1673"/>
      <c r="I43" s="933" t="str">
        <f ca="1">INDIRECT('D1-D2-D3'!$J$4&amp;"!C151")</f>
        <v>Influent factors</v>
      </c>
      <c r="J43" s="1523" t="str">
        <f ca="1">INDIRECT('D1-D2-D3'!$J$4&amp;"!C152")</f>
        <v>Why 1</v>
      </c>
      <c r="K43" s="1523"/>
      <c r="L43" s="1592" t="str">
        <f ca="1">INDIRECT('D1-D2-D3'!$J$4&amp;"!C153")</f>
        <v>Why 2</v>
      </c>
      <c r="M43" s="1592"/>
      <c r="N43" s="1592"/>
      <c r="O43" s="1523" t="str">
        <f ca="1">INDIRECT('D1-D2-D3'!$J$4&amp;"!C154")</f>
        <v>Why 3</v>
      </c>
      <c r="P43" s="1523"/>
      <c r="Q43" s="1523" t="str">
        <f ca="1">INDIRECT('D1-D2-D3'!$J$4&amp;"!C155")</f>
        <v>Why 4</v>
      </c>
      <c r="R43" s="1523"/>
      <c r="S43" s="1523"/>
      <c r="T43" s="1524" t="str">
        <f ca="1">INDIRECT('D1-D2-D3'!$J$4&amp;"!C156")</f>
        <v>Why 5</v>
      </c>
      <c r="U43" s="1525"/>
      <c r="V43" s="1525"/>
      <c r="W43" s="1526"/>
      <c r="X43" s="1592" t="str">
        <f ca="1">INDIRECT('D1-D2-D3'!$J$4&amp;"!C159")</f>
        <v>Category</v>
      </c>
      <c r="Y43" s="1592"/>
      <c r="Z43" s="1592" t="str">
        <f ca="1">INDIRECT('D1-D2-D3'!$J$4&amp;"!C160")</f>
        <v xml:space="preserve">Method of cause verification </v>
      </c>
      <c r="AA43" s="1593"/>
      <c r="AB43" s="1594" t="str">
        <f ca="1">INDIRECT('D1-D2-D3'!$J$4&amp;"!C164")</f>
        <v>Corrective Action</v>
      </c>
      <c r="AC43" s="1523"/>
      <c r="AD43" s="1523"/>
      <c r="AE43" s="668" t="str">
        <f ca="1">INDIRECT('D1-D2-D3'!$J$4&amp;"!C165")</f>
        <v>Pic. No.</v>
      </c>
      <c r="AF43" s="1592" t="str">
        <f ca="1">INDIRECT('D1-D2-D3'!$J$4&amp;"!C83")</f>
        <v>Responsible</v>
      </c>
      <c r="AG43" s="1592"/>
      <c r="AH43" s="1493" t="str">
        <f ca="1">INDIRECT('D1-D2-D3'!$J$4&amp;"!C166")</f>
        <v>Target Date</v>
      </c>
      <c r="AI43" s="1494"/>
      <c r="AJ43" s="983" t="str">
        <f ca="1">INDIRECT('D1-D2-D3'!$J$4&amp;"!C84")</f>
        <v>Impl. Date</v>
      </c>
      <c r="AK43" s="169"/>
      <c r="AL43" s="510"/>
      <c r="AM43" s="148">
        <v>0</v>
      </c>
      <c r="AX43" s="586" t="s">
        <v>993</v>
      </c>
      <c r="AY43" s="168"/>
      <c r="AZ43" s="168"/>
      <c r="BA43" s="168"/>
      <c r="BB43" s="168"/>
      <c r="BC43" s="168"/>
      <c r="BD43" s="168"/>
      <c r="BE43" s="168"/>
      <c r="BH43" s="148">
        <v>0</v>
      </c>
      <c r="BI43" s="619" t="s">
        <v>997</v>
      </c>
      <c r="BJ43" s="619" t="s">
        <v>998</v>
      </c>
      <c r="BK43" s="619" t="s">
        <v>999</v>
      </c>
      <c r="BL43" s="619" t="s">
        <v>1000</v>
      </c>
      <c r="BM43" s="619" t="s">
        <v>1001</v>
      </c>
      <c r="BN43" s="607" t="s">
        <v>1002</v>
      </c>
      <c r="BO43" s="607">
        <v>0</v>
      </c>
      <c r="BP43" s="607"/>
      <c r="BQ43" s="607"/>
      <c r="BR43" s="607"/>
      <c r="BS43" s="607"/>
      <c r="BT43" s="607"/>
      <c r="BU43" s="607"/>
      <c r="BV43" s="168"/>
      <c r="BW43" s="634" t="s">
        <v>1006</v>
      </c>
      <c r="BX43" s="168"/>
      <c r="BY43" s="621" t="s">
        <v>1003</v>
      </c>
      <c r="BZ43" s="619" t="s">
        <v>1001</v>
      </c>
      <c r="CA43" s="628" t="s">
        <v>1005</v>
      </c>
      <c r="CB43" s="607" t="s">
        <v>1004</v>
      </c>
      <c r="CC43" s="622"/>
      <c r="CD43" s="622"/>
      <c r="CE43" s="170"/>
      <c r="CF43" s="170"/>
      <c r="CG43" s="596"/>
      <c r="CH43" s="596"/>
      <c r="CI43" s="170"/>
      <c r="CJ43" s="596"/>
    </row>
    <row r="44" spans="1:104" ht="60" customHeight="1">
      <c r="B44" s="1619"/>
      <c r="C44" s="716"/>
      <c r="D44" s="1512" t="str">
        <f ca="1">INDIRECT('D1-D2-D3'!$J$4&amp;"!C149")&amp;"/"&amp; INDIRECT('D1-D2-D3'!$J$4&amp;"!C151")</f>
        <v>Factors identification/Influent factors</v>
      </c>
      <c r="E44" s="1513"/>
      <c r="F44" s="1514"/>
      <c r="G44" s="1521"/>
      <c r="H44" s="1522"/>
      <c r="I44" s="914"/>
      <c r="J44" s="1608"/>
      <c r="K44" s="1610"/>
      <c r="L44" s="1608"/>
      <c r="M44" s="1609"/>
      <c r="N44" s="1610"/>
      <c r="O44" s="1608"/>
      <c r="P44" s="1610"/>
      <c r="Q44" s="1608"/>
      <c r="R44" s="1609"/>
      <c r="S44" s="1610"/>
      <c r="T44" s="1611"/>
      <c r="U44" s="1612"/>
      <c r="V44" s="1612"/>
      <c r="W44" s="1613"/>
      <c r="X44" s="1614"/>
      <c r="Y44" s="1615"/>
      <c r="Z44" s="1616"/>
      <c r="AA44" s="1617"/>
      <c r="AB44" s="1503"/>
      <c r="AC44" s="1504"/>
      <c r="AD44" s="1505"/>
      <c r="AE44" s="898"/>
      <c r="AF44" s="1496"/>
      <c r="AG44" s="1497"/>
      <c r="AH44" s="1495"/>
      <c r="AI44" s="1487"/>
      <c r="AJ44" s="899"/>
      <c r="AK44" s="169"/>
      <c r="AL44" s="510"/>
      <c r="AM44" s="507" t="str">
        <f>IF($AN$44&lt;&gt;"",$AM$43+1,"")</f>
        <v/>
      </c>
      <c r="AN44" s="146" t="str">
        <f t="shared" ref="AN44:AN53" si="37">IF(AP44=0,"",IF(ISNA(AP44),"",IF($I44&lt;&gt;"",G44,"")))</f>
        <v/>
      </c>
      <c r="AO44" s="146" t="str">
        <f t="shared" ref="AO44:AO53" si="38">IF(AP44=0,"",IF(ISNA(AP44),"",IF($I44&lt;&gt;"",I44,"")))</f>
        <v/>
      </c>
      <c r="AP44" s="755" t="str">
        <f t="shared" ref="AP44:AP53" si="39">IF($I44&lt;&gt;"",J44,"")</f>
        <v/>
      </c>
      <c r="AQ44" s="755" t="str">
        <f t="shared" ref="AQ44:AQ53" si="40">IF($I44&lt;&gt;"",L44,"")</f>
        <v/>
      </c>
      <c r="AR44" s="756" t="str">
        <f t="shared" ref="AR44:AR53" si="41">IF($I44&lt;&gt;"",O44,"")</f>
        <v/>
      </c>
      <c r="AS44" s="756" t="str">
        <f t="shared" ref="AS44:AS53" si="42">IF($I44&lt;&gt;"",Q44,"")</f>
        <v/>
      </c>
      <c r="AT44" s="516" t="str">
        <f t="shared" ref="AT44:AT53" si="43">IF($I44&lt;&gt;"",T44,"")</f>
        <v/>
      </c>
      <c r="AU44" s="755" t="str">
        <f t="shared" ref="AU44:AU53" si="44">IF($I44&lt;&gt;"",X44,"")</f>
        <v/>
      </c>
      <c r="AV44" s="516" t="str">
        <f t="shared" ref="AV44:AV53" si="45">IF($I44&lt;&gt;"",Z44,"")</f>
        <v/>
      </c>
      <c r="AW44" s="148">
        <v>1</v>
      </c>
      <c r="AX44" s="528" t="e">
        <f>VLOOKUP($AW44,$AM$44:$AV$53,2,FALSE)</f>
        <v>#N/A</v>
      </c>
      <c r="AY44" s="529" t="e">
        <f>VLOOKUP($AW44,$AM$44:$AV$53,3,FALSE)</f>
        <v>#N/A</v>
      </c>
      <c r="AZ44" s="529" t="e">
        <f>VLOOKUP($AW44,$AM$44:$AV$53,4,FALSE)</f>
        <v>#N/A</v>
      </c>
      <c r="BA44" s="529" t="e">
        <f>VLOOKUP($AW44,$AM$44:$AV$53,5,FALSE)</f>
        <v>#N/A</v>
      </c>
      <c r="BB44" s="529" t="e">
        <f>VLOOKUP($AW44,$AM$44:$AV$53,6,FALSE)</f>
        <v>#N/A</v>
      </c>
      <c r="BC44" s="529" t="e">
        <f>VLOOKUP($AW44,$AM$44:$AV$53,7,FALSE)</f>
        <v>#N/A</v>
      </c>
      <c r="BD44" s="529" t="e">
        <f>VLOOKUP($AW44,$AM$44:$AV$53,8,FALSE)</f>
        <v>#N/A</v>
      </c>
      <c r="BE44" s="529" t="e">
        <f>VLOOKUP($AW44,$AM$44:$AV$53,9,FALSE)</f>
        <v>#N/A</v>
      </c>
      <c r="BF44" s="608" t="e">
        <f>VLOOKUP($AW44,$AM$44:$AV$53,10,FALSE)</f>
        <v>#N/A</v>
      </c>
      <c r="BH44" s="641" t="str">
        <f>IF($BI44&lt;&gt;"",BH43+1,"")</f>
        <v/>
      </c>
      <c r="BI44" s="643" t="str">
        <f t="shared" ref="BI44:BI53" si="46">IF($I44&lt;&gt;"",G44,"")</f>
        <v/>
      </c>
      <c r="BJ44" s="641" t="str">
        <f t="shared" ref="BJ44:BJ53" si="47">IF($AB44&lt;&gt;"",I44,"")</f>
        <v/>
      </c>
      <c r="BK44" s="644" t="str">
        <f t="shared" ref="BK44:BK53" si="48">IF(AB44=0,"",IF(ISNA(AB44),"",IF($AB44&lt;&gt;"",AB44,"")))</f>
        <v/>
      </c>
      <c r="BL44" s="645" t="str">
        <f t="shared" ref="BL44:BL53" si="49">IF(ISNA(AB44),"",IF($AB44&lt;&gt;"",AF44,""))</f>
        <v/>
      </c>
      <c r="BM44" s="646" t="str">
        <f>IF(AH44&lt;&gt;"",AH44,"")</f>
        <v/>
      </c>
      <c r="BN44" s="646" t="str">
        <f>IF(AJ44&lt;&gt;"",AJ44,"")</f>
        <v/>
      </c>
      <c r="BO44" s="647" t="str">
        <f>IF($BP44&lt;&gt;"",BO43+1,"")</f>
        <v/>
      </c>
      <c r="BP44" s="648" t="str">
        <f>IF(BK44&lt;&gt;"", BI44,"")</f>
        <v/>
      </c>
      <c r="BQ44" s="648" t="str">
        <f>IF(BL44&lt;&gt;"", BJ44,"")</f>
        <v/>
      </c>
      <c r="BR44" s="648" t="str">
        <f>IF(BJ44&lt;&gt;"", BK44,"")</f>
        <v/>
      </c>
      <c r="BS44" s="648" t="str">
        <f>IF(BK44&lt;&gt;"", BL44,"")</f>
        <v/>
      </c>
      <c r="BT44" s="649" t="str">
        <f>IF(BK44&lt;&gt;"", BM44,"")</f>
        <v/>
      </c>
      <c r="BU44" s="649" t="str">
        <f>IF(BK44&lt;&gt;"", BN44,"")</f>
        <v/>
      </c>
      <c r="BV44" s="650">
        <v>1</v>
      </c>
      <c r="BW44" s="632" t="e">
        <f>VLOOKUP($BV44,$BO$44:$BU$53,2,FALSE)</f>
        <v>#N/A</v>
      </c>
      <c r="BX44" s="652" t="e">
        <f>VLOOKUP($BV44,$BO$44:$BU$53,3,FALSE)</f>
        <v>#N/A</v>
      </c>
      <c r="BY44" s="905" t="e">
        <f>VLOOKUP($BV44,$BO$44:$BU$53,4,FALSE)</f>
        <v>#N/A</v>
      </c>
      <c r="BZ44" s="906" t="e">
        <f>VLOOKUP($BV44,$BO$44:$BU$53,5,FALSE)</f>
        <v>#N/A</v>
      </c>
      <c r="CA44" s="907" t="e">
        <f>VLOOKUP($BV44,$BO$44:$BU$53,6,FALSE)</f>
        <v>#N/A</v>
      </c>
      <c r="CB44" s="908" t="e">
        <f>VLOOKUP($BV44,$BO$44:$BU$53,7,FALSE)</f>
        <v>#N/A</v>
      </c>
      <c r="CC44" s="656"/>
      <c r="CD44" s="656"/>
      <c r="CE44" s="170"/>
      <c r="CF44" s="170"/>
      <c r="CG44" s="596"/>
      <c r="CH44" s="596"/>
      <c r="CI44" s="170"/>
      <c r="CJ44" s="596"/>
    </row>
    <row r="45" spans="1:104" ht="60" customHeight="1">
      <c r="B45" s="1619"/>
      <c r="C45" s="716"/>
      <c r="D45" s="1515"/>
      <c r="E45" s="1516"/>
      <c r="F45" s="1517"/>
      <c r="G45" s="1521"/>
      <c r="H45" s="1522"/>
      <c r="I45" s="914"/>
      <c r="J45" s="1674"/>
      <c r="K45" s="1675"/>
      <c r="L45" s="1608"/>
      <c r="M45" s="1609"/>
      <c r="N45" s="1610"/>
      <c r="O45" s="1608"/>
      <c r="P45" s="1610"/>
      <c r="Q45" s="1608"/>
      <c r="R45" s="1609"/>
      <c r="S45" s="1610"/>
      <c r="T45" s="1611"/>
      <c r="U45" s="1612"/>
      <c r="V45" s="1612"/>
      <c r="W45" s="1613"/>
      <c r="X45" s="1614"/>
      <c r="Y45" s="1615"/>
      <c r="Z45" s="1616"/>
      <c r="AA45" s="1617"/>
      <c r="AB45" s="1503"/>
      <c r="AC45" s="1504"/>
      <c r="AD45" s="1505"/>
      <c r="AE45" s="898"/>
      <c r="AF45" s="1496"/>
      <c r="AG45" s="1497"/>
      <c r="AH45" s="1486"/>
      <c r="AI45" s="1487"/>
      <c r="AJ45" s="899"/>
      <c r="AK45" s="169"/>
      <c r="AL45" s="510"/>
      <c r="AM45" s="508" t="str">
        <f>IF($AN45&lt;&gt;"",MAX(AM$43:AM44)+1,"")</f>
        <v/>
      </c>
      <c r="AN45" s="146" t="str">
        <f t="shared" si="37"/>
        <v/>
      </c>
      <c r="AO45" s="146" t="str">
        <f t="shared" si="38"/>
        <v/>
      </c>
      <c r="AP45" s="755" t="str">
        <f t="shared" si="39"/>
        <v/>
      </c>
      <c r="AQ45" s="755" t="str">
        <f t="shared" si="40"/>
        <v/>
      </c>
      <c r="AR45" s="756" t="str">
        <f t="shared" si="41"/>
        <v/>
      </c>
      <c r="AS45" s="756" t="str">
        <f t="shared" si="42"/>
        <v/>
      </c>
      <c r="AT45" s="516" t="str">
        <f t="shared" si="43"/>
        <v/>
      </c>
      <c r="AU45" s="755" t="str">
        <f t="shared" si="44"/>
        <v/>
      </c>
      <c r="AV45" s="516" t="str">
        <f t="shared" si="45"/>
        <v/>
      </c>
      <c r="AW45" s="148">
        <v>2</v>
      </c>
      <c r="AX45" s="530" t="e">
        <f t="shared" ref="AX45:AX53" si="50">VLOOKUP($AW45,$AM$44:$AV$53,2,FALSE)</f>
        <v>#N/A</v>
      </c>
      <c r="AY45" s="165" t="e">
        <f t="shared" ref="AY45:AY53" si="51">VLOOKUP($AW45,$AM$44:$AV$53,3,FALSE)</f>
        <v>#N/A</v>
      </c>
      <c r="AZ45" s="165" t="e">
        <f t="shared" ref="AZ45:AZ53" si="52">VLOOKUP($AW45,$AM$44:$AV$53,4,FALSE)</f>
        <v>#N/A</v>
      </c>
      <c r="BA45" s="165" t="e">
        <f t="shared" ref="BA45:BA53" si="53">VLOOKUP($AW45,$AM$44:$AV$53,5,FALSE)</f>
        <v>#N/A</v>
      </c>
      <c r="BB45" s="165" t="e">
        <f t="shared" ref="BB45:BB53" si="54">VLOOKUP($AW45,$AM$44:$AV$53,6,FALSE)</f>
        <v>#N/A</v>
      </c>
      <c r="BC45" s="165" t="e">
        <f t="shared" ref="BC45:BC53" si="55">VLOOKUP($AW45,$AM$44:$AV$53,7,FALSE)</f>
        <v>#N/A</v>
      </c>
      <c r="BD45" s="165" t="e">
        <f t="shared" ref="BD45:BD53" si="56">VLOOKUP($AW45,$AM$44:$AV$53,8,FALSE)</f>
        <v>#N/A</v>
      </c>
      <c r="BE45" s="165" t="e">
        <f t="shared" ref="BE45:BE53" si="57">VLOOKUP($AW45,$AM$44:$AV$53,9,FALSE)</f>
        <v>#N/A</v>
      </c>
      <c r="BF45" s="903" t="e">
        <f t="shared" ref="BF45:BF53" si="58">VLOOKUP($AW45,$AM$44:$AV$53,10,FALSE)</f>
        <v>#N/A</v>
      </c>
      <c r="BH45" s="642" t="str">
        <f>IF($BI45&lt;&gt;"",MAX(BH$43:BH44)+1,"")</f>
        <v/>
      </c>
      <c r="BI45" s="643" t="str">
        <f t="shared" si="46"/>
        <v/>
      </c>
      <c r="BJ45" s="641" t="str">
        <f t="shared" si="47"/>
        <v/>
      </c>
      <c r="BK45" s="644" t="str">
        <f t="shared" si="48"/>
        <v/>
      </c>
      <c r="BL45" s="645" t="str">
        <f t="shared" si="49"/>
        <v/>
      </c>
      <c r="BM45" s="646" t="str">
        <f t="shared" ref="BM45:BM53" si="59">IF(AH45&lt;&gt;"",AH45,"")</f>
        <v/>
      </c>
      <c r="BN45" s="646" t="str">
        <f t="shared" ref="BN45:BN53" si="60">IF(AJ45&lt;&gt;"",AJ45,"")</f>
        <v/>
      </c>
      <c r="BO45" s="647" t="str">
        <f>IF($BP45&lt;&gt;"",MAX(BO$43:BO44)+1,"")</f>
        <v/>
      </c>
      <c r="BP45" s="648" t="str">
        <f t="shared" ref="BP45:BP53" si="61">IF(BK45&lt;&gt;"", BI45,"")</f>
        <v/>
      </c>
      <c r="BQ45" s="648" t="str">
        <f t="shared" ref="BQ45:BQ53" si="62">IF(BL45&lt;&gt;"", BJ45,"")</f>
        <v/>
      </c>
      <c r="BR45" s="648" t="str">
        <f t="shared" ref="BR45:BR53" si="63">IF(BJ45&lt;&gt;"", BK45,"")</f>
        <v/>
      </c>
      <c r="BS45" s="648" t="str">
        <f t="shared" ref="BS45:BS53" si="64">IF(BK45&lt;&gt;"", BL45,"")</f>
        <v/>
      </c>
      <c r="BT45" s="649" t="str">
        <f t="shared" ref="BT45:BT53" si="65">IF(BK45&lt;&gt;"", BM45,"")</f>
        <v/>
      </c>
      <c r="BU45" s="649" t="str">
        <f t="shared" ref="BU45:BU53" si="66">IF(BK45&lt;&gt;"", BN45,"")</f>
        <v/>
      </c>
      <c r="BV45" s="650">
        <v>2</v>
      </c>
      <c r="BW45" s="633" t="e">
        <f t="shared" ref="BW45:BW53" si="67">VLOOKUP($BV45,$BO$44:$BU$53,2,FALSE)</f>
        <v>#N/A</v>
      </c>
      <c r="BX45" s="651" t="e">
        <f t="shared" ref="BX45:BX53" si="68">VLOOKUP($BV45,$BO$44:$BU$53,3,FALSE)</f>
        <v>#N/A</v>
      </c>
      <c r="BY45" s="642" t="e">
        <f t="shared" ref="BY45:BY53" si="69">VLOOKUP($BV45,$BO$44:$BU$53,4,FALSE)</f>
        <v>#N/A</v>
      </c>
      <c r="BZ45" s="653" t="e">
        <f t="shared" ref="BZ45:BZ53" si="70">VLOOKUP($BV45,$BO$44:$BU$53,5,FALSE)</f>
        <v>#N/A</v>
      </c>
      <c r="CA45" s="654" t="e">
        <f t="shared" ref="CA45:CA53" si="71">VLOOKUP($BV45,$BO$44:$BU$53,6,FALSE)</f>
        <v>#N/A</v>
      </c>
      <c r="CB45" s="657" t="e">
        <f t="shared" ref="CB45:CB53" si="72">VLOOKUP($BV45,$BO$44:$BU$53,7,FALSE)</f>
        <v>#N/A</v>
      </c>
      <c r="CC45" s="656"/>
      <c r="CD45" s="656"/>
      <c r="CE45" s="170"/>
      <c r="CF45" s="170"/>
      <c r="CG45" s="596"/>
      <c r="CH45" s="596"/>
      <c r="CI45" s="170"/>
      <c r="CJ45" s="596"/>
    </row>
    <row r="46" spans="1:104" ht="60" customHeight="1">
      <c r="B46" s="1619"/>
      <c r="C46" s="716"/>
      <c r="D46" s="1515"/>
      <c r="E46" s="1516"/>
      <c r="F46" s="1517"/>
      <c r="G46" s="1521"/>
      <c r="H46" s="1522"/>
      <c r="I46" s="914"/>
      <c r="J46" s="1608"/>
      <c r="K46" s="1610"/>
      <c r="L46" s="1608"/>
      <c r="M46" s="1609"/>
      <c r="N46" s="1610"/>
      <c r="O46" s="1608"/>
      <c r="P46" s="1610"/>
      <c r="Q46" s="1608"/>
      <c r="R46" s="1609"/>
      <c r="S46" s="1610"/>
      <c r="T46" s="1611"/>
      <c r="U46" s="1612"/>
      <c r="V46" s="1612"/>
      <c r="W46" s="1613"/>
      <c r="X46" s="1614"/>
      <c r="Y46" s="1615"/>
      <c r="Z46" s="1616"/>
      <c r="AA46" s="1617"/>
      <c r="AB46" s="1503"/>
      <c r="AC46" s="1504"/>
      <c r="AD46" s="1505"/>
      <c r="AE46" s="898"/>
      <c r="AF46" s="1496"/>
      <c r="AG46" s="1497"/>
      <c r="AH46" s="1486"/>
      <c r="AI46" s="1487"/>
      <c r="AJ46" s="899"/>
      <c r="AK46" s="169"/>
      <c r="AL46" s="510"/>
      <c r="AM46" s="508" t="str">
        <f>IF($AN46&lt;&gt;"",MAX(AM$43:AM45)+1,"")</f>
        <v/>
      </c>
      <c r="AN46" s="146" t="str">
        <f t="shared" si="37"/>
        <v/>
      </c>
      <c r="AO46" s="146" t="str">
        <f t="shared" si="38"/>
        <v/>
      </c>
      <c r="AP46" s="755" t="str">
        <f t="shared" si="39"/>
        <v/>
      </c>
      <c r="AQ46" s="755" t="str">
        <f t="shared" si="40"/>
        <v/>
      </c>
      <c r="AR46" s="756" t="str">
        <f t="shared" si="41"/>
        <v/>
      </c>
      <c r="AS46" s="756" t="str">
        <f t="shared" si="42"/>
        <v/>
      </c>
      <c r="AT46" s="516" t="str">
        <f t="shared" si="43"/>
        <v/>
      </c>
      <c r="AU46" s="755" t="str">
        <f t="shared" si="44"/>
        <v/>
      </c>
      <c r="AV46" s="516" t="str">
        <f t="shared" si="45"/>
        <v/>
      </c>
      <c r="AW46" s="148">
        <v>3</v>
      </c>
      <c r="AX46" s="530" t="e">
        <f t="shared" si="50"/>
        <v>#N/A</v>
      </c>
      <c r="AY46" s="165" t="e">
        <f t="shared" si="51"/>
        <v>#N/A</v>
      </c>
      <c r="AZ46" s="165" t="e">
        <f t="shared" si="52"/>
        <v>#N/A</v>
      </c>
      <c r="BA46" s="165" t="e">
        <f t="shared" si="53"/>
        <v>#N/A</v>
      </c>
      <c r="BB46" s="165" t="e">
        <f t="shared" si="54"/>
        <v>#N/A</v>
      </c>
      <c r="BC46" s="165" t="e">
        <f t="shared" si="55"/>
        <v>#N/A</v>
      </c>
      <c r="BD46" s="165" t="e">
        <f t="shared" si="56"/>
        <v>#N/A</v>
      </c>
      <c r="BE46" s="165" t="e">
        <f t="shared" si="57"/>
        <v>#N/A</v>
      </c>
      <c r="BF46" s="903" t="e">
        <f t="shared" si="58"/>
        <v>#N/A</v>
      </c>
      <c r="BH46" s="642" t="str">
        <f>IF($BI46&lt;&gt;"",MAX(BH$43:BH45)+1,"")</f>
        <v/>
      </c>
      <c r="BI46" s="643" t="str">
        <f t="shared" si="46"/>
        <v/>
      </c>
      <c r="BJ46" s="641" t="str">
        <f t="shared" si="47"/>
        <v/>
      </c>
      <c r="BK46" s="644" t="str">
        <f t="shared" si="48"/>
        <v/>
      </c>
      <c r="BL46" s="645" t="str">
        <f t="shared" si="49"/>
        <v/>
      </c>
      <c r="BM46" s="646" t="str">
        <f t="shared" si="59"/>
        <v/>
      </c>
      <c r="BN46" s="646" t="str">
        <f t="shared" si="60"/>
        <v/>
      </c>
      <c r="BO46" s="647" t="str">
        <f>IF($BP46&lt;&gt;"",MAX(BO$43:BO45)+1,"")</f>
        <v/>
      </c>
      <c r="BP46" s="648" t="str">
        <f t="shared" si="61"/>
        <v/>
      </c>
      <c r="BQ46" s="648" t="str">
        <f t="shared" si="62"/>
        <v/>
      </c>
      <c r="BR46" s="648" t="str">
        <f t="shared" si="63"/>
        <v/>
      </c>
      <c r="BS46" s="648" t="str">
        <f t="shared" si="64"/>
        <v/>
      </c>
      <c r="BT46" s="649" t="str">
        <f t="shared" si="65"/>
        <v/>
      </c>
      <c r="BU46" s="649" t="str">
        <f t="shared" si="66"/>
        <v/>
      </c>
      <c r="BV46" s="650">
        <v>3</v>
      </c>
      <c r="BW46" s="633" t="e">
        <f t="shared" si="67"/>
        <v>#N/A</v>
      </c>
      <c r="BX46" s="651" t="e">
        <f t="shared" si="68"/>
        <v>#N/A</v>
      </c>
      <c r="BY46" s="642" t="e">
        <f t="shared" si="69"/>
        <v>#N/A</v>
      </c>
      <c r="BZ46" s="653" t="e">
        <f t="shared" si="70"/>
        <v>#N/A</v>
      </c>
      <c r="CA46" s="654" t="e">
        <f t="shared" si="71"/>
        <v>#N/A</v>
      </c>
      <c r="CB46" s="657" t="e">
        <f t="shared" si="72"/>
        <v>#N/A</v>
      </c>
      <c r="CC46" s="656"/>
      <c r="CD46" s="656"/>
      <c r="CE46" s="170"/>
      <c r="CF46" s="170"/>
      <c r="CG46" s="596"/>
      <c r="CH46" s="596"/>
      <c r="CI46" s="170"/>
      <c r="CJ46" s="596"/>
    </row>
    <row r="47" spans="1:104" ht="60" customHeight="1">
      <c r="B47" s="1619"/>
      <c r="C47" s="716"/>
      <c r="D47" s="1515"/>
      <c r="E47" s="1516"/>
      <c r="F47" s="1517"/>
      <c r="G47" s="1521"/>
      <c r="H47" s="1522"/>
      <c r="I47" s="914"/>
      <c r="J47" s="1608"/>
      <c r="K47" s="1610"/>
      <c r="L47" s="1608"/>
      <c r="M47" s="1609"/>
      <c r="N47" s="1610"/>
      <c r="O47" s="1608"/>
      <c r="P47" s="1610"/>
      <c r="Q47" s="1608"/>
      <c r="R47" s="1609"/>
      <c r="S47" s="1610"/>
      <c r="T47" s="1611"/>
      <c r="U47" s="1612"/>
      <c r="V47" s="1612"/>
      <c r="W47" s="1613"/>
      <c r="X47" s="1614"/>
      <c r="Y47" s="1615"/>
      <c r="Z47" s="1616"/>
      <c r="AA47" s="1617"/>
      <c r="AB47" s="1503"/>
      <c r="AC47" s="1504"/>
      <c r="AD47" s="1505"/>
      <c r="AE47" s="898"/>
      <c r="AF47" s="1496"/>
      <c r="AG47" s="1497"/>
      <c r="AH47" s="1486"/>
      <c r="AI47" s="1487"/>
      <c r="AJ47" s="899"/>
      <c r="AK47" s="169"/>
      <c r="AL47" s="510"/>
      <c r="AM47" s="508" t="str">
        <f>IF($AN47&lt;&gt;"",MAX(AM$43:AM46)+1,"")</f>
        <v/>
      </c>
      <c r="AN47" s="146" t="str">
        <f t="shared" si="37"/>
        <v/>
      </c>
      <c r="AO47" s="146" t="str">
        <f t="shared" si="38"/>
        <v/>
      </c>
      <c r="AP47" s="755" t="str">
        <f t="shared" si="39"/>
        <v/>
      </c>
      <c r="AQ47" s="755" t="str">
        <f t="shared" si="40"/>
        <v/>
      </c>
      <c r="AR47" s="756" t="str">
        <f t="shared" si="41"/>
        <v/>
      </c>
      <c r="AS47" s="756" t="str">
        <f t="shared" si="42"/>
        <v/>
      </c>
      <c r="AT47" s="516" t="str">
        <f t="shared" si="43"/>
        <v/>
      </c>
      <c r="AU47" s="755" t="str">
        <f t="shared" si="44"/>
        <v/>
      </c>
      <c r="AV47" s="516" t="str">
        <f t="shared" si="45"/>
        <v/>
      </c>
      <c r="AW47" s="148">
        <v>4</v>
      </c>
      <c r="AX47" s="530" t="e">
        <f t="shared" si="50"/>
        <v>#N/A</v>
      </c>
      <c r="AY47" s="165" t="e">
        <f t="shared" si="51"/>
        <v>#N/A</v>
      </c>
      <c r="AZ47" s="165" t="e">
        <f t="shared" si="52"/>
        <v>#N/A</v>
      </c>
      <c r="BA47" s="165" t="e">
        <f t="shared" si="53"/>
        <v>#N/A</v>
      </c>
      <c r="BB47" s="165" t="e">
        <f t="shared" si="54"/>
        <v>#N/A</v>
      </c>
      <c r="BC47" s="165" t="e">
        <f t="shared" si="55"/>
        <v>#N/A</v>
      </c>
      <c r="BD47" s="165" t="e">
        <f t="shared" si="56"/>
        <v>#N/A</v>
      </c>
      <c r="BE47" s="165" t="e">
        <f t="shared" si="57"/>
        <v>#N/A</v>
      </c>
      <c r="BF47" s="903" t="e">
        <f t="shared" si="58"/>
        <v>#N/A</v>
      </c>
      <c r="BH47" s="642" t="str">
        <f>IF($BI47&lt;&gt;"",MAX(BH$43:BH46)+1,"")</f>
        <v/>
      </c>
      <c r="BI47" s="643" t="str">
        <f t="shared" si="46"/>
        <v/>
      </c>
      <c r="BJ47" s="641" t="str">
        <f t="shared" si="47"/>
        <v/>
      </c>
      <c r="BK47" s="644" t="str">
        <f t="shared" si="48"/>
        <v/>
      </c>
      <c r="BL47" s="645" t="str">
        <f t="shared" si="49"/>
        <v/>
      </c>
      <c r="BM47" s="646" t="str">
        <f t="shared" si="59"/>
        <v/>
      </c>
      <c r="BN47" s="646" t="str">
        <f t="shared" si="60"/>
        <v/>
      </c>
      <c r="BO47" s="647" t="str">
        <f>IF($BP47&lt;&gt;"",MAX(BO$43:BO46)+1,"")</f>
        <v/>
      </c>
      <c r="BP47" s="648" t="str">
        <f t="shared" si="61"/>
        <v/>
      </c>
      <c r="BQ47" s="648" t="str">
        <f t="shared" si="62"/>
        <v/>
      </c>
      <c r="BR47" s="648" t="str">
        <f t="shared" si="63"/>
        <v/>
      </c>
      <c r="BS47" s="648" t="str">
        <f t="shared" si="64"/>
        <v/>
      </c>
      <c r="BT47" s="649" t="str">
        <f t="shared" si="65"/>
        <v/>
      </c>
      <c r="BU47" s="649" t="str">
        <f t="shared" si="66"/>
        <v/>
      </c>
      <c r="BV47" s="650">
        <v>4</v>
      </c>
      <c r="BW47" s="633" t="e">
        <f t="shared" si="67"/>
        <v>#N/A</v>
      </c>
      <c r="BX47" s="651" t="e">
        <f t="shared" si="68"/>
        <v>#N/A</v>
      </c>
      <c r="BY47" s="642" t="e">
        <f t="shared" si="69"/>
        <v>#N/A</v>
      </c>
      <c r="BZ47" s="653" t="e">
        <f t="shared" si="70"/>
        <v>#N/A</v>
      </c>
      <c r="CA47" s="654" t="e">
        <f t="shared" si="71"/>
        <v>#N/A</v>
      </c>
      <c r="CB47" s="657" t="e">
        <f t="shared" si="72"/>
        <v>#N/A</v>
      </c>
      <c r="CC47" s="656"/>
      <c r="CD47" s="656"/>
      <c r="CE47" s="170"/>
      <c r="CF47" s="170"/>
      <c r="CG47" s="596"/>
      <c r="CH47" s="596"/>
      <c r="CI47" s="170"/>
      <c r="CJ47" s="596"/>
    </row>
    <row r="48" spans="1:104" ht="60" customHeight="1">
      <c r="B48" s="1619"/>
      <c r="C48" s="716"/>
      <c r="D48" s="1515"/>
      <c r="E48" s="1516"/>
      <c r="F48" s="1517"/>
      <c r="G48" s="1521"/>
      <c r="H48" s="1522"/>
      <c r="I48" s="914"/>
      <c r="J48" s="1608"/>
      <c r="K48" s="1610"/>
      <c r="L48" s="1608"/>
      <c r="M48" s="1609"/>
      <c r="N48" s="1610"/>
      <c r="O48" s="1608"/>
      <c r="P48" s="1610"/>
      <c r="Q48" s="1608"/>
      <c r="R48" s="1609"/>
      <c r="S48" s="1610"/>
      <c r="T48" s="1611"/>
      <c r="U48" s="1612"/>
      <c r="V48" s="1612"/>
      <c r="W48" s="1613"/>
      <c r="X48" s="1614"/>
      <c r="Y48" s="1615"/>
      <c r="Z48" s="1616"/>
      <c r="AA48" s="1617"/>
      <c r="AB48" s="1503"/>
      <c r="AC48" s="1504"/>
      <c r="AD48" s="1505"/>
      <c r="AE48" s="898"/>
      <c r="AF48" s="1496"/>
      <c r="AG48" s="1497"/>
      <c r="AH48" s="1486"/>
      <c r="AI48" s="1487"/>
      <c r="AJ48" s="899"/>
      <c r="AK48" s="169"/>
      <c r="AL48" s="510"/>
      <c r="AM48" s="508" t="str">
        <f>IF($AN48&lt;&gt;"",MAX(AM$43:AM47)+1,"")</f>
        <v/>
      </c>
      <c r="AN48" s="146" t="str">
        <f t="shared" si="37"/>
        <v/>
      </c>
      <c r="AO48" s="146" t="str">
        <f t="shared" si="38"/>
        <v/>
      </c>
      <c r="AP48" s="755" t="str">
        <f t="shared" si="39"/>
        <v/>
      </c>
      <c r="AQ48" s="755" t="str">
        <f t="shared" si="40"/>
        <v/>
      </c>
      <c r="AR48" s="756" t="str">
        <f t="shared" si="41"/>
        <v/>
      </c>
      <c r="AS48" s="756" t="str">
        <f t="shared" si="42"/>
        <v/>
      </c>
      <c r="AT48" s="516" t="str">
        <f t="shared" si="43"/>
        <v/>
      </c>
      <c r="AU48" s="755" t="str">
        <f t="shared" si="44"/>
        <v/>
      </c>
      <c r="AV48" s="516" t="str">
        <f t="shared" si="45"/>
        <v/>
      </c>
      <c r="AW48" s="148">
        <v>9</v>
      </c>
      <c r="AX48" s="530" t="e">
        <f t="shared" si="50"/>
        <v>#N/A</v>
      </c>
      <c r="AY48" s="165" t="e">
        <f t="shared" si="51"/>
        <v>#N/A</v>
      </c>
      <c r="AZ48" s="165" t="e">
        <f t="shared" si="52"/>
        <v>#N/A</v>
      </c>
      <c r="BA48" s="165" t="e">
        <f t="shared" si="53"/>
        <v>#N/A</v>
      </c>
      <c r="BB48" s="165" t="e">
        <f t="shared" si="54"/>
        <v>#N/A</v>
      </c>
      <c r="BC48" s="165" t="e">
        <f t="shared" si="55"/>
        <v>#N/A</v>
      </c>
      <c r="BD48" s="165" t="e">
        <f t="shared" si="56"/>
        <v>#N/A</v>
      </c>
      <c r="BE48" s="165" t="e">
        <f t="shared" si="57"/>
        <v>#N/A</v>
      </c>
      <c r="BF48" s="903" t="e">
        <f t="shared" si="58"/>
        <v>#N/A</v>
      </c>
      <c r="BH48" s="642" t="str">
        <f>IF($BI48&lt;&gt;"",MAX(BH$43:BH47)+1,"")</f>
        <v/>
      </c>
      <c r="BI48" s="643" t="str">
        <f t="shared" si="46"/>
        <v/>
      </c>
      <c r="BJ48" s="641" t="str">
        <f t="shared" si="47"/>
        <v/>
      </c>
      <c r="BK48" s="644" t="str">
        <f t="shared" si="48"/>
        <v/>
      </c>
      <c r="BL48" s="645" t="str">
        <f t="shared" si="49"/>
        <v/>
      </c>
      <c r="BM48" s="646" t="str">
        <f t="shared" si="59"/>
        <v/>
      </c>
      <c r="BN48" s="646" t="str">
        <f t="shared" si="60"/>
        <v/>
      </c>
      <c r="BO48" s="647" t="str">
        <f>IF($BP48&lt;&gt;"",MAX(BO$43:BO47)+1,"")</f>
        <v/>
      </c>
      <c r="BP48" s="648" t="str">
        <f t="shared" si="61"/>
        <v/>
      </c>
      <c r="BQ48" s="648" t="str">
        <f t="shared" si="62"/>
        <v/>
      </c>
      <c r="BR48" s="648" t="str">
        <f t="shared" si="63"/>
        <v/>
      </c>
      <c r="BS48" s="648" t="str">
        <f t="shared" si="64"/>
        <v/>
      </c>
      <c r="BT48" s="649" t="str">
        <f t="shared" si="65"/>
        <v/>
      </c>
      <c r="BU48" s="649" t="str">
        <f t="shared" si="66"/>
        <v/>
      </c>
      <c r="BV48" s="650">
        <v>5</v>
      </c>
      <c r="BW48" s="633" t="e">
        <f t="shared" si="67"/>
        <v>#N/A</v>
      </c>
      <c r="BX48" s="651" t="e">
        <f t="shared" si="68"/>
        <v>#N/A</v>
      </c>
      <c r="BY48" s="642" t="e">
        <f t="shared" si="69"/>
        <v>#N/A</v>
      </c>
      <c r="BZ48" s="653" t="e">
        <f t="shared" si="70"/>
        <v>#N/A</v>
      </c>
      <c r="CA48" s="654" t="e">
        <f t="shared" si="71"/>
        <v>#N/A</v>
      </c>
      <c r="CB48" s="657" t="e">
        <f t="shared" si="72"/>
        <v>#N/A</v>
      </c>
      <c r="CC48" s="656"/>
      <c r="CD48" s="656"/>
      <c r="CE48" s="170"/>
      <c r="CF48" s="170"/>
      <c r="CG48" s="596"/>
      <c r="CH48" s="596"/>
      <c r="CI48" s="170"/>
      <c r="CJ48" s="596"/>
    </row>
    <row r="49" spans="2:88" ht="60" customHeight="1">
      <c r="B49" s="1619"/>
      <c r="C49" s="716"/>
      <c r="D49" s="1515"/>
      <c r="E49" s="1516"/>
      <c r="F49" s="1517"/>
      <c r="G49" s="1521"/>
      <c r="H49" s="1522"/>
      <c r="I49" s="914"/>
      <c r="J49" s="1608"/>
      <c r="K49" s="1610"/>
      <c r="L49" s="1608"/>
      <c r="M49" s="1609"/>
      <c r="N49" s="1610"/>
      <c r="O49" s="1608"/>
      <c r="P49" s="1610"/>
      <c r="Q49" s="1608"/>
      <c r="R49" s="1609"/>
      <c r="S49" s="1610"/>
      <c r="T49" s="1611"/>
      <c r="U49" s="1612"/>
      <c r="V49" s="1612"/>
      <c r="W49" s="1613"/>
      <c r="X49" s="1614"/>
      <c r="Y49" s="1615"/>
      <c r="Z49" s="1616"/>
      <c r="AA49" s="1617"/>
      <c r="AB49" s="1503"/>
      <c r="AC49" s="1504"/>
      <c r="AD49" s="1505"/>
      <c r="AE49" s="898"/>
      <c r="AF49" s="1496"/>
      <c r="AG49" s="1497"/>
      <c r="AH49" s="1486"/>
      <c r="AI49" s="1487"/>
      <c r="AJ49" s="899"/>
      <c r="AK49" s="169"/>
      <c r="AL49" s="510"/>
      <c r="AM49" s="508" t="str">
        <f>IF($AN49&lt;&gt;"",MAX(AM$43:AM48)+1,"")</f>
        <v/>
      </c>
      <c r="AN49" s="146" t="str">
        <f t="shared" si="37"/>
        <v/>
      </c>
      <c r="AO49" s="146" t="str">
        <f t="shared" si="38"/>
        <v/>
      </c>
      <c r="AP49" s="755" t="str">
        <f t="shared" si="39"/>
        <v/>
      </c>
      <c r="AQ49" s="755" t="str">
        <f t="shared" si="40"/>
        <v/>
      </c>
      <c r="AR49" s="756" t="str">
        <f t="shared" si="41"/>
        <v/>
      </c>
      <c r="AS49" s="756" t="str">
        <f t="shared" si="42"/>
        <v/>
      </c>
      <c r="AT49" s="516" t="str">
        <f t="shared" si="43"/>
        <v/>
      </c>
      <c r="AU49" s="755" t="str">
        <f t="shared" si="44"/>
        <v/>
      </c>
      <c r="AV49" s="516" t="str">
        <f t="shared" si="45"/>
        <v/>
      </c>
      <c r="AW49" s="148">
        <v>6</v>
      </c>
      <c r="AX49" s="530" t="e">
        <f t="shared" si="50"/>
        <v>#N/A</v>
      </c>
      <c r="AY49" s="165" t="e">
        <f t="shared" si="51"/>
        <v>#N/A</v>
      </c>
      <c r="AZ49" s="165" t="e">
        <f t="shared" si="52"/>
        <v>#N/A</v>
      </c>
      <c r="BA49" s="165" t="e">
        <f t="shared" si="53"/>
        <v>#N/A</v>
      </c>
      <c r="BB49" s="165" t="e">
        <f t="shared" si="54"/>
        <v>#N/A</v>
      </c>
      <c r="BC49" s="165" t="e">
        <f t="shared" si="55"/>
        <v>#N/A</v>
      </c>
      <c r="BD49" s="165" t="e">
        <f t="shared" si="56"/>
        <v>#N/A</v>
      </c>
      <c r="BE49" s="165" t="e">
        <f t="shared" si="57"/>
        <v>#N/A</v>
      </c>
      <c r="BF49" s="903" t="e">
        <f t="shared" si="58"/>
        <v>#N/A</v>
      </c>
      <c r="BH49" s="642" t="str">
        <f>IF($BI49&lt;&gt;"",MAX(BH$43:BH48)+1,"")</f>
        <v/>
      </c>
      <c r="BI49" s="643" t="str">
        <f t="shared" si="46"/>
        <v/>
      </c>
      <c r="BJ49" s="641" t="str">
        <f t="shared" si="47"/>
        <v/>
      </c>
      <c r="BK49" s="644" t="str">
        <f t="shared" si="48"/>
        <v/>
      </c>
      <c r="BL49" s="645" t="str">
        <f t="shared" si="49"/>
        <v/>
      </c>
      <c r="BM49" s="646" t="str">
        <f t="shared" si="59"/>
        <v/>
      </c>
      <c r="BN49" s="646" t="str">
        <f t="shared" si="60"/>
        <v/>
      </c>
      <c r="BO49" s="647" t="str">
        <f>IF($BP49&lt;&gt;"",MAX(BO$43:BO48)+1,"")</f>
        <v/>
      </c>
      <c r="BP49" s="648" t="str">
        <f t="shared" si="61"/>
        <v/>
      </c>
      <c r="BQ49" s="648" t="str">
        <f t="shared" si="62"/>
        <v/>
      </c>
      <c r="BR49" s="648" t="str">
        <f t="shared" si="63"/>
        <v/>
      </c>
      <c r="BS49" s="648" t="str">
        <f t="shared" si="64"/>
        <v/>
      </c>
      <c r="BT49" s="649" t="str">
        <f t="shared" si="65"/>
        <v/>
      </c>
      <c r="BU49" s="649" t="str">
        <f t="shared" si="66"/>
        <v/>
      </c>
      <c r="BV49" s="650">
        <v>6</v>
      </c>
      <c r="BW49" s="633" t="e">
        <f t="shared" si="67"/>
        <v>#N/A</v>
      </c>
      <c r="BX49" s="651" t="e">
        <f t="shared" si="68"/>
        <v>#N/A</v>
      </c>
      <c r="BY49" s="642" t="e">
        <f t="shared" si="69"/>
        <v>#N/A</v>
      </c>
      <c r="BZ49" s="653" t="e">
        <f t="shared" si="70"/>
        <v>#N/A</v>
      </c>
      <c r="CA49" s="654" t="e">
        <f t="shared" si="71"/>
        <v>#N/A</v>
      </c>
      <c r="CB49" s="657" t="e">
        <f t="shared" si="72"/>
        <v>#N/A</v>
      </c>
      <c r="CC49" s="656"/>
      <c r="CD49" s="656"/>
      <c r="CE49" s="170"/>
      <c r="CF49" s="170"/>
      <c r="CG49" s="596"/>
      <c r="CH49" s="596"/>
      <c r="CI49" s="170"/>
      <c r="CJ49" s="596"/>
    </row>
    <row r="50" spans="2:88" ht="60" customHeight="1">
      <c r="B50" s="1619"/>
      <c r="C50" s="716"/>
      <c r="D50" s="1515"/>
      <c r="E50" s="1516"/>
      <c r="F50" s="1517"/>
      <c r="G50" s="1521"/>
      <c r="H50" s="1522"/>
      <c r="I50" s="914"/>
      <c r="J50" s="1608"/>
      <c r="K50" s="1610"/>
      <c r="L50" s="1608"/>
      <c r="M50" s="1609"/>
      <c r="N50" s="1610"/>
      <c r="O50" s="1608"/>
      <c r="P50" s="1610"/>
      <c r="Q50" s="1608"/>
      <c r="R50" s="1609"/>
      <c r="S50" s="1610"/>
      <c r="T50" s="1611"/>
      <c r="U50" s="1612"/>
      <c r="V50" s="1612"/>
      <c r="W50" s="1613"/>
      <c r="X50" s="1614"/>
      <c r="Y50" s="1615"/>
      <c r="Z50" s="1616"/>
      <c r="AA50" s="1617"/>
      <c r="AB50" s="1503"/>
      <c r="AC50" s="1504"/>
      <c r="AD50" s="1505"/>
      <c r="AE50" s="898"/>
      <c r="AF50" s="1496"/>
      <c r="AG50" s="1497"/>
      <c r="AH50" s="1486"/>
      <c r="AI50" s="1487"/>
      <c r="AJ50" s="899"/>
      <c r="AK50" s="169"/>
      <c r="AL50" s="510"/>
      <c r="AM50" s="508" t="str">
        <f>IF($AN50&lt;&gt;"",MAX(AM$43:AM49)+1,"")</f>
        <v/>
      </c>
      <c r="AN50" s="146" t="str">
        <f t="shared" si="37"/>
        <v/>
      </c>
      <c r="AO50" s="146" t="str">
        <f t="shared" si="38"/>
        <v/>
      </c>
      <c r="AP50" s="755" t="str">
        <f t="shared" si="39"/>
        <v/>
      </c>
      <c r="AQ50" s="755" t="str">
        <f t="shared" si="40"/>
        <v/>
      </c>
      <c r="AR50" s="756" t="str">
        <f t="shared" si="41"/>
        <v/>
      </c>
      <c r="AS50" s="756" t="str">
        <f t="shared" si="42"/>
        <v/>
      </c>
      <c r="AT50" s="516" t="str">
        <f t="shared" si="43"/>
        <v/>
      </c>
      <c r="AU50" s="755" t="str">
        <f t="shared" si="44"/>
        <v/>
      </c>
      <c r="AV50" s="516" t="str">
        <f t="shared" si="45"/>
        <v/>
      </c>
      <c r="AW50" s="148">
        <v>7</v>
      </c>
      <c r="AX50" s="530" t="e">
        <f t="shared" si="50"/>
        <v>#N/A</v>
      </c>
      <c r="AY50" s="165" t="e">
        <f t="shared" si="51"/>
        <v>#N/A</v>
      </c>
      <c r="AZ50" s="165" t="e">
        <f t="shared" si="52"/>
        <v>#N/A</v>
      </c>
      <c r="BA50" s="165" t="e">
        <f t="shared" si="53"/>
        <v>#N/A</v>
      </c>
      <c r="BB50" s="165" t="e">
        <f t="shared" si="54"/>
        <v>#N/A</v>
      </c>
      <c r="BC50" s="165" t="e">
        <f t="shared" si="55"/>
        <v>#N/A</v>
      </c>
      <c r="BD50" s="165" t="e">
        <f t="shared" si="56"/>
        <v>#N/A</v>
      </c>
      <c r="BE50" s="165" t="e">
        <f t="shared" si="57"/>
        <v>#N/A</v>
      </c>
      <c r="BF50" s="903" t="e">
        <f t="shared" si="58"/>
        <v>#N/A</v>
      </c>
      <c r="BH50" s="642" t="str">
        <f>IF($BI50&lt;&gt;"",MAX(BH$43:BH49)+1,"")</f>
        <v/>
      </c>
      <c r="BI50" s="643" t="str">
        <f t="shared" si="46"/>
        <v/>
      </c>
      <c r="BJ50" s="641" t="str">
        <f t="shared" si="47"/>
        <v/>
      </c>
      <c r="BK50" s="644" t="str">
        <f t="shared" si="48"/>
        <v/>
      </c>
      <c r="BL50" s="645" t="str">
        <f t="shared" si="49"/>
        <v/>
      </c>
      <c r="BM50" s="646" t="str">
        <f t="shared" si="59"/>
        <v/>
      </c>
      <c r="BN50" s="646" t="str">
        <f t="shared" si="60"/>
        <v/>
      </c>
      <c r="BO50" s="647" t="str">
        <f>IF($BP50&lt;&gt;"",MAX(BO$43:BO49)+1,"")</f>
        <v/>
      </c>
      <c r="BP50" s="648" t="str">
        <f t="shared" si="61"/>
        <v/>
      </c>
      <c r="BQ50" s="648" t="str">
        <f t="shared" si="62"/>
        <v/>
      </c>
      <c r="BR50" s="648" t="str">
        <f t="shared" si="63"/>
        <v/>
      </c>
      <c r="BS50" s="648" t="str">
        <f t="shared" si="64"/>
        <v/>
      </c>
      <c r="BT50" s="649" t="str">
        <f t="shared" si="65"/>
        <v/>
      </c>
      <c r="BU50" s="649" t="str">
        <f t="shared" si="66"/>
        <v/>
      </c>
      <c r="BV50" s="650">
        <v>7</v>
      </c>
      <c r="BW50" s="633" t="e">
        <f t="shared" si="67"/>
        <v>#N/A</v>
      </c>
      <c r="BX50" s="651" t="e">
        <f t="shared" si="68"/>
        <v>#N/A</v>
      </c>
      <c r="BY50" s="642" t="e">
        <f t="shared" si="69"/>
        <v>#N/A</v>
      </c>
      <c r="BZ50" s="653" t="e">
        <f t="shared" si="70"/>
        <v>#N/A</v>
      </c>
      <c r="CA50" s="654" t="e">
        <f t="shared" si="71"/>
        <v>#N/A</v>
      </c>
      <c r="CB50" s="657" t="e">
        <f t="shared" si="72"/>
        <v>#N/A</v>
      </c>
      <c r="CC50" s="656"/>
      <c r="CD50" s="656"/>
      <c r="CE50" s="170"/>
      <c r="CF50" s="170"/>
      <c r="CG50" s="596"/>
      <c r="CH50" s="596"/>
      <c r="CI50" s="170"/>
      <c r="CJ50" s="596"/>
    </row>
    <row r="51" spans="2:88" ht="60" customHeight="1">
      <c r="B51" s="876"/>
      <c r="C51" s="716"/>
      <c r="D51" s="1515"/>
      <c r="E51" s="1516"/>
      <c r="F51" s="1517"/>
      <c r="G51" s="1521"/>
      <c r="H51" s="1522"/>
      <c r="I51" s="914"/>
      <c r="J51" s="1608"/>
      <c r="K51" s="1610"/>
      <c r="L51" s="1608"/>
      <c r="M51" s="1609"/>
      <c r="N51" s="1610"/>
      <c r="O51" s="1608"/>
      <c r="P51" s="1610"/>
      <c r="Q51" s="1608"/>
      <c r="R51" s="1609"/>
      <c r="S51" s="1610"/>
      <c r="T51" s="1611"/>
      <c r="U51" s="1612"/>
      <c r="V51" s="1612"/>
      <c r="W51" s="1613"/>
      <c r="X51" s="1614"/>
      <c r="Y51" s="1615"/>
      <c r="Z51" s="1616"/>
      <c r="AA51" s="1617"/>
      <c r="AB51" s="1503"/>
      <c r="AC51" s="1504"/>
      <c r="AD51" s="1505"/>
      <c r="AE51" s="898"/>
      <c r="AF51" s="1496"/>
      <c r="AG51" s="1497"/>
      <c r="AH51" s="1486"/>
      <c r="AI51" s="1487"/>
      <c r="AJ51" s="899"/>
      <c r="AK51" s="169"/>
      <c r="AL51" s="510"/>
      <c r="AM51" s="508" t="str">
        <f>IF($AN51&lt;&gt;"",MAX(AM$43:AM50)+1,"")</f>
        <v/>
      </c>
      <c r="AN51" s="146" t="str">
        <f t="shared" si="37"/>
        <v/>
      </c>
      <c r="AO51" s="146" t="str">
        <f t="shared" si="38"/>
        <v/>
      </c>
      <c r="AP51" s="755" t="str">
        <f t="shared" si="39"/>
        <v/>
      </c>
      <c r="AQ51" s="755" t="str">
        <f t="shared" si="40"/>
        <v/>
      </c>
      <c r="AR51" s="756" t="str">
        <f t="shared" si="41"/>
        <v/>
      </c>
      <c r="AS51" s="756" t="str">
        <f t="shared" si="42"/>
        <v/>
      </c>
      <c r="AT51" s="516" t="str">
        <f t="shared" si="43"/>
        <v/>
      </c>
      <c r="AU51" s="755" t="str">
        <f t="shared" si="44"/>
        <v/>
      </c>
      <c r="AV51" s="516" t="str">
        <f t="shared" si="45"/>
        <v/>
      </c>
      <c r="AW51" s="148">
        <v>8</v>
      </c>
      <c r="AX51" s="530" t="e">
        <f t="shared" si="50"/>
        <v>#N/A</v>
      </c>
      <c r="AY51" s="165" t="e">
        <f t="shared" si="51"/>
        <v>#N/A</v>
      </c>
      <c r="AZ51" s="165" t="e">
        <f t="shared" si="52"/>
        <v>#N/A</v>
      </c>
      <c r="BA51" s="165" t="e">
        <f t="shared" si="53"/>
        <v>#N/A</v>
      </c>
      <c r="BB51" s="165" t="e">
        <f t="shared" si="54"/>
        <v>#N/A</v>
      </c>
      <c r="BC51" s="165" t="e">
        <f t="shared" si="55"/>
        <v>#N/A</v>
      </c>
      <c r="BD51" s="165" t="e">
        <f t="shared" si="56"/>
        <v>#N/A</v>
      </c>
      <c r="BE51" s="165" t="e">
        <f t="shared" si="57"/>
        <v>#N/A</v>
      </c>
      <c r="BF51" s="903" t="e">
        <f t="shared" si="58"/>
        <v>#N/A</v>
      </c>
      <c r="BH51" s="642" t="str">
        <f>IF($BI51&lt;&gt;"",MAX(BH$43:BH50)+1,"")</f>
        <v/>
      </c>
      <c r="BI51" s="643" t="str">
        <f t="shared" si="46"/>
        <v/>
      </c>
      <c r="BJ51" s="641" t="str">
        <f t="shared" si="47"/>
        <v/>
      </c>
      <c r="BK51" s="644" t="str">
        <f t="shared" si="48"/>
        <v/>
      </c>
      <c r="BL51" s="645" t="str">
        <f t="shared" si="49"/>
        <v/>
      </c>
      <c r="BM51" s="646" t="str">
        <f t="shared" si="59"/>
        <v/>
      </c>
      <c r="BN51" s="646" t="str">
        <f t="shared" si="60"/>
        <v/>
      </c>
      <c r="BO51" s="647" t="str">
        <f>IF($BP51&lt;&gt;"",MAX(BO$43:BO50)+1,"")</f>
        <v/>
      </c>
      <c r="BP51" s="648" t="str">
        <f t="shared" si="61"/>
        <v/>
      </c>
      <c r="BQ51" s="648" t="str">
        <f t="shared" si="62"/>
        <v/>
      </c>
      <c r="BR51" s="648" t="str">
        <f t="shared" si="63"/>
        <v/>
      </c>
      <c r="BS51" s="648" t="str">
        <f t="shared" si="64"/>
        <v/>
      </c>
      <c r="BT51" s="649" t="str">
        <f t="shared" si="65"/>
        <v/>
      </c>
      <c r="BU51" s="649" t="str">
        <f t="shared" si="66"/>
        <v/>
      </c>
      <c r="BV51" s="650">
        <v>8</v>
      </c>
      <c r="BW51" s="633" t="e">
        <f t="shared" si="67"/>
        <v>#N/A</v>
      </c>
      <c r="BX51" s="651" t="e">
        <f t="shared" si="68"/>
        <v>#N/A</v>
      </c>
      <c r="BY51" s="642" t="e">
        <f t="shared" si="69"/>
        <v>#N/A</v>
      </c>
      <c r="BZ51" s="653" t="e">
        <f t="shared" si="70"/>
        <v>#N/A</v>
      </c>
      <c r="CA51" s="654" t="e">
        <f t="shared" si="71"/>
        <v>#N/A</v>
      </c>
      <c r="CB51" s="657" t="e">
        <f t="shared" si="72"/>
        <v>#N/A</v>
      </c>
      <c r="CC51" s="656"/>
      <c r="CD51" s="656"/>
      <c r="CE51" s="170"/>
      <c r="CF51" s="170"/>
      <c r="CG51" s="596"/>
      <c r="CH51" s="596"/>
      <c r="CI51" s="170"/>
      <c r="CJ51" s="596"/>
    </row>
    <row r="52" spans="2:88" ht="60" customHeight="1">
      <c r="B52" s="876"/>
      <c r="C52" s="716"/>
      <c r="D52" s="1515"/>
      <c r="E52" s="1516"/>
      <c r="F52" s="1517"/>
      <c r="G52" s="1521"/>
      <c r="H52" s="1522"/>
      <c r="I52" s="914"/>
      <c r="J52" s="1608"/>
      <c r="K52" s="1610"/>
      <c r="L52" s="1608"/>
      <c r="M52" s="1609"/>
      <c r="N52" s="1610"/>
      <c r="O52" s="1608"/>
      <c r="P52" s="1610"/>
      <c r="Q52" s="1608"/>
      <c r="R52" s="1609"/>
      <c r="S52" s="1610"/>
      <c r="T52" s="1611"/>
      <c r="U52" s="1612"/>
      <c r="V52" s="1612"/>
      <c r="W52" s="1613"/>
      <c r="X52" s="1614"/>
      <c r="Y52" s="1615"/>
      <c r="Z52" s="1616"/>
      <c r="AA52" s="1617"/>
      <c r="AB52" s="1503"/>
      <c r="AC52" s="1504"/>
      <c r="AD52" s="1505"/>
      <c r="AE52" s="898"/>
      <c r="AF52" s="1496"/>
      <c r="AG52" s="1497"/>
      <c r="AH52" s="1486"/>
      <c r="AI52" s="1487"/>
      <c r="AJ52" s="899"/>
      <c r="AK52" s="169"/>
      <c r="AL52" s="510"/>
      <c r="AM52" s="508" t="str">
        <f>IF($AN52&lt;&gt;"",MAX(AM$43:AM51)+1,"")</f>
        <v/>
      </c>
      <c r="AN52" s="146" t="str">
        <f t="shared" si="37"/>
        <v/>
      </c>
      <c r="AO52" s="146" t="str">
        <f t="shared" si="38"/>
        <v/>
      </c>
      <c r="AP52" s="755" t="str">
        <f t="shared" si="39"/>
        <v/>
      </c>
      <c r="AQ52" s="755" t="str">
        <f t="shared" si="40"/>
        <v/>
      </c>
      <c r="AR52" s="756" t="str">
        <f t="shared" si="41"/>
        <v/>
      </c>
      <c r="AS52" s="756" t="str">
        <f t="shared" si="42"/>
        <v/>
      </c>
      <c r="AT52" s="516" t="str">
        <f t="shared" si="43"/>
        <v/>
      </c>
      <c r="AU52" s="755" t="str">
        <f t="shared" si="44"/>
        <v/>
      </c>
      <c r="AV52" s="516" t="str">
        <f t="shared" si="45"/>
        <v/>
      </c>
      <c r="AW52" s="148">
        <v>9</v>
      </c>
      <c r="AX52" s="530" t="e">
        <f t="shared" si="50"/>
        <v>#N/A</v>
      </c>
      <c r="AY52" s="165" t="e">
        <f t="shared" si="51"/>
        <v>#N/A</v>
      </c>
      <c r="AZ52" s="165" t="e">
        <f t="shared" si="52"/>
        <v>#N/A</v>
      </c>
      <c r="BA52" s="165" t="e">
        <f t="shared" si="53"/>
        <v>#N/A</v>
      </c>
      <c r="BB52" s="165" t="e">
        <f t="shared" si="54"/>
        <v>#N/A</v>
      </c>
      <c r="BC52" s="165" t="e">
        <f t="shared" si="55"/>
        <v>#N/A</v>
      </c>
      <c r="BD52" s="165" t="e">
        <f t="shared" si="56"/>
        <v>#N/A</v>
      </c>
      <c r="BE52" s="165" t="e">
        <f t="shared" si="57"/>
        <v>#N/A</v>
      </c>
      <c r="BF52" s="903" t="e">
        <f t="shared" si="58"/>
        <v>#N/A</v>
      </c>
      <c r="BH52" s="642" t="str">
        <f>IF($BI52&lt;&gt;"",MAX(BH$43:BH51)+1,"")</f>
        <v/>
      </c>
      <c r="BI52" s="643" t="str">
        <f t="shared" si="46"/>
        <v/>
      </c>
      <c r="BJ52" s="641" t="str">
        <f t="shared" si="47"/>
        <v/>
      </c>
      <c r="BK52" s="644" t="str">
        <f t="shared" si="48"/>
        <v/>
      </c>
      <c r="BL52" s="645" t="str">
        <f t="shared" si="49"/>
        <v/>
      </c>
      <c r="BM52" s="646" t="str">
        <f t="shared" si="59"/>
        <v/>
      </c>
      <c r="BN52" s="646" t="str">
        <f t="shared" si="60"/>
        <v/>
      </c>
      <c r="BO52" s="647" t="str">
        <f>IF($BP52&lt;&gt;"",MAX(BO$43:BO51)+1,"")</f>
        <v/>
      </c>
      <c r="BP52" s="648" t="str">
        <f t="shared" si="61"/>
        <v/>
      </c>
      <c r="BQ52" s="648" t="str">
        <f t="shared" si="62"/>
        <v/>
      </c>
      <c r="BR52" s="648" t="str">
        <f t="shared" si="63"/>
        <v/>
      </c>
      <c r="BS52" s="648" t="str">
        <f t="shared" si="64"/>
        <v/>
      </c>
      <c r="BT52" s="649" t="str">
        <f t="shared" si="65"/>
        <v/>
      </c>
      <c r="BU52" s="649" t="str">
        <f t="shared" si="66"/>
        <v/>
      </c>
      <c r="BV52" s="650">
        <v>9</v>
      </c>
      <c r="BW52" s="633" t="e">
        <f t="shared" si="67"/>
        <v>#N/A</v>
      </c>
      <c r="BX52" s="651" t="e">
        <f t="shared" si="68"/>
        <v>#N/A</v>
      </c>
      <c r="BY52" s="642" t="e">
        <f t="shared" si="69"/>
        <v>#N/A</v>
      </c>
      <c r="BZ52" s="653" t="e">
        <f t="shared" si="70"/>
        <v>#N/A</v>
      </c>
      <c r="CA52" s="654" t="e">
        <f t="shared" si="71"/>
        <v>#N/A</v>
      </c>
      <c r="CB52" s="657" t="e">
        <f t="shared" si="72"/>
        <v>#N/A</v>
      </c>
      <c r="CC52" s="656"/>
      <c r="CD52" s="656"/>
      <c r="CE52" s="170"/>
      <c r="CF52" s="170"/>
      <c r="CG52" s="596"/>
      <c r="CH52" s="596"/>
      <c r="CI52" s="170"/>
      <c r="CJ52" s="596"/>
    </row>
    <row r="53" spans="2:88" ht="60" customHeight="1" thickBot="1">
      <c r="B53" s="876"/>
      <c r="C53" s="716"/>
      <c r="D53" s="1518"/>
      <c r="E53" s="1519"/>
      <c r="F53" s="1520"/>
      <c r="G53" s="1676"/>
      <c r="H53" s="1677"/>
      <c r="I53" s="915"/>
      <c r="J53" s="1666"/>
      <c r="K53" s="1667"/>
      <c r="L53" s="1666"/>
      <c r="M53" s="1668"/>
      <c r="N53" s="1667"/>
      <c r="O53" s="1666"/>
      <c r="P53" s="1667"/>
      <c r="Q53" s="1666"/>
      <c r="R53" s="1668"/>
      <c r="S53" s="1667"/>
      <c r="T53" s="1669"/>
      <c r="U53" s="1670"/>
      <c r="V53" s="1670"/>
      <c r="W53" s="1671"/>
      <c r="X53" s="1678"/>
      <c r="Y53" s="1679"/>
      <c r="Z53" s="1680"/>
      <c r="AA53" s="1681"/>
      <c r="AB53" s="1657"/>
      <c r="AC53" s="1658"/>
      <c r="AD53" s="1659"/>
      <c r="AE53" s="990"/>
      <c r="AF53" s="1488"/>
      <c r="AG53" s="1489"/>
      <c r="AH53" s="1488"/>
      <c r="AI53" s="1489"/>
      <c r="AJ53" s="991"/>
      <c r="AK53" s="169"/>
      <c r="AL53" s="510"/>
      <c r="AM53" s="508" t="str">
        <f>IF($AN53&lt;&gt;"",MAX(AM$43:AM52)+1,"")</f>
        <v/>
      </c>
      <c r="AN53" s="146" t="str">
        <f t="shared" si="37"/>
        <v/>
      </c>
      <c r="AO53" s="146" t="str">
        <f t="shared" si="38"/>
        <v/>
      </c>
      <c r="AP53" s="755" t="str">
        <f t="shared" si="39"/>
        <v/>
      </c>
      <c r="AQ53" s="755" t="str">
        <f t="shared" si="40"/>
        <v/>
      </c>
      <c r="AR53" s="756" t="str">
        <f t="shared" si="41"/>
        <v/>
      </c>
      <c r="AS53" s="756" t="str">
        <f t="shared" si="42"/>
        <v/>
      </c>
      <c r="AT53" s="516" t="str">
        <f t="shared" si="43"/>
        <v/>
      </c>
      <c r="AU53" s="755" t="str">
        <f t="shared" si="44"/>
        <v/>
      </c>
      <c r="AV53" s="516" t="str">
        <f t="shared" si="45"/>
        <v/>
      </c>
      <c r="AW53" s="148">
        <v>10</v>
      </c>
      <c r="AX53" s="902" t="e">
        <f t="shared" si="50"/>
        <v>#N/A</v>
      </c>
      <c r="AY53" s="590" t="e">
        <f t="shared" si="51"/>
        <v>#N/A</v>
      </c>
      <c r="AZ53" s="590" t="e">
        <f t="shared" si="52"/>
        <v>#N/A</v>
      </c>
      <c r="BA53" s="590" t="e">
        <f t="shared" si="53"/>
        <v>#N/A</v>
      </c>
      <c r="BB53" s="590" t="e">
        <f t="shared" si="54"/>
        <v>#N/A</v>
      </c>
      <c r="BC53" s="590" t="e">
        <f t="shared" si="55"/>
        <v>#N/A</v>
      </c>
      <c r="BD53" s="590" t="e">
        <f t="shared" si="56"/>
        <v>#N/A</v>
      </c>
      <c r="BE53" s="590" t="e">
        <f t="shared" si="57"/>
        <v>#N/A</v>
      </c>
      <c r="BF53" s="904" t="e">
        <f t="shared" si="58"/>
        <v>#N/A</v>
      </c>
      <c r="BH53" s="642" t="str">
        <f>IF($BI53&lt;&gt;"",MAX(BH$43:BH52)+1,"")</f>
        <v/>
      </c>
      <c r="BI53" s="643" t="str">
        <f t="shared" si="46"/>
        <v/>
      </c>
      <c r="BJ53" s="641" t="str">
        <f t="shared" si="47"/>
        <v/>
      </c>
      <c r="BK53" s="644" t="str">
        <f t="shared" si="48"/>
        <v/>
      </c>
      <c r="BL53" s="645" t="str">
        <f t="shared" si="49"/>
        <v/>
      </c>
      <c r="BM53" s="646" t="str">
        <f t="shared" si="59"/>
        <v/>
      </c>
      <c r="BN53" s="646" t="str">
        <f t="shared" si="60"/>
        <v/>
      </c>
      <c r="BO53" s="647" t="str">
        <f>IF($BP53&lt;&gt;"",MAX(BO$43:BO52)+1,"")</f>
        <v/>
      </c>
      <c r="BP53" s="648" t="str">
        <f t="shared" si="61"/>
        <v/>
      </c>
      <c r="BQ53" s="648" t="str">
        <f t="shared" si="62"/>
        <v/>
      </c>
      <c r="BR53" s="648" t="str">
        <f t="shared" si="63"/>
        <v/>
      </c>
      <c r="BS53" s="648" t="str">
        <f t="shared" si="64"/>
        <v/>
      </c>
      <c r="BT53" s="649" t="str">
        <f t="shared" si="65"/>
        <v/>
      </c>
      <c r="BU53" s="649" t="str">
        <f t="shared" si="66"/>
        <v/>
      </c>
      <c r="BV53" s="650">
        <v>10</v>
      </c>
      <c r="BW53" s="889" t="e">
        <f t="shared" si="67"/>
        <v>#N/A</v>
      </c>
      <c r="BX53" s="655" t="e">
        <f t="shared" si="68"/>
        <v>#N/A</v>
      </c>
      <c r="BY53" s="894" t="e">
        <f t="shared" si="69"/>
        <v>#N/A</v>
      </c>
      <c r="BZ53" s="895" t="e">
        <f t="shared" si="70"/>
        <v>#N/A</v>
      </c>
      <c r="CA53" s="896" t="e">
        <f t="shared" si="71"/>
        <v>#N/A</v>
      </c>
      <c r="CB53" s="897" t="e">
        <f t="shared" si="72"/>
        <v>#N/A</v>
      </c>
      <c r="CC53" s="656"/>
      <c r="CD53" s="656"/>
      <c r="CE53" s="170"/>
      <c r="CF53" s="170"/>
      <c r="CG53" s="596"/>
      <c r="CH53" s="596"/>
      <c r="CI53" s="170"/>
      <c r="CJ53" s="596"/>
    </row>
    <row r="54" spans="2:88" ht="6" customHeight="1">
      <c r="B54" s="732"/>
      <c r="C54" s="169"/>
      <c r="D54" s="169"/>
      <c r="E54" s="169"/>
      <c r="F54" s="169"/>
      <c r="G54" s="169"/>
      <c r="H54" s="169"/>
      <c r="I54" s="169"/>
      <c r="J54" s="169"/>
      <c r="K54" s="169"/>
      <c r="L54" s="169"/>
      <c r="M54" s="169"/>
      <c r="N54" s="169"/>
      <c r="O54" s="169"/>
      <c r="P54" s="169"/>
      <c r="Q54" s="169"/>
      <c r="R54" s="169"/>
      <c r="S54" s="169"/>
      <c r="T54" s="169"/>
      <c r="U54" s="169"/>
      <c r="V54" s="169"/>
      <c r="W54" s="169"/>
      <c r="X54" s="169"/>
      <c r="Y54" s="169"/>
      <c r="Z54" s="169"/>
      <c r="AA54" s="169"/>
      <c r="AB54" s="169"/>
      <c r="AC54" s="169"/>
      <c r="AD54" s="169"/>
      <c r="AE54" s="169"/>
      <c r="AF54" s="169"/>
      <c r="AG54" s="169"/>
      <c r="AH54" s="169"/>
      <c r="AI54" s="169"/>
      <c r="AJ54" s="169"/>
      <c r="AK54" s="509"/>
      <c r="AL54" s="510"/>
      <c r="AM54" s="527"/>
      <c r="AN54" s="168"/>
      <c r="AO54" s="168"/>
      <c r="AP54" s="168"/>
      <c r="AQ54" s="168"/>
      <c r="AR54" s="593"/>
      <c r="AS54" s="593"/>
      <c r="AT54" s="168"/>
      <c r="AU54" s="168"/>
      <c r="AV54" s="168"/>
      <c r="AW54" s="168"/>
      <c r="AX54" s="168"/>
      <c r="AY54" s="168"/>
      <c r="AZ54" s="168"/>
      <c r="BA54" s="168"/>
      <c r="BB54" s="593"/>
      <c r="BC54" s="168"/>
      <c r="BD54" s="594"/>
      <c r="BE54" s="594"/>
      <c r="BF54" s="594"/>
      <c r="BG54" s="594"/>
      <c r="BH54" s="595"/>
      <c r="BI54" s="595"/>
      <c r="BJ54" s="594"/>
      <c r="BK54" s="595"/>
      <c r="BL54" s="168"/>
      <c r="BM54" s="597"/>
      <c r="BN54" s="597"/>
      <c r="BO54" s="597"/>
      <c r="BP54" s="597"/>
      <c r="BQ54" s="597"/>
      <c r="BR54" s="597"/>
      <c r="BS54" s="597"/>
      <c r="BT54" s="597"/>
      <c r="BU54" s="597"/>
      <c r="BV54" s="597"/>
      <c r="BW54" s="597"/>
      <c r="BX54" s="597"/>
      <c r="BY54" s="597"/>
      <c r="BZ54" s="597"/>
      <c r="CA54" s="597"/>
      <c r="CB54" s="597"/>
      <c r="CC54" s="597"/>
      <c r="CD54" s="597"/>
      <c r="CE54" s="597"/>
      <c r="CF54" s="597"/>
      <c r="CG54" s="596"/>
      <c r="CH54" s="596"/>
      <c r="CI54" s="597"/>
      <c r="CJ54" s="596"/>
    </row>
    <row r="55" spans="2:88" ht="24.9" customHeight="1">
      <c r="B55" s="732"/>
      <c r="C55" s="169"/>
      <c r="D55" s="741"/>
      <c r="E55" s="1587" t="str">
        <f ca="1">INDIRECT('D1-D2-D3'!$J$4&amp;"!C93")</f>
        <v>Comments</v>
      </c>
      <c r="F55" s="1587"/>
      <c r="G55" s="1588"/>
      <c r="H55" s="1586"/>
      <c r="I55" s="1586"/>
      <c r="J55" s="1586"/>
      <c r="K55" s="1586"/>
      <c r="L55" s="1586"/>
      <c r="M55" s="1586"/>
      <c r="N55" s="1586"/>
      <c r="O55" s="1586"/>
      <c r="P55" s="1586"/>
      <c r="Q55" s="1586"/>
      <c r="R55" s="1586"/>
      <c r="S55" s="1586"/>
      <c r="T55" s="1586"/>
      <c r="U55" s="1586"/>
      <c r="V55" s="1586"/>
      <c r="W55" s="1586"/>
      <c r="X55" s="1586"/>
      <c r="Y55" s="1586"/>
      <c r="Z55" s="1586"/>
      <c r="AA55" s="1586"/>
      <c r="AB55" s="1586"/>
      <c r="AC55" s="1586"/>
      <c r="AD55" s="1586"/>
      <c r="AE55" s="1586"/>
      <c r="AF55" s="1586"/>
      <c r="AG55" s="1586"/>
      <c r="AH55" s="1586"/>
      <c r="AI55" s="1586"/>
      <c r="AJ55" s="1586"/>
      <c r="AK55" s="169"/>
      <c r="AL55" s="510"/>
      <c r="AM55" s="527"/>
      <c r="AN55" s="168"/>
      <c r="AO55" s="168"/>
      <c r="AP55" s="168"/>
      <c r="AQ55" s="168"/>
      <c r="AR55" s="593"/>
      <c r="AS55" s="593"/>
      <c r="AT55" s="168"/>
      <c r="AU55" s="168"/>
      <c r="AV55" s="168"/>
      <c r="AW55" s="168"/>
      <c r="AX55" s="168"/>
      <c r="AY55" s="168"/>
      <c r="AZ55" s="168"/>
      <c r="BA55" s="168"/>
      <c r="BB55" s="593"/>
      <c r="BC55" s="168"/>
      <c r="BD55" s="594"/>
      <c r="BE55" s="594"/>
      <c r="BF55" s="594"/>
      <c r="BG55" s="594"/>
      <c r="BH55" s="595"/>
      <c r="BI55" s="595"/>
      <c r="BJ55" s="594"/>
      <c r="BK55" s="595"/>
      <c r="BL55" s="168"/>
      <c r="BM55" s="597"/>
      <c r="BN55" s="597"/>
      <c r="BO55" s="597"/>
      <c r="BP55" s="597"/>
      <c r="BQ55" s="597"/>
      <c r="BR55" s="597"/>
      <c r="BS55" s="597"/>
      <c r="BT55" s="597"/>
      <c r="BU55" s="597"/>
      <c r="BV55" s="597"/>
      <c r="BW55" s="597"/>
      <c r="BX55" s="597"/>
      <c r="BY55" s="597"/>
      <c r="BZ55" s="597"/>
      <c r="CA55" s="597"/>
      <c r="CB55" s="597"/>
      <c r="CC55" s="597"/>
      <c r="CD55" s="597"/>
      <c r="CE55" s="597"/>
      <c r="CF55" s="597"/>
      <c r="CG55" s="598"/>
      <c r="CH55" s="596"/>
      <c r="CI55" s="597"/>
      <c r="CJ55" s="596"/>
    </row>
    <row r="56" spans="2:88" ht="24.9" customHeight="1">
      <c r="B56" s="732"/>
      <c r="C56" s="169"/>
      <c r="D56" s="741"/>
      <c r="E56" s="1587"/>
      <c r="F56" s="1587"/>
      <c r="G56" s="1588"/>
      <c r="H56" s="1586"/>
      <c r="I56" s="1586"/>
      <c r="J56" s="1586"/>
      <c r="K56" s="1586"/>
      <c r="L56" s="1586"/>
      <c r="M56" s="1586"/>
      <c r="N56" s="1586"/>
      <c r="O56" s="1586"/>
      <c r="P56" s="1586"/>
      <c r="Q56" s="1586"/>
      <c r="R56" s="1586"/>
      <c r="S56" s="1586"/>
      <c r="T56" s="1586"/>
      <c r="U56" s="1586"/>
      <c r="V56" s="1586"/>
      <c r="W56" s="1586"/>
      <c r="X56" s="1586"/>
      <c r="Y56" s="1586"/>
      <c r="Z56" s="1586"/>
      <c r="AA56" s="1586"/>
      <c r="AB56" s="1586"/>
      <c r="AC56" s="1586"/>
      <c r="AD56" s="1586"/>
      <c r="AE56" s="1586"/>
      <c r="AF56" s="1586"/>
      <c r="AG56" s="1586"/>
      <c r="AH56" s="1586"/>
      <c r="AI56" s="1586"/>
      <c r="AJ56" s="1586"/>
      <c r="AK56" s="169"/>
      <c r="AL56" s="510"/>
      <c r="AM56" s="527"/>
      <c r="AN56" s="168"/>
      <c r="AO56" s="168"/>
      <c r="AP56" s="168"/>
      <c r="AQ56" s="168"/>
      <c r="AR56" s="593"/>
      <c r="AS56" s="593"/>
      <c r="AT56" s="168"/>
      <c r="AU56" s="168"/>
      <c r="AV56" s="168"/>
      <c r="AW56" s="168"/>
      <c r="AX56" s="168"/>
      <c r="AY56" s="168"/>
      <c r="AZ56" s="168"/>
      <c r="BA56" s="168"/>
      <c r="BB56" s="593"/>
      <c r="BC56" s="168"/>
      <c r="BD56" s="594"/>
      <c r="BE56" s="594"/>
      <c r="BF56" s="594"/>
      <c r="BG56" s="594"/>
      <c r="BH56" s="595"/>
      <c r="BI56" s="595"/>
      <c r="BJ56" s="594"/>
      <c r="BK56" s="595"/>
      <c r="BL56" s="168"/>
      <c r="BM56" s="597"/>
      <c r="BN56" s="597"/>
      <c r="BO56" s="597"/>
      <c r="BP56" s="597"/>
      <c r="BQ56" s="597"/>
      <c r="BR56" s="597"/>
      <c r="BS56" s="597"/>
      <c r="BT56" s="597"/>
      <c r="BU56" s="597"/>
      <c r="BV56" s="597"/>
      <c r="BW56" s="597"/>
      <c r="BX56" s="597"/>
      <c r="BY56" s="597"/>
      <c r="BZ56" s="597"/>
      <c r="CA56" s="597"/>
      <c r="CB56" s="597"/>
      <c r="CC56" s="597"/>
      <c r="CD56" s="597"/>
      <c r="CE56" s="597"/>
      <c r="CF56" s="597"/>
      <c r="CG56" s="596"/>
      <c r="CH56" s="596"/>
      <c r="CI56" s="597"/>
      <c r="CJ56" s="596"/>
    </row>
    <row r="57" spans="2:88" ht="24.9" customHeight="1">
      <c r="B57" s="732"/>
      <c r="C57" s="169"/>
      <c r="D57" s="741"/>
      <c r="E57" s="1587"/>
      <c r="F57" s="1587"/>
      <c r="G57" s="1588"/>
      <c r="H57" s="1586"/>
      <c r="I57" s="1586"/>
      <c r="J57" s="1586"/>
      <c r="K57" s="1586"/>
      <c r="L57" s="1586"/>
      <c r="M57" s="1586"/>
      <c r="N57" s="1586"/>
      <c r="O57" s="1586"/>
      <c r="P57" s="1586"/>
      <c r="Q57" s="1586"/>
      <c r="R57" s="1586"/>
      <c r="S57" s="1586"/>
      <c r="T57" s="1586"/>
      <c r="U57" s="1586"/>
      <c r="V57" s="1586"/>
      <c r="W57" s="1586"/>
      <c r="X57" s="1586"/>
      <c r="Y57" s="1586"/>
      <c r="Z57" s="1586"/>
      <c r="AA57" s="1586"/>
      <c r="AB57" s="1586"/>
      <c r="AC57" s="1586"/>
      <c r="AD57" s="1586"/>
      <c r="AE57" s="1586"/>
      <c r="AF57" s="1586"/>
      <c r="AG57" s="1586"/>
      <c r="AH57" s="1586"/>
      <c r="AI57" s="1586"/>
      <c r="AJ57" s="1586"/>
      <c r="AK57" s="169"/>
      <c r="AL57" s="510"/>
      <c r="AM57" s="527" t="str">
        <f>IF($Y46&lt;&gt;"",MAX(AM$54:AM56)+1,"")</f>
        <v/>
      </c>
      <c r="AN57" s="168"/>
      <c r="AO57" s="168"/>
      <c r="AP57" s="168"/>
      <c r="AQ57" s="168"/>
      <c r="AR57" s="593"/>
      <c r="AS57" s="593"/>
      <c r="AT57" s="168"/>
      <c r="AU57" s="168"/>
      <c r="AV57" s="168"/>
      <c r="AW57" s="168"/>
      <c r="AX57" s="168"/>
      <c r="AY57" s="168"/>
      <c r="AZ57" s="168"/>
      <c r="BA57" s="168"/>
      <c r="BB57" s="593"/>
      <c r="BC57" s="168"/>
      <c r="BD57" s="594"/>
      <c r="BE57" s="594"/>
      <c r="BF57" s="594"/>
      <c r="BG57" s="594"/>
      <c r="BH57" s="595"/>
      <c r="BI57" s="595"/>
      <c r="BJ57" s="594"/>
      <c r="BK57" s="595"/>
      <c r="BL57" s="168"/>
      <c r="BM57" s="597"/>
      <c r="BN57" s="597"/>
      <c r="BO57" s="597"/>
      <c r="BP57" s="597"/>
      <c r="BQ57" s="597"/>
      <c r="BR57" s="597"/>
      <c r="BS57" s="597"/>
      <c r="BT57" s="597"/>
      <c r="BU57" s="597"/>
      <c r="BV57" s="597"/>
      <c r="BW57" s="597"/>
      <c r="BX57" s="597"/>
      <c r="BY57" s="597"/>
      <c r="BZ57" s="597"/>
      <c r="CA57" s="597"/>
      <c r="CB57" s="597"/>
      <c r="CC57" s="597"/>
      <c r="CD57" s="597"/>
      <c r="CE57" s="597"/>
      <c r="CF57" s="597"/>
      <c r="CG57" s="596"/>
      <c r="CH57" s="596"/>
      <c r="CI57" s="597"/>
      <c r="CJ57" s="596"/>
    </row>
    <row r="58" spans="2:88" ht="31.5" customHeight="1">
      <c r="B58" s="732"/>
      <c r="C58" s="169"/>
      <c r="D58" s="741"/>
      <c r="E58" s="1587"/>
      <c r="F58" s="1587"/>
      <c r="G58" s="1588"/>
      <c r="H58" s="1586"/>
      <c r="I58" s="1586"/>
      <c r="J58" s="1586"/>
      <c r="K58" s="1586"/>
      <c r="L58" s="1586"/>
      <c r="M58" s="1586"/>
      <c r="N58" s="1586"/>
      <c r="O58" s="1586"/>
      <c r="P58" s="1586"/>
      <c r="Q58" s="1586"/>
      <c r="R58" s="1586"/>
      <c r="S58" s="1586"/>
      <c r="T58" s="1586"/>
      <c r="U58" s="1586"/>
      <c r="V58" s="1586"/>
      <c r="W58" s="1586"/>
      <c r="X58" s="1586"/>
      <c r="Y58" s="1586"/>
      <c r="Z58" s="1586"/>
      <c r="AA58" s="1586"/>
      <c r="AB58" s="1586"/>
      <c r="AC58" s="1586"/>
      <c r="AD58" s="1586"/>
      <c r="AE58" s="1586"/>
      <c r="AF58" s="1586"/>
      <c r="AG58" s="1586"/>
      <c r="AH58" s="1586"/>
      <c r="AI58" s="1586"/>
      <c r="AJ58" s="1586"/>
      <c r="AK58" s="169"/>
      <c r="AL58" s="510"/>
      <c r="AM58" s="527"/>
      <c r="AN58" s="168"/>
      <c r="AO58" s="168"/>
      <c r="AP58" s="168"/>
      <c r="AQ58" s="168"/>
      <c r="AR58" s="593"/>
      <c r="AS58" s="593"/>
      <c r="AT58" s="168"/>
      <c r="AU58" s="168"/>
      <c r="AV58" s="168"/>
      <c r="AW58" s="168"/>
      <c r="AX58" s="168"/>
      <c r="AY58" s="168"/>
      <c r="AZ58" s="168"/>
      <c r="BA58" s="168"/>
      <c r="BB58" s="593"/>
      <c r="BC58" s="168"/>
      <c r="BD58" s="594"/>
      <c r="BE58" s="594"/>
      <c r="BF58" s="594"/>
      <c r="BG58" s="594"/>
      <c r="BH58" s="595"/>
      <c r="BI58" s="595"/>
      <c r="BJ58" s="594"/>
      <c r="BK58" s="595"/>
      <c r="BL58" s="168"/>
      <c r="BM58" s="597"/>
      <c r="BN58" s="597"/>
      <c r="BO58" s="597"/>
      <c r="BP58" s="597"/>
      <c r="BQ58" s="597"/>
      <c r="BR58" s="597"/>
      <c r="BS58" s="597"/>
      <c r="BT58" s="597"/>
      <c r="BU58" s="597"/>
      <c r="BV58" s="597"/>
      <c r="BW58" s="597"/>
      <c r="BX58" s="597"/>
      <c r="BY58" s="597"/>
      <c r="BZ58" s="597"/>
      <c r="CA58" s="597"/>
      <c r="CB58" s="597"/>
      <c r="CC58" s="597"/>
      <c r="CD58" s="597"/>
      <c r="CE58" s="597"/>
      <c r="CF58" s="597"/>
      <c r="CG58" s="596"/>
      <c r="CH58" s="596"/>
      <c r="CI58" s="597"/>
      <c r="CJ58" s="596"/>
    </row>
    <row r="59" spans="2:88" ht="9.9" customHeight="1">
      <c r="B59" s="732"/>
      <c r="C59" s="169"/>
      <c r="D59" s="741"/>
      <c r="E59" s="1587"/>
      <c r="F59" s="1587"/>
      <c r="G59" s="1588"/>
      <c r="H59" s="1586"/>
      <c r="I59" s="1586"/>
      <c r="J59" s="1586"/>
      <c r="K59" s="1586"/>
      <c r="L59" s="1586"/>
      <c r="M59" s="1586"/>
      <c r="N59" s="1586"/>
      <c r="O59" s="1586"/>
      <c r="P59" s="1586"/>
      <c r="Q59" s="1586"/>
      <c r="R59" s="1586"/>
      <c r="S59" s="1586"/>
      <c r="T59" s="1586"/>
      <c r="U59" s="1586"/>
      <c r="V59" s="1586"/>
      <c r="W59" s="1586"/>
      <c r="X59" s="1586"/>
      <c r="Y59" s="1586"/>
      <c r="Z59" s="1586"/>
      <c r="AA59" s="1586"/>
      <c r="AB59" s="1586"/>
      <c r="AC59" s="1586"/>
      <c r="AD59" s="1586"/>
      <c r="AE59" s="1586"/>
      <c r="AF59" s="1586"/>
      <c r="AG59" s="1586"/>
      <c r="AH59" s="1586"/>
      <c r="AI59" s="1586"/>
      <c r="AJ59" s="1586"/>
      <c r="AK59" s="169"/>
      <c r="AL59" s="510"/>
      <c r="AM59" s="527"/>
      <c r="AN59" s="168"/>
      <c r="AO59" s="168"/>
      <c r="AP59" s="168"/>
      <c r="AQ59" s="168"/>
      <c r="AR59" s="593"/>
      <c r="AS59" s="593"/>
      <c r="AT59" s="168"/>
      <c r="AU59" s="168"/>
      <c r="AV59" s="168"/>
      <c r="AW59" s="168"/>
      <c r="AX59" s="168"/>
      <c r="AY59" s="168"/>
      <c r="AZ59" s="168"/>
      <c r="BA59" s="168"/>
      <c r="BB59" s="593"/>
      <c r="BC59" s="168"/>
      <c r="BD59" s="594"/>
      <c r="BE59" s="594"/>
      <c r="BF59" s="594"/>
      <c r="BG59" s="594"/>
      <c r="BH59" s="595"/>
      <c r="BI59" s="595"/>
      <c r="BJ59" s="594"/>
      <c r="BK59" s="595"/>
      <c r="BL59" s="168"/>
      <c r="BM59" s="597"/>
      <c r="BN59" s="597"/>
      <c r="BO59" s="597"/>
      <c r="BP59" s="597"/>
      <c r="BQ59" s="597"/>
      <c r="BR59" s="597"/>
      <c r="BS59" s="597"/>
      <c r="BT59" s="597"/>
      <c r="BU59" s="597"/>
      <c r="BV59" s="597"/>
      <c r="BW59" s="597"/>
      <c r="BX59" s="597"/>
      <c r="BY59" s="597"/>
      <c r="BZ59" s="597"/>
      <c r="CA59" s="597"/>
      <c r="CB59" s="597"/>
      <c r="CC59" s="597"/>
      <c r="CD59" s="597"/>
      <c r="CE59" s="597"/>
      <c r="CF59" s="597"/>
      <c r="CG59" s="596"/>
      <c r="CH59" s="596"/>
      <c r="CI59" s="597"/>
      <c r="CJ59" s="596"/>
    </row>
    <row r="60" spans="2:88" ht="6" customHeight="1">
      <c r="B60" s="504"/>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c r="AG60" s="169"/>
      <c r="AH60" s="169"/>
      <c r="AI60" s="169"/>
      <c r="AJ60" s="169"/>
      <c r="AK60" s="169"/>
      <c r="AL60" s="510"/>
      <c r="AM60" s="527"/>
      <c r="AN60" s="168"/>
      <c r="AO60" s="168"/>
      <c r="AP60" s="168"/>
      <c r="AQ60" s="168"/>
      <c r="AR60" s="593"/>
      <c r="AS60" s="593"/>
      <c r="AT60" s="168"/>
      <c r="AU60" s="168"/>
      <c r="AV60" s="168"/>
      <c r="AW60" s="168"/>
      <c r="AX60" s="168"/>
      <c r="AY60" s="168"/>
      <c r="AZ60" s="168"/>
      <c r="BA60" s="168"/>
      <c r="BB60" s="593"/>
      <c r="BC60" s="168"/>
      <c r="BD60" s="594"/>
      <c r="BE60" s="594"/>
      <c r="BF60" s="594"/>
      <c r="BG60" s="594"/>
      <c r="BH60" s="595"/>
      <c r="BI60" s="595"/>
      <c r="BJ60" s="594"/>
      <c r="BK60" s="595"/>
      <c r="BL60" s="168"/>
      <c r="BM60" s="597"/>
      <c r="BN60" s="597"/>
      <c r="BO60" s="597"/>
      <c r="BP60" s="597"/>
      <c r="BQ60" s="597"/>
      <c r="BR60" s="597"/>
      <c r="BS60" s="597"/>
      <c r="BT60" s="597"/>
      <c r="BU60" s="597"/>
      <c r="BV60" s="597"/>
      <c r="BW60" s="597"/>
      <c r="BX60" s="597"/>
      <c r="BY60" s="597"/>
      <c r="BZ60" s="597"/>
      <c r="CA60" s="597"/>
      <c r="CB60" s="597"/>
      <c r="CC60" s="597"/>
      <c r="CD60" s="597"/>
      <c r="CE60" s="597"/>
      <c r="CF60" s="597"/>
      <c r="CG60" s="596"/>
      <c r="CH60" s="596"/>
      <c r="CI60" s="597"/>
      <c r="CJ60" s="596"/>
    </row>
    <row r="61" spans="2:88" ht="6" customHeight="1" thickBot="1">
      <c r="B61" s="506"/>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c r="AG61" s="180"/>
      <c r="AH61" s="180"/>
      <c r="AI61" s="180"/>
      <c r="AJ61" s="180"/>
      <c r="AK61" s="511"/>
      <c r="AL61" s="512"/>
      <c r="AM61" s="527"/>
      <c r="AN61" s="168"/>
      <c r="AO61" s="168"/>
      <c r="AP61" s="168"/>
      <c r="AQ61" s="168"/>
      <c r="AR61" s="593"/>
      <c r="AS61" s="593"/>
      <c r="AT61" s="168"/>
      <c r="AU61" s="168"/>
      <c r="AV61" s="168"/>
      <c r="AW61" s="168"/>
      <c r="AX61" s="168"/>
      <c r="AY61" s="168"/>
      <c r="AZ61" s="168"/>
      <c r="BA61" s="168"/>
      <c r="BB61" s="593"/>
      <c r="BC61" s="168"/>
      <c r="BD61" s="594"/>
      <c r="BE61" s="594"/>
      <c r="BF61" s="594"/>
      <c r="BG61" s="594"/>
      <c r="BH61" s="595"/>
      <c r="BI61" s="595"/>
      <c r="BJ61" s="594"/>
      <c r="BK61" s="595"/>
      <c r="BL61" s="168"/>
      <c r="BM61" s="597"/>
      <c r="BN61" s="597"/>
      <c r="BO61" s="597"/>
      <c r="BP61" s="597"/>
      <c r="BQ61" s="597"/>
      <c r="BR61" s="597"/>
      <c r="BS61" s="597"/>
      <c r="BT61" s="597"/>
      <c r="BU61" s="597"/>
      <c r="BV61" s="597"/>
      <c r="BW61" s="597"/>
      <c r="BX61" s="597"/>
      <c r="BY61" s="597"/>
      <c r="BZ61" s="597"/>
      <c r="CA61" s="597"/>
      <c r="CB61" s="597"/>
      <c r="CC61" s="597"/>
      <c r="CD61" s="597"/>
      <c r="CE61" s="597"/>
      <c r="CF61" s="597"/>
      <c r="CG61" s="596"/>
      <c r="CH61" s="596"/>
      <c r="CI61" s="597"/>
      <c r="CJ61" s="596"/>
    </row>
    <row r="62" spans="2:88" ht="14.4">
      <c r="AM62" s="527"/>
      <c r="AN62" s="168"/>
      <c r="AO62" s="168"/>
      <c r="AP62" s="168"/>
      <c r="AQ62" s="168"/>
      <c r="AR62" s="593"/>
      <c r="AS62" s="593"/>
      <c r="AT62" s="168"/>
      <c r="AU62" s="168"/>
      <c r="AV62" s="168"/>
      <c r="AW62" s="168"/>
      <c r="AX62" s="168"/>
      <c r="AY62" s="168"/>
      <c r="AZ62" s="168"/>
      <c r="BA62" s="168"/>
      <c r="BB62" s="593"/>
      <c r="BC62" s="168"/>
      <c r="BD62" s="594"/>
      <c r="BE62" s="594"/>
      <c r="BF62" s="594"/>
      <c r="BG62" s="594"/>
      <c r="BH62" s="595"/>
      <c r="BI62" s="595"/>
      <c r="BJ62" s="594"/>
      <c r="BK62" s="595"/>
      <c r="BL62" s="168"/>
      <c r="BM62" s="597"/>
      <c r="BN62" s="597"/>
      <c r="BO62" s="597"/>
      <c r="BP62" s="597"/>
      <c r="BQ62" s="597"/>
      <c r="BR62" s="597"/>
      <c r="BS62" s="597"/>
      <c r="BT62" s="597"/>
      <c r="BU62" s="597"/>
      <c r="BV62" s="597"/>
      <c r="BW62" s="597"/>
      <c r="BX62" s="597"/>
      <c r="BY62" s="597"/>
      <c r="BZ62" s="597"/>
      <c r="CA62" s="597"/>
      <c r="CB62" s="597"/>
      <c r="CC62" s="597"/>
      <c r="CD62" s="597"/>
      <c r="CE62" s="597"/>
      <c r="CF62" s="597"/>
      <c r="CG62" s="596"/>
      <c r="CH62" s="596"/>
      <c r="CI62" s="597"/>
      <c r="CJ62" s="596"/>
    </row>
    <row r="63" spans="2:88" ht="14.4">
      <c r="AM63" s="527"/>
      <c r="AN63" s="168"/>
      <c r="AO63" s="168"/>
      <c r="AP63" s="168"/>
      <c r="AQ63" s="168"/>
      <c r="AR63" s="593"/>
      <c r="AS63" s="593"/>
      <c r="AT63" s="168"/>
      <c r="AU63" s="168"/>
      <c r="AV63" s="168"/>
      <c r="AW63" s="168"/>
      <c r="AX63" s="168"/>
      <c r="AY63" s="168"/>
      <c r="AZ63" s="168"/>
      <c r="BA63" s="168"/>
      <c r="BB63" s="593"/>
      <c r="BC63" s="168"/>
      <c r="BD63" s="594"/>
      <c r="BE63" s="594"/>
      <c r="BF63" s="594"/>
      <c r="BG63" s="594"/>
      <c r="BH63" s="595"/>
      <c r="BI63" s="595"/>
      <c r="BJ63" s="594"/>
      <c r="BK63" s="595"/>
      <c r="BL63" s="168"/>
      <c r="BM63" s="597"/>
      <c r="BN63" s="597"/>
      <c r="BO63" s="597"/>
      <c r="BP63" s="597"/>
      <c r="BQ63" s="597"/>
      <c r="BR63" s="597"/>
      <c r="BS63" s="597"/>
      <c r="BT63" s="597"/>
      <c r="BU63" s="597"/>
      <c r="BV63" s="597"/>
      <c r="BW63" s="597"/>
      <c r="BX63" s="597"/>
      <c r="BY63" s="597"/>
      <c r="BZ63" s="597"/>
      <c r="CA63" s="597"/>
      <c r="CB63" s="597"/>
      <c r="CC63" s="597"/>
      <c r="CD63" s="597"/>
      <c r="CE63" s="597"/>
      <c r="CF63" s="597"/>
      <c r="CG63" s="596"/>
      <c r="CH63" s="596"/>
      <c r="CI63" s="597"/>
      <c r="CJ63" s="596"/>
    </row>
    <row r="64" spans="2:88" ht="14.4">
      <c r="AM64" s="527"/>
      <c r="AN64" s="168"/>
      <c r="AO64" s="168"/>
      <c r="AP64" s="168"/>
      <c r="AQ64" s="168"/>
      <c r="AR64" s="593"/>
      <c r="AS64" s="593"/>
      <c r="AT64" s="168"/>
      <c r="AU64" s="168"/>
      <c r="AV64" s="168"/>
      <c r="AW64" s="168"/>
      <c r="AX64" s="168"/>
      <c r="AY64" s="168"/>
      <c r="AZ64" s="168"/>
      <c r="BA64" s="168"/>
      <c r="BB64" s="593"/>
      <c r="BC64" s="168"/>
      <c r="BD64" s="594"/>
      <c r="BE64" s="594"/>
      <c r="BF64" s="594"/>
      <c r="BG64" s="594"/>
      <c r="BH64" s="595"/>
      <c r="BI64" s="595"/>
      <c r="BJ64" s="594"/>
      <c r="BK64" s="595"/>
      <c r="BL64" s="168"/>
      <c r="BM64" s="597"/>
      <c r="BN64" s="597"/>
      <c r="BO64" s="597"/>
      <c r="BP64" s="597"/>
      <c r="BQ64" s="597"/>
      <c r="BR64" s="597"/>
      <c r="BS64" s="597"/>
      <c r="BT64" s="597"/>
      <c r="BU64" s="597"/>
      <c r="BV64" s="597"/>
      <c r="BW64" s="597"/>
      <c r="BX64" s="597"/>
      <c r="BY64" s="597"/>
      <c r="BZ64" s="597"/>
      <c r="CA64" s="597"/>
      <c r="CB64" s="597"/>
      <c r="CC64" s="597"/>
      <c r="CD64" s="597"/>
      <c r="CE64" s="597"/>
      <c r="CF64" s="597"/>
      <c r="CG64" s="596"/>
      <c r="CH64" s="596"/>
      <c r="CI64" s="597"/>
      <c r="CJ64" s="596"/>
    </row>
    <row r="65" spans="39:88" ht="14.4">
      <c r="AM65" s="527"/>
      <c r="AN65" s="168"/>
      <c r="AO65" s="168"/>
      <c r="AP65" s="168"/>
      <c r="AQ65" s="168"/>
      <c r="AR65" s="593"/>
      <c r="AS65" s="593"/>
      <c r="AT65" s="168"/>
      <c r="AU65" s="168"/>
      <c r="AV65" s="168"/>
      <c r="AW65" s="168"/>
      <c r="AX65" s="168"/>
      <c r="AY65" s="168"/>
      <c r="AZ65" s="168"/>
      <c r="BA65" s="168"/>
      <c r="BB65" s="593"/>
      <c r="BC65" s="168"/>
      <c r="BD65" s="594"/>
      <c r="BE65" s="594"/>
      <c r="BF65" s="594"/>
      <c r="BG65" s="594"/>
      <c r="BH65" s="595"/>
      <c r="BI65" s="595"/>
      <c r="BJ65" s="594"/>
      <c r="BK65" s="595"/>
      <c r="BL65" s="168"/>
      <c r="BM65" s="597"/>
      <c r="BN65" s="597"/>
      <c r="BO65" s="597"/>
      <c r="BP65" s="597"/>
      <c r="BQ65" s="597"/>
      <c r="BR65" s="597"/>
      <c r="BS65" s="597"/>
      <c r="BT65" s="597"/>
      <c r="BU65" s="597"/>
      <c r="BV65" s="597"/>
      <c r="BW65" s="597"/>
      <c r="BX65" s="597"/>
      <c r="BY65" s="597"/>
      <c r="BZ65" s="597"/>
      <c r="CA65" s="597"/>
      <c r="CB65" s="597"/>
      <c r="CC65" s="597"/>
      <c r="CD65" s="597"/>
      <c r="CE65" s="597"/>
      <c r="CF65" s="597"/>
      <c r="CG65" s="596"/>
      <c r="CH65" s="596"/>
      <c r="CI65" s="597"/>
      <c r="CJ65" s="596"/>
    </row>
    <row r="66" spans="39:88" ht="14.4">
      <c r="AM66" s="527"/>
      <c r="AN66" s="168"/>
      <c r="AO66" s="168"/>
      <c r="AP66" s="168"/>
      <c r="AQ66" s="168"/>
      <c r="AR66" s="593"/>
      <c r="AS66" s="593"/>
      <c r="AT66" s="168"/>
      <c r="AU66" s="168"/>
      <c r="AV66" s="168"/>
      <c r="AW66" s="168"/>
      <c r="AX66" s="168"/>
      <c r="AY66" s="168"/>
      <c r="AZ66" s="168"/>
      <c r="BA66" s="168"/>
      <c r="BB66" s="593"/>
      <c r="BC66" s="168"/>
      <c r="BD66" s="594"/>
      <c r="BE66" s="594"/>
      <c r="BF66" s="594"/>
      <c r="BG66" s="594"/>
      <c r="BH66" s="595"/>
      <c r="BI66" s="595"/>
      <c r="BJ66" s="594"/>
      <c r="BK66" s="595"/>
      <c r="BL66" s="168"/>
      <c r="BM66" s="597"/>
      <c r="BN66" s="597"/>
      <c r="BO66" s="597"/>
      <c r="BP66" s="597"/>
      <c r="BQ66" s="597"/>
      <c r="BR66" s="597"/>
      <c r="BS66" s="597"/>
      <c r="BT66" s="597"/>
      <c r="BU66" s="597"/>
      <c r="BV66" s="597"/>
      <c r="BW66" s="597"/>
      <c r="BX66" s="597"/>
      <c r="BY66" s="597"/>
      <c r="BZ66" s="597"/>
      <c r="CA66" s="597"/>
      <c r="CB66" s="597"/>
      <c r="CC66" s="597"/>
      <c r="CD66" s="597"/>
      <c r="CE66" s="597"/>
      <c r="CF66" s="597"/>
      <c r="CG66" s="596"/>
      <c r="CH66" s="596"/>
      <c r="CI66" s="597"/>
      <c r="CJ66" s="596"/>
    </row>
    <row r="67" spans="39:88">
      <c r="AS67" s="535"/>
      <c r="AT67" s="181"/>
      <c r="AU67" s="181"/>
      <c r="AV67" s="181"/>
      <c r="AW67" s="181"/>
      <c r="AX67" s="181"/>
      <c r="AY67" s="181"/>
      <c r="AZ67" s="181"/>
      <c r="BA67" s="181"/>
      <c r="BC67" s="181"/>
    </row>
    <row r="106" spans="4:4">
      <c r="D106" s="148" t="str">
        <f ca="1">'D4.5Why''s-D5-D6'!D44</f>
        <v>Factors identification/Influent factors</v>
      </c>
    </row>
  </sheetData>
  <sheetProtection algorithmName="SHA-512" hashValue="gDgNOJFubTmKUX5uWVMJsglzsNMhOvhsl4526f0V3ACp6rzGeeQ+O5d7RU0lOpVkpqCXtDIWNpMY4hiH0G6S3Q==" saltValue="1TjSh+y28fnnfSlr+zV0Gw==" spinCount="100000" sheet="1" scenarios="1" formatCells="0" formatRows="0" insertHyperlinks="0"/>
  <customSheetViews>
    <customSheetView guid="{727552C9-10E3-4948-B2AE-8FE165517887}" scale="40" showPageBreaks="1" fitToPage="1" printArea="1" hiddenRows="1" hiddenColumns="1" view="pageBreakPreview" topLeftCell="A35">
      <selection activeCell="K42" sqref="K42:AG43"/>
      <pageMargins left="0.7" right="0.7" top="0.3046875" bottom="0.78740157499999996" header="0.3" footer="0.3"/>
      <pageSetup paperSize="9" scale="25" fitToHeight="0" orientation="landscape" r:id="rId1"/>
    </customSheetView>
  </customSheetViews>
  <mergeCells count="289">
    <mergeCell ref="L50:N50"/>
    <mergeCell ref="O50:P50"/>
    <mergeCell ref="Q50:S50"/>
    <mergeCell ref="T50:W50"/>
    <mergeCell ref="X50:Y50"/>
    <mergeCell ref="Z50:AA50"/>
    <mergeCell ref="AB50:AD50"/>
    <mergeCell ref="J49:K49"/>
    <mergeCell ref="L49:N49"/>
    <mergeCell ref="AB53:AD53"/>
    <mergeCell ref="AF53:AG53"/>
    <mergeCell ref="G52:H52"/>
    <mergeCell ref="O52:P52"/>
    <mergeCell ref="Q52:S52"/>
    <mergeCell ref="X52:Y52"/>
    <mergeCell ref="Z52:AA52"/>
    <mergeCell ref="AB52:AD52"/>
    <mergeCell ref="AF52:AG52"/>
    <mergeCell ref="J52:K52"/>
    <mergeCell ref="L52:N52"/>
    <mergeCell ref="G53:H53"/>
    <mergeCell ref="J53:K53"/>
    <mergeCell ref="L53:N53"/>
    <mergeCell ref="X53:Y53"/>
    <mergeCell ref="Z53:AA53"/>
    <mergeCell ref="G49:H49"/>
    <mergeCell ref="G50:H50"/>
    <mergeCell ref="G44:H44"/>
    <mergeCell ref="J44:K44"/>
    <mergeCell ref="J43:K43"/>
    <mergeCell ref="L43:N43"/>
    <mergeCell ref="O53:P53"/>
    <mergeCell ref="Q53:S53"/>
    <mergeCell ref="T53:W53"/>
    <mergeCell ref="G46:H46"/>
    <mergeCell ref="Q49:S49"/>
    <mergeCell ref="T49:W49"/>
    <mergeCell ref="G47:H47"/>
    <mergeCell ref="J47:K47"/>
    <mergeCell ref="O49:P49"/>
    <mergeCell ref="D43:H43"/>
    <mergeCell ref="D44:F53"/>
    <mergeCell ref="G45:H45"/>
    <mergeCell ref="J45:K45"/>
    <mergeCell ref="L45:N45"/>
    <mergeCell ref="G51:H51"/>
    <mergeCell ref="J51:K51"/>
    <mergeCell ref="L51:N51"/>
    <mergeCell ref="O51:P51"/>
    <mergeCell ref="Q45:S45"/>
    <mergeCell ref="AF44:AG44"/>
    <mergeCell ref="Q51:S51"/>
    <mergeCell ref="T51:W51"/>
    <mergeCell ref="J26:K26"/>
    <mergeCell ref="L26:N26"/>
    <mergeCell ref="O26:P26"/>
    <mergeCell ref="Q26:S26"/>
    <mergeCell ref="T26:W26"/>
    <mergeCell ref="J28:K28"/>
    <mergeCell ref="L28:N28"/>
    <mergeCell ref="O28:P28"/>
    <mergeCell ref="Q28:S28"/>
    <mergeCell ref="T28:W28"/>
    <mergeCell ref="J46:K46"/>
    <mergeCell ref="L46:N46"/>
    <mergeCell ref="O46:P46"/>
    <mergeCell ref="Q46:S46"/>
    <mergeCell ref="T46:W46"/>
    <mergeCell ref="L48:N48"/>
    <mergeCell ref="Q47:S47"/>
    <mergeCell ref="Z49:AA49"/>
    <mergeCell ref="AB49:AD49"/>
    <mergeCell ref="J50:K50"/>
    <mergeCell ref="J25:K25"/>
    <mergeCell ref="Z47:AA47"/>
    <mergeCell ref="X46:Y46"/>
    <mergeCell ref="X22:Y22"/>
    <mergeCell ref="Z22:AA22"/>
    <mergeCell ref="AB22:AD22"/>
    <mergeCell ref="J27:K27"/>
    <mergeCell ref="L27:N27"/>
    <mergeCell ref="O27:P27"/>
    <mergeCell ref="Q27:S27"/>
    <mergeCell ref="AB44:AD44"/>
    <mergeCell ref="X45:Y45"/>
    <mergeCell ref="Z45:AA45"/>
    <mergeCell ref="AC31:AD31"/>
    <mergeCell ref="L36:AJ37"/>
    <mergeCell ref="T27:W27"/>
    <mergeCell ref="X27:Y27"/>
    <mergeCell ref="Z27:AA27"/>
    <mergeCell ref="AB27:AD27"/>
    <mergeCell ref="AF27:AG27"/>
    <mergeCell ref="Z28:AA28"/>
    <mergeCell ref="AB28:AD28"/>
    <mergeCell ref="AF28:AG28"/>
    <mergeCell ref="T45:W45"/>
    <mergeCell ref="J48:K48"/>
    <mergeCell ref="Z46:AA46"/>
    <mergeCell ref="Z26:AA26"/>
    <mergeCell ref="AB26:AD26"/>
    <mergeCell ref="T52:W52"/>
    <mergeCell ref="X23:Y23"/>
    <mergeCell ref="Z23:AA23"/>
    <mergeCell ref="AB23:AD23"/>
    <mergeCell ref="O23:P23"/>
    <mergeCell ref="X51:Y51"/>
    <mergeCell ref="Z51:AA51"/>
    <mergeCell ref="X26:Y26"/>
    <mergeCell ref="X28:Y28"/>
    <mergeCell ref="X49:Y49"/>
    <mergeCell ref="AB51:AD51"/>
    <mergeCell ref="O48:P48"/>
    <mergeCell ref="Q48:S48"/>
    <mergeCell ref="T48:W48"/>
    <mergeCell ref="X48:Y48"/>
    <mergeCell ref="Z48:AA48"/>
    <mergeCell ref="AB48:AD48"/>
    <mergeCell ref="T47:W47"/>
    <mergeCell ref="X47:Y47"/>
    <mergeCell ref="J41:W42"/>
    <mergeCell ref="G25:H25"/>
    <mergeCell ref="L20:N20"/>
    <mergeCell ref="AF48:AG48"/>
    <mergeCell ref="AF49:AG49"/>
    <mergeCell ref="X21:Y21"/>
    <mergeCell ref="L19:N19"/>
    <mergeCell ref="O19:P19"/>
    <mergeCell ref="Q19:S19"/>
    <mergeCell ref="T19:W19"/>
    <mergeCell ref="J21:K21"/>
    <mergeCell ref="L21:N21"/>
    <mergeCell ref="O21:P21"/>
    <mergeCell ref="Q21:S21"/>
    <mergeCell ref="T21:W21"/>
    <mergeCell ref="Q23:S23"/>
    <mergeCell ref="T23:W23"/>
    <mergeCell ref="J24:K24"/>
    <mergeCell ref="L24:N24"/>
    <mergeCell ref="O24:P24"/>
    <mergeCell ref="Q24:S24"/>
    <mergeCell ref="T24:W24"/>
    <mergeCell ref="T20:W20"/>
    <mergeCell ref="J23:K23"/>
    <mergeCell ref="O45:P45"/>
    <mergeCell ref="L47:N47"/>
    <mergeCell ref="O47:P47"/>
    <mergeCell ref="G20:H20"/>
    <mergeCell ref="CK17:CR17"/>
    <mergeCell ref="B19:B50"/>
    <mergeCell ref="H33:J34"/>
    <mergeCell ref="AB16:AJ17"/>
    <mergeCell ref="X16:Y17"/>
    <mergeCell ref="X18:Y18"/>
    <mergeCell ref="AM41:AT42"/>
    <mergeCell ref="AM17:AT17"/>
    <mergeCell ref="T18:W18"/>
    <mergeCell ref="J18:K18"/>
    <mergeCell ref="K36:K37"/>
    <mergeCell ref="H36:J37"/>
    <mergeCell ref="J16:W16"/>
    <mergeCell ref="D16:I16"/>
    <mergeCell ref="AF18:AG18"/>
    <mergeCell ref="Z18:AA18"/>
    <mergeCell ref="AB18:AD18"/>
    <mergeCell ref="J19:K19"/>
    <mergeCell ref="K33:AJ34"/>
    <mergeCell ref="J17:W17"/>
    <mergeCell ref="J20:K20"/>
    <mergeCell ref="AB20:AD20"/>
    <mergeCell ref="AF20:AG20"/>
    <mergeCell ref="AG11:AH11"/>
    <mergeCell ref="C13:H13"/>
    <mergeCell ref="AF6:AK7"/>
    <mergeCell ref="D18:H18"/>
    <mergeCell ref="H55:AJ59"/>
    <mergeCell ref="E55:G59"/>
    <mergeCell ref="J40:W40"/>
    <mergeCell ref="AF43:AG43"/>
    <mergeCell ref="X43:Y43"/>
    <mergeCell ref="Z43:AA43"/>
    <mergeCell ref="AB43:AD43"/>
    <mergeCell ref="AB40:AJ42"/>
    <mergeCell ref="X40:Y42"/>
    <mergeCell ref="Z40:AA42"/>
    <mergeCell ref="AB45:AD45"/>
    <mergeCell ref="AF45:AG45"/>
    <mergeCell ref="L44:N44"/>
    <mergeCell ref="O44:P44"/>
    <mergeCell ref="Q44:S44"/>
    <mergeCell ref="T44:W44"/>
    <mergeCell ref="X44:Y44"/>
    <mergeCell ref="Z44:AA44"/>
    <mergeCell ref="G19:H19"/>
    <mergeCell ref="AE3:AJ3"/>
    <mergeCell ref="Y3:AD3"/>
    <mergeCell ref="T3:U3"/>
    <mergeCell ref="L18:N18"/>
    <mergeCell ref="O18:P18"/>
    <mergeCell ref="Q18:S18"/>
    <mergeCell ref="I3:S3"/>
    <mergeCell ref="V3:X3"/>
    <mergeCell ref="O9:P9"/>
    <mergeCell ref="K13:Z13"/>
    <mergeCell ref="L6:N6"/>
    <mergeCell ref="Z16:AA17"/>
    <mergeCell ref="Q6:S6"/>
    <mergeCell ref="AG13:AI13"/>
    <mergeCell ref="AB6:AE8"/>
    <mergeCell ref="AB9:AE10"/>
    <mergeCell ref="AD11:AF13"/>
    <mergeCell ref="AB11:AC13"/>
    <mergeCell ref="D17:I17"/>
    <mergeCell ref="AI11:AJ11"/>
    <mergeCell ref="AH18:AI18"/>
    <mergeCell ref="AH19:AI19"/>
    <mergeCell ref="AB46:AD46"/>
    <mergeCell ref="AF46:AG46"/>
    <mergeCell ref="AB47:AD47"/>
    <mergeCell ref="AF47:AG47"/>
    <mergeCell ref="G48:H48"/>
    <mergeCell ref="AF21:AG21"/>
    <mergeCell ref="O43:P43"/>
    <mergeCell ref="Q43:S43"/>
    <mergeCell ref="T43:W43"/>
    <mergeCell ref="AF22:AG22"/>
    <mergeCell ref="AF23:AG23"/>
    <mergeCell ref="AF24:AG24"/>
    <mergeCell ref="G21:H21"/>
    <mergeCell ref="G24:H24"/>
    <mergeCell ref="G23:H23"/>
    <mergeCell ref="G22:H22"/>
    <mergeCell ref="J22:K22"/>
    <mergeCell ref="L22:N22"/>
    <mergeCell ref="L25:N25"/>
    <mergeCell ref="L23:N23"/>
    <mergeCell ref="G26:H26"/>
    <mergeCell ref="G27:H27"/>
    <mergeCell ref="G28:H28"/>
    <mergeCell ref="D40:I42"/>
    <mergeCell ref="D30:F38"/>
    <mergeCell ref="X19:Y19"/>
    <mergeCell ref="Z19:AA19"/>
    <mergeCell ref="AB19:AD19"/>
    <mergeCell ref="AF19:AG19"/>
    <mergeCell ref="O22:P22"/>
    <mergeCell ref="Q22:S22"/>
    <mergeCell ref="T22:W22"/>
    <mergeCell ref="O25:P25"/>
    <mergeCell ref="X24:Y24"/>
    <mergeCell ref="Z24:AA24"/>
    <mergeCell ref="AB24:AD24"/>
    <mergeCell ref="Q25:S25"/>
    <mergeCell ref="T25:W25"/>
    <mergeCell ref="X25:Y25"/>
    <mergeCell ref="Z25:AA25"/>
    <mergeCell ref="AB25:AD25"/>
    <mergeCell ref="Z21:AA21"/>
    <mergeCell ref="AB21:AD21"/>
    <mergeCell ref="O20:P20"/>
    <mergeCell ref="Q20:S20"/>
    <mergeCell ref="X20:Y20"/>
    <mergeCell ref="Z20:AA20"/>
    <mergeCell ref="D19:F28"/>
    <mergeCell ref="AH20:AI20"/>
    <mergeCell ref="AH21:AI21"/>
    <mergeCell ref="AH22:AI22"/>
    <mergeCell ref="AH23:AI23"/>
    <mergeCell ref="AH24:AI24"/>
    <mergeCell ref="AH48:AI48"/>
    <mergeCell ref="AH49:AI49"/>
    <mergeCell ref="AH50:AI50"/>
    <mergeCell ref="AH51:AI51"/>
    <mergeCell ref="AH52:AI52"/>
    <mergeCell ref="AH53:AI53"/>
    <mergeCell ref="AE31:AH31"/>
    <mergeCell ref="AH25:AI25"/>
    <mergeCell ref="AH26:AI26"/>
    <mergeCell ref="AH27:AI27"/>
    <mergeCell ref="AH28:AI28"/>
    <mergeCell ref="AH43:AI43"/>
    <mergeCell ref="AH44:AI44"/>
    <mergeCell ref="AH45:AI45"/>
    <mergeCell ref="AH46:AI46"/>
    <mergeCell ref="AH47:AI47"/>
    <mergeCell ref="AF50:AG50"/>
    <mergeCell ref="AF26:AG26"/>
    <mergeCell ref="AF51:AG51"/>
    <mergeCell ref="AF25:AG25"/>
  </mergeCells>
  <phoneticPr fontId="198" type="noConversion"/>
  <conditionalFormatting sqref="O35:X35 O38:X38">
    <cfRule type="expression" dxfId="1902" priority="247">
      <formula>IF($K$36="YES",INDIRECT(#REF!))</formula>
    </cfRule>
  </conditionalFormatting>
  <dataValidations count="2">
    <dataValidation type="list" allowBlank="1" showInputMessage="1" showErrorMessage="1" sqref="Z38 W38:X38">
      <formula1>X</formula1>
    </dataValidation>
    <dataValidation type="list" allowBlank="1" showInputMessage="1" sqref="I44:I53">
      <formula1>$CH$19:$CH$22</formula1>
    </dataValidation>
  </dataValidations>
  <pageMargins left="0.7" right="0.7" top="0.3046875" bottom="0.78740157499999996" header="0.3" footer="0.3"/>
  <pageSetup paperSize="9" scale="30" orientation="portrait" r:id="rId2"/>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459" stopIfTrue="1" id="{83CA5679-7203-4566-889F-03F283E9C5CC}">
            <xm:f>IF($AF$9=INDIRECT('D1-D2-D3'!$J$4&amp;"!C41"),1,0)</xm:f>
            <x14:dxf>
              <font>
                <color theme="0" tint="-0.14996795556505021"/>
              </font>
              <fill>
                <patternFill>
                  <bgColor theme="0" tint="-0.14996795556505021"/>
                </patternFill>
              </fill>
              <border>
                <left/>
                <right/>
                <top/>
                <bottom/>
              </border>
            </x14:dxf>
          </x14:cfRule>
          <xm:sqref>AD11:AF13</xm:sqref>
        </x14:conditionalFormatting>
        <x14:conditionalFormatting xmlns:xm="http://schemas.microsoft.com/office/excel/2006/main">
          <x14:cfRule type="expression" priority="7" stopIfTrue="1" id="{FC738813-A7EE-4FAC-B0F7-58B15A7BCE1C}">
            <xm:f>IF($AF$9=INDIRECT('D1-D2-D3'!$J$4&amp;"!C42"),1,0)</xm:f>
            <x14:dxf>
              <font>
                <color theme="0" tint="-0.14996795556505021"/>
              </font>
              <fill>
                <patternFill>
                  <bgColor theme="0" tint="-0.14996795556505021"/>
                </patternFill>
              </fill>
              <border>
                <left/>
                <right/>
                <top/>
                <bottom/>
                <vertical/>
                <horizontal/>
              </border>
            </x14:dxf>
          </x14:cfRule>
          <xm:sqref>AJ9 AI11 AJ13 AH9:AI9 AG11 AG9:AI9 AG13 AG13 AG11</xm:sqref>
        </x14:conditionalFormatting>
        <x14:conditionalFormatting xmlns:xm="http://schemas.microsoft.com/office/excel/2006/main">
          <x14:cfRule type="expression" priority="6" stopIfTrue="1" id="{0CADF9A6-3ADE-409D-BF9F-2C1A115DE0EF}">
            <xm:f>IF($AF$9=INDIRECT('D1-D2-D3'!$J$4&amp;"!C42"),1,0)</xm:f>
            <x14:dxf>
              <font>
                <color theme="0" tint="-0.14996795556505021"/>
              </font>
            </x14:dxf>
          </x14:cfRule>
          <xm:sqref>AG9:AJ13</xm:sqref>
        </x14:conditionalFormatting>
        <x14:conditionalFormatting xmlns:xm="http://schemas.microsoft.com/office/excel/2006/main">
          <x14:cfRule type="expression" priority="5" id="{5DD6B413-4371-4D6B-9187-98148F693085}">
            <xm:f>IF($AF$9=INDIRECT('D1-D2-D3'!$J$4&amp;"!C41"),1,0)</xm:f>
            <x14:dxf>
              <font>
                <strike val="0"/>
                <color theme="0" tint="-0.14996795556505021"/>
              </font>
            </x14:dxf>
          </x14:cfRule>
          <xm:sqref>AB11</xm:sqref>
        </x14:conditionalFormatting>
        <x14:conditionalFormatting xmlns:xm="http://schemas.microsoft.com/office/excel/2006/main">
          <x14:cfRule type="expression" priority="4" id="{C1AAC931-5F46-418B-83A2-F15D7E7B6267}">
            <xm:f>IF($AB$31=DropDown!$N$12,1,0)</xm:f>
            <x14:dxf>
              <font>
                <color theme="0" tint="-0.14996795556505021"/>
              </font>
              <fill>
                <patternFill>
                  <fgColor theme="0" tint="-0.24994659260841701"/>
                  <bgColor theme="0" tint="-0.14996795556505021"/>
                </patternFill>
              </fill>
              <border>
                <left/>
                <right/>
                <top/>
                <bottom/>
                <vertical/>
                <horizontal/>
              </border>
            </x14:dxf>
          </x14:cfRule>
          <xm:sqref>H36:AJ37</xm:sqref>
        </x14:conditionalFormatting>
        <x14:conditionalFormatting xmlns:xm="http://schemas.microsoft.com/office/excel/2006/main">
          <x14:cfRule type="expression" priority="3" stopIfTrue="1" id="{9DB4F509-B29A-4712-AABE-78C9B63225AF}">
            <xm:f>IF($AB$31=DropDown!$N$12,1,0)</xm:f>
            <x14:dxf>
              <font>
                <color theme="0" tint="-0.14996795556505021"/>
              </font>
              <fill>
                <patternFill>
                  <bgColor theme="0" tint="-0.14996795556505021"/>
                </patternFill>
              </fill>
              <border>
                <left/>
                <right/>
                <top/>
                <bottom/>
                <vertical/>
                <horizontal/>
              </border>
            </x14:dxf>
          </x14:cfRule>
          <xm:sqref>AE31:AJ31</xm:sqref>
        </x14:conditionalFormatting>
        <x14:conditionalFormatting xmlns:xm="http://schemas.microsoft.com/office/excel/2006/main">
          <x14:cfRule type="expression" priority="2" id="{1DC5C9C7-85C1-457E-977D-DFC947E2B4E5}">
            <xm:f>IF($AB$31=DropDown!$N$12,1,0)</xm:f>
            <x14:dxf>
              <font>
                <color theme="0" tint="-0.14996795556505021"/>
              </font>
            </x14:dxf>
          </x14:cfRule>
          <xm:sqref>AC31</xm:sqref>
        </x14:conditionalFormatting>
        <x14:conditionalFormatting xmlns:xm="http://schemas.microsoft.com/office/excel/2006/main">
          <x14:cfRule type="expression" priority="1" stopIfTrue="1" id="{5BFBD447-0652-4B31-BDFC-10C2A8386BEF}">
            <xm:f>IF($AF$9=INDIRECT('D1-D2-D3'!$J$4&amp;"!C42"),1,0)</xm:f>
            <x14:dxf>
              <font>
                <color theme="0" tint="-0.14996795556505021"/>
              </font>
              <fill>
                <patternFill>
                  <fgColor theme="0" tint="-0.14993743705557422"/>
                  <bgColor theme="0" tint="-0.14996795556505021"/>
                </patternFill>
              </fill>
              <border>
                <left/>
                <right/>
                <top/>
                <bottom/>
                <vertical/>
                <horizontal/>
              </border>
            </x14:dxf>
          </x14:cfRule>
          <xm:sqref>AJ9 AI11:AJ11 AJ13</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14:formula1>
            <xm:f>DropDown!$H$4:$H$5</xm:f>
          </x14:formula1>
          <xm:sqref>X54 W20:W28 S22:S28 W45:W54 S47:S54</xm:sqref>
        </x14:dataValidation>
        <x14:dataValidation type="list" allowBlank="1" showInputMessage="1" showErrorMessage="1">
          <x14:formula1>
            <xm:f>INDIRECT('D1-D2-D3'!$J$4&amp;"!C94:C95")</xm:f>
          </x14:formula1>
          <xm:sqref>L6</xm:sqref>
        </x14:dataValidation>
        <x14:dataValidation type="list" allowBlank="1" showInputMessage="1" showErrorMessage="1">
          <x14:formula1>
            <xm:f>DropDown!$C$17:$C$18</xm:f>
          </x14:formula1>
          <xm:sqref>G19:G28 G44:G53</xm:sqref>
        </x14:dataValidation>
        <x14:dataValidation type="list" allowBlank="1" showInputMessage="1" showErrorMessage="1">
          <x14:formula1>
            <xm:f>DropDown!$N$11:$N$12</xm:f>
          </x14:formula1>
          <xm:sqref>AB31 AF9 K36</xm:sqref>
        </x14:dataValidation>
        <x14:dataValidation type="list" allowBlank="1" showInputMessage="1" showErrorMessage="1">
          <x14:formula1>
            <xm:f>'D4. Ishikawa-chart'!$BK$19:$BK$28</xm:f>
          </x14:formula1>
          <xm:sqref>I19:I28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J88"/>
  <sheetViews>
    <sheetView showWhiteSpace="0" view="pageBreakPreview" zoomScale="55" zoomScaleNormal="50" zoomScaleSheetLayoutView="55" zoomScalePageLayoutView="50" workbookViewId="0">
      <selection activeCell="H2" sqref="H2:L2"/>
    </sheetView>
  </sheetViews>
  <sheetFormatPr defaultColWidth="12.5546875" defaultRowHeight="13.8"/>
  <cols>
    <col min="1" max="1" width="2.6640625" style="222" customWidth="1"/>
    <col min="2" max="2" width="6.44140625" style="218" customWidth="1"/>
    <col min="3" max="3" width="1.44140625" style="218" customWidth="1"/>
    <col min="4" max="4" width="10.33203125" style="218" customWidth="1"/>
    <col min="5" max="5" width="8.44140625" style="218" customWidth="1"/>
    <col min="6" max="6" width="5.33203125" style="218" customWidth="1"/>
    <col min="7" max="7" width="4.44140625" style="218" customWidth="1"/>
    <col min="8" max="8" width="2.44140625" style="218" customWidth="1"/>
    <col min="9" max="9" width="3.44140625" style="218" customWidth="1"/>
    <col min="10" max="10" width="29.44140625" style="218" customWidth="1"/>
    <col min="11" max="11" width="14.33203125" style="218" customWidth="1"/>
    <col min="12" max="12" width="41.6640625" style="218" customWidth="1"/>
    <col min="13" max="13" width="10" style="218" customWidth="1"/>
    <col min="14" max="14" width="1.33203125" style="218" customWidth="1"/>
    <col min="15" max="15" width="9.5546875" style="218" customWidth="1"/>
    <col min="16" max="16" width="25.44140625" style="218" customWidth="1"/>
    <col min="17" max="17" width="7.109375" style="218" customWidth="1"/>
    <col min="18" max="18" width="28.33203125" style="218" customWidth="1"/>
    <col min="19" max="19" width="14.33203125" style="218" customWidth="1"/>
    <col min="20" max="20" width="46.44140625" style="218" customWidth="1"/>
    <col min="21" max="21" width="2.33203125" style="218" customWidth="1"/>
    <col min="22" max="22" width="12.88671875" style="218" customWidth="1"/>
    <col min="23" max="24" width="14.33203125" style="218" customWidth="1"/>
    <col min="25" max="25" width="14.6640625" style="218" customWidth="1"/>
    <col min="26" max="26" width="28" style="218" customWidth="1"/>
    <col min="27" max="27" width="10.88671875" style="218" customWidth="1"/>
    <col min="28" max="28" width="14.5546875" style="218" customWidth="1"/>
    <col min="29" max="30" width="11" style="218" customWidth="1"/>
    <col min="31" max="31" width="13.109375" style="218" customWidth="1"/>
    <col min="32" max="32" width="12.6640625" style="218" customWidth="1"/>
    <col min="33" max="33" width="2.109375" style="218" customWidth="1"/>
    <col min="34" max="238" width="10.33203125" style="218" customWidth="1"/>
    <col min="239" max="16384" width="12.5546875" style="218"/>
  </cols>
  <sheetData>
    <row r="1" spans="1:34" ht="15.6" thickBot="1">
      <c r="A1" s="216"/>
      <c r="B1" s="93"/>
      <c r="C1" s="93"/>
      <c r="D1" s="93"/>
      <c r="E1" s="93"/>
      <c r="F1" s="93"/>
      <c r="G1" s="93"/>
      <c r="H1" s="93"/>
      <c r="I1" s="93"/>
      <c r="J1" s="93"/>
      <c r="K1" s="93"/>
      <c r="L1" s="93"/>
      <c r="M1" s="93"/>
      <c r="N1" s="93"/>
      <c r="O1" s="93"/>
      <c r="P1" s="93"/>
      <c r="Q1" s="93"/>
      <c r="R1" s="93"/>
      <c r="S1" s="93"/>
      <c r="T1" s="93"/>
      <c r="U1" s="93"/>
      <c r="V1" s="217"/>
      <c r="W1" s="217"/>
      <c r="X1" s="217"/>
      <c r="Y1" s="217"/>
      <c r="Z1" s="217"/>
      <c r="AA1" s="217"/>
      <c r="AB1" s="217"/>
      <c r="AC1" s="217"/>
      <c r="AD1" s="217"/>
      <c r="AE1" s="217"/>
      <c r="AF1" s="217"/>
      <c r="AG1" s="217"/>
    </row>
    <row r="2" spans="1:34" ht="49.5" customHeight="1" thickBot="1">
      <c r="A2" s="219"/>
      <c r="B2" s="220"/>
      <c r="C2" s="99"/>
      <c r="D2" s="99"/>
      <c r="E2" s="100"/>
      <c r="F2" s="100"/>
      <c r="G2" s="221"/>
      <c r="H2" s="1689" t="str">
        <f ca="1">INDIRECT('D1-D2-D3'!$J$4&amp;"!C2")&amp;"
"&amp;INDIRECT('D1-D2-D3'!$J$4&amp;"!C179")</f>
        <v>PROBLEM SOLVING SHEET
Corrective Actions - Pictures</v>
      </c>
      <c r="I2" s="1690"/>
      <c r="J2" s="1690"/>
      <c r="K2" s="1690"/>
      <c r="L2" s="1691"/>
      <c r="M2" s="1687" t="str">
        <f ca="1">INDIRECT('D1-D2-D3'!$J$4&amp;"!C3")</f>
        <v>PSS No.</v>
      </c>
      <c r="N2" s="1688"/>
      <c r="O2" s="1688"/>
      <c r="P2" s="287">
        <f>'D1-D2-D3'!$AI$4</f>
        <v>0</v>
      </c>
      <c r="Q2" s="1685" t="s">
        <v>454</v>
      </c>
      <c r="R2" s="1686"/>
      <c r="S2" s="877" t="s">
        <v>1743</v>
      </c>
      <c r="T2" s="878" t="str">
        <f ca="1">INDIRECT('D1-D2-D3'!$J$4&amp;"!C178")</f>
        <v>Page 4: D4-D5-D6</v>
      </c>
      <c r="U2" s="103"/>
      <c r="W2" s="104"/>
      <c r="X2" s="104"/>
      <c r="Y2" s="1363"/>
      <c r="Z2" s="1363"/>
      <c r="AA2" s="1363"/>
      <c r="AB2" s="1363"/>
      <c r="AC2" s="1363"/>
      <c r="AD2" s="1363"/>
      <c r="AE2" s="1363"/>
      <c r="AF2" s="1363"/>
      <c r="AG2" s="32"/>
      <c r="AH2" s="222"/>
    </row>
    <row r="3" spans="1:34" ht="10.5" customHeight="1" thickBot="1">
      <c r="B3" s="223"/>
      <c r="C3" s="107"/>
      <c r="D3" s="107"/>
      <c r="E3" s="108"/>
      <c r="F3" s="108"/>
      <c r="G3" s="31"/>
      <c r="H3" s="31"/>
      <c r="I3" s="109"/>
      <c r="J3" s="109"/>
      <c r="K3" s="109"/>
      <c r="L3" s="109"/>
      <c r="M3" s="224"/>
      <c r="N3" s="224"/>
      <c r="O3" s="224"/>
      <c r="P3" s="224"/>
      <c r="Q3" s="224"/>
      <c r="R3" s="224"/>
      <c r="S3" s="224"/>
      <c r="T3" s="225"/>
      <c r="U3" s="109"/>
      <c r="V3" s="109"/>
      <c r="W3" s="109"/>
      <c r="X3" s="109"/>
      <c r="Y3" s="32"/>
      <c r="Z3" s="32"/>
      <c r="AA3" s="32"/>
      <c r="AB3" s="32"/>
      <c r="AC3" s="32"/>
      <c r="AD3" s="32"/>
      <c r="AE3" s="32"/>
      <c r="AF3" s="32"/>
      <c r="AG3" s="32"/>
      <c r="AH3" s="222"/>
    </row>
    <row r="4" spans="1:34" ht="34.5" customHeight="1">
      <c r="A4" s="226"/>
      <c r="B4" s="1682" t="str">
        <f ca="1">INDIRECT('D1-D2-D3'!$J$4&amp;"!C182")</f>
        <v>Picture 1</v>
      </c>
      <c r="C4" s="288"/>
      <c r="D4" s="1710" t="str">
        <f ca="1">INDIRECT('D1-D2-D3'!$J$4&amp;"!C180")</f>
        <v>Before</v>
      </c>
      <c r="E4" s="1710"/>
      <c r="F4" s="1710"/>
      <c r="G4" s="1710"/>
      <c r="H4" s="1710"/>
      <c r="I4" s="1710"/>
      <c r="J4" s="1710"/>
      <c r="K4" s="1710"/>
      <c r="L4" s="1710"/>
      <c r="M4" s="1710"/>
      <c r="N4" s="881"/>
      <c r="O4" s="1711" t="str">
        <f ca="1">INDIRECT('D1-D2-D3'!$J$4&amp;"!C181")</f>
        <v>After</v>
      </c>
      <c r="P4" s="1711"/>
      <c r="Q4" s="1711"/>
      <c r="R4" s="1711"/>
      <c r="S4" s="1711"/>
      <c r="T4" s="1712"/>
      <c r="U4" s="21"/>
      <c r="V4" s="126"/>
      <c r="W4" s="126"/>
      <c r="X4" s="126"/>
      <c r="Y4" s="126"/>
      <c r="Z4" s="126"/>
      <c r="AA4" s="126"/>
      <c r="AB4" s="126"/>
      <c r="AC4" s="126"/>
      <c r="AD4" s="126"/>
      <c r="AE4" s="126"/>
      <c r="AF4" s="126"/>
      <c r="AG4" s="187"/>
      <c r="AH4" s="222"/>
    </row>
    <row r="5" spans="1:34" ht="99.9" customHeight="1">
      <c r="A5" s="226"/>
      <c r="B5" s="1683"/>
      <c r="C5" s="289"/>
      <c r="D5" s="1704"/>
      <c r="E5" s="1704"/>
      <c r="F5" s="1704"/>
      <c r="G5" s="1704"/>
      <c r="H5" s="1704"/>
      <c r="I5" s="1704"/>
      <c r="J5" s="1704"/>
      <c r="K5" s="1704"/>
      <c r="L5" s="1704"/>
      <c r="M5" s="1704"/>
      <c r="N5" s="882"/>
      <c r="O5" s="1705"/>
      <c r="P5" s="1705"/>
      <c r="Q5" s="1705"/>
      <c r="R5" s="1705"/>
      <c r="S5" s="1705"/>
      <c r="T5" s="1706"/>
      <c r="U5" s="228"/>
      <c r="V5" s="126"/>
      <c r="W5" s="126"/>
      <c r="X5" s="126"/>
      <c r="Y5" s="126"/>
      <c r="Z5" s="126"/>
      <c r="AA5" s="126"/>
      <c r="AB5" s="126"/>
      <c r="AC5" s="126"/>
      <c r="AD5" s="126"/>
      <c r="AE5" s="126"/>
      <c r="AF5" s="126"/>
      <c r="AG5" s="127"/>
      <c r="AH5" s="222"/>
    </row>
    <row r="6" spans="1:34" ht="99.9" customHeight="1">
      <c r="A6" s="226"/>
      <c r="B6" s="1683"/>
      <c r="C6" s="289"/>
      <c r="D6" s="1704"/>
      <c r="E6" s="1704"/>
      <c r="F6" s="1704"/>
      <c r="G6" s="1704"/>
      <c r="H6" s="1704"/>
      <c r="I6" s="1704"/>
      <c r="J6" s="1704"/>
      <c r="K6" s="1704"/>
      <c r="L6" s="1704"/>
      <c r="M6" s="1704"/>
      <c r="N6" s="882"/>
      <c r="O6" s="1705"/>
      <c r="P6" s="1705"/>
      <c r="Q6" s="1705"/>
      <c r="R6" s="1705"/>
      <c r="S6" s="1705"/>
      <c r="T6" s="1706"/>
      <c r="U6" s="228"/>
      <c r="V6" s="126"/>
      <c r="W6" s="126"/>
      <c r="X6" s="126"/>
      <c r="Y6" s="126"/>
      <c r="Z6" s="126"/>
      <c r="AA6" s="126"/>
      <c r="AB6" s="126"/>
      <c r="AC6" s="126"/>
      <c r="AD6" s="126"/>
      <c r="AE6" s="126"/>
      <c r="AF6" s="126"/>
      <c r="AG6" s="127"/>
      <c r="AH6" s="222"/>
    </row>
    <row r="7" spans="1:34" ht="99.9" customHeight="1">
      <c r="A7" s="226"/>
      <c r="B7" s="1683"/>
      <c r="C7" s="289"/>
      <c r="D7" s="1704"/>
      <c r="E7" s="1704"/>
      <c r="F7" s="1704"/>
      <c r="G7" s="1704"/>
      <c r="H7" s="1704"/>
      <c r="I7" s="1704"/>
      <c r="J7" s="1704"/>
      <c r="K7" s="1704"/>
      <c r="L7" s="1704"/>
      <c r="M7" s="1704"/>
      <c r="N7" s="882"/>
      <c r="O7" s="1705"/>
      <c r="P7" s="1705"/>
      <c r="Q7" s="1705"/>
      <c r="R7" s="1705"/>
      <c r="S7" s="1705"/>
      <c r="T7" s="1706"/>
      <c r="U7" s="228"/>
      <c r="V7" s="126"/>
      <c r="W7" s="126"/>
      <c r="X7" s="126"/>
      <c r="Y7" s="126"/>
      <c r="Z7" s="126"/>
      <c r="AA7" s="126"/>
      <c r="AB7" s="126"/>
      <c r="AC7" s="126"/>
      <c r="AD7" s="126"/>
      <c r="AE7" s="126"/>
      <c r="AF7" s="126"/>
      <c r="AG7" s="127"/>
      <c r="AH7" s="222"/>
    </row>
    <row r="8" spans="1:34" ht="28.5" customHeight="1">
      <c r="A8" s="226"/>
      <c r="B8" s="1683"/>
      <c r="C8" s="289"/>
      <c r="D8" s="1700" t="str">
        <f ca="1">INDIRECT('D1-D2-D3'!$J$4&amp;"!C93")&amp;":"</f>
        <v>Comments:</v>
      </c>
      <c r="E8" s="1700"/>
      <c r="F8" s="1700"/>
      <c r="G8" s="1700"/>
      <c r="H8" s="1696"/>
      <c r="I8" s="1696"/>
      <c r="J8" s="1696"/>
      <c r="K8" s="1696"/>
      <c r="L8" s="1696"/>
      <c r="M8" s="1696"/>
      <c r="N8" s="1696"/>
      <c r="O8" s="1696"/>
      <c r="P8" s="1696"/>
      <c r="Q8" s="1696"/>
      <c r="R8" s="1696"/>
      <c r="S8" s="1696"/>
      <c r="T8" s="1697"/>
      <c r="U8" s="229"/>
      <c r="V8" s="126"/>
      <c r="W8" s="126"/>
      <c r="X8" s="126"/>
      <c r="Y8" s="126"/>
      <c r="Z8" s="126"/>
      <c r="AA8" s="126"/>
      <c r="AB8" s="126"/>
      <c r="AC8" s="126"/>
      <c r="AD8" s="126"/>
      <c r="AE8" s="126"/>
      <c r="AF8" s="126"/>
      <c r="AG8" s="127"/>
      <c r="AH8" s="222"/>
    </row>
    <row r="9" spans="1:34" ht="25.5" customHeight="1">
      <c r="A9" s="226"/>
      <c r="B9" s="1683"/>
      <c r="C9" s="289"/>
      <c r="D9" s="1700"/>
      <c r="E9" s="1700"/>
      <c r="F9" s="1700"/>
      <c r="G9" s="1700"/>
      <c r="H9" s="1696"/>
      <c r="I9" s="1696"/>
      <c r="J9" s="1696"/>
      <c r="K9" s="1696"/>
      <c r="L9" s="1696"/>
      <c r="M9" s="1696"/>
      <c r="N9" s="1696"/>
      <c r="O9" s="1696"/>
      <c r="P9" s="1696"/>
      <c r="Q9" s="1696"/>
      <c r="R9" s="1696"/>
      <c r="S9" s="1696"/>
      <c r="T9" s="1697"/>
      <c r="U9" s="230"/>
      <c r="V9" s="126"/>
      <c r="W9" s="126"/>
      <c r="X9" s="126"/>
      <c r="Y9" s="126"/>
      <c r="Z9" s="126"/>
      <c r="AA9" s="126"/>
      <c r="AB9" s="126"/>
      <c r="AC9" s="126"/>
      <c r="AD9" s="126"/>
      <c r="AE9" s="126"/>
      <c r="AF9" s="126"/>
      <c r="AG9" s="127"/>
      <c r="AH9" s="222"/>
    </row>
    <row r="10" spans="1:34" ht="33.75" customHeight="1" thickBot="1">
      <c r="A10" s="226"/>
      <c r="B10" s="1684"/>
      <c r="C10" s="290"/>
      <c r="D10" s="1701"/>
      <c r="E10" s="1701"/>
      <c r="F10" s="1701"/>
      <c r="G10" s="1701"/>
      <c r="H10" s="1698"/>
      <c r="I10" s="1698"/>
      <c r="J10" s="1698"/>
      <c r="K10" s="1698"/>
      <c r="L10" s="1698"/>
      <c r="M10" s="1698"/>
      <c r="N10" s="1698"/>
      <c r="O10" s="1698"/>
      <c r="P10" s="1698"/>
      <c r="Q10" s="1698"/>
      <c r="R10" s="1698"/>
      <c r="S10" s="1698"/>
      <c r="T10" s="1699"/>
      <c r="U10" s="230"/>
      <c r="V10" s="126"/>
      <c r="W10" s="126"/>
      <c r="X10" s="126"/>
      <c r="Y10" s="126"/>
      <c r="Z10" s="126"/>
      <c r="AA10" s="126"/>
      <c r="AB10" s="126"/>
      <c r="AC10" s="126"/>
      <c r="AD10" s="126"/>
      <c r="AE10" s="126"/>
      <c r="AF10" s="126"/>
      <c r="AG10" s="127"/>
      <c r="AH10" s="222"/>
    </row>
    <row r="11" spans="1:34" ht="34.5" customHeight="1">
      <c r="A11" s="226"/>
      <c r="B11" s="1682" t="str">
        <f ca="1">INDIRECT('D1-D2-D3'!$J$4&amp;"!C183")</f>
        <v>Picture 2</v>
      </c>
      <c r="C11" s="288"/>
      <c r="D11" s="1707" t="str">
        <f ca="1">INDIRECT('D1-D2-D3'!$J$4&amp;"!C180")</f>
        <v>Before</v>
      </c>
      <c r="E11" s="1707"/>
      <c r="F11" s="1707"/>
      <c r="G11" s="1707"/>
      <c r="H11" s="1707"/>
      <c r="I11" s="1707"/>
      <c r="J11" s="1707"/>
      <c r="K11" s="1707"/>
      <c r="L11" s="1707"/>
      <c r="M11" s="1707"/>
      <c r="N11" s="361"/>
      <c r="O11" s="1708" t="str">
        <f ca="1">INDIRECT('D1-D2-D3'!$J$4&amp;"!C181")</f>
        <v>After</v>
      </c>
      <c r="P11" s="1708"/>
      <c r="Q11" s="1708"/>
      <c r="R11" s="1708"/>
      <c r="S11" s="1708"/>
      <c r="T11" s="1709"/>
      <c r="U11" s="21"/>
      <c r="V11" s="126"/>
      <c r="W11" s="126"/>
      <c r="X11" s="126"/>
      <c r="Y11" s="126"/>
      <c r="Z11" s="126"/>
      <c r="AA11" s="126"/>
      <c r="AB11" s="126"/>
      <c r="AC11" s="126"/>
      <c r="AD11" s="126"/>
      <c r="AE11" s="126"/>
      <c r="AF11" s="126"/>
      <c r="AG11" s="187"/>
      <c r="AH11" s="222"/>
    </row>
    <row r="12" spans="1:34" ht="99.9" customHeight="1">
      <c r="A12" s="226"/>
      <c r="B12" s="1683"/>
      <c r="C12" s="289"/>
      <c r="D12" s="1704"/>
      <c r="E12" s="1704"/>
      <c r="F12" s="1704"/>
      <c r="G12" s="1704"/>
      <c r="H12" s="1704"/>
      <c r="I12" s="1704"/>
      <c r="J12" s="1704"/>
      <c r="K12" s="1704"/>
      <c r="L12" s="1704"/>
      <c r="M12" s="1704"/>
      <c r="N12" s="882"/>
      <c r="O12" s="1705"/>
      <c r="P12" s="1705"/>
      <c r="Q12" s="1705"/>
      <c r="R12" s="1705"/>
      <c r="S12" s="1705"/>
      <c r="T12" s="1706"/>
      <c r="U12" s="228"/>
      <c r="V12" s="126"/>
      <c r="W12" s="126"/>
      <c r="X12" s="126"/>
      <c r="Y12" s="126"/>
      <c r="Z12" s="126"/>
      <c r="AA12" s="126"/>
      <c r="AB12" s="126"/>
      <c r="AC12" s="126"/>
      <c r="AD12" s="126"/>
      <c r="AE12" s="126"/>
      <c r="AF12" s="126"/>
      <c r="AG12" s="127"/>
      <c r="AH12" s="222"/>
    </row>
    <row r="13" spans="1:34" ht="99.9" customHeight="1">
      <c r="A13" s="226"/>
      <c r="B13" s="1683"/>
      <c r="C13" s="289"/>
      <c r="D13" s="1704"/>
      <c r="E13" s="1704"/>
      <c r="F13" s="1704"/>
      <c r="G13" s="1704"/>
      <c r="H13" s="1704"/>
      <c r="I13" s="1704"/>
      <c r="J13" s="1704"/>
      <c r="K13" s="1704"/>
      <c r="L13" s="1704"/>
      <c r="M13" s="1704"/>
      <c r="N13" s="882"/>
      <c r="O13" s="1705"/>
      <c r="P13" s="1705"/>
      <c r="Q13" s="1705"/>
      <c r="R13" s="1705"/>
      <c r="S13" s="1705"/>
      <c r="T13" s="1706"/>
      <c r="U13" s="228"/>
      <c r="V13" s="126"/>
      <c r="W13" s="126"/>
      <c r="X13" s="126"/>
      <c r="Y13" s="126"/>
      <c r="Z13" s="126"/>
      <c r="AA13" s="126"/>
      <c r="AB13" s="126"/>
      <c r="AC13" s="126"/>
      <c r="AD13" s="126"/>
      <c r="AE13" s="126"/>
      <c r="AF13" s="126"/>
      <c r="AG13" s="127"/>
      <c r="AH13" s="222"/>
    </row>
    <row r="14" spans="1:34" ht="99.9" customHeight="1">
      <c r="A14" s="226"/>
      <c r="B14" s="1683"/>
      <c r="C14" s="289"/>
      <c r="D14" s="1704"/>
      <c r="E14" s="1704"/>
      <c r="F14" s="1704"/>
      <c r="G14" s="1704"/>
      <c r="H14" s="1704"/>
      <c r="I14" s="1704"/>
      <c r="J14" s="1704"/>
      <c r="K14" s="1704"/>
      <c r="L14" s="1704"/>
      <c r="M14" s="1704"/>
      <c r="N14" s="882"/>
      <c r="O14" s="1705"/>
      <c r="P14" s="1705"/>
      <c r="Q14" s="1705"/>
      <c r="R14" s="1705"/>
      <c r="S14" s="1705"/>
      <c r="T14" s="1706"/>
      <c r="U14" s="228"/>
      <c r="V14" s="126"/>
      <c r="W14" s="126"/>
      <c r="X14" s="126"/>
      <c r="Y14" s="126"/>
      <c r="Z14" s="126"/>
      <c r="AA14" s="126"/>
      <c r="AB14" s="126"/>
      <c r="AC14" s="126"/>
      <c r="AD14" s="126"/>
      <c r="AE14" s="126"/>
      <c r="AF14" s="126"/>
      <c r="AG14" s="127"/>
      <c r="AH14" s="222"/>
    </row>
    <row r="15" spans="1:34" ht="28.5" customHeight="1">
      <c r="A15" s="226"/>
      <c r="B15" s="1683"/>
      <c r="C15" s="289"/>
      <c r="D15" s="1700" t="str">
        <f ca="1">INDIRECT('D1-D2-D3'!$J$4&amp;"!C93")&amp;":"</f>
        <v>Comments:</v>
      </c>
      <c r="E15" s="1700"/>
      <c r="F15" s="1700"/>
      <c r="G15" s="1700"/>
      <c r="H15" s="883"/>
      <c r="I15" s="885"/>
      <c r="J15" s="1692"/>
      <c r="K15" s="1692"/>
      <c r="L15" s="1692"/>
      <c r="M15" s="1692"/>
      <c r="N15" s="1692"/>
      <c r="O15" s="1692"/>
      <c r="P15" s="1692"/>
      <c r="Q15" s="1692"/>
      <c r="R15" s="1692"/>
      <c r="S15" s="1692"/>
      <c r="T15" s="1693"/>
      <c r="U15" s="229"/>
      <c r="V15" s="126"/>
      <c r="W15" s="126"/>
      <c r="X15" s="126"/>
      <c r="Y15" s="126"/>
      <c r="Z15" s="126"/>
      <c r="AA15" s="126"/>
      <c r="AB15" s="126"/>
      <c r="AC15" s="126"/>
      <c r="AD15" s="126"/>
      <c r="AE15" s="126"/>
      <c r="AF15" s="126"/>
      <c r="AG15" s="127"/>
      <c r="AH15" s="222"/>
    </row>
    <row r="16" spans="1:34" ht="25.5" customHeight="1">
      <c r="A16" s="226"/>
      <c r="B16" s="1683"/>
      <c r="C16" s="289"/>
      <c r="D16" s="1700"/>
      <c r="E16" s="1700"/>
      <c r="F16" s="1700"/>
      <c r="G16" s="1700"/>
      <c r="H16" s="885"/>
      <c r="I16" s="883"/>
      <c r="J16" s="1692"/>
      <c r="K16" s="1692"/>
      <c r="L16" s="1692"/>
      <c r="M16" s="1692"/>
      <c r="N16" s="1692"/>
      <c r="O16" s="1692"/>
      <c r="P16" s="1692"/>
      <c r="Q16" s="1692"/>
      <c r="R16" s="1692"/>
      <c r="S16" s="1692"/>
      <c r="T16" s="1693"/>
      <c r="U16" s="230"/>
      <c r="V16" s="126"/>
      <c r="W16" s="126"/>
      <c r="X16" s="126"/>
      <c r="Y16" s="126"/>
      <c r="Z16" s="126"/>
      <c r="AA16" s="126"/>
      <c r="AB16" s="126"/>
      <c r="AC16" s="126"/>
      <c r="AD16" s="126"/>
      <c r="AE16" s="126"/>
      <c r="AF16" s="126"/>
      <c r="AG16" s="127"/>
      <c r="AH16" s="222"/>
    </row>
    <row r="17" spans="1:34" ht="33.75" customHeight="1" thickBot="1">
      <c r="A17" s="226"/>
      <c r="B17" s="1684"/>
      <c r="C17" s="290"/>
      <c r="D17" s="1701"/>
      <c r="E17" s="1701"/>
      <c r="F17" s="1701"/>
      <c r="G17" s="1701"/>
      <c r="H17" s="884"/>
      <c r="I17" s="884"/>
      <c r="J17" s="1694"/>
      <c r="K17" s="1694"/>
      <c r="L17" s="1694"/>
      <c r="M17" s="1694"/>
      <c r="N17" s="1694"/>
      <c r="O17" s="1694"/>
      <c r="P17" s="1694"/>
      <c r="Q17" s="1694"/>
      <c r="R17" s="1694"/>
      <c r="S17" s="1694"/>
      <c r="T17" s="1695"/>
      <c r="U17" s="230"/>
      <c r="V17" s="126"/>
      <c r="W17" s="126"/>
      <c r="X17" s="126"/>
      <c r="Y17" s="126"/>
      <c r="Z17" s="126"/>
      <c r="AA17" s="126"/>
      <c r="AB17" s="126"/>
      <c r="AC17" s="126"/>
      <c r="AD17" s="126"/>
      <c r="AE17" s="126"/>
      <c r="AF17" s="126"/>
      <c r="AG17" s="127"/>
      <c r="AH17" s="222"/>
    </row>
    <row r="18" spans="1:34" ht="34.5" customHeight="1">
      <c r="A18" s="226"/>
      <c r="B18" s="1682" t="str">
        <f ca="1">INDIRECT('D1-D2-D3'!$J$4&amp;"!C184")</f>
        <v>Picture 3</v>
      </c>
      <c r="C18" s="288"/>
      <c r="D18" s="1707" t="str">
        <f ca="1">INDIRECT('D1-D2-D3'!$J$4&amp;"!C180")</f>
        <v>Before</v>
      </c>
      <c r="E18" s="1707"/>
      <c r="F18" s="1707"/>
      <c r="G18" s="1707"/>
      <c r="H18" s="1707"/>
      <c r="I18" s="1707"/>
      <c r="J18" s="1707"/>
      <c r="K18" s="1707"/>
      <c r="L18" s="1707"/>
      <c r="M18" s="1707"/>
      <c r="N18" s="361"/>
      <c r="O18" s="1708" t="str">
        <f ca="1">INDIRECT('D1-D2-D3'!$J$4&amp;"!C181")</f>
        <v>After</v>
      </c>
      <c r="P18" s="1708"/>
      <c r="Q18" s="1708"/>
      <c r="R18" s="1708"/>
      <c r="S18" s="1708"/>
      <c r="T18" s="1709"/>
      <c r="U18" s="21"/>
      <c r="V18" s="126"/>
      <c r="W18" s="126"/>
      <c r="X18" s="126"/>
      <c r="Y18" s="126"/>
      <c r="Z18" s="126"/>
      <c r="AA18" s="126"/>
      <c r="AB18" s="126"/>
      <c r="AC18" s="126"/>
      <c r="AD18" s="126"/>
      <c r="AE18" s="126"/>
      <c r="AF18" s="126"/>
      <c r="AG18" s="187"/>
      <c r="AH18" s="222"/>
    </row>
    <row r="19" spans="1:34" ht="99.9" customHeight="1">
      <c r="A19" s="226"/>
      <c r="B19" s="1683"/>
      <c r="C19" s="289"/>
      <c r="D19" s="1704"/>
      <c r="E19" s="1704"/>
      <c r="F19" s="1704"/>
      <c r="G19" s="1704"/>
      <c r="H19" s="1704"/>
      <c r="I19" s="1704"/>
      <c r="J19" s="1704"/>
      <c r="K19" s="1704"/>
      <c r="L19" s="1704"/>
      <c r="M19" s="1704"/>
      <c r="N19" s="882"/>
      <c r="O19" s="1705"/>
      <c r="P19" s="1705"/>
      <c r="Q19" s="1705"/>
      <c r="R19" s="1705"/>
      <c r="S19" s="1705"/>
      <c r="T19" s="1706"/>
      <c r="U19" s="228"/>
      <c r="V19" s="126"/>
      <c r="W19" s="126"/>
      <c r="X19" s="126"/>
      <c r="Y19" s="126"/>
      <c r="Z19" s="126"/>
      <c r="AA19" s="126"/>
      <c r="AB19" s="126"/>
      <c r="AC19" s="126"/>
      <c r="AD19" s="126"/>
      <c r="AE19" s="126"/>
      <c r="AF19" s="126"/>
      <c r="AG19" s="127"/>
      <c r="AH19" s="222"/>
    </row>
    <row r="20" spans="1:34" ht="99.9" customHeight="1">
      <c r="A20" s="226"/>
      <c r="B20" s="1683"/>
      <c r="C20" s="289"/>
      <c r="D20" s="1704"/>
      <c r="E20" s="1704"/>
      <c r="F20" s="1704"/>
      <c r="G20" s="1704"/>
      <c r="H20" s="1704"/>
      <c r="I20" s="1704"/>
      <c r="J20" s="1704"/>
      <c r="K20" s="1704"/>
      <c r="L20" s="1704"/>
      <c r="M20" s="1704"/>
      <c r="N20" s="882"/>
      <c r="O20" s="1705"/>
      <c r="P20" s="1705"/>
      <c r="Q20" s="1705"/>
      <c r="R20" s="1705"/>
      <c r="S20" s="1705"/>
      <c r="T20" s="1706"/>
      <c r="U20" s="228"/>
      <c r="V20" s="126"/>
      <c r="W20" s="126"/>
      <c r="X20" s="126"/>
      <c r="Y20" s="126"/>
      <c r="Z20" s="126"/>
      <c r="AA20" s="126"/>
      <c r="AB20" s="126"/>
      <c r="AC20" s="126"/>
      <c r="AD20" s="126"/>
      <c r="AE20" s="126"/>
      <c r="AF20" s="126"/>
      <c r="AG20" s="127"/>
      <c r="AH20" s="222"/>
    </row>
    <row r="21" spans="1:34" ht="99.9" customHeight="1">
      <c r="A21" s="226"/>
      <c r="B21" s="1683"/>
      <c r="C21" s="289"/>
      <c r="D21" s="1704"/>
      <c r="E21" s="1704"/>
      <c r="F21" s="1704"/>
      <c r="G21" s="1704"/>
      <c r="H21" s="1704"/>
      <c r="I21" s="1704"/>
      <c r="J21" s="1704"/>
      <c r="K21" s="1704"/>
      <c r="L21" s="1704"/>
      <c r="M21" s="1704"/>
      <c r="N21" s="882"/>
      <c r="O21" s="1705"/>
      <c r="P21" s="1705"/>
      <c r="Q21" s="1705"/>
      <c r="R21" s="1705"/>
      <c r="S21" s="1705"/>
      <c r="T21" s="1706"/>
      <c r="U21" s="228"/>
      <c r="V21" s="126"/>
      <c r="W21" s="126"/>
      <c r="X21" s="126"/>
      <c r="Y21" s="126"/>
      <c r="Z21" s="126"/>
      <c r="AA21" s="126"/>
      <c r="AB21" s="126"/>
      <c r="AC21" s="126"/>
      <c r="AD21" s="126"/>
      <c r="AE21" s="126"/>
      <c r="AF21" s="126"/>
      <c r="AG21" s="127"/>
      <c r="AH21" s="222"/>
    </row>
    <row r="22" spans="1:34" ht="28.5" customHeight="1">
      <c r="A22" s="226"/>
      <c r="B22" s="1683"/>
      <c r="C22" s="289"/>
      <c r="D22" s="1700" t="str">
        <f ca="1">INDIRECT('D1-D2-D3'!$J$4&amp;"!C93")&amp;":"</f>
        <v>Comments:</v>
      </c>
      <c r="E22" s="1700"/>
      <c r="F22" s="1700"/>
      <c r="G22" s="1700"/>
      <c r="H22" s="883"/>
      <c r="I22" s="1696"/>
      <c r="J22" s="1696"/>
      <c r="K22" s="1696"/>
      <c r="L22" s="1696"/>
      <c r="M22" s="1696"/>
      <c r="N22" s="1696"/>
      <c r="O22" s="1696"/>
      <c r="P22" s="1696"/>
      <c r="Q22" s="1696"/>
      <c r="R22" s="1696"/>
      <c r="S22" s="1696"/>
      <c r="T22" s="1697"/>
      <c r="U22" s="229"/>
      <c r="V22" s="126"/>
      <c r="W22" s="126"/>
      <c r="X22" s="126"/>
      <c r="Y22" s="126"/>
      <c r="Z22" s="126"/>
      <c r="AA22" s="126"/>
      <c r="AB22" s="126"/>
      <c r="AC22" s="126"/>
      <c r="AD22" s="126"/>
      <c r="AE22" s="126"/>
      <c r="AF22" s="126"/>
      <c r="AG22" s="127"/>
      <c r="AH22" s="222"/>
    </row>
    <row r="23" spans="1:34" ht="25.5" customHeight="1">
      <c r="A23" s="226"/>
      <c r="B23" s="1683"/>
      <c r="C23" s="289"/>
      <c r="D23" s="1700"/>
      <c r="E23" s="1700"/>
      <c r="F23" s="1700"/>
      <c r="G23" s="1700"/>
      <c r="H23" s="885"/>
      <c r="I23" s="1696"/>
      <c r="J23" s="1696"/>
      <c r="K23" s="1696"/>
      <c r="L23" s="1696"/>
      <c r="M23" s="1696"/>
      <c r="N23" s="1696"/>
      <c r="O23" s="1696"/>
      <c r="P23" s="1696"/>
      <c r="Q23" s="1696"/>
      <c r="R23" s="1696"/>
      <c r="S23" s="1696"/>
      <c r="T23" s="1697"/>
      <c r="U23" s="230"/>
      <c r="V23" s="126"/>
      <c r="W23" s="126"/>
      <c r="X23" s="126"/>
      <c r="Y23" s="126"/>
      <c r="Z23" s="126"/>
      <c r="AA23" s="126"/>
      <c r="AB23" s="126"/>
      <c r="AC23" s="126"/>
      <c r="AD23" s="126"/>
      <c r="AE23" s="126"/>
      <c r="AF23" s="126"/>
      <c r="AG23" s="127"/>
      <c r="AH23" s="222"/>
    </row>
    <row r="24" spans="1:34" ht="33.75" customHeight="1" thickBot="1">
      <c r="A24" s="226"/>
      <c r="B24" s="1684"/>
      <c r="C24" s="290"/>
      <c r="D24" s="1701"/>
      <c r="E24" s="1701"/>
      <c r="F24" s="1701"/>
      <c r="G24" s="1701"/>
      <c r="H24" s="884"/>
      <c r="I24" s="1698"/>
      <c r="J24" s="1698"/>
      <c r="K24" s="1698"/>
      <c r="L24" s="1698"/>
      <c r="M24" s="1698"/>
      <c r="N24" s="1698"/>
      <c r="O24" s="1698"/>
      <c r="P24" s="1698"/>
      <c r="Q24" s="1698"/>
      <c r="R24" s="1698"/>
      <c r="S24" s="1698"/>
      <c r="T24" s="1699"/>
      <c r="U24" s="230"/>
      <c r="V24" s="126"/>
      <c r="W24" s="126"/>
      <c r="X24" s="126"/>
      <c r="Y24" s="126"/>
      <c r="Z24" s="126"/>
      <c r="AA24" s="126"/>
      <c r="AB24" s="126"/>
      <c r="AC24" s="126"/>
      <c r="AD24" s="126"/>
      <c r="AE24" s="126"/>
      <c r="AF24" s="126"/>
      <c r="AG24" s="127"/>
      <c r="AH24" s="222"/>
    </row>
    <row r="25" spans="1:34" ht="34.5" customHeight="1">
      <c r="A25" s="226"/>
      <c r="B25" s="1682" t="str">
        <f ca="1">INDIRECT('D1-D2-D3'!$J$4&amp;"!C185")</f>
        <v>Picture 4</v>
      </c>
      <c r="C25" s="288"/>
      <c r="D25" s="1707" t="str">
        <f ca="1">INDIRECT('D1-D2-D3'!$J$4&amp;"!C180")</f>
        <v>Before</v>
      </c>
      <c r="E25" s="1707"/>
      <c r="F25" s="1707"/>
      <c r="G25" s="1707"/>
      <c r="H25" s="1707"/>
      <c r="I25" s="1707"/>
      <c r="J25" s="1707"/>
      <c r="K25" s="1707"/>
      <c r="L25" s="1707"/>
      <c r="M25" s="1707"/>
      <c r="N25" s="361"/>
      <c r="O25" s="1708" t="str">
        <f ca="1">INDIRECT('D1-D2-D3'!$J$4&amp;"!C181")</f>
        <v>After</v>
      </c>
      <c r="P25" s="1708"/>
      <c r="Q25" s="1708"/>
      <c r="R25" s="1708"/>
      <c r="S25" s="1708"/>
      <c r="T25" s="1709"/>
      <c r="U25" s="21"/>
      <c r="V25" s="126"/>
      <c r="W25" s="126"/>
      <c r="X25" s="126"/>
      <c r="Y25" s="126"/>
      <c r="Z25" s="126"/>
      <c r="AA25" s="126"/>
      <c r="AB25" s="126"/>
      <c r="AC25" s="126"/>
      <c r="AD25" s="126"/>
      <c r="AE25" s="126"/>
      <c r="AF25" s="126"/>
      <c r="AG25" s="187"/>
      <c r="AH25" s="222"/>
    </row>
    <row r="26" spans="1:34" ht="99.9" customHeight="1">
      <c r="A26" s="226"/>
      <c r="B26" s="1683"/>
      <c r="C26" s="289"/>
      <c r="D26" s="1704"/>
      <c r="E26" s="1704"/>
      <c r="F26" s="1704"/>
      <c r="G26" s="1704"/>
      <c r="H26" s="1704"/>
      <c r="I26" s="1704"/>
      <c r="J26" s="1704"/>
      <c r="K26" s="1704"/>
      <c r="L26" s="1704"/>
      <c r="M26" s="1704"/>
      <c r="N26" s="882"/>
      <c r="O26" s="1705"/>
      <c r="P26" s="1705"/>
      <c r="Q26" s="1705"/>
      <c r="R26" s="1705"/>
      <c r="S26" s="1705"/>
      <c r="T26" s="1706"/>
      <c r="U26" s="228"/>
      <c r="V26" s="126"/>
      <c r="W26" s="126"/>
      <c r="X26" s="126"/>
      <c r="Y26" s="126"/>
      <c r="Z26" s="126"/>
      <c r="AA26" s="126"/>
      <c r="AB26" s="126"/>
      <c r="AC26" s="126"/>
      <c r="AD26" s="126"/>
      <c r="AE26" s="126"/>
      <c r="AF26" s="126"/>
      <c r="AG26" s="127"/>
      <c r="AH26" s="222"/>
    </row>
    <row r="27" spans="1:34" ht="99.9" customHeight="1">
      <c r="A27" s="226"/>
      <c r="B27" s="1683"/>
      <c r="C27" s="289"/>
      <c r="D27" s="1704"/>
      <c r="E27" s="1704"/>
      <c r="F27" s="1704"/>
      <c r="G27" s="1704"/>
      <c r="H27" s="1704"/>
      <c r="I27" s="1704"/>
      <c r="J27" s="1704"/>
      <c r="K27" s="1704"/>
      <c r="L27" s="1704"/>
      <c r="M27" s="1704"/>
      <c r="N27" s="882"/>
      <c r="O27" s="1705"/>
      <c r="P27" s="1705"/>
      <c r="Q27" s="1705"/>
      <c r="R27" s="1705"/>
      <c r="S27" s="1705"/>
      <c r="T27" s="1706"/>
      <c r="U27" s="228"/>
      <c r="V27" s="126"/>
      <c r="W27" s="126"/>
      <c r="X27" s="126"/>
      <c r="Y27" s="126"/>
      <c r="Z27" s="126"/>
      <c r="AA27" s="126"/>
      <c r="AB27" s="126"/>
      <c r="AC27" s="126"/>
      <c r="AD27" s="126"/>
      <c r="AE27" s="126"/>
      <c r="AF27" s="126"/>
      <c r="AG27" s="127"/>
      <c r="AH27" s="222"/>
    </row>
    <row r="28" spans="1:34" ht="99.9" customHeight="1">
      <c r="A28" s="226"/>
      <c r="B28" s="1683"/>
      <c r="C28" s="289"/>
      <c r="D28" s="1704"/>
      <c r="E28" s="1704"/>
      <c r="F28" s="1704"/>
      <c r="G28" s="1704"/>
      <c r="H28" s="1704"/>
      <c r="I28" s="1704"/>
      <c r="J28" s="1704"/>
      <c r="K28" s="1704"/>
      <c r="L28" s="1704"/>
      <c r="M28" s="1704"/>
      <c r="N28" s="882"/>
      <c r="O28" s="1705"/>
      <c r="P28" s="1705"/>
      <c r="Q28" s="1705"/>
      <c r="R28" s="1705"/>
      <c r="S28" s="1705"/>
      <c r="T28" s="1706"/>
      <c r="U28" s="228"/>
      <c r="V28" s="126"/>
      <c r="W28" s="126"/>
      <c r="X28" s="126"/>
      <c r="Y28" s="126"/>
      <c r="Z28" s="126"/>
      <c r="AA28" s="126"/>
      <c r="AB28" s="126"/>
      <c r="AC28" s="126"/>
      <c r="AD28" s="126"/>
      <c r="AE28" s="126"/>
      <c r="AF28" s="126"/>
      <c r="AG28" s="127"/>
      <c r="AH28" s="222"/>
    </row>
    <row r="29" spans="1:34" ht="28.5" customHeight="1">
      <c r="A29" s="226"/>
      <c r="B29" s="1683"/>
      <c r="C29" s="289"/>
      <c r="D29" s="1700" t="str">
        <f ca="1">INDIRECT('D1-D2-D3'!$J$4&amp;"!C93")&amp;":"</f>
        <v>Comments:</v>
      </c>
      <c r="E29" s="1700"/>
      <c r="F29" s="1700"/>
      <c r="G29" s="1700"/>
      <c r="H29" s="1696"/>
      <c r="I29" s="1696"/>
      <c r="J29" s="1696"/>
      <c r="K29" s="1696"/>
      <c r="L29" s="1696"/>
      <c r="M29" s="1696"/>
      <c r="N29" s="1696"/>
      <c r="O29" s="1696"/>
      <c r="P29" s="1696"/>
      <c r="Q29" s="1696"/>
      <c r="R29" s="1696"/>
      <c r="S29" s="1696"/>
      <c r="T29" s="1697"/>
      <c r="U29" s="229"/>
      <c r="V29" s="126"/>
      <c r="W29" s="126"/>
      <c r="X29" s="126"/>
      <c r="Y29" s="126"/>
      <c r="Z29" s="126"/>
      <c r="AA29" s="126"/>
      <c r="AB29" s="126"/>
      <c r="AC29" s="126"/>
      <c r="AD29" s="126"/>
      <c r="AE29" s="126"/>
      <c r="AF29" s="126"/>
      <c r="AG29" s="127"/>
      <c r="AH29" s="222"/>
    </row>
    <row r="30" spans="1:34" ht="25.5" customHeight="1">
      <c r="A30" s="226"/>
      <c r="B30" s="1683"/>
      <c r="C30" s="289"/>
      <c r="D30" s="1700"/>
      <c r="E30" s="1700"/>
      <c r="F30" s="1700"/>
      <c r="G30" s="1700"/>
      <c r="H30" s="1696"/>
      <c r="I30" s="1696"/>
      <c r="J30" s="1696"/>
      <c r="K30" s="1696"/>
      <c r="L30" s="1696"/>
      <c r="M30" s="1696"/>
      <c r="N30" s="1696"/>
      <c r="O30" s="1696"/>
      <c r="P30" s="1696"/>
      <c r="Q30" s="1696"/>
      <c r="R30" s="1696"/>
      <c r="S30" s="1696"/>
      <c r="T30" s="1697"/>
      <c r="U30" s="230"/>
      <c r="V30" s="126"/>
      <c r="W30" s="126"/>
      <c r="X30" s="126"/>
      <c r="Y30" s="126"/>
      <c r="Z30" s="126"/>
      <c r="AA30" s="126"/>
      <c r="AB30" s="126"/>
      <c r="AC30" s="126"/>
      <c r="AD30" s="126"/>
      <c r="AE30" s="126"/>
      <c r="AF30" s="126"/>
      <c r="AG30" s="127"/>
      <c r="AH30" s="222"/>
    </row>
    <row r="31" spans="1:34" ht="19.5" customHeight="1" thickBot="1">
      <c r="A31" s="226"/>
      <c r="B31" s="1684"/>
      <c r="C31" s="290"/>
      <c r="D31" s="1701"/>
      <c r="E31" s="1701"/>
      <c r="F31" s="1701"/>
      <c r="G31" s="1701"/>
      <c r="H31" s="1698"/>
      <c r="I31" s="1698"/>
      <c r="J31" s="1698"/>
      <c r="K31" s="1698"/>
      <c r="L31" s="1698"/>
      <c r="M31" s="1698"/>
      <c r="N31" s="1698"/>
      <c r="O31" s="1698"/>
      <c r="P31" s="1698"/>
      <c r="Q31" s="1698"/>
      <c r="R31" s="1698"/>
      <c r="S31" s="1698"/>
      <c r="T31" s="1699"/>
      <c r="U31" s="230"/>
      <c r="V31" s="126"/>
      <c r="W31" s="126"/>
      <c r="X31" s="126"/>
      <c r="Y31" s="126"/>
      <c r="Z31" s="126"/>
      <c r="AA31" s="126"/>
      <c r="AB31" s="126"/>
      <c r="AC31" s="126"/>
      <c r="AD31" s="126"/>
      <c r="AE31" s="126"/>
      <c r="AF31" s="126"/>
      <c r="AG31" s="127"/>
      <c r="AH31" s="222"/>
    </row>
    <row r="32" spans="1:34" ht="3" hidden="1" customHeight="1" thickBot="1">
      <c r="A32" s="226"/>
      <c r="B32" s="360"/>
      <c r="C32" s="289"/>
      <c r="D32" s="883"/>
      <c r="E32" s="883"/>
      <c r="F32" s="883"/>
      <c r="G32" s="883"/>
      <c r="H32" s="883"/>
      <c r="I32" s="883"/>
      <c r="J32" s="883"/>
      <c r="K32" s="883"/>
      <c r="L32" s="883"/>
      <c r="M32" s="883"/>
      <c r="N32" s="883"/>
      <c r="O32" s="883"/>
      <c r="P32" s="883"/>
      <c r="Q32" s="883"/>
      <c r="R32" s="883"/>
      <c r="S32" s="883"/>
      <c r="T32" s="883"/>
      <c r="U32" s="230"/>
      <c r="V32" s="126"/>
      <c r="W32" s="126"/>
      <c r="X32" s="126"/>
      <c r="Y32" s="126"/>
      <c r="Z32" s="126"/>
      <c r="AA32" s="126"/>
      <c r="AB32" s="126"/>
      <c r="AC32" s="126"/>
      <c r="AD32" s="126"/>
      <c r="AE32" s="126"/>
      <c r="AF32" s="126"/>
      <c r="AG32" s="127"/>
      <c r="AH32" s="222"/>
    </row>
    <row r="33" spans="1:36" ht="34.5" customHeight="1">
      <c r="A33" s="226"/>
      <c r="B33" s="1682" t="str">
        <f ca="1">INDIRECT('D1-D2-D3'!$J$4&amp;"!C186")</f>
        <v>Picture 5</v>
      </c>
      <c r="C33" s="288"/>
      <c r="D33" s="1707" t="str">
        <f ca="1">INDIRECT('D1-D2-D3'!$J$4&amp;"!C180")</f>
        <v>Before</v>
      </c>
      <c r="E33" s="1707"/>
      <c r="F33" s="1707"/>
      <c r="G33" s="1707"/>
      <c r="H33" s="1707"/>
      <c r="I33" s="1707"/>
      <c r="J33" s="1707"/>
      <c r="K33" s="1707"/>
      <c r="L33" s="1707"/>
      <c r="M33" s="1707"/>
      <c r="N33" s="361"/>
      <c r="O33" s="1708" t="str">
        <f ca="1">INDIRECT('D1-D2-D3'!$J$4&amp;"!C181")</f>
        <v>After</v>
      </c>
      <c r="P33" s="1708"/>
      <c r="Q33" s="1708"/>
      <c r="R33" s="1708"/>
      <c r="S33" s="1708"/>
      <c r="T33" s="1709"/>
      <c r="U33" s="21"/>
      <c r="V33" s="126"/>
      <c r="W33" s="126"/>
      <c r="X33" s="126"/>
      <c r="Y33" s="126"/>
      <c r="Z33" s="126"/>
      <c r="AA33" s="126"/>
      <c r="AB33" s="126"/>
      <c r="AC33" s="126"/>
      <c r="AD33" s="126"/>
      <c r="AE33" s="126"/>
      <c r="AF33" s="126"/>
      <c r="AG33" s="187"/>
      <c r="AH33" s="222"/>
    </row>
    <row r="34" spans="1:36" ht="99.9" customHeight="1">
      <c r="A34" s="226"/>
      <c r="B34" s="1683"/>
      <c r="C34" s="289"/>
      <c r="D34" s="1704"/>
      <c r="E34" s="1704"/>
      <c r="F34" s="1704"/>
      <c r="G34" s="1704"/>
      <c r="H34" s="1704"/>
      <c r="I34" s="1704"/>
      <c r="J34" s="1704"/>
      <c r="K34" s="1704"/>
      <c r="L34" s="1704"/>
      <c r="M34" s="1704"/>
      <c r="N34" s="882"/>
      <c r="O34" s="1705"/>
      <c r="P34" s="1705"/>
      <c r="Q34" s="1705"/>
      <c r="R34" s="1705"/>
      <c r="S34" s="1705"/>
      <c r="T34" s="1706"/>
      <c r="U34" s="228"/>
      <c r="V34" s="126"/>
      <c r="W34" s="126"/>
      <c r="X34" s="126"/>
      <c r="Y34" s="126"/>
      <c r="Z34" s="126"/>
      <c r="AA34" s="126"/>
      <c r="AB34" s="126"/>
      <c r="AC34" s="126"/>
      <c r="AD34" s="126"/>
      <c r="AE34" s="126"/>
      <c r="AF34" s="126"/>
      <c r="AG34" s="127"/>
      <c r="AH34" s="222"/>
    </row>
    <row r="35" spans="1:36" ht="99.9" customHeight="1">
      <c r="A35" s="226"/>
      <c r="B35" s="1683"/>
      <c r="C35" s="289"/>
      <c r="D35" s="1704"/>
      <c r="E35" s="1704"/>
      <c r="F35" s="1704"/>
      <c r="G35" s="1704"/>
      <c r="H35" s="1704"/>
      <c r="I35" s="1704"/>
      <c r="J35" s="1704"/>
      <c r="K35" s="1704"/>
      <c r="L35" s="1704"/>
      <c r="M35" s="1704"/>
      <c r="N35" s="882"/>
      <c r="O35" s="1705"/>
      <c r="P35" s="1705"/>
      <c r="Q35" s="1705"/>
      <c r="R35" s="1705"/>
      <c r="S35" s="1705"/>
      <c r="T35" s="1706"/>
      <c r="U35" s="228"/>
      <c r="V35" s="126"/>
      <c r="W35" s="126"/>
      <c r="X35" s="126"/>
      <c r="Y35" s="126"/>
      <c r="Z35" s="126"/>
      <c r="AA35" s="126"/>
      <c r="AB35" s="126"/>
      <c r="AC35" s="126"/>
      <c r="AD35" s="126"/>
      <c r="AE35" s="126"/>
      <c r="AF35" s="126"/>
      <c r="AG35" s="127"/>
      <c r="AH35" s="222"/>
    </row>
    <row r="36" spans="1:36" ht="99.9" customHeight="1">
      <c r="A36" s="226"/>
      <c r="B36" s="1683"/>
      <c r="C36" s="289"/>
      <c r="D36" s="1704"/>
      <c r="E36" s="1704"/>
      <c r="F36" s="1704"/>
      <c r="G36" s="1704"/>
      <c r="H36" s="1704"/>
      <c r="I36" s="1704"/>
      <c r="J36" s="1704"/>
      <c r="K36" s="1704"/>
      <c r="L36" s="1704"/>
      <c r="M36" s="1704"/>
      <c r="N36" s="882"/>
      <c r="O36" s="1705"/>
      <c r="P36" s="1705"/>
      <c r="Q36" s="1705"/>
      <c r="R36" s="1705"/>
      <c r="S36" s="1705"/>
      <c r="T36" s="1706"/>
      <c r="U36" s="228"/>
      <c r="V36" s="126"/>
      <c r="W36" s="126"/>
      <c r="X36" s="126"/>
      <c r="Y36" s="126"/>
      <c r="Z36" s="126"/>
      <c r="AA36" s="126"/>
      <c r="AB36" s="126"/>
      <c r="AC36" s="126"/>
      <c r="AD36" s="126"/>
      <c r="AE36" s="126"/>
      <c r="AF36" s="126"/>
      <c r="AG36" s="127"/>
      <c r="AH36" s="222"/>
    </row>
    <row r="37" spans="1:36" ht="28.5" customHeight="1">
      <c r="A37" s="226"/>
      <c r="B37" s="1683"/>
      <c r="C37" s="289"/>
      <c r="D37" s="1700" t="str">
        <f ca="1">INDIRECT('D1-D2-D3'!$J$4&amp;"!C93")&amp;":"</f>
        <v>Comments:</v>
      </c>
      <c r="E37" s="1700"/>
      <c r="F37" s="1700"/>
      <c r="G37" s="1700"/>
      <c r="H37" s="1696"/>
      <c r="I37" s="1696"/>
      <c r="J37" s="1696"/>
      <c r="K37" s="1696"/>
      <c r="L37" s="1696"/>
      <c r="M37" s="1696"/>
      <c r="N37" s="1696"/>
      <c r="O37" s="1696"/>
      <c r="P37" s="1696"/>
      <c r="Q37" s="1696"/>
      <c r="R37" s="1696"/>
      <c r="S37" s="1696"/>
      <c r="T37" s="1697"/>
      <c r="U37" s="229"/>
      <c r="V37" s="126"/>
      <c r="W37" s="126"/>
      <c r="X37" s="126"/>
      <c r="Y37" s="126"/>
      <c r="Z37" s="126"/>
      <c r="AA37" s="126"/>
      <c r="AB37" s="126"/>
      <c r="AC37" s="126"/>
      <c r="AD37" s="126"/>
      <c r="AE37" s="126"/>
      <c r="AF37" s="126"/>
      <c r="AG37" s="127"/>
      <c r="AH37" s="222"/>
    </row>
    <row r="38" spans="1:36" ht="25.5" customHeight="1">
      <c r="A38" s="226"/>
      <c r="B38" s="1683"/>
      <c r="C38" s="289"/>
      <c r="D38" s="1700"/>
      <c r="E38" s="1700"/>
      <c r="F38" s="1700"/>
      <c r="G38" s="1700"/>
      <c r="H38" s="1696"/>
      <c r="I38" s="1696"/>
      <c r="J38" s="1696"/>
      <c r="K38" s="1696"/>
      <c r="L38" s="1696"/>
      <c r="M38" s="1696"/>
      <c r="N38" s="1696"/>
      <c r="O38" s="1696"/>
      <c r="P38" s="1696"/>
      <c r="Q38" s="1696"/>
      <c r="R38" s="1696"/>
      <c r="S38" s="1696"/>
      <c r="T38" s="1697"/>
      <c r="U38" s="230"/>
      <c r="V38" s="126"/>
      <c r="W38" s="126"/>
      <c r="X38" s="126"/>
      <c r="Y38" s="126"/>
      <c r="Z38" s="126"/>
      <c r="AA38" s="126"/>
      <c r="AB38" s="126"/>
      <c r="AC38" s="126"/>
      <c r="AD38" s="126"/>
      <c r="AE38" s="126"/>
      <c r="AF38" s="126"/>
      <c r="AG38" s="127"/>
      <c r="AH38" s="222"/>
    </row>
    <row r="39" spans="1:36" ht="33.75" customHeight="1" thickBot="1">
      <c r="A39" s="226"/>
      <c r="B39" s="1684"/>
      <c r="C39" s="290"/>
      <c r="D39" s="1701"/>
      <c r="E39" s="1701"/>
      <c r="F39" s="1701"/>
      <c r="G39" s="1701"/>
      <c r="H39" s="1698"/>
      <c r="I39" s="1698"/>
      <c r="J39" s="1698"/>
      <c r="K39" s="1698"/>
      <c r="L39" s="1698"/>
      <c r="M39" s="1698"/>
      <c r="N39" s="1698"/>
      <c r="O39" s="1698"/>
      <c r="P39" s="1698"/>
      <c r="Q39" s="1698"/>
      <c r="R39" s="1698"/>
      <c r="S39" s="1698"/>
      <c r="T39" s="1699"/>
      <c r="U39" s="230"/>
      <c r="V39" s="126"/>
      <c r="W39" s="126"/>
      <c r="X39" s="126"/>
      <c r="Y39" s="126"/>
      <c r="Z39" s="126"/>
      <c r="AA39" s="126"/>
      <c r="AB39" s="126"/>
      <c r="AC39" s="126"/>
      <c r="AD39" s="126"/>
      <c r="AE39" s="126"/>
      <c r="AF39" s="126"/>
      <c r="AG39" s="127"/>
      <c r="AH39" s="222"/>
    </row>
    <row r="40" spans="1:36" ht="34.5" customHeight="1">
      <c r="A40" s="226"/>
      <c r="B40" s="886"/>
      <c r="C40" s="288"/>
      <c r="D40" s="1707" t="str">
        <f ca="1">INDIRECT('D1-D2-D3'!$J$4&amp;"!C180")</f>
        <v>Before</v>
      </c>
      <c r="E40" s="1707"/>
      <c r="F40" s="1707"/>
      <c r="G40" s="1707"/>
      <c r="H40" s="1707"/>
      <c r="I40" s="1707"/>
      <c r="J40" s="1707"/>
      <c r="K40" s="1707"/>
      <c r="L40" s="1707"/>
      <c r="M40" s="1707"/>
      <c r="N40" s="361"/>
      <c r="O40" s="1708" t="str">
        <f ca="1">INDIRECT('D1-D2-D3'!$J$4&amp;"!C181")</f>
        <v>After</v>
      </c>
      <c r="P40" s="1708"/>
      <c r="Q40" s="1708"/>
      <c r="R40" s="1708"/>
      <c r="S40" s="1708"/>
      <c r="T40" s="1709"/>
      <c r="U40" s="21"/>
      <c r="V40" s="126"/>
      <c r="W40" s="126"/>
      <c r="X40" s="126"/>
      <c r="Y40" s="126"/>
      <c r="Z40" s="126"/>
      <c r="AA40" s="126"/>
      <c r="AB40" s="126"/>
      <c r="AC40" s="126"/>
      <c r="AD40" s="126"/>
      <c r="AE40" s="126"/>
      <c r="AF40" s="126"/>
      <c r="AG40" s="187"/>
      <c r="AH40" s="222"/>
    </row>
    <row r="41" spans="1:36" ht="99.9" customHeight="1">
      <c r="A41" s="226"/>
      <c r="B41" s="887"/>
      <c r="C41" s="289"/>
      <c r="D41" s="1704"/>
      <c r="E41" s="1704"/>
      <c r="F41" s="1704"/>
      <c r="G41" s="1704"/>
      <c r="H41" s="1704"/>
      <c r="I41" s="1704"/>
      <c r="J41" s="1704"/>
      <c r="K41" s="1704"/>
      <c r="L41" s="1704"/>
      <c r="M41" s="1704"/>
      <c r="N41" s="882"/>
      <c r="O41" s="1705"/>
      <c r="P41" s="1705"/>
      <c r="Q41" s="1705"/>
      <c r="R41" s="1705"/>
      <c r="S41" s="1705"/>
      <c r="T41" s="1706"/>
      <c r="U41" s="228"/>
      <c r="V41" s="126"/>
      <c r="W41" s="126"/>
      <c r="X41" s="126"/>
      <c r="Y41" s="126"/>
      <c r="Z41" s="126"/>
      <c r="AA41" s="126"/>
      <c r="AB41" s="126"/>
      <c r="AC41" s="126"/>
      <c r="AD41" s="126"/>
      <c r="AE41" s="126"/>
      <c r="AF41" s="126"/>
      <c r="AG41" s="127"/>
      <c r="AH41" s="222"/>
    </row>
    <row r="42" spans="1:36" ht="99.9" customHeight="1">
      <c r="A42" s="226"/>
      <c r="B42" s="1702" t="str">
        <f ca="1">INDIRECT('D1-D2-D3'!$J$4&amp;"!C187")</f>
        <v>Picture</v>
      </c>
      <c r="C42" s="289"/>
      <c r="D42" s="1704"/>
      <c r="E42" s="1704"/>
      <c r="F42" s="1704"/>
      <c r="G42" s="1704"/>
      <c r="H42" s="1704"/>
      <c r="I42" s="1704"/>
      <c r="J42" s="1704"/>
      <c r="K42" s="1704"/>
      <c r="L42" s="1704"/>
      <c r="M42" s="1704"/>
      <c r="N42" s="882"/>
      <c r="O42" s="1705"/>
      <c r="P42" s="1705"/>
      <c r="Q42" s="1705"/>
      <c r="R42" s="1705"/>
      <c r="S42" s="1705"/>
      <c r="T42" s="1706"/>
      <c r="U42" s="228"/>
      <c r="V42" s="126"/>
      <c r="W42" s="126"/>
      <c r="X42" s="126"/>
      <c r="Y42" s="126"/>
      <c r="Z42" s="126"/>
      <c r="AA42" s="126"/>
      <c r="AB42" s="126"/>
      <c r="AC42" s="126"/>
      <c r="AD42" s="126"/>
      <c r="AE42" s="126"/>
      <c r="AF42" s="126"/>
      <c r="AG42" s="127"/>
      <c r="AH42" s="222"/>
    </row>
    <row r="43" spans="1:36" ht="99.9" customHeight="1">
      <c r="A43" s="226"/>
      <c r="B43" s="1702"/>
      <c r="C43" s="289"/>
      <c r="D43" s="1704"/>
      <c r="E43" s="1704"/>
      <c r="F43" s="1704"/>
      <c r="G43" s="1704"/>
      <c r="H43" s="1704"/>
      <c r="I43" s="1704"/>
      <c r="J43" s="1704"/>
      <c r="K43" s="1704"/>
      <c r="L43" s="1704"/>
      <c r="M43" s="1704"/>
      <c r="N43" s="882"/>
      <c r="O43" s="1705"/>
      <c r="P43" s="1705"/>
      <c r="Q43" s="1705"/>
      <c r="R43" s="1705"/>
      <c r="S43" s="1705"/>
      <c r="T43" s="1706"/>
      <c r="U43" s="228"/>
      <c r="V43" s="126"/>
      <c r="W43" s="126"/>
      <c r="X43" s="126"/>
      <c r="Y43" s="126"/>
      <c r="Z43" s="126"/>
      <c r="AA43" s="126"/>
      <c r="AB43" s="126"/>
      <c r="AC43" s="126"/>
      <c r="AD43" s="126"/>
      <c r="AE43" s="126"/>
      <c r="AF43" s="126"/>
      <c r="AG43" s="127"/>
      <c r="AH43" s="222"/>
    </row>
    <row r="44" spans="1:36" ht="28.5" customHeight="1">
      <c r="A44" s="226"/>
      <c r="B44" s="1702"/>
      <c r="C44" s="289"/>
      <c r="D44" s="1700" t="str">
        <f ca="1">INDIRECT('D1-D2-D3'!$J$4&amp;"!C93")&amp;":"</f>
        <v>Comments:</v>
      </c>
      <c r="E44" s="1700"/>
      <c r="F44" s="1700"/>
      <c r="G44" s="1700"/>
      <c r="H44" s="1696"/>
      <c r="I44" s="1696"/>
      <c r="J44" s="1696"/>
      <c r="K44" s="1696"/>
      <c r="L44" s="1696"/>
      <c r="M44" s="1696"/>
      <c r="N44" s="1696"/>
      <c r="O44" s="1696"/>
      <c r="P44" s="1696"/>
      <c r="Q44" s="1696"/>
      <c r="R44" s="1696"/>
      <c r="S44" s="1696"/>
      <c r="T44" s="1697"/>
      <c r="U44" s="229"/>
      <c r="V44" s="126"/>
      <c r="W44" s="126"/>
      <c r="X44" s="126"/>
      <c r="Y44" s="126"/>
      <c r="Z44" s="126"/>
      <c r="AA44" s="126"/>
      <c r="AB44" s="126"/>
      <c r="AC44" s="126"/>
      <c r="AD44" s="126"/>
      <c r="AE44" s="126"/>
      <c r="AF44" s="126"/>
      <c r="AG44" s="127"/>
      <c r="AH44" s="222"/>
    </row>
    <row r="45" spans="1:36" ht="25.5" customHeight="1">
      <c r="A45" s="226"/>
      <c r="B45" s="1702"/>
      <c r="C45" s="289"/>
      <c r="D45" s="1700"/>
      <c r="E45" s="1700"/>
      <c r="F45" s="1700"/>
      <c r="G45" s="1700"/>
      <c r="H45" s="1696"/>
      <c r="I45" s="1696"/>
      <c r="J45" s="1696"/>
      <c r="K45" s="1696"/>
      <c r="L45" s="1696"/>
      <c r="M45" s="1696"/>
      <c r="N45" s="1696"/>
      <c r="O45" s="1696"/>
      <c r="P45" s="1696"/>
      <c r="Q45" s="1696"/>
      <c r="R45" s="1696"/>
      <c r="S45" s="1696"/>
      <c r="T45" s="1697"/>
      <c r="U45" s="230"/>
      <c r="V45" s="126"/>
      <c r="W45" s="126"/>
      <c r="X45" s="126"/>
      <c r="Y45" s="126"/>
      <c r="Z45" s="126"/>
      <c r="AA45" s="126"/>
      <c r="AB45" s="126"/>
      <c r="AC45" s="126"/>
      <c r="AD45" s="126"/>
      <c r="AE45" s="126"/>
      <c r="AF45" s="126"/>
      <c r="AG45" s="127"/>
      <c r="AH45" s="222"/>
    </row>
    <row r="46" spans="1:36" ht="33.75" customHeight="1" thickBot="1">
      <c r="A46" s="226"/>
      <c r="B46" s="1703"/>
      <c r="C46" s="290"/>
      <c r="D46" s="1701"/>
      <c r="E46" s="1701"/>
      <c r="F46" s="1701"/>
      <c r="G46" s="1701"/>
      <c r="H46" s="1698"/>
      <c r="I46" s="1698"/>
      <c r="J46" s="1698"/>
      <c r="K46" s="1698"/>
      <c r="L46" s="1698"/>
      <c r="M46" s="1698"/>
      <c r="N46" s="1698"/>
      <c r="O46" s="1698"/>
      <c r="P46" s="1698"/>
      <c r="Q46" s="1698"/>
      <c r="R46" s="1698"/>
      <c r="S46" s="1698"/>
      <c r="T46" s="1699"/>
      <c r="U46" s="230"/>
      <c r="V46" s="126"/>
      <c r="W46" s="126"/>
      <c r="X46" s="126"/>
      <c r="Y46" s="126"/>
      <c r="Z46" s="126"/>
      <c r="AA46" s="126"/>
      <c r="AB46" s="126"/>
      <c r="AC46" s="126"/>
      <c r="AD46" s="126"/>
      <c r="AE46" s="126"/>
      <c r="AF46" s="126"/>
      <c r="AG46" s="127"/>
      <c r="AH46" s="222"/>
    </row>
    <row r="47" spans="1:36" ht="25.5" customHeight="1">
      <c r="A47" s="226"/>
      <c r="B47" s="886"/>
      <c r="C47" s="288"/>
      <c r="D47" s="1710" t="str">
        <f ca="1">INDIRECT('D1-D2-D3'!$J$4&amp;"!C180")</f>
        <v>Before</v>
      </c>
      <c r="E47" s="1710"/>
      <c r="F47" s="1710"/>
      <c r="G47" s="1710"/>
      <c r="H47" s="1710"/>
      <c r="I47" s="1710"/>
      <c r="J47" s="1710"/>
      <c r="K47" s="1710"/>
      <c r="L47" s="1710"/>
      <c r="M47" s="1710"/>
      <c r="N47" s="881"/>
      <c r="O47" s="1711" t="str">
        <f ca="1">INDIRECT('D1-D2-D3'!$J$4&amp;"!C181")</f>
        <v>After</v>
      </c>
      <c r="P47" s="1711"/>
      <c r="Q47" s="1711"/>
      <c r="R47" s="1711"/>
      <c r="S47" s="1711"/>
      <c r="T47" s="1712"/>
      <c r="U47" s="21"/>
      <c r="V47" s="222"/>
      <c r="W47" s="222"/>
      <c r="X47" s="222"/>
      <c r="Y47" s="222"/>
      <c r="Z47" s="222"/>
      <c r="AA47" s="222"/>
      <c r="AB47" s="222"/>
      <c r="AC47" s="222"/>
      <c r="AD47" s="222"/>
      <c r="AE47" s="222"/>
      <c r="AF47" s="222"/>
      <c r="AG47" s="222"/>
      <c r="AH47" s="222"/>
      <c r="AI47" s="222"/>
      <c r="AJ47" s="222"/>
    </row>
    <row r="48" spans="1:36" ht="99.9" customHeight="1">
      <c r="A48" s="226"/>
      <c r="B48" s="887"/>
      <c r="C48" s="289"/>
      <c r="D48" s="1704"/>
      <c r="E48" s="1704"/>
      <c r="F48" s="1704"/>
      <c r="G48" s="1704"/>
      <c r="H48" s="1704"/>
      <c r="I48" s="1704"/>
      <c r="J48" s="1704"/>
      <c r="K48" s="1704"/>
      <c r="L48" s="1704"/>
      <c r="M48" s="1704"/>
      <c r="N48" s="882"/>
      <c r="O48" s="1705"/>
      <c r="P48" s="1705"/>
      <c r="Q48" s="1705"/>
      <c r="R48" s="1705"/>
      <c r="S48" s="1705"/>
      <c r="T48" s="1706"/>
      <c r="U48" s="228"/>
      <c r="V48" s="222"/>
      <c r="W48" s="222"/>
      <c r="X48" s="222"/>
      <c r="Y48" s="222"/>
      <c r="Z48" s="222"/>
      <c r="AA48" s="222"/>
      <c r="AB48" s="222"/>
      <c r="AC48" s="222"/>
      <c r="AD48" s="222"/>
      <c r="AE48" s="222"/>
      <c r="AF48" s="222"/>
      <c r="AG48" s="222"/>
      <c r="AH48" s="222"/>
      <c r="AI48" s="222"/>
      <c r="AJ48" s="222"/>
    </row>
    <row r="49" spans="1:36" ht="99.9" customHeight="1">
      <c r="A49" s="226"/>
      <c r="B49" s="1702" t="str">
        <f ca="1">INDIRECT('D1-D2-D3'!$J$4&amp;"!C187")</f>
        <v>Picture</v>
      </c>
      <c r="C49" s="289"/>
      <c r="D49" s="1704"/>
      <c r="E49" s="1704"/>
      <c r="F49" s="1704"/>
      <c r="G49" s="1704"/>
      <c r="H49" s="1704"/>
      <c r="I49" s="1704"/>
      <c r="J49" s="1704"/>
      <c r="K49" s="1704"/>
      <c r="L49" s="1704"/>
      <c r="M49" s="1704"/>
      <c r="N49" s="882"/>
      <c r="O49" s="1705"/>
      <c r="P49" s="1705"/>
      <c r="Q49" s="1705"/>
      <c r="R49" s="1705"/>
      <c r="S49" s="1705"/>
      <c r="T49" s="1706"/>
      <c r="U49" s="228"/>
      <c r="V49" s="222"/>
      <c r="W49" s="222"/>
      <c r="X49" s="222"/>
      <c r="Y49" s="222"/>
      <c r="Z49" s="222"/>
      <c r="AA49" s="222"/>
      <c r="AB49" s="222"/>
      <c r="AC49" s="222"/>
      <c r="AD49" s="222"/>
      <c r="AE49" s="222"/>
      <c r="AF49" s="222"/>
      <c r="AG49" s="222"/>
      <c r="AH49" s="222"/>
      <c r="AI49" s="222"/>
      <c r="AJ49" s="222"/>
    </row>
    <row r="50" spans="1:36" ht="99.9" customHeight="1">
      <c r="A50" s="226"/>
      <c r="B50" s="1702"/>
      <c r="C50" s="289"/>
      <c r="D50" s="1704"/>
      <c r="E50" s="1704"/>
      <c r="F50" s="1704"/>
      <c r="G50" s="1704"/>
      <c r="H50" s="1704"/>
      <c r="I50" s="1704"/>
      <c r="J50" s="1704"/>
      <c r="K50" s="1704"/>
      <c r="L50" s="1704"/>
      <c r="M50" s="1704"/>
      <c r="N50" s="882"/>
      <c r="O50" s="1705"/>
      <c r="P50" s="1705"/>
      <c r="Q50" s="1705"/>
      <c r="R50" s="1705"/>
      <c r="S50" s="1705"/>
      <c r="T50" s="1706"/>
      <c r="U50" s="228"/>
      <c r="V50" s="222"/>
      <c r="W50" s="222"/>
      <c r="X50" s="222"/>
      <c r="Y50" s="222"/>
      <c r="Z50" s="222"/>
      <c r="AA50" s="222"/>
      <c r="AB50" s="222"/>
      <c r="AC50" s="222"/>
      <c r="AD50" s="222"/>
      <c r="AE50" s="222"/>
      <c r="AF50" s="222"/>
      <c r="AG50" s="222"/>
      <c r="AH50" s="222"/>
      <c r="AI50" s="222"/>
      <c r="AJ50" s="222"/>
    </row>
    <row r="51" spans="1:36" ht="24.6">
      <c r="A51" s="226"/>
      <c r="B51" s="1702"/>
      <c r="C51" s="289"/>
      <c r="D51" s="1700" t="str">
        <f ca="1">INDIRECT('D1-D2-D3'!$J$4&amp;"!C93")&amp;":"</f>
        <v>Comments:</v>
      </c>
      <c r="E51" s="1700"/>
      <c r="F51" s="1700"/>
      <c r="G51" s="1700"/>
      <c r="H51" s="1696"/>
      <c r="I51" s="1696"/>
      <c r="J51" s="1696"/>
      <c r="K51" s="1696"/>
      <c r="L51" s="1696"/>
      <c r="M51" s="1696"/>
      <c r="N51" s="1696"/>
      <c r="O51" s="1696"/>
      <c r="P51" s="1696"/>
      <c r="Q51" s="1696"/>
      <c r="R51" s="1696"/>
      <c r="S51" s="1696"/>
      <c r="T51" s="1697"/>
      <c r="U51" s="229"/>
      <c r="V51" s="222"/>
      <c r="W51" s="222"/>
      <c r="X51" s="222"/>
      <c r="Y51" s="222"/>
      <c r="Z51" s="222"/>
      <c r="AA51" s="222"/>
      <c r="AB51" s="222"/>
      <c r="AC51" s="222"/>
      <c r="AD51" s="222"/>
      <c r="AE51" s="222"/>
      <c r="AF51" s="222"/>
      <c r="AG51" s="222"/>
      <c r="AH51" s="222"/>
      <c r="AI51" s="222"/>
      <c r="AJ51" s="222"/>
    </row>
    <row r="52" spans="1:36" ht="24.6">
      <c r="A52" s="226"/>
      <c r="B52" s="1702"/>
      <c r="C52" s="289"/>
      <c r="D52" s="1700"/>
      <c r="E52" s="1700"/>
      <c r="F52" s="1700"/>
      <c r="G52" s="1700"/>
      <c r="H52" s="1696"/>
      <c r="I52" s="1696"/>
      <c r="J52" s="1696"/>
      <c r="K52" s="1696"/>
      <c r="L52" s="1696"/>
      <c r="M52" s="1696"/>
      <c r="N52" s="1696"/>
      <c r="O52" s="1696"/>
      <c r="P52" s="1696"/>
      <c r="Q52" s="1696"/>
      <c r="R52" s="1696"/>
      <c r="S52" s="1696"/>
      <c r="T52" s="1697"/>
      <c r="U52" s="230"/>
      <c r="V52" s="222"/>
      <c r="W52" s="222"/>
      <c r="X52" s="222"/>
      <c r="Y52" s="222"/>
      <c r="Z52" s="222"/>
      <c r="AA52" s="222"/>
      <c r="AB52" s="222"/>
      <c r="AC52" s="222"/>
      <c r="AD52" s="222"/>
      <c r="AE52" s="222"/>
      <c r="AF52" s="222"/>
      <c r="AG52" s="222"/>
      <c r="AH52" s="222"/>
      <c r="AI52" s="222"/>
      <c r="AJ52" s="222"/>
    </row>
    <row r="53" spans="1:36" ht="25.2" thickBot="1">
      <c r="A53" s="226"/>
      <c r="B53" s="1703"/>
      <c r="C53" s="290"/>
      <c r="D53" s="1701"/>
      <c r="E53" s="1701"/>
      <c r="F53" s="1701"/>
      <c r="G53" s="1701"/>
      <c r="H53" s="1698"/>
      <c r="I53" s="1698"/>
      <c r="J53" s="1698"/>
      <c r="K53" s="1698"/>
      <c r="L53" s="1698"/>
      <c r="M53" s="1698"/>
      <c r="N53" s="1698"/>
      <c r="O53" s="1698"/>
      <c r="P53" s="1698"/>
      <c r="Q53" s="1698"/>
      <c r="R53" s="1698"/>
      <c r="S53" s="1698"/>
      <c r="T53" s="1699"/>
      <c r="U53" s="230"/>
      <c r="V53" s="222"/>
      <c r="W53" s="222"/>
      <c r="X53" s="222"/>
      <c r="Y53" s="222"/>
      <c r="Z53" s="222"/>
      <c r="AA53" s="222"/>
      <c r="AB53" s="222"/>
      <c r="AC53" s="222"/>
      <c r="AD53" s="222"/>
      <c r="AE53" s="222"/>
      <c r="AF53" s="222"/>
      <c r="AG53" s="222"/>
      <c r="AH53" s="222"/>
      <c r="AI53" s="222"/>
      <c r="AJ53" s="222"/>
    </row>
    <row r="54" spans="1:36" ht="25.5" customHeight="1">
      <c r="A54" s="226"/>
      <c r="B54" s="886"/>
      <c r="C54" s="288"/>
      <c r="D54" s="1707" t="str">
        <f ca="1">INDIRECT('D1-D2-D3'!$J$4&amp;"!C180")</f>
        <v>Before</v>
      </c>
      <c r="E54" s="1707"/>
      <c r="F54" s="1707"/>
      <c r="G54" s="1707"/>
      <c r="H54" s="1707"/>
      <c r="I54" s="1707"/>
      <c r="J54" s="1707"/>
      <c r="K54" s="1707"/>
      <c r="L54" s="1707"/>
      <c r="M54" s="1707"/>
      <c r="N54" s="361"/>
      <c r="O54" s="1708" t="str">
        <f ca="1">INDIRECT('D1-D2-D3'!$J$4&amp;"!C181")</f>
        <v>After</v>
      </c>
      <c r="P54" s="1708"/>
      <c r="Q54" s="1708"/>
      <c r="R54" s="1708"/>
      <c r="S54" s="1708"/>
      <c r="T54" s="1709"/>
      <c r="U54" s="21"/>
      <c r="V54" s="222"/>
      <c r="W54" s="222"/>
      <c r="X54" s="222"/>
      <c r="Y54" s="222"/>
      <c r="Z54" s="222"/>
      <c r="AA54" s="222"/>
      <c r="AB54" s="222"/>
      <c r="AC54" s="222"/>
      <c r="AD54" s="222"/>
      <c r="AE54" s="222"/>
      <c r="AF54" s="222"/>
      <c r="AG54" s="222"/>
      <c r="AH54" s="222"/>
      <c r="AI54" s="222"/>
      <c r="AJ54" s="222"/>
    </row>
    <row r="55" spans="1:36" ht="99.9" customHeight="1">
      <c r="A55" s="226"/>
      <c r="B55" s="887"/>
      <c r="C55" s="289"/>
      <c r="D55" s="1704"/>
      <c r="E55" s="1704"/>
      <c r="F55" s="1704"/>
      <c r="G55" s="1704"/>
      <c r="H55" s="1704"/>
      <c r="I55" s="1704"/>
      <c r="J55" s="1704"/>
      <c r="K55" s="1704"/>
      <c r="L55" s="1704"/>
      <c r="M55" s="1704"/>
      <c r="N55" s="882"/>
      <c r="O55" s="1705"/>
      <c r="P55" s="1705"/>
      <c r="Q55" s="1705"/>
      <c r="R55" s="1705"/>
      <c r="S55" s="1705"/>
      <c r="T55" s="1706"/>
      <c r="U55" s="228"/>
      <c r="V55" s="222"/>
      <c r="W55" s="222"/>
      <c r="X55" s="222"/>
      <c r="Y55" s="222"/>
      <c r="Z55" s="222"/>
      <c r="AA55" s="222"/>
      <c r="AB55" s="222"/>
      <c r="AC55" s="222"/>
      <c r="AD55" s="222"/>
      <c r="AE55" s="222"/>
      <c r="AF55" s="222"/>
      <c r="AG55" s="222"/>
      <c r="AH55" s="222"/>
      <c r="AI55" s="222"/>
      <c r="AJ55" s="222"/>
    </row>
    <row r="56" spans="1:36" ht="99.9" customHeight="1">
      <c r="A56" s="226"/>
      <c r="B56" s="1702" t="str">
        <f ca="1">INDIRECT('D1-D2-D3'!$J$4&amp;"!C187")</f>
        <v>Picture</v>
      </c>
      <c r="C56" s="289"/>
      <c r="D56" s="1704"/>
      <c r="E56" s="1704"/>
      <c r="F56" s="1704"/>
      <c r="G56" s="1704"/>
      <c r="H56" s="1704"/>
      <c r="I56" s="1704"/>
      <c r="J56" s="1704"/>
      <c r="K56" s="1704"/>
      <c r="L56" s="1704"/>
      <c r="M56" s="1704"/>
      <c r="N56" s="882"/>
      <c r="O56" s="1705"/>
      <c r="P56" s="1705"/>
      <c r="Q56" s="1705"/>
      <c r="R56" s="1705"/>
      <c r="S56" s="1705"/>
      <c r="T56" s="1706"/>
      <c r="U56" s="228"/>
      <c r="V56" s="222"/>
      <c r="W56" s="222"/>
      <c r="X56" s="222"/>
      <c r="Y56" s="222"/>
      <c r="Z56" s="222"/>
      <c r="AA56" s="222"/>
      <c r="AB56" s="222"/>
      <c r="AC56" s="222"/>
      <c r="AD56" s="222"/>
      <c r="AE56" s="222"/>
      <c r="AF56" s="222"/>
      <c r="AG56" s="222"/>
      <c r="AH56" s="222"/>
      <c r="AI56" s="222"/>
      <c r="AJ56" s="222"/>
    </row>
    <row r="57" spans="1:36" ht="99.9" customHeight="1">
      <c r="A57" s="226"/>
      <c r="B57" s="1702"/>
      <c r="C57" s="289"/>
      <c r="D57" s="1704"/>
      <c r="E57" s="1704"/>
      <c r="F57" s="1704"/>
      <c r="G57" s="1704"/>
      <c r="H57" s="1704"/>
      <c r="I57" s="1704"/>
      <c r="J57" s="1704"/>
      <c r="K57" s="1704"/>
      <c r="L57" s="1704"/>
      <c r="M57" s="1704"/>
      <c r="N57" s="882"/>
      <c r="O57" s="1705"/>
      <c r="P57" s="1705"/>
      <c r="Q57" s="1705"/>
      <c r="R57" s="1705"/>
      <c r="S57" s="1705"/>
      <c r="T57" s="1706"/>
      <c r="U57" s="228"/>
      <c r="V57" s="222"/>
      <c r="W57" s="222"/>
      <c r="X57" s="222"/>
      <c r="Y57" s="222"/>
      <c r="Z57" s="222"/>
      <c r="AA57" s="222"/>
      <c r="AB57" s="222"/>
      <c r="AC57" s="222"/>
      <c r="AD57" s="222"/>
      <c r="AE57" s="222"/>
      <c r="AF57" s="222"/>
      <c r="AG57" s="222"/>
      <c r="AH57" s="222"/>
      <c r="AI57" s="222"/>
      <c r="AJ57" s="222"/>
    </row>
    <row r="58" spans="1:36" ht="24.6">
      <c r="A58" s="226"/>
      <c r="B58" s="1702"/>
      <c r="C58" s="289"/>
      <c r="D58" s="1700" t="str">
        <f ca="1">INDIRECT('D1-D2-D3'!$J$4&amp;"!C93")&amp;":"</f>
        <v>Comments:</v>
      </c>
      <c r="E58" s="1700"/>
      <c r="F58" s="1700"/>
      <c r="G58" s="1700"/>
      <c r="H58" s="883"/>
      <c r="I58" s="885"/>
      <c r="J58" s="1692"/>
      <c r="K58" s="1692"/>
      <c r="L58" s="1692"/>
      <c r="M58" s="1692"/>
      <c r="N58" s="1692"/>
      <c r="O58" s="1692"/>
      <c r="P58" s="1692"/>
      <c r="Q58" s="1692"/>
      <c r="R58" s="1692"/>
      <c r="S58" s="1692"/>
      <c r="T58" s="1693"/>
      <c r="U58" s="229"/>
      <c r="V58" s="222"/>
      <c r="W58" s="222"/>
      <c r="X58" s="222"/>
      <c r="Y58" s="222"/>
      <c r="Z58" s="222"/>
      <c r="AA58" s="222"/>
      <c r="AB58" s="222"/>
      <c r="AC58" s="222"/>
      <c r="AD58" s="222"/>
      <c r="AE58" s="222"/>
      <c r="AF58" s="222"/>
      <c r="AG58" s="222"/>
      <c r="AH58" s="222"/>
      <c r="AI58" s="222"/>
      <c r="AJ58" s="222"/>
    </row>
    <row r="59" spans="1:36" ht="24.6">
      <c r="A59" s="226"/>
      <c r="B59" s="1702"/>
      <c r="C59" s="289"/>
      <c r="D59" s="1700"/>
      <c r="E59" s="1700"/>
      <c r="F59" s="1700"/>
      <c r="G59" s="1700"/>
      <c r="H59" s="885"/>
      <c r="I59" s="883"/>
      <c r="J59" s="1692"/>
      <c r="K59" s="1692"/>
      <c r="L59" s="1692"/>
      <c r="M59" s="1692"/>
      <c r="N59" s="1692"/>
      <c r="O59" s="1692"/>
      <c r="P59" s="1692"/>
      <c r="Q59" s="1692"/>
      <c r="R59" s="1692"/>
      <c r="S59" s="1692"/>
      <c r="T59" s="1693"/>
      <c r="U59" s="230"/>
      <c r="V59" s="222"/>
      <c r="W59" s="222"/>
      <c r="X59" s="222"/>
      <c r="Y59" s="222"/>
      <c r="Z59" s="222"/>
      <c r="AA59" s="222"/>
      <c r="AB59" s="222"/>
      <c r="AC59" s="222"/>
      <c r="AD59" s="222"/>
      <c r="AE59" s="222"/>
      <c r="AF59" s="222"/>
      <c r="AG59" s="222"/>
      <c r="AH59" s="222"/>
      <c r="AI59" s="222"/>
      <c r="AJ59" s="222"/>
    </row>
    <row r="60" spans="1:36" ht="25.2" thickBot="1">
      <c r="A60" s="226"/>
      <c r="B60" s="1703"/>
      <c r="C60" s="290"/>
      <c r="D60" s="1701"/>
      <c r="E60" s="1701"/>
      <c r="F60" s="1701"/>
      <c r="G60" s="1701"/>
      <c r="H60" s="884"/>
      <c r="I60" s="884"/>
      <c r="J60" s="1694"/>
      <c r="K60" s="1694"/>
      <c r="L60" s="1694"/>
      <c r="M60" s="1694"/>
      <c r="N60" s="1694"/>
      <c r="O60" s="1694"/>
      <c r="P60" s="1694"/>
      <c r="Q60" s="1694"/>
      <c r="R60" s="1694"/>
      <c r="S60" s="1694"/>
      <c r="T60" s="1695"/>
      <c r="U60" s="230"/>
      <c r="V60" s="222"/>
      <c r="W60" s="222"/>
      <c r="X60" s="222"/>
      <c r="Y60" s="222"/>
      <c r="Z60" s="222"/>
      <c r="AA60" s="222"/>
      <c r="AB60" s="222"/>
      <c r="AC60" s="222"/>
      <c r="AD60" s="222"/>
      <c r="AE60" s="222"/>
      <c r="AF60" s="222"/>
      <c r="AG60" s="222"/>
      <c r="AH60" s="222"/>
      <c r="AI60" s="222"/>
      <c r="AJ60" s="222"/>
    </row>
    <row r="61" spans="1:36" ht="25.5" customHeight="1">
      <c r="A61" s="226"/>
      <c r="B61" s="886"/>
      <c r="C61" s="288"/>
      <c r="D61" s="1707" t="str">
        <f ca="1">INDIRECT('D1-D2-D3'!$J$4&amp;"!C180")</f>
        <v>Before</v>
      </c>
      <c r="E61" s="1707"/>
      <c r="F61" s="1707"/>
      <c r="G61" s="1707"/>
      <c r="H61" s="1707"/>
      <c r="I61" s="1707"/>
      <c r="J61" s="1707"/>
      <c r="K61" s="1707"/>
      <c r="L61" s="1707"/>
      <c r="M61" s="1707"/>
      <c r="N61" s="361"/>
      <c r="O61" s="1708" t="str">
        <f ca="1">INDIRECT('D1-D2-D3'!$J$4&amp;"!C181")</f>
        <v>After</v>
      </c>
      <c r="P61" s="1708"/>
      <c r="Q61" s="1708"/>
      <c r="R61" s="1708"/>
      <c r="S61" s="1708"/>
      <c r="T61" s="1709"/>
      <c r="U61" s="21"/>
      <c r="V61" s="222"/>
      <c r="W61" s="222"/>
      <c r="X61" s="222"/>
      <c r="Y61" s="222"/>
      <c r="Z61" s="222"/>
      <c r="AA61" s="222"/>
      <c r="AB61" s="222"/>
      <c r="AC61" s="222"/>
      <c r="AD61" s="222"/>
      <c r="AE61" s="222"/>
      <c r="AF61" s="222"/>
      <c r="AG61" s="222"/>
      <c r="AH61" s="222"/>
      <c r="AI61" s="222"/>
      <c r="AJ61" s="222"/>
    </row>
    <row r="62" spans="1:36" ht="99.9" customHeight="1">
      <c r="A62" s="226"/>
      <c r="B62" s="887"/>
      <c r="C62" s="289"/>
      <c r="D62" s="1704"/>
      <c r="E62" s="1704"/>
      <c r="F62" s="1704"/>
      <c r="G62" s="1704"/>
      <c r="H62" s="1704"/>
      <c r="I62" s="1704"/>
      <c r="J62" s="1704"/>
      <c r="K62" s="1704"/>
      <c r="L62" s="1704"/>
      <c r="M62" s="1704"/>
      <c r="N62" s="882"/>
      <c r="O62" s="1705"/>
      <c r="P62" s="1705"/>
      <c r="Q62" s="1705"/>
      <c r="R62" s="1705"/>
      <c r="S62" s="1705"/>
      <c r="T62" s="1706"/>
      <c r="U62" s="228"/>
    </row>
    <row r="63" spans="1:36" ht="99.9" customHeight="1">
      <c r="A63" s="226"/>
      <c r="B63" s="1702" t="str">
        <f ca="1">INDIRECT('D1-D2-D3'!$J$4&amp;"!C187")</f>
        <v>Picture</v>
      </c>
      <c r="C63" s="289"/>
      <c r="D63" s="1704"/>
      <c r="E63" s="1704"/>
      <c r="F63" s="1704"/>
      <c r="G63" s="1704"/>
      <c r="H63" s="1704"/>
      <c r="I63" s="1704"/>
      <c r="J63" s="1704"/>
      <c r="K63" s="1704"/>
      <c r="L63" s="1704"/>
      <c r="M63" s="1704"/>
      <c r="N63" s="882"/>
      <c r="O63" s="1705"/>
      <c r="P63" s="1705"/>
      <c r="Q63" s="1705"/>
      <c r="R63" s="1705"/>
      <c r="S63" s="1705"/>
      <c r="T63" s="1706"/>
      <c r="U63" s="228"/>
    </row>
    <row r="64" spans="1:36" ht="99.9" customHeight="1">
      <c r="A64" s="226"/>
      <c r="B64" s="1702"/>
      <c r="C64" s="289"/>
      <c r="D64" s="1704"/>
      <c r="E64" s="1704"/>
      <c r="F64" s="1704"/>
      <c r="G64" s="1704"/>
      <c r="H64" s="1704"/>
      <c r="I64" s="1704"/>
      <c r="J64" s="1704"/>
      <c r="K64" s="1704"/>
      <c r="L64" s="1704"/>
      <c r="M64" s="1704"/>
      <c r="N64" s="882"/>
      <c r="O64" s="1705"/>
      <c r="P64" s="1705"/>
      <c r="Q64" s="1705"/>
      <c r="R64" s="1705"/>
      <c r="S64" s="1705"/>
      <c r="T64" s="1706"/>
      <c r="U64" s="228"/>
    </row>
    <row r="65" spans="1:21" ht="24.6">
      <c r="A65" s="226"/>
      <c r="B65" s="1702"/>
      <c r="C65" s="289"/>
      <c r="D65" s="1700" t="str">
        <f ca="1">INDIRECT('D1-D2-D3'!$J$4&amp;"!C93")&amp;":"</f>
        <v>Comments:</v>
      </c>
      <c r="E65" s="1700"/>
      <c r="F65" s="1700"/>
      <c r="G65" s="1700"/>
      <c r="H65" s="883"/>
      <c r="I65" s="1696"/>
      <c r="J65" s="1696"/>
      <c r="K65" s="1696"/>
      <c r="L65" s="1696"/>
      <c r="M65" s="1696"/>
      <c r="N65" s="1696"/>
      <c r="O65" s="1696"/>
      <c r="P65" s="1696"/>
      <c r="Q65" s="1696"/>
      <c r="R65" s="1696"/>
      <c r="S65" s="1696"/>
      <c r="T65" s="1697"/>
      <c r="U65" s="229"/>
    </row>
    <row r="66" spans="1:21" ht="24.6">
      <c r="A66" s="226"/>
      <c r="B66" s="1702"/>
      <c r="C66" s="289"/>
      <c r="D66" s="1700"/>
      <c r="E66" s="1700"/>
      <c r="F66" s="1700"/>
      <c r="G66" s="1700"/>
      <c r="H66" s="885"/>
      <c r="I66" s="1696"/>
      <c r="J66" s="1696"/>
      <c r="K66" s="1696"/>
      <c r="L66" s="1696"/>
      <c r="M66" s="1696"/>
      <c r="N66" s="1696"/>
      <c r="O66" s="1696"/>
      <c r="P66" s="1696"/>
      <c r="Q66" s="1696"/>
      <c r="R66" s="1696"/>
      <c r="S66" s="1696"/>
      <c r="T66" s="1697"/>
      <c r="U66" s="230"/>
    </row>
    <row r="67" spans="1:21" ht="25.2" thickBot="1">
      <c r="A67" s="226"/>
      <c r="B67" s="1703"/>
      <c r="C67" s="290"/>
      <c r="D67" s="1701"/>
      <c r="E67" s="1701"/>
      <c r="F67" s="1701"/>
      <c r="G67" s="1701"/>
      <c r="H67" s="884"/>
      <c r="I67" s="1698"/>
      <c r="J67" s="1698"/>
      <c r="K67" s="1698"/>
      <c r="L67" s="1698"/>
      <c r="M67" s="1698"/>
      <c r="N67" s="1698"/>
      <c r="O67" s="1698"/>
      <c r="P67" s="1698"/>
      <c r="Q67" s="1698"/>
      <c r="R67" s="1698"/>
      <c r="S67" s="1698"/>
      <c r="T67" s="1699"/>
      <c r="U67" s="230"/>
    </row>
    <row r="68" spans="1:21" ht="25.5" customHeight="1">
      <c r="A68" s="226"/>
      <c r="B68" s="886"/>
      <c r="C68" s="288"/>
      <c r="D68" s="1707" t="str">
        <f ca="1">INDIRECT('D1-D2-D3'!$J$4&amp;"!C180")</f>
        <v>Before</v>
      </c>
      <c r="E68" s="1707"/>
      <c r="F68" s="1707"/>
      <c r="G68" s="1707"/>
      <c r="H68" s="1707"/>
      <c r="I68" s="1707"/>
      <c r="J68" s="1707"/>
      <c r="K68" s="1707"/>
      <c r="L68" s="1707"/>
      <c r="M68" s="1707"/>
      <c r="N68" s="361"/>
      <c r="O68" s="1708" t="str">
        <f ca="1">INDIRECT('D1-D2-D3'!$J$4&amp;"!C181")</f>
        <v>After</v>
      </c>
      <c r="P68" s="1708"/>
      <c r="Q68" s="1708"/>
      <c r="R68" s="1708"/>
      <c r="S68" s="1708"/>
      <c r="T68" s="1709"/>
      <c r="U68" s="21"/>
    </row>
    <row r="69" spans="1:21" ht="99.9" customHeight="1">
      <c r="A69" s="226"/>
      <c r="B69" s="887"/>
      <c r="C69" s="289"/>
      <c r="D69" s="1704"/>
      <c r="E69" s="1704"/>
      <c r="F69" s="1704"/>
      <c r="G69" s="1704"/>
      <c r="H69" s="1704"/>
      <c r="I69" s="1704"/>
      <c r="J69" s="1704"/>
      <c r="K69" s="1704"/>
      <c r="L69" s="1704"/>
      <c r="M69" s="1704"/>
      <c r="N69" s="882"/>
      <c r="O69" s="1705"/>
      <c r="P69" s="1705"/>
      <c r="Q69" s="1705"/>
      <c r="R69" s="1705"/>
      <c r="S69" s="1705"/>
      <c r="T69" s="1706"/>
      <c r="U69" s="228"/>
    </row>
    <row r="70" spans="1:21" ht="99.9" customHeight="1">
      <c r="A70" s="226"/>
      <c r="B70" s="1702" t="str">
        <f ca="1">INDIRECT('D1-D2-D3'!$J$4&amp;"!C187")</f>
        <v>Picture</v>
      </c>
      <c r="C70" s="289"/>
      <c r="D70" s="1704"/>
      <c r="E70" s="1704"/>
      <c r="F70" s="1704"/>
      <c r="G70" s="1704"/>
      <c r="H70" s="1704"/>
      <c r="I70" s="1704"/>
      <c r="J70" s="1704"/>
      <c r="K70" s="1704"/>
      <c r="L70" s="1704"/>
      <c r="M70" s="1704"/>
      <c r="N70" s="882"/>
      <c r="O70" s="1705"/>
      <c r="P70" s="1705"/>
      <c r="Q70" s="1705"/>
      <c r="R70" s="1705"/>
      <c r="S70" s="1705"/>
      <c r="T70" s="1706"/>
      <c r="U70" s="228"/>
    </row>
    <row r="71" spans="1:21" ht="99.9" customHeight="1">
      <c r="A71" s="226"/>
      <c r="B71" s="1702"/>
      <c r="C71" s="289"/>
      <c r="D71" s="1704"/>
      <c r="E71" s="1704"/>
      <c r="F71" s="1704"/>
      <c r="G71" s="1704"/>
      <c r="H71" s="1704"/>
      <c r="I71" s="1704"/>
      <c r="J71" s="1704"/>
      <c r="K71" s="1704"/>
      <c r="L71" s="1704"/>
      <c r="M71" s="1704"/>
      <c r="N71" s="882"/>
      <c r="O71" s="1705"/>
      <c r="P71" s="1705"/>
      <c r="Q71" s="1705"/>
      <c r="R71" s="1705"/>
      <c r="S71" s="1705"/>
      <c r="T71" s="1706"/>
      <c r="U71" s="228"/>
    </row>
    <row r="72" spans="1:21" ht="24.6">
      <c r="A72" s="226"/>
      <c r="B72" s="1702"/>
      <c r="C72" s="289"/>
      <c r="D72" s="1700" t="str">
        <f ca="1">INDIRECT('D1-D2-D3'!$J$4&amp;"!C93")&amp;":"</f>
        <v>Comments:</v>
      </c>
      <c r="E72" s="1700"/>
      <c r="F72" s="1700"/>
      <c r="G72" s="1700"/>
      <c r="H72" s="1696"/>
      <c r="I72" s="1696"/>
      <c r="J72" s="1696"/>
      <c r="K72" s="1696"/>
      <c r="L72" s="1696"/>
      <c r="M72" s="1696"/>
      <c r="N72" s="1696"/>
      <c r="O72" s="1696"/>
      <c r="P72" s="1696"/>
      <c r="Q72" s="1696"/>
      <c r="R72" s="1696"/>
      <c r="S72" s="1696"/>
      <c r="T72" s="1697"/>
      <c r="U72" s="229"/>
    </row>
    <row r="73" spans="1:21" ht="24.6">
      <c r="A73" s="226"/>
      <c r="B73" s="1702"/>
      <c r="C73" s="289"/>
      <c r="D73" s="1700"/>
      <c r="E73" s="1700"/>
      <c r="F73" s="1700"/>
      <c r="G73" s="1700"/>
      <c r="H73" s="1696"/>
      <c r="I73" s="1696"/>
      <c r="J73" s="1696"/>
      <c r="K73" s="1696"/>
      <c r="L73" s="1696"/>
      <c r="M73" s="1696"/>
      <c r="N73" s="1696"/>
      <c r="O73" s="1696"/>
      <c r="P73" s="1696"/>
      <c r="Q73" s="1696"/>
      <c r="R73" s="1696"/>
      <c r="S73" s="1696"/>
      <c r="T73" s="1697"/>
      <c r="U73" s="230"/>
    </row>
    <row r="74" spans="1:21" ht="25.2" thickBot="1">
      <c r="A74" s="226"/>
      <c r="B74" s="1703"/>
      <c r="C74" s="290"/>
      <c r="D74" s="1701"/>
      <c r="E74" s="1701"/>
      <c r="F74" s="1701"/>
      <c r="G74" s="1701"/>
      <c r="H74" s="1698"/>
      <c r="I74" s="1698"/>
      <c r="J74" s="1698"/>
      <c r="K74" s="1698"/>
      <c r="L74" s="1698"/>
      <c r="M74" s="1698"/>
      <c r="N74" s="1698"/>
      <c r="O74" s="1698"/>
      <c r="P74" s="1698"/>
      <c r="Q74" s="1698"/>
      <c r="R74" s="1698"/>
      <c r="S74" s="1698"/>
      <c r="T74" s="1699"/>
      <c r="U74" s="230"/>
    </row>
    <row r="75" spans="1:21" ht="25.5" customHeight="1">
      <c r="A75" s="226"/>
      <c r="B75" s="886"/>
      <c r="C75" s="288"/>
      <c r="D75" s="1707" t="str">
        <f ca="1">INDIRECT('D1-D2-D3'!$J$4&amp;"!C180")</f>
        <v>Before</v>
      </c>
      <c r="E75" s="1707"/>
      <c r="F75" s="1707"/>
      <c r="G75" s="1707"/>
      <c r="H75" s="1707"/>
      <c r="I75" s="1707"/>
      <c r="J75" s="1707"/>
      <c r="K75" s="1707"/>
      <c r="L75" s="1707"/>
      <c r="M75" s="1707"/>
      <c r="N75" s="361"/>
      <c r="O75" s="1708" t="str">
        <f ca="1">INDIRECT('D1-D2-D3'!$J$4&amp;"!C181")</f>
        <v>After</v>
      </c>
      <c r="P75" s="1708"/>
      <c r="Q75" s="1708"/>
      <c r="R75" s="1708"/>
      <c r="S75" s="1708"/>
      <c r="T75" s="1709"/>
      <c r="U75" s="21"/>
    </row>
    <row r="76" spans="1:21" ht="99.9" customHeight="1">
      <c r="A76" s="226"/>
      <c r="B76" s="887"/>
      <c r="C76" s="289"/>
      <c r="D76" s="1704"/>
      <c r="E76" s="1704"/>
      <c r="F76" s="1704"/>
      <c r="G76" s="1704"/>
      <c r="H76" s="1704"/>
      <c r="I76" s="1704"/>
      <c r="J76" s="1704"/>
      <c r="K76" s="1704"/>
      <c r="L76" s="1704"/>
      <c r="M76" s="1704"/>
      <c r="N76" s="882"/>
      <c r="O76" s="1705"/>
      <c r="P76" s="1705"/>
      <c r="Q76" s="1705"/>
      <c r="R76" s="1705"/>
      <c r="S76" s="1705"/>
      <c r="T76" s="1706"/>
      <c r="U76" s="228"/>
    </row>
    <row r="77" spans="1:21" ht="99.9" customHeight="1">
      <c r="A77" s="226"/>
      <c r="B77" s="1702" t="str">
        <f ca="1">INDIRECT('D1-D2-D3'!$J$4&amp;"!C187")</f>
        <v>Picture</v>
      </c>
      <c r="C77" s="289"/>
      <c r="D77" s="1704"/>
      <c r="E77" s="1704"/>
      <c r="F77" s="1704"/>
      <c r="G77" s="1704"/>
      <c r="H77" s="1704"/>
      <c r="I77" s="1704"/>
      <c r="J77" s="1704"/>
      <c r="K77" s="1704"/>
      <c r="L77" s="1704"/>
      <c r="M77" s="1704"/>
      <c r="N77" s="882"/>
      <c r="O77" s="1705"/>
      <c r="P77" s="1705"/>
      <c r="Q77" s="1705"/>
      <c r="R77" s="1705"/>
      <c r="S77" s="1705"/>
      <c r="T77" s="1706"/>
      <c r="U77" s="228"/>
    </row>
    <row r="78" spans="1:21" ht="99.9" customHeight="1">
      <c r="A78" s="226"/>
      <c r="B78" s="1702"/>
      <c r="C78" s="289"/>
      <c r="D78" s="1704"/>
      <c r="E78" s="1704"/>
      <c r="F78" s="1704"/>
      <c r="G78" s="1704"/>
      <c r="H78" s="1704"/>
      <c r="I78" s="1704"/>
      <c r="J78" s="1704"/>
      <c r="K78" s="1704"/>
      <c r="L78" s="1704"/>
      <c r="M78" s="1704"/>
      <c r="N78" s="882"/>
      <c r="O78" s="1705"/>
      <c r="P78" s="1705"/>
      <c r="Q78" s="1705"/>
      <c r="R78" s="1705"/>
      <c r="S78" s="1705"/>
      <c r="T78" s="1706"/>
      <c r="U78" s="228"/>
    </row>
    <row r="79" spans="1:21" ht="24.6">
      <c r="A79" s="226"/>
      <c r="B79" s="1702"/>
      <c r="C79" s="289"/>
      <c r="D79" s="1700" t="str">
        <f ca="1">INDIRECT('D1-D2-D3'!$J$4&amp;"!C93")&amp;":"</f>
        <v>Comments:</v>
      </c>
      <c r="E79" s="1700"/>
      <c r="F79" s="1700"/>
      <c r="G79" s="1700"/>
      <c r="H79" s="1696"/>
      <c r="I79" s="1696"/>
      <c r="J79" s="1696"/>
      <c r="K79" s="1696"/>
      <c r="L79" s="1696"/>
      <c r="M79" s="1696"/>
      <c r="N79" s="1696"/>
      <c r="O79" s="1696"/>
      <c r="P79" s="1696"/>
      <c r="Q79" s="1696"/>
      <c r="R79" s="1696"/>
      <c r="S79" s="1696"/>
      <c r="T79" s="1697"/>
      <c r="U79" s="229"/>
    </row>
    <row r="80" spans="1:21" ht="24.6">
      <c r="A80" s="226"/>
      <c r="B80" s="1702"/>
      <c r="C80" s="289"/>
      <c r="D80" s="1700"/>
      <c r="E80" s="1700"/>
      <c r="F80" s="1700"/>
      <c r="G80" s="1700"/>
      <c r="H80" s="1696"/>
      <c r="I80" s="1696"/>
      <c r="J80" s="1696"/>
      <c r="K80" s="1696"/>
      <c r="L80" s="1696"/>
      <c r="M80" s="1696"/>
      <c r="N80" s="1696"/>
      <c r="O80" s="1696"/>
      <c r="P80" s="1696"/>
      <c r="Q80" s="1696"/>
      <c r="R80" s="1696"/>
      <c r="S80" s="1696"/>
      <c r="T80" s="1697"/>
      <c r="U80" s="230"/>
    </row>
    <row r="81" spans="1:21" ht="25.2" thickBot="1">
      <c r="A81" s="226"/>
      <c r="B81" s="1703"/>
      <c r="C81" s="290"/>
      <c r="D81" s="1701"/>
      <c r="E81" s="1701"/>
      <c r="F81" s="1701"/>
      <c r="G81" s="1701"/>
      <c r="H81" s="1698"/>
      <c r="I81" s="1698"/>
      <c r="J81" s="1698"/>
      <c r="K81" s="1698"/>
      <c r="L81" s="1698"/>
      <c r="M81" s="1698"/>
      <c r="N81" s="1698"/>
      <c r="O81" s="1698"/>
      <c r="P81" s="1698"/>
      <c r="Q81" s="1698"/>
      <c r="R81" s="1698"/>
      <c r="S81" s="1698"/>
      <c r="T81" s="1699"/>
      <c r="U81" s="230"/>
    </row>
    <row r="82" spans="1:21" ht="25.5" customHeight="1">
      <c r="A82" s="226"/>
      <c r="B82" s="886"/>
      <c r="C82" s="288"/>
      <c r="D82" s="1707" t="str">
        <f ca="1">INDIRECT('D1-D2-D3'!$J$4&amp;"!C180")</f>
        <v>Before</v>
      </c>
      <c r="E82" s="1707"/>
      <c r="F82" s="1707"/>
      <c r="G82" s="1707"/>
      <c r="H82" s="1707"/>
      <c r="I82" s="1707"/>
      <c r="J82" s="1707"/>
      <c r="K82" s="1707"/>
      <c r="L82" s="1707"/>
      <c r="M82" s="1707"/>
      <c r="N82" s="361"/>
      <c r="O82" s="1708" t="str">
        <f ca="1">INDIRECT('D1-D2-D3'!$J$4&amp;"!C181")</f>
        <v>After</v>
      </c>
      <c r="P82" s="1708"/>
      <c r="Q82" s="1708"/>
      <c r="R82" s="1708"/>
      <c r="S82" s="1708"/>
      <c r="T82" s="1709"/>
      <c r="U82" s="21"/>
    </row>
    <row r="83" spans="1:21" ht="99.9" customHeight="1">
      <c r="A83" s="226"/>
      <c r="B83" s="887"/>
      <c r="C83" s="289"/>
      <c r="D83" s="1704"/>
      <c r="E83" s="1704"/>
      <c r="F83" s="1704"/>
      <c r="G83" s="1704"/>
      <c r="H83" s="1704"/>
      <c r="I83" s="1704"/>
      <c r="J83" s="1704"/>
      <c r="K83" s="1704"/>
      <c r="L83" s="1704"/>
      <c r="M83" s="1704"/>
      <c r="N83" s="882"/>
      <c r="O83" s="1705"/>
      <c r="P83" s="1705"/>
      <c r="Q83" s="1705"/>
      <c r="R83" s="1705"/>
      <c r="S83" s="1705"/>
      <c r="T83" s="1706"/>
      <c r="U83" s="228"/>
    </row>
    <row r="84" spans="1:21" ht="99.9" customHeight="1">
      <c r="A84" s="226"/>
      <c r="B84" s="1702" t="str">
        <f ca="1">INDIRECT('D1-D2-D3'!$J$4&amp;"!C187")</f>
        <v>Picture</v>
      </c>
      <c r="C84" s="289"/>
      <c r="D84" s="1704"/>
      <c r="E84" s="1704"/>
      <c r="F84" s="1704"/>
      <c r="G84" s="1704"/>
      <c r="H84" s="1704"/>
      <c r="I84" s="1704"/>
      <c r="J84" s="1704"/>
      <c r="K84" s="1704"/>
      <c r="L84" s="1704"/>
      <c r="M84" s="1704"/>
      <c r="N84" s="882"/>
      <c r="O84" s="1705"/>
      <c r="P84" s="1705"/>
      <c r="Q84" s="1705"/>
      <c r="R84" s="1705"/>
      <c r="S84" s="1705"/>
      <c r="T84" s="1706"/>
      <c r="U84" s="228"/>
    </row>
    <row r="85" spans="1:21" ht="99.9" customHeight="1">
      <c r="A85" s="226"/>
      <c r="B85" s="1702"/>
      <c r="C85" s="289"/>
      <c r="D85" s="1704"/>
      <c r="E85" s="1704"/>
      <c r="F85" s="1704"/>
      <c r="G85" s="1704"/>
      <c r="H85" s="1704"/>
      <c r="I85" s="1704"/>
      <c r="J85" s="1704"/>
      <c r="K85" s="1704"/>
      <c r="L85" s="1704"/>
      <c r="M85" s="1704"/>
      <c r="N85" s="882"/>
      <c r="O85" s="1705"/>
      <c r="P85" s="1705"/>
      <c r="Q85" s="1705"/>
      <c r="R85" s="1705"/>
      <c r="S85" s="1705"/>
      <c r="T85" s="1706"/>
      <c r="U85" s="228"/>
    </row>
    <row r="86" spans="1:21" ht="24.6">
      <c r="A86" s="226"/>
      <c r="B86" s="1702"/>
      <c r="C86" s="289"/>
      <c r="D86" s="1700" t="str">
        <f ca="1">INDIRECT('D1-D2-D3'!$J$4&amp;"!C93")&amp;":"</f>
        <v>Comments:</v>
      </c>
      <c r="E86" s="1700"/>
      <c r="F86" s="1700"/>
      <c r="G86" s="1700"/>
      <c r="H86" s="1696"/>
      <c r="I86" s="1696"/>
      <c r="J86" s="1696"/>
      <c r="K86" s="1696"/>
      <c r="L86" s="1696"/>
      <c r="M86" s="1696"/>
      <c r="N86" s="1696"/>
      <c r="O86" s="1696"/>
      <c r="P86" s="1696"/>
      <c r="Q86" s="1696"/>
      <c r="R86" s="1696"/>
      <c r="S86" s="1696"/>
      <c r="T86" s="1697"/>
      <c r="U86" s="229"/>
    </row>
    <row r="87" spans="1:21" ht="24.6">
      <c r="A87" s="226"/>
      <c r="B87" s="1702"/>
      <c r="C87" s="289"/>
      <c r="D87" s="1700"/>
      <c r="E87" s="1700"/>
      <c r="F87" s="1700"/>
      <c r="G87" s="1700"/>
      <c r="H87" s="1696"/>
      <c r="I87" s="1696"/>
      <c r="J87" s="1696"/>
      <c r="K87" s="1696"/>
      <c r="L87" s="1696"/>
      <c r="M87" s="1696"/>
      <c r="N87" s="1696"/>
      <c r="O87" s="1696"/>
      <c r="P87" s="1696"/>
      <c r="Q87" s="1696"/>
      <c r="R87" s="1696"/>
      <c r="S87" s="1696"/>
      <c r="T87" s="1697"/>
      <c r="U87" s="230"/>
    </row>
    <row r="88" spans="1:21" ht="25.2" thickBot="1">
      <c r="A88" s="226"/>
      <c r="B88" s="1703"/>
      <c r="C88" s="290"/>
      <c r="D88" s="1701"/>
      <c r="E88" s="1701"/>
      <c r="F88" s="1701"/>
      <c r="G88" s="1701"/>
      <c r="H88" s="1698"/>
      <c r="I88" s="1698"/>
      <c r="J88" s="1698"/>
      <c r="K88" s="1698"/>
      <c r="L88" s="1698"/>
      <c r="M88" s="1698"/>
      <c r="N88" s="1698"/>
      <c r="O88" s="1698"/>
      <c r="P88" s="1698"/>
      <c r="Q88" s="1698"/>
      <c r="R88" s="1698"/>
      <c r="S88" s="1698"/>
      <c r="T88" s="1699"/>
      <c r="U88" s="230"/>
    </row>
  </sheetData>
  <sheetProtection algorithmName="SHA-512" hashValue="Iy3kNDcAp+rh9JiXvV28vnoduqoTj9mPhUmgWWjhlOd3GiW189dyce8s46p7NwhapqoFWdM8PZrU+stvdvnzPQ==" saltValue="azKN0YR2Onk+H91O+aViyA==" spinCount="100000" sheet="1" scenarios="1" formatCells="0" formatRows="0"/>
  <customSheetViews>
    <customSheetView guid="{727552C9-10E3-4948-B2AE-8FE165517887}" scale="40" fitToPage="1" hiddenRows="1">
      <selection activeCell="Z12" sqref="Z12"/>
      <colBreaks count="1" manualBreakCount="1">
        <brk id="21" max="77" man="1"/>
      </colBreaks>
      <pageMargins left="0.7" right="0.7" top="0.3046875" bottom="0.78740157499999996" header="0.3" footer="0.3"/>
      <pageSetup paperSize="9" scale="32" orientation="portrait" r:id="rId1"/>
    </customSheetView>
  </customSheetViews>
  <mergeCells count="88">
    <mergeCell ref="B84:B88"/>
    <mergeCell ref="D75:M75"/>
    <mergeCell ref="O75:T75"/>
    <mergeCell ref="D76:M78"/>
    <mergeCell ref="O76:T78"/>
    <mergeCell ref="D79:G81"/>
    <mergeCell ref="H79:T81"/>
    <mergeCell ref="B77:B81"/>
    <mergeCell ref="D82:M82"/>
    <mergeCell ref="O82:T82"/>
    <mergeCell ref="D83:M85"/>
    <mergeCell ref="O83:T85"/>
    <mergeCell ref="D86:G88"/>
    <mergeCell ref="H86:T88"/>
    <mergeCell ref="B70:B74"/>
    <mergeCell ref="D61:M61"/>
    <mergeCell ref="O61:T61"/>
    <mergeCell ref="D62:M64"/>
    <mergeCell ref="O62:T64"/>
    <mergeCell ref="D65:G67"/>
    <mergeCell ref="I65:T67"/>
    <mergeCell ref="B63:B67"/>
    <mergeCell ref="D68:M68"/>
    <mergeCell ref="O68:T68"/>
    <mergeCell ref="D69:M71"/>
    <mergeCell ref="O69:T71"/>
    <mergeCell ref="D72:G74"/>
    <mergeCell ref="H72:T74"/>
    <mergeCell ref="B56:B60"/>
    <mergeCell ref="D47:M47"/>
    <mergeCell ref="O47:T47"/>
    <mergeCell ref="D48:M50"/>
    <mergeCell ref="O48:T50"/>
    <mergeCell ref="D51:G53"/>
    <mergeCell ref="H51:T53"/>
    <mergeCell ref="B49:B53"/>
    <mergeCell ref="D54:M54"/>
    <mergeCell ref="O54:T54"/>
    <mergeCell ref="D55:M57"/>
    <mergeCell ref="O55:T57"/>
    <mergeCell ref="D58:G60"/>
    <mergeCell ref="J58:T60"/>
    <mergeCell ref="H29:T31"/>
    <mergeCell ref="H37:T39"/>
    <mergeCell ref="D18:M18"/>
    <mergeCell ref="O18:T18"/>
    <mergeCell ref="D19:M21"/>
    <mergeCell ref="O19:T21"/>
    <mergeCell ref="I22:T24"/>
    <mergeCell ref="D37:G39"/>
    <mergeCell ref="D22:G24"/>
    <mergeCell ref="D29:G31"/>
    <mergeCell ref="B33:B39"/>
    <mergeCell ref="D33:M33"/>
    <mergeCell ref="O33:T33"/>
    <mergeCell ref="D34:M36"/>
    <mergeCell ref="O34:T36"/>
    <mergeCell ref="D40:M40"/>
    <mergeCell ref="O40:T40"/>
    <mergeCell ref="D41:M43"/>
    <mergeCell ref="O41:T43"/>
    <mergeCell ref="H44:T46"/>
    <mergeCell ref="D44:G46"/>
    <mergeCell ref="B42:B46"/>
    <mergeCell ref="B4:B10"/>
    <mergeCell ref="D26:M28"/>
    <mergeCell ref="O26:T28"/>
    <mergeCell ref="D11:M11"/>
    <mergeCell ref="O11:T11"/>
    <mergeCell ref="D12:M14"/>
    <mergeCell ref="O12:T14"/>
    <mergeCell ref="D4:M4"/>
    <mergeCell ref="O4:T4"/>
    <mergeCell ref="D5:M7"/>
    <mergeCell ref="O5:T7"/>
    <mergeCell ref="B25:B31"/>
    <mergeCell ref="D25:M25"/>
    <mergeCell ref="O25:T25"/>
    <mergeCell ref="B11:B17"/>
    <mergeCell ref="B18:B24"/>
    <mergeCell ref="Y2:AF2"/>
    <mergeCell ref="Q2:R2"/>
    <mergeCell ref="M2:O2"/>
    <mergeCell ref="H2:L2"/>
    <mergeCell ref="J15:T17"/>
    <mergeCell ref="H8:T10"/>
    <mergeCell ref="D8:G10"/>
    <mergeCell ref="D15:G17"/>
  </mergeCells>
  <phoneticPr fontId="198" type="noConversion"/>
  <pageMargins left="0.7" right="0.7" top="0.3046875" bottom="0.78740157499999996" header="0.3" footer="0.3"/>
  <pageSetup paperSize="9" scale="32" fitToHeight="0" orientation="portrait" r:id="rId2"/>
  <rowBreaks count="1" manualBreakCount="1">
    <brk id="46" max="20" man="1"/>
  </rowBreaks>
  <drawing r:id="rId3"/>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DM204"/>
  <sheetViews>
    <sheetView showGridLines="0" showWhiteSpace="0" view="pageBreakPreview" zoomScale="55" zoomScaleNormal="70" zoomScaleSheetLayoutView="55" zoomScalePageLayoutView="50" workbookViewId="0">
      <selection activeCell="F2" sqref="F2:S2"/>
    </sheetView>
  </sheetViews>
  <sheetFormatPr defaultColWidth="12.5546875" defaultRowHeight="13.8"/>
  <cols>
    <col min="1" max="1" width="2.109375" style="222" customWidth="1"/>
    <col min="2" max="2" width="3.33203125" style="218" customWidth="1"/>
    <col min="3" max="3" width="1.44140625" style="218" customWidth="1"/>
    <col min="4" max="5" width="10.5546875" style="218" customWidth="1"/>
    <col min="6" max="6" width="9.88671875" style="218" customWidth="1"/>
    <col min="7" max="7" width="7.88671875" style="218" customWidth="1"/>
    <col min="8" max="8" width="6" style="218" customWidth="1"/>
    <col min="9" max="9" width="7" style="218" customWidth="1"/>
    <col min="10" max="10" width="7.33203125" style="218" customWidth="1"/>
    <col min="11" max="11" width="8" style="218" customWidth="1"/>
    <col min="12" max="12" width="26.109375" style="218" customWidth="1"/>
    <col min="13" max="13" width="23.109375" style="218" customWidth="1"/>
    <col min="14" max="14" width="6.33203125" style="218" customWidth="1"/>
    <col min="15" max="15" width="6.88671875" style="218" customWidth="1"/>
    <col min="16" max="16" width="9.33203125" style="218" customWidth="1"/>
    <col min="17" max="17" width="7.109375" style="218" customWidth="1"/>
    <col min="18" max="18" width="6" style="218" customWidth="1"/>
    <col min="19" max="19" width="12.6640625" style="218" customWidth="1"/>
    <col min="20" max="20" width="4.6640625" style="218" customWidth="1"/>
    <col min="21" max="21" width="10.44140625" style="218" customWidth="1"/>
    <col min="22" max="22" width="9.6640625" style="218" customWidth="1"/>
    <col min="23" max="23" width="9.88671875" style="218" customWidth="1"/>
    <col min="24" max="24" width="6.44140625" style="218" customWidth="1"/>
    <col min="25" max="25" width="8.33203125" style="218" customWidth="1"/>
    <col min="26" max="26" width="10.88671875" style="218" customWidth="1"/>
    <col min="27" max="27" width="6.6640625" style="218" customWidth="1"/>
    <col min="28" max="28" width="7.5546875" style="218" customWidth="1"/>
    <col min="29" max="29" width="12.88671875" style="218" customWidth="1"/>
    <col min="30" max="30" width="4.109375" style="218" customWidth="1"/>
    <col min="31" max="31" width="1.88671875" style="218" customWidth="1"/>
    <col min="32" max="32" width="2" style="218" customWidth="1"/>
    <col min="33" max="33" width="1.88671875" style="218" customWidth="1"/>
    <col min="34" max="34" width="29.44140625" style="218" customWidth="1"/>
    <col min="35" max="36" width="14.33203125" style="218" customWidth="1"/>
    <col min="37" max="37" width="14.6640625" style="218" customWidth="1"/>
    <col min="38" max="38" width="28" style="218" customWidth="1"/>
    <col min="39" max="39" width="10.88671875" style="218" customWidth="1"/>
    <col min="40" max="40" width="14.5546875" style="218" customWidth="1"/>
    <col min="41" max="42" width="11" style="218" customWidth="1"/>
    <col min="43" max="43" width="13.109375" style="218" customWidth="1"/>
    <col min="44" max="44" width="12.6640625" style="218" customWidth="1"/>
    <col min="45" max="45" width="2.109375" style="218" customWidth="1"/>
    <col min="46" max="250" width="10.33203125" style="218" customWidth="1"/>
    <col min="251" max="16384" width="12.5546875" style="218"/>
  </cols>
  <sheetData>
    <row r="1" spans="1:46" ht="15.6" thickBot="1">
      <c r="A1" s="216"/>
      <c r="B1" s="93"/>
      <c r="C1" s="93"/>
      <c r="D1" s="93"/>
      <c r="E1" s="93"/>
      <c r="F1" s="93"/>
      <c r="G1" s="93"/>
      <c r="H1" s="93"/>
      <c r="I1" s="93"/>
      <c r="J1" s="93"/>
      <c r="K1" s="93"/>
      <c r="L1" s="93"/>
      <c r="M1" s="93"/>
      <c r="N1" s="93"/>
      <c r="O1" s="93"/>
      <c r="P1" s="93"/>
      <c r="Q1" s="93"/>
      <c r="R1" s="93"/>
      <c r="S1" s="93"/>
      <c r="T1" s="93"/>
      <c r="U1" s="93"/>
      <c r="V1" s="93"/>
      <c r="W1" s="93"/>
      <c r="X1" s="93"/>
      <c r="Y1" s="93"/>
      <c r="Z1" s="93"/>
      <c r="AA1" s="93"/>
      <c r="AB1" s="93"/>
      <c r="AC1" s="93"/>
      <c r="AD1" s="93"/>
      <c r="AE1" s="93"/>
      <c r="AF1" s="93"/>
      <c r="AG1" s="94"/>
      <c r="AH1" s="217"/>
      <c r="AI1" s="217"/>
      <c r="AJ1" s="217"/>
      <c r="AK1" s="217"/>
      <c r="AL1" s="217"/>
      <c r="AM1" s="217"/>
      <c r="AN1" s="217"/>
      <c r="AO1" s="217"/>
      <c r="AP1" s="217"/>
      <c r="AQ1" s="217"/>
      <c r="AR1" s="217"/>
      <c r="AS1" s="217"/>
    </row>
    <row r="2" spans="1:46" ht="50.25" customHeight="1" thickBot="1">
      <c r="A2" s="219"/>
      <c r="B2" s="220"/>
      <c r="C2" s="99"/>
      <c r="D2" s="99"/>
      <c r="E2" s="100"/>
      <c r="F2" s="1689" t="str">
        <f ca="1">INDIRECT('D1-D2-D3'!$J$4&amp;"!C2")&amp;"
"&amp;INDIRECT('D1-D2-D3'!$J$4&amp;"!C189")</f>
        <v>PROBLEM SOLVING SHEET
Verification, Preventive Actions, Closure</v>
      </c>
      <c r="G2" s="1690"/>
      <c r="H2" s="1690"/>
      <c r="I2" s="1690"/>
      <c r="J2" s="1690"/>
      <c r="K2" s="1690"/>
      <c r="L2" s="1690"/>
      <c r="M2" s="1690"/>
      <c r="N2" s="1690"/>
      <c r="O2" s="1690"/>
      <c r="P2" s="1690"/>
      <c r="Q2" s="1690"/>
      <c r="R2" s="1690"/>
      <c r="S2" s="1691"/>
      <c r="T2" s="1717" t="str">
        <f ca="1">INDIRECT('D1-D2-D3'!$J$4&amp;"!C3")</f>
        <v>PSS No.</v>
      </c>
      <c r="U2" s="1718"/>
      <c r="V2" s="826">
        <f>'D1-D2-D3'!AI4</f>
        <v>0</v>
      </c>
      <c r="W2" s="822"/>
      <c r="X2" s="1685" t="s">
        <v>454</v>
      </c>
      <c r="Y2" s="1716"/>
      <c r="Z2" s="1686"/>
      <c r="AA2" s="1685" t="str">
        <f ca="1">INDIRECT('D1-D2-D3'!$J$4&amp;"!C188")</f>
        <v>Page 5: D6-D7-D8</v>
      </c>
      <c r="AB2" s="1716"/>
      <c r="AC2" s="1716"/>
      <c r="AD2" s="1716"/>
      <c r="AE2" s="1716"/>
      <c r="AF2" s="1686"/>
      <c r="AG2" s="103"/>
      <c r="AH2" s="104"/>
      <c r="AI2" s="104"/>
      <c r="AJ2" s="104"/>
      <c r="AK2" s="1363"/>
      <c r="AL2" s="1363"/>
      <c r="AM2" s="1363"/>
      <c r="AN2" s="1363"/>
      <c r="AO2" s="1363"/>
      <c r="AP2" s="1363"/>
      <c r="AQ2" s="1363"/>
      <c r="AR2" s="1363"/>
      <c r="AS2" s="32"/>
      <c r="AT2" s="222"/>
    </row>
    <row r="3" spans="1:46" ht="6" customHeight="1" thickBot="1">
      <c r="A3" s="216"/>
      <c r="B3" s="231"/>
      <c r="C3" s="222"/>
      <c r="D3" s="222"/>
      <c r="E3" s="222"/>
      <c r="F3" s="222"/>
      <c r="G3" s="222"/>
      <c r="H3" s="222"/>
      <c r="I3" s="222"/>
      <c r="J3" s="222"/>
      <c r="K3" s="222"/>
      <c r="L3" s="222"/>
      <c r="M3" s="222"/>
      <c r="N3" s="222"/>
      <c r="O3" s="222"/>
      <c r="P3" s="222"/>
      <c r="Q3" s="222"/>
      <c r="R3" s="222"/>
      <c r="S3" s="222"/>
      <c r="T3" s="222"/>
      <c r="U3" s="222"/>
      <c r="V3" s="222"/>
      <c r="W3" s="222"/>
      <c r="X3" s="222"/>
      <c r="Y3" s="222"/>
      <c r="Z3" s="222"/>
      <c r="AA3" s="222"/>
      <c r="AB3" s="222"/>
      <c r="AC3" s="222"/>
      <c r="AD3" s="222"/>
      <c r="AE3" s="222"/>
      <c r="AF3" s="232"/>
      <c r="AG3" s="222"/>
      <c r="AH3" s="233"/>
      <c r="AI3" s="233"/>
    </row>
    <row r="4" spans="1:46" ht="6" customHeight="1">
      <c r="A4" s="226"/>
      <c r="B4" s="234"/>
      <c r="C4" s="185"/>
      <c r="D4" s="185"/>
      <c r="E4" s="185"/>
      <c r="F4" s="185"/>
      <c r="G4" s="185"/>
      <c r="H4" s="185"/>
      <c r="I4" s="185"/>
      <c r="J4" s="185"/>
      <c r="K4" s="185"/>
      <c r="L4" s="185"/>
      <c r="M4" s="185"/>
      <c r="N4" s="185"/>
      <c r="O4" s="185"/>
      <c r="P4" s="185"/>
      <c r="Q4" s="185"/>
      <c r="R4" s="185"/>
      <c r="S4" s="235"/>
      <c r="T4" s="235"/>
      <c r="U4" s="235"/>
      <c r="V4" s="235"/>
      <c r="W4" s="235"/>
      <c r="X4" s="235"/>
      <c r="Y4" s="235"/>
      <c r="Z4" s="235"/>
      <c r="AA4" s="235"/>
      <c r="AB4" s="235"/>
      <c r="AC4" s="235"/>
      <c r="AD4" s="235"/>
      <c r="AE4" s="235"/>
      <c r="AF4" s="236"/>
      <c r="AG4" s="23"/>
      <c r="AH4" s="126"/>
      <c r="AI4" s="126"/>
      <c r="AJ4" s="126"/>
      <c r="AK4" s="126"/>
      <c r="AL4" s="126"/>
      <c r="AM4" s="126"/>
      <c r="AN4" s="126"/>
      <c r="AO4" s="126"/>
      <c r="AP4" s="126"/>
      <c r="AQ4" s="126"/>
      <c r="AR4" s="126"/>
      <c r="AS4" s="127"/>
      <c r="AT4" s="222"/>
    </row>
    <row r="5" spans="1:46" ht="30" customHeight="1">
      <c r="A5" s="226"/>
      <c r="B5" s="799" t="str">
        <f ca="1">INDIRECT('D1-D2-D3'!$J$4&amp;"!C162")</f>
        <v>D6 - Implementation of permanent corrective action(s)</v>
      </c>
      <c r="C5" s="347"/>
      <c r="D5" s="708"/>
      <c r="E5" s="208"/>
      <c r="F5" s="208"/>
      <c r="G5" s="208"/>
      <c r="H5" s="208"/>
      <c r="I5" s="208"/>
      <c r="J5" s="208"/>
      <c r="K5" s="208"/>
      <c r="L5" s="208"/>
      <c r="M5" s="210"/>
      <c r="N5" s="208"/>
      <c r="O5" s="198"/>
      <c r="P5" s="198"/>
      <c r="Q5" s="198"/>
      <c r="R5" s="198"/>
      <c r="S5" s="198"/>
      <c r="T5" s="198"/>
      <c r="U5" s="198"/>
      <c r="V5" s="198"/>
      <c r="W5" s="198"/>
      <c r="X5" s="198"/>
      <c r="Y5" s="198"/>
      <c r="Z5" s="198"/>
      <c r="AA5" s="198"/>
      <c r="AB5" s="198"/>
      <c r="AC5" s="198"/>
      <c r="AD5" s="198"/>
      <c r="AE5" s="198"/>
      <c r="AF5" s="238"/>
      <c r="AG5" s="129"/>
      <c r="AH5" s="126"/>
      <c r="AI5" s="126"/>
      <c r="AJ5" s="126"/>
      <c r="AK5" s="126"/>
      <c r="AL5" s="126"/>
      <c r="AM5" s="126"/>
      <c r="AN5" s="126"/>
      <c r="AO5" s="126"/>
      <c r="AP5" s="126"/>
      <c r="AQ5" s="126"/>
      <c r="AR5" s="126"/>
      <c r="AS5" s="187"/>
      <c r="AT5" s="222"/>
    </row>
    <row r="6" spans="1:46" ht="6" customHeight="1">
      <c r="A6" s="226"/>
      <c r="B6" s="237"/>
      <c r="C6" s="208"/>
      <c r="D6" s="208"/>
      <c r="E6" s="208"/>
      <c r="F6" s="208"/>
      <c r="G6" s="208"/>
      <c r="H6" s="208"/>
      <c r="I6" s="208"/>
      <c r="J6" s="208"/>
      <c r="K6" s="208"/>
      <c r="L6" s="208"/>
      <c r="M6" s="210"/>
      <c r="N6" s="208"/>
      <c r="O6" s="198"/>
      <c r="P6" s="198"/>
      <c r="Q6" s="198"/>
      <c r="R6" s="198"/>
      <c r="S6" s="198"/>
      <c r="T6" s="198"/>
      <c r="U6" s="198"/>
      <c r="V6" s="198"/>
      <c r="W6" s="198"/>
      <c r="X6" s="198"/>
      <c r="Y6" s="198"/>
      <c r="Z6" s="198"/>
      <c r="AA6" s="198"/>
      <c r="AB6" s="198"/>
      <c r="AC6" s="198"/>
      <c r="AD6" s="198"/>
      <c r="AE6" s="198"/>
      <c r="AF6" s="238"/>
      <c r="AG6" s="129"/>
      <c r="AH6" s="126"/>
      <c r="AI6" s="126"/>
      <c r="AJ6" s="126"/>
      <c r="AK6" s="126"/>
      <c r="AL6" s="126"/>
      <c r="AM6" s="126"/>
      <c r="AN6" s="126"/>
      <c r="AO6" s="126"/>
      <c r="AP6" s="126"/>
      <c r="AQ6" s="126"/>
      <c r="AR6" s="126"/>
      <c r="AS6" s="187"/>
      <c r="AT6" s="222"/>
    </row>
    <row r="7" spans="1:46" s="246" customFormat="1" ht="30" customHeight="1">
      <c r="A7" s="239"/>
      <c r="B7" s="240"/>
      <c r="C7" s="241">
        <f ca="1">INDIRECT('D1-D2-D3'!$J$4&amp;"!C298")</f>
        <v>0</v>
      </c>
      <c r="D7" s="362" t="str">
        <f ca="1">INDIRECT('D1-D2-D3'!$J$4&amp;"!C190")</f>
        <v>Verification of effectiveness of corrective actions</v>
      </c>
      <c r="E7" s="241"/>
      <c r="F7" s="241"/>
      <c r="G7" s="241"/>
      <c r="H7" s="241"/>
      <c r="I7" s="241"/>
      <c r="J7" s="241"/>
      <c r="K7" s="241"/>
      <c r="L7" s="241"/>
      <c r="M7" s="241"/>
      <c r="N7" s="241"/>
      <c r="O7" s="1273" t="str">
        <f ca="1">INDIRECT('D1-D2-D3'!$J$4&amp;"!C68")&amp;":"</f>
        <v>Status:</v>
      </c>
      <c r="P7" s="1273"/>
      <c r="Q7" s="199"/>
      <c r="R7" s="1047"/>
      <c r="S7" s="1048"/>
      <c r="T7" s="1049"/>
      <c r="U7" s="242"/>
      <c r="V7" s="1713"/>
      <c r="W7" s="1713"/>
      <c r="X7" s="1713"/>
      <c r="Y7" s="242"/>
      <c r="Z7" s="1714" t="str">
        <f ca="1">INDIRECT('D1-D2-D3'!$J$4&amp;"!C69")</f>
        <v>Date</v>
      </c>
      <c r="AA7" s="1715"/>
      <c r="AB7" s="1719"/>
      <c r="AC7" s="1720"/>
      <c r="AD7" s="1721"/>
      <c r="AE7" s="241"/>
      <c r="AF7" s="243"/>
      <c r="AG7" s="20"/>
      <c r="AH7" s="126"/>
      <c r="AI7" s="126"/>
      <c r="AJ7" s="126"/>
      <c r="AK7" s="126"/>
      <c r="AL7" s="126"/>
      <c r="AM7" s="126"/>
      <c r="AN7" s="126"/>
      <c r="AO7" s="126"/>
      <c r="AP7" s="126"/>
      <c r="AQ7" s="126"/>
      <c r="AR7" s="126"/>
      <c r="AS7" s="244"/>
      <c r="AT7" s="245"/>
    </row>
    <row r="8" spans="1:46" ht="7.5" customHeight="1">
      <c r="A8" s="226"/>
      <c r="B8" s="237"/>
      <c r="C8" s="241"/>
      <c r="D8" s="241"/>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3"/>
      <c r="AG8" s="20"/>
      <c r="AH8" s="126"/>
      <c r="AI8" s="126"/>
      <c r="AJ8" s="126"/>
      <c r="AK8" s="126"/>
      <c r="AL8" s="126"/>
      <c r="AM8" s="126"/>
      <c r="AN8" s="126"/>
      <c r="AO8" s="126"/>
      <c r="AP8" s="126"/>
      <c r="AQ8" s="126"/>
      <c r="AR8" s="126"/>
      <c r="AS8" s="187"/>
      <c r="AT8" s="222"/>
    </row>
    <row r="9" spans="1:46" ht="6" customHeight="1">
      <c r="A9" s="226"/>
      <c r="B9" s="237"/>
      <c r="C9" s="247"/>
      <c r="D9" s="19"/>
      <c r="E9" s="20"/>
      <c r="F9" s="20"/>
      <c r="G9" s="20"/>
      <c r="H9" s="20"/>
      <c r="I9" s="20"/>
      <c r="J9" s="20"/>
      <c r="K9" s="20"/>
      <c r="L9" s="20"/>
      <c r="M9" s="20"/>
      <c r="N9" s="20"/>
      <c r="O9" s="20"/>
      <c r="P9" s="21"/>
      <c r="Q9" s="20"/>
      <c r="R9" s="20"/>
      <c r="S9" s="20"/>
      <c r="T9" s="20"/>
      <c r="U9" s="20"/>
      <c r="V9" s="20"/>
      <c r="W9" s="20"/>
      <c r="X9" s="20"/>
      <c r="Y9" s="20"/>
      <c r="Z9" s="20"/>
      <c r="AA9" s="20"/>
      <c r="AB9" s="20"/>
      <c r="AC9" s="20"/>
      <c r="AD9" s="20"/>
      <c r="AE9" s="20"/>
      <c r="AF9" s="243"/>
      <c r="AG9" s="20"/>
      <c r="AH9" s="126"/>
      <c r="AI9" s="126"/>
      <c r="AJ9" s="126"/>
      <c r="AK9" s="126"/>
      <c r="AL9" s="126"/>
      <c r="AM9" s="126"/>
      <c r="AN9" s="126"/>
      <c r="AO9" s="126"/>
      <c r="AP9" s="126"/>
      <c r="AQ9" s="126"/>
      <c r="AR9" s="126"/>
      <c r="AS9" s="187"/>
      <c r="AT9" s="222"/>
    </row>
    <row r="10" spans="1:46" s="250" customFormat="1" ht="36.75" customHeight="1">
      <c r="A10" s="226"/>
      <c r="B10" s="248"/>
      <c r="C10" s="249"/>
      <c r="D10" s="706" t="str">
        <f ca="1">INDIRECT('D1-D2-D3'!$J$4&amp;"!C149")</f>
        <v>Factors identification</v>
      </c>
      <c r="E10" s="1722" t="str">
        <f ca="1">INDIRECT('D1-D2-D3'!$J$4&amp;"!C192")</f>
        <v>Result and evidence of effectiveness check and comment</v>
      </c>
      <c r="F10" s="1723"/>
      <c r="G10" s="1723"/>
      <c r="H10" s="1723"/>
      <c r="I10" s="1723"/>
      <c r="J10" s="1723"/>
      <c r="K10" s="1723"/>
      <c r="L10" s="1723"/>
      <c r="M10" s="1723"/>
      <c r="N10" s="1723"/>
      <c r="O10" s="1723"/>
      <c r="P10" s="1723"/>
      <c r="Q10" s="1723"/>
      <c r="R10" s="1723"/>
      <c r="S10" s="1723"/>
      <c r="T10" s="1723"/>
      <c r="U10" s="1723"/>
      <c r="V10" s="1723"/>
      <c r="W10" s="1723"/>
      <c r="X10" s="1723"/>
      <c r="Y10" s="1723"/>
      <c r="Z10" s="1723"/>
      <c r="AA10" s="1723"/>
      <c r="AB10" s="1723"/>
      <c r="AC10" s="1723"/>
      <c r="AD10" s="1724"/>
      <c r="AE10" s="357"/>
      <c r="AF10" s="63"/>
      <c r="AG10" s="357"/>
      <c r="AH10" s="202"/>
      <c r="AI10" s="202"/>
      <c r="AJ10" s="202"/>
      <c r="AK10" s="202"/>
      <c r="AL10" s="202"/>
      <c r="AM10" s="202"/>
      <c r="AN10" s="202"/>
      <c r="AO10" s="202"/>
      <c r="AP10" s="202"/>
      <c r="AQ10" s="202"/>
      <c r="AR10" s="202"/>
      <c r="AS10" s="204"/>
      <c r="AT10" s="249"/>
    </row>
    <row r="11" spans="1:46" s="250" customFormat="1" ht="30" customHeight="1">
      <c r="A11" s="226"/>
      <c r="B11" s="248"/>
      <c r="C11" s="249"/>
      <c r="D11" s="1775" t="str">
        <f ca="1">INDIRECT('D1-D2-D3'!$J$4&amp;"!C139")</f>
        <v>Occurrence</v>
      </c>
      <c r="E11" s="1725"/>
      <c r="F11" s="1726"/>
      <c r="G11" s="1726"/>
      <c r="H11" s="1726"/>
      <c r="I11" s="1726"/>
      <c r="J11" s="1726"/>
      <c r="K11" s="1726"/>
      <c r="L11" s="1726"/>
      <c r="M11" s="1726"/>
      <c r="N11" s="1726"/>
      <c r="O11" s="1726"/>
      <c r="P11" s="1726"/>
      <c r="Q11" s="1726"/>
      <c r="R11" s="1726"/>
      <c r="S11" s="1726"/>
      <c r="T11" s="1726"/>
      <c r="U11" s="1726"/>
      <c r="V11" s="1726"/>
      <c r="W11" s="1726"/>
      <c r="X11" s="1726"/>
      <c r="Y11" s="1726"/>
      <c r="Z11" s="1726"/>
      <c r="AA11" s="1726"/>
      <c r="AB11" s="1726"/>
      <c r="AC11" s="1726"/>
      <c r="AD11" s="1727"/>
      <c r="AE11" s="357"/>
      <c r="AF11" s="63"/>
      <c r="AG11" s="357"/>
      <c r="AH11" s="202"/>
      <c r="AI11" s="202"/>
      <c r="AJ11" s="202"/>
      <c r="AK11" s="202"/>
      <c r="AL11" s="202"/>
      <c r="AM11" s="202"/>
      <c r="AN11" s="202"/>
      <c r="AO11" s="202"/>
      <c r="AP11" s="202"/>
      <c r="AQ11" s="202"/>
      <c r="AR11" s="202"/>
      <c r="AS11" s="204"/>
      <c r="AT11" s="249"/>
    </row>
    <row r="12" spans="1:46" s="250" customFormat="1" ht="30" customHeight="1">
      <c r="A12" s="226"/>
      <c r="B12" s="248"/>
      <c r="C12" s="249"/>
      <c r="D12" s="1776"/>
      <c r="E12" s="1728"/>
      <c r="F12" s="1729"/>
      <c r="G12" s="1729"/>
      <c r="H12" s="1729"/>
      <c r="I12" s="1729"/>
      <c r="J12" s="1729"/>
      <c r="K12" s="1729"/>
      <c r="L12" s="1729"/>
      <c r="M12" s="1729"/>
      <c r="N12" s="1729"/>
      <c r="O12" s="1729"/>
      <c r="P12" s="1729"/>
      <c r="Q12" s="1729"/>
      <c r="R12" s="1729"/>
      <c r="S12" s="1729"/>
      <c r="T12" s="1729"/>
      <c r="U12" s="1729"/>
      <c r="V12" s="1729"/>
      <c r="W12" s="1729"/>
      <c r="X12" s="1729"/>
      <c r="Y12" s="1729"/>
      <c r="Z12" s="1729"/>
      <c r="AA12" s="1729"/>
      <c r="AB12" s="1729"/>
      <c r="AC12" s="1729"/>
      <c r="AD12" s="1730"/>
      <c r="AE12" s="357"/>
      <c r="AF12" s="63"/>
      <c r="AG12" s="357"/>
      <c r="AH12" s="202"/>
      <c r="AI12" s="202"/>
      <c r="AJ12" s="202"/>
      <c r="AK12" s="202"/>
      <c r="AL12" s="202"/>
      <c r="AM12" s="202"/>
      <c r="AN12" s="202"/>
      <c r="AO12" s="202"/>
      <c r="AP12" s="202"/>
      <c r="AQ12" s="202"/>
      <c r="AR12" s="202"/>
      <c r="AS12" s="204"/>
      <c r="AT12" s="249"/>
    </row>
    <row r="13" spans="1:46" s="250" customFormat="1" ht="30" customHeight="1">
      <c r="A13" s="226"/>
      <c r="B13" s="248"/>
      <c r="C13" s="249"/>
      <c r="D13" s="1776"/>
      <c r="E13" s="1728"/>
      <c r="F13" s="1729"/>
      <c r="G13" s="1729"/>
      <c r="H13" s="1729"/>
      <c r="I13" s="1729"/>
      <c r="J13" s="1729"/>
      <c r="K13" s="1729"/>
      <c r="L13" s="1729"/>
      <c r="M13" s="1729"/>
      <c r="N13" s="1729"/>
      <c r="O13" s="1729"/>
      <c r="P13" s="1729"/>
      <c r="Q13" s="1729"/>
      <c r="R13" s="1729"/>
      <c r="S13" s="1729"/>
      <c r="T13" s="1729"/>
      <c r="U13" s="1729"/>
      <c r="V13" s="1729"/>
      <c r="W13" s="1729"/>
      <c r="X13" s="1729"/>
      <c r="Y13" s="1729"/>
      <c r="Z13" s="1729"/>
      <c r="AA13" s="1729"/>
      <c r="AB13" s="1729"/>
      <c r="AC13" s="1729"/>
      <c r="AD13" s="1730"/>
      <c r="AE13" s="357"/>
      <c r="AF13" s="63"/>
      <c r="AG13" s="357"/>
      <c r="AH13" s="202"/>
      <c r="AI13" s="202"/>
      <c r="AJ13" s="202"/>
      <c r="AK13" s="202"/>
      <c r="AL13" s="202"/>
      <c r="AM13" s="202"/>
      <c r="AN13" s="202"/>
      <c r="AO13" s="202"/>
      <c r="AP13" s="202"/>
      <c r="AQ13" s="202"/>
      <c r="AR13" s="202"/>
      <c r="AS13" s="204"/>
      <c r="AT13" s="249"/>
    </row>
    <row r="14" spans="1:46" s="250" customFormat="1" ht="30" customHeight="1">
      <c r="A14" s="226"/>
      <c r="B14" s="248"/>
      <c r="C14" s="249"/>
      <c r="D14" s="1776"/>
      <c r="E14" s="1728"/>
      <c r="F14" s="1729"/>
      <c r="G14" s="1729"/>
      <c r="H14" s="1729"/>
      <c r="I14" s="1729"/>
      <c r="J14" s="1729"/>
      <c r="K14" s="1729"/>
      <c r="L14" s="1729"/>
      <c r="M14" s="1729"/>
      <c r="N14" s="1729"/>
      <c r="O14" s="1729"/>
      <c r="P14" s="1729"/>
      <c r="Q14" s="1729"/>
      <c r="R14" s="1729"/>
      <c r="S14" s="1729"/>
      <c r="T14" s="1729"/>
      <c r="U14" s="1729"/>
      <c r="V14" s="1729"/>
      <c r="W14" s="1729"/>
      <c r="X14" s="1729"/>
      <c r="Y14" s="1729"/>
      <c r="Z14" s="1729"/>
      <c r="AA14" s="1729"/>
      <c r="AB14" s="1729"/>
      <c r="AC14" s="1729"/>
      <c r="AD14" s="1730"/>
      <c r="AE14" s="357"/>
      <c r="AF14" s="63"/>
      <c r="AG14" s="357"/>
      <c r="AH14" s="202"/>
      <c r="AI14" s="202"/>
      <c r="AJ14" s="202"/>
      <c r="AK14" s="202"/>
      <c r="AL14" s="202"/>
      <c r="AM14" s="202"/>
      <c r="AN14" s="202"/>
      <c r="AO14" s="202"/>
      <c r="AP14" s="202"/>
      <c r="AQ14" s="202"/>
      <c r="AR14" s="202"/>
      <c r="AS14" s="204"/>
      <c r="AT14" s="249"/>
    </row>
    <row r="15" spans="1:46" s="250" customFormat="1" ht="30" customHeight="1">
      <c r="A15" s="226"/>
      <c r="B15" s="248"/>
      <c r="C15" s="249"/>
      <c r="D15" s="1776"/>
      <c r="E15" s="1728"/>
      <c r="F15" s="1729"/>
      <c r="G15" s="1729"/>
      <c r="H15" s="1729"/>
      <c r="I15" s="1729"/>
      <c r="J15" s="1729"/>
      <c r="K15" s="1729"/>
      <c r="L15" s="1729"/>
      <c r="M15" s="1729"/>
      <c r="N15" s="1729"/>
      <c r="O15" s="1729"/>
      <c r="P15" s="1729"/>
      <c r="Q15" s="1729"/>
      <c r="R15" s="1729"/>
      <c r="S15" s="1729"/>
      <c r="T15" s="1729"/>
      <c r="U15" s="1729"/>
      <c r="V15" s="1729"/>
      <c r="W15" s="1729"/>
      <c r="X15" s="1729"/>
      <c r="Y15" s="1729"/>
      <c r="Z15" s="1729"/>
      <c r="AA15" s="1729"/>
      <c r="AB15" s="1729"/>
      <c r="AC15" s="1729"/>
      <c r="AD15" s="1730"/>
      <c r="AE15" s="357"/>
      <c r="AF15" s="63"/>
      <c r="AG15" s="357"/>
      <c r="AH15" s="202"/>
      <c r="AI15" s="202"/>
      <c r="AJ15" s="202"/>
      <c r="AK15" s="202"/>
      <c r="AL15" s="202"/>
      <c r="AM15" s="202"/>
      <c r="AN15" s="202"/>
      <c r="AO15" s="202"/>
      <c r="AP15" s="202"/>
      <c r="AQ15" s="202"/>
      <c r="AR15" s="202"/>
      <c r="AS15" s="204"/>
      <c r="AT15" s="249"/>
    </row>
    <row r="16" spans="1:46" s="250" customFormat="1" ht="30" customHeight="1">
      <c r="A16" s="226"/>
      <c r="B16" s="248"/>
      <c r="C16" s="249"/>
      <c r="D16" s="1776"/>
      <c r="E16" s="1728"/>
      <c r="F16" s="1729"/>
      <c r="G16" s="1729"/>
      <c r="H16" s="1729"/>
      <c r="I16" s="1729"/>
      <c r="J16" s="1729"/>
      <c r="K16" s="1729"/>
      <c r="L16" s="1729"/>
      <c r="M16" s="1729"/>
      <c r="N16" s="1729"/>
      <c r="O16" s="1729"/>
      <c r="P16" s="1729"/>
      <c r="Q16" s="1729"/>
      <c r="R16" s="1729"/>
      <c r="S16" s="1729"/>
      <c r="T16" s="1729"/>
      <c r="U16" s="1729"/>
      <c r="V16" s="1729"/>
      <c r="W16" s="1729"/>
      <c r="X16" s="1729"/>
      <c r="Y16" s="1729"/>
      <c r="Z16" s="1729"/>
      <c r="AA16" s="1729"/>
      <c r="AB16" s="1729"/>
      <c r="AC16" s="1729"/>
      <c r="AD16" s="1730"/>
      <c r="AE16" s="357"/>
      <c r="AF16" s="63"/>
      <c r="AG16" s="357"/>
      <c r="AH16" s="202"/>
      <c r="AI16" s="202"/>
      <c r="AJ16" s="202"/>
      <c r="AK16" s="202"/>
      <c r="AL16" s="202"/>
      <c r="AM16" s="202"/>
      <c r="AN16" s="202"/>
      <c r="AO16" s="202"/>
      <c r="AP16" s="202"/>
      <c r="AQ16" s="202"/>
      <c r="AR16" s="202"/>
      <c r="AS16" s="204"/>
      <c r="AT16" s="249"/>
    </row>
    <row r="17" spans="1:46" s="250" customFormat="1" ht="30" customHeight="1">
      <c r="A17" s="226"/>
      <c r="B17" s="248"/>
      <c r="C17" s="249"/>
      <c r="D17" s="1777"/>
      <c r="E17" s="1731"/>
      <c r="F17" s="1732"/>
      <c r="G17" s="1732"/>
      <c r="H17" s="1732"/>
      <c r="I17" s="1732"/>
      <c r="J17" s="1732"/>
      <c r="K17" s="1732"/>
      <c r="L17" s="1732"/>
      <c r="M17" s="1732"/>
      <c r="N17" s="1732"/>
      <c r="O17" s="1732"/>
      <c r="P17" s="1732"/>
      <c r="Q17" s="1732"/>
      <c r="R17" s="1732"/>
      <c r="S17" s="1732"/>
      <c r="T17" s="1732"/>
      <c r="U17" s="1732"/>
      <c r="V17" s="1732"/>
      <c r="W17" s="1732"/>
      <c r="X17" s="1732"/>
      <c r="Y17" s="1732"/>
      <c r="Z17" s="1732"/>
      <c r="AA17" s="1732"/>
      <c r="AB17" s="1732"/>
      <c r="AC17" s="1732"/>
      <c r="AD17" s="1733"/>
      <c r="AE17" s="357"/>
      <c r="AF17" s="63"/>
      <c r="AG17" s="357"/>
      <c r="AH17" s="202"/>
      <c r="AI17" s="202"/>
      <c r="AJ17" s="202"/>
      <c r="AK17" s="202"/>
      <c r="AL17" s="202"/>
      <c r="AM17" s="202"/>
      <c r="AN17" s="202"/>
      <c r="AO17" s="202"/>
      <c r="AP17" s="202"/>
      <c r="AQ17" s="202"/>
      <c r="AR17" s="202"/>
      <c r="AS17" s="204"/>
      <c r="AT17" s="249"/>
    </row>
    <row r="18" spans="1:46" s="250" customFormat="1" ht="6" customHeight="1">
      <c r="A18" s="226"/>
      <c r="B18" s="248"/>
      <c r="C18" s="249"/>
      <c r="D18" s="809"/>
      <c r="E18" s="1778"/>
      <c r="F18" s="1778"/>
      <c r="G18" s="815"/>
      <c r="H18" s="710"/>
      <c r="I18" s="710"/>
      <c r="J18" s="710"/>
      <c r="K18" s="710"/>
      <c r="L18" s="710"/>
      <c r="M18" s="710"/>
      <c r="N18" s="1774"/>
      <c r="O18" s="1774"/>
      <c r="P18" s="1774"/>
      <c r="Q18" s="1774"/>
      <c r="R18" s="1774"/>
      <c r="S18" s="1774"/>
      <c r="T18" s="1774"/>
      <c r="U18" s="1796"/>
      <c r="V18" s="1796"/>
      <c r="W18" s="1797"/>
      <c r="X18" s="1797"/>
      <c r="Y18" s="1797"/>
      <c r="Z18" s="1774"/>
      <c r="AA18" s="1774"/>
      <c r="AB18" s="1774"/>
      <c r="AC18" s="1774"/>
      <c r="AD18" s="1774"/>
      <c r="AE18" s="357"/>
      <c r="AF18" s="63"/>
      <c r="AG18" s="357"/>
      <c r="AH18" s="202"/>
      <c r="AI18" s="202"/>
      <c r="AJ18" s="202"/>
      <c r="AK18" s="202"/>
      <c r="AL18" s="202"/>
      <c r="AM18" s="202"/>
      <c r="AN18" s="202"/>
      <c r="AO18" s="202"/>
      <c r="AP18" s="202"/>
      <c r="AQ18" s="202"/>
      <c r="AR18" s="202"/>
      <c r="AS18" s="204"/>
      <c r="AT18" s="249"/>
    </row>
    <row r="19" spans="1:46" s="250" customFormat="1" ht="30" customHeight="1">
      <c r="A19" s="226"/>
      <c r="B19" s="248"/>
      <c r="C19" s="249"/>
      <c r="D19" s="1775" t="str">
        <f ca="1">INDIRECT('D1-D2-D3'!$J$4&amp;"!C140")</f>
        <v>Non-detection</v>
      </c>
      <c r="E19" s="1725"/>
      <c r="F19" s="1726"/>
      <c r="G19" s="1726"/>
      <c r="H19" s="1726"/>
      <c r="I19" s="1726"/>
      <c r="J19" s="1726"/>
      <c r="K19" s="1726"/>
      <c r="L19" s="1726"/>
      <c r="M19" s="1726"/>
      <c r="N19" s="1726"/>
      <c r="O19" s="1726"/>
      <c r="P19" s="1726"/>
      <c r="Q19" s="1726"/>
      <c r="R19" s="1726"/>
      <c r="S19" s="1726"/>
      <c r="T19" s="1726"/>
      <c r="U19" s="1726"/>
      <c r="V19" s="1726"/>
      <c r="W19" s="1726"/>
      <c r="X19" s="1726"/>
      <c r="Y19" s="1726"/>
      <c r="Z19" s="1726"/>
      <c r="AA19" s="1726"/>
      <c r="AB19" s="1726"/>
      <c r="AC19" s="1726"/>
      <c r="AD19" s="1727"/>
      <c r="AE19" s="357"/>
      <c r="AF19" s="63"/>
      <c r="AG19" s="357"/>
      <c r="AH19" s="202"/>
      <c r="AI19" s="202"/>
      <c r="AJ19" s="202"/>
      <c r="AK19" s="202"/>
      <c r="AL19" s="202"/>
      <c r="AM19" s="202"/>
      <c r="AN19" s="202"/>
      <c r="AO19" s="202"/>
      <c r="AP19" s="202"/>
      <c r="AQ19" s="202"/>
      <c r="AR19" s="202"/>
      <c r="AS19" s="204"/>
      <c r="AT19" s="249"/>
    </row>
    <row r="20" spans="1:46" s="250" customFormat="1" ht="30" customHeight="1">
      <c r="A20" s="226"/>
      <c r="B20" s="248"/>
      <c r="C20" s="249"/>
      <c r="D20" s="1776"/>
      <c r="E20" s="1728"/>
      <c r="F20" s="1729"/>
      <c r="G20" s="1729"/>
      <c r="H20" s="1729"/>
      <c r="I20" s="1729"/>
      <c r="J20" s="1729"/>
      <c r="K20" s="1729"/>
      <c r="L20" s="1729"/>
      <c r="M20" s="1729"/>
      <c r="N20" s="1729"/>
      <c r="O20" s="1729"/>
      <c r="P20" s="1729"/>
      <c r="Q20" s="1729"/>
      <c r="R20" s="1729"/>
      <c r="S20" s="1729"/>
      <c r="T20" s="1729"/>
      <c r="U20" s="1729"/>
      <c r="V20" s="1729"/>
      <c r="W20" s="1729"/>
      <c r="X20" s="1729"/>
      <c r="Y20" s="1729"/>
      <c r="Z20" s="1729"/>
      <c r="AA20" s="1729"/>
      <c r="AB20" s="1729"/>
      <c r="AC20" s="1729"/>
      <c r="AD20" s="1730"/>
      <c r="AE20" s="357"/>
      <c r="AF20" s="63"/>
      <c r="AG20" s="357"/>
      <c r="AH20" s="202"/>
      <c r="AI20" s="202"/>
      <c r="AJ20" s="202"/>
      <c r="AK20" s="202"/>
      <c r="AL20" s="202"/>
      <c r="AM20" s="202"/>
      <c r="AN20" s="202"/>
      <c r="AO20" s="202"/>
      <c r="AP20" s="202"/>
      <c r="AQ20" s="202"/>
      <c r="AR20" s="202"/>
      <c r="AS20" s="204"/>
      <c r="AT20" s="249"/>
    </row>
    <row r="21" spans="1:46" s="250" customFormat="1" ht="30" customHeight="1">
      <c r="A21" s="226"/>
      <c r="B21" s="248"/>
      <c r="C21" s="249"/>
      <c r="D21" s="1776"/>
      <c r="E21" s="1728"/>
      <c r="F21" s="1729"/>
      <c r="G21" s="1729"/>
      <c r="H21" s="1729"/>
      <c r="I21" s="1729"/>
      <c r="J21" s="1729"/>
      <c r="K21" s="1729"/>
      <c r="L21" s="1729"/>
      <c r="M21" s="1729"/>
      <c r="N21" s="1729"/>
      <c r="O21" s="1729"/>
      <c r="P21" s="1729"/>
      <c r="Q21" s="1729"/>
      <c r="R21" s="1729"/>
      <c r="S21" s="1729"/>
      <c r="T21" s="1729"/>
      <c r="U21" s="1729"/>
      <c r="V21" s="1729"/>
      <c r="W21" s="1729"/>
      <c r="X21" s="1729"/>
      <c r="Y21" s="1729"/>
      <c r="Z21" s="1729"/>
      <c r="AA21" s="1729"/>
      <c r="AB21" s="1729"/>
      <c r="AC21" s="1729"/>
      <c r="AD21" s="1730"/>
      <c r="AE21" s="252"/>
      <c r="AF21" s="63"/>
      <c r="AG21" s="357"/>
      <c r="AH21" s="202"/>
      <c r="AI21" s="202"/>
      <c r="AJ21" s="202"/>
      <c r="AK21" s="202"/>
      <c r="AL21" s="202"/>
      <c r="AM21" s="202"/>
      <c r="AN21" s="202"/>
      <c r="AO21" s="202"/>
      <c r="AP21" s="202"/>
      <c r="AQ21" s="202"/>
      <c r="AR21" s="202"/>
      <c r="AS21" s="204"/>
      <c r="AT21" s="249"/>
    </row>
    <row r="22" spans="1:46" s="250" customFormat="1" ht="30" customHeight="1">
      <c r="A22" s="226"/>
      <c r="B22" s="248"/>
      <c r="C22" s="249"/>
      <c r="D22" s="1776"/>
      <c r="E22" s="1728"/>
      <c r="F22" s="1729"/>
      <c r="G22" s="1729"/>
      <c r="H22" s="1729"/>
      <c r="I22" s="1729"/>
      <c r="J22" s="1729"/>
      <c r="K22" s="1729"/>
      <c r="L22" s="1729"/>
      <c r="M22" s="1729"/>
      <c r="N22" s="1729"/>
      <c r="O22" s="1729"/>
      <c r="P22" s="1729"/>
      <c r="Q22" s="1729"/>
      <c r="R22" s="1729"/>
      <c r="S22" s="1729"/>
      <c r="T22" s="1729"/>
      <c r="U22" s="1729"/>
      <c r="V22" s="1729"/>
      <c r="W22" s="1729"/>
      <c r="X22" s="1729"/>
      <c r="Y22" s="1729"/>
      <c r="Z22" s="1729"/>
      <c r="AA22" s="1729"/>
      <c r="AB22" s="1729"/>
      <c r="AC22" s="1729"/>
      <c r="AD22" s="1730"/>
      <c r="AE22" s="252"/>
      <c r="AF22" s="63"/>
      <c r="AG22" s="357"/>
      <c r="AH22" s="202"/>
      <c r="AI22" s="202"/>
      <c r="AJ22" s="202"/>
      <c r="AK22" s="202"/>
      <c r="AL22" s="202"/>
      <c r="AM22" s="202"/>
      <c r="AN22" s="202"/>
      <c r="AO22" s="202"/>
      <c r="AP22" s="202"/>
      <c r="AQ22" s="202"/>
      <c r="AR22" s="202"/>
      <c r="AS22" s="204"/>
      <c r="AT22" s="249"/>
    </row>
    <row r="23" spans="1:46" s="250" customFormat="1" ht="30" customHeight="1">
      <c r="A23" s="226"/>
      <c r="B23" s="248"/>
      <c r="C23" s="249"/>
      <c r="D23" s="1776"/>
      <c r="E23" s="1728"/>
      <c r="F23" s="1729"/>
      <c r="G23" s="1729"/>
      <c r="H23" s="1729"/>
      <c r="I23" s="1729"/>
      <c r="J23" s="1729"/>
      <c r="K23" s="1729"/>
      <c r="L23" s="1729"/>
      <c r="M23" s="1729"/>
      <c r="N23" s="1729"/>
      <c r="O23" s="1729"/>
      <c r="P23" s="1729"/>
      <c r="Q23" s="1729"/>
      <c r="R23" s="1729"/>
      <c r="S23" s="1729"/>
      <c r="T23" s="1729"/>
      <c r="U23" s="1729"/>
      <c r="V23" s="1729"/>
      <c r="W23" s="1729"/>
      <c r="X23" s="1729"/>
      <c r="Y23" s="1729"/>
      <c r="Z23" s="1729"/>
      <c r="AA23" s="1729"/>
      <c r="AB23" s="1729"/>
      <c r="AC23" s="1729"/>
      <c r="AD23" s="1730"/>
      <c r="AE23" s="252"/>
      <c r="AF23" s="63"/>
      <c r="AG23" s="357"/>
      <c r="AH23" s="202"/>
      <c r="AI23" s="202"/>
      <c r="AJ23" s="202"/>
      <c r="AK23" s="202"/>
      <c r="AL23" s="202"/>
      <c r="AM23" s="202"/>
      <c r="AN23" s="202"/>
      <c r="AO23" s="202"/>
      <c r="AP23" s="202"/>
      <c r="AQ23" s="202"/>
      <c r="AR23" s="202"/>
      <c r="AS23" s="204"/>
      <c r="AT23" s="249"/>
    </row>
    <row r="24" spans="1:46" s="250" customFormat="1" ht="30" customHeight="1">
      <c r="A24" s="226"/>
      <c r="B24" s="248"/>
      <c r="C24" s="249"/>
      <c r="D24" s="1776"/>
      <c r="E24" s="1728"/>
      <c r="F24" s="1729"/>
      <c r="G24" s="1729"/>
      <c r="H24" s="1729"/>
      <c r="I24" s="1729"/>
      <c r="J24" s="1729"/>
      <c r="K24" s="1729"/>
      <c r="L24" s="1729"/>
      <c r="M24" s="1729"/>
      <c r="N24" s="1729"/>
      <c r="O24" s="1729"/>
      <c r="P24" s="1729"/>
      <c r="Q24" s="1729"/>
      <c r="R24" s="1729"/>
      <c r="S24" s="1729"/>
      <c r="T24" s="1729"/>
      <c r="U24" s="1729"/>
      <c r="V24" s="1729"/>
      <c r="W24" s="1729"/>
      <c r="X24" s="1729"/>
      <c r="Y24" s="1729"/>
      <c r="Z24" s="1729"/>
      <c r="AA24" s="1729"/>
      <c r="AB24" s="1729"/>
      <c r="AC24" s="1729"/>
      <c r="AD24" s="1730"/>
      <c r="AE24" s="252"/>
      <c r="AF24" s="63"/>
      <c r="AG24" s="357"/>
      <c r="AH24" s="202"/>
      <c r="AI24" s="202"/>
      <c r="AJ24" s="202"/>
      <c r="AK24" s="202"/>
      <c r="AL24" s="202"/>
      <c r="AM24" s="202"/>
      <c r="AN24" s="202"/>
      <c r="AO24" s="202"/>
      <c r="AP24" s="202"/>
      <c r="AQ24" s="202"/>
      <c r="AR24" s="202"/>
      <c r="AS24" s="204"/>
      <c r="AT24" s="249"/>
    </row>
    <row r="25" spans="1:46" s="250" customFormat="1" ht="30" customHeight="1">
      <c r="A25" s="226"/>
      <c r="B25" s="248"/>
      <c r="C25" s="249"/>
      <c r="D25" s="1777"/>
      <c r="E25" s="1731"/>
      <c r="F25" s="1732"/>
      <c r="G25" s="1732"/>
      <c r="H25" s="1732"/>
      <c r="I25" s="1732"/>
      <c r="J25" s="1732"/>
      <c r="K25" s="1732"/>
      <c r="L25" s="1732"/>
      <c r="M25" s="1732"/>
      <c r="N25" s="1732"/>
      <c r="O25" s="1732"/>
      <c r="P25" s="1732"/>
      <c r="Q25" s="1732"/>
      <c r="R25" s="1732"/>
      <c r="S25" s="1732"/>
      <c r="T25" s="1732"/>
      <c r="U25" s="1732"/>
      <c r="V25" s="1732"/>
      <c r="W25" s="1732"/>
      <c r="X25" s="1732"/>
      <c r="Y25" s="1732"/>
      <c r="Z25" s="1732"/>
      <c r="AA25" s="1732"/>
      <c r="AB25" s="1732"/>
      <c r="AC25" s="1732"/>
      <c r="AD25" s="1733"/>
      <c r="AE25" s="252"/>
      <c r="AF25" s="63"/>
      <c r="AG25" s="357"/>
      <c r="AH25" s="202"/>
      <c r="AI25" s="202"/>
      <c r="AJ25" s="202"/>
      <c r="AK25" s="202"/>
      <c r="AL25" s="202"/>
      <c r="AM25" s="202"/>
      <c r="AN25" s="202"/>
      <c r="AO25" s="202"/>
      <c r="AP25" s="202"/>
      <c r="AQ25" s="202"/>
      <c r="AR25" s="202"/>
      <c r="AS25" s="204"/>
      <c r="AT25" s="249"/>
    </row>
    <row r="26" spans="1:46" s="250" customFormat="1" ht="6" customHeight="1">
      <c r="A26" s="253"/>
      <c r="B26" s="248"/>
      <c r="C26" s="249"/>
      <c r="D26" s="128"/>
      <c r="E26" s="128"/>
      <c r="F26" s="254"/>
      <c r="G26" s="254"/>
      <c r="H26" s="254"/>
      <c r="I26" s="254"/>
      <c r="J26" s="254"/>
      <c r="K26" s="254"/>
      <c r="L26" s="255"/>
      <c r="M26" s="255"/>
      <c r="N26" s="255"/>
      <c r="O26" s="255"/>
      <c r="P26" s="255"/>
      <c r="Q26" s="255"/>
      <c r="R26" s="255"/>
      <c r="S26" s="255"/>
      <c r="T26" s="255"/>
      <c r="U26" s="255"/>
      <c r="V26" s="255"/>
      <c r="W26" s="255"/>
      <c r="X26" s="255"/>
      <c r="Y26" s="255"/>
      <c r="Z26" s="255"/>
      <c r="AA26" s="255"/>
      <c r="AB26" s="255"/>
      <c r="AC26" s="255"/>
      <c r="AD26" s="255"/>
      <c r="AE26" s="357"/>
      <c r="AF26" s="63"/>
      <c r="AG26" s="357"/>
      <c r="AH26" s="202"/>
      <c r="AI26" s="202"/>
      <c r="AJ26" s="202"/>
      <c r="AK26" s="202"/>
      <c r="AL26" s="202"/>
      <c r="AM26" s="202"/>
      <c r="AN26" s="202"/>
      <c r="AO26" s="202"/>
      <c r="AP26" s="202"/>
      <c r="AQ26" s="202"/>
      <c r="AR26" s="202"/>
      <c r="AS26" s="204"/>
      <c r="AT26" s="249"/>
    </row>
    <row r="27" spans="1:46" s="250" customFormat="1" ht="6" customHeight="1">
      <c r="A27" s="253"/>
      <c r="B27" s="248"/>
      <c r="C27" s="256"/>
      <c r="D27" s="257"/>
      <c r="E27" s="257"/>
      <c r="F27" s="258"/>
      <c r="G27" s="258"/>
      <c r="H27" s="258"/>
      <c r="I27" s="258"/>
      <c r="J27" s="258"/>
      <c r="K27" s="258"/>
      <c r="L27" s="259"/>
      <c r="M27" s="259"/>
      <c r="N27" s="259"/>
      <c r="O27" s="259"/>
      <c r="P27" s="259"/>
      <c r="Q27" s="259"/>
      <c r="R27" s="259"/>
      <c r="S27" s="259"/>
      <c r="T27" s="259"/>
      <c r="U27" s="259"/>
      <c r="V27" s="259"/>
      <c r="W27" s="259"/>
      <c r="X27" s="259"/>
      <c r="Y27" s="259"/>
      <c r="Z27" s="259"/>
      <c r="AA27" s="259"/>
      <c r="AB27" s="259"/>
      <c r="AC27" s="259"/>
      <c r="AD27" s="259"/>
      <c r="AE27" s="77"/>
      <c r="AF27" s="63"/>
      <c r="AG27" s="357"/>
      <c r="AH27" s="202"/>
      <c r="AI27" s="202"/>
      <c r="AJ27" s="202"/>
      <c r="AK27" s="202"/>
      <c r="AL27" s="202"/>
      <c r="AM27" s="202"/>
      <c r="AN27" s="202"/>
      <c r="AO27" s="202"/>
      <c r="AP27" s="202"/>
      <c r="AQ27" s="202"/>
      <c r="AR27" s="202"/>
      <c r="AS27" s="204"/>
      <c r="AT27" s="249"/>
    </row>
    <row r="28" spans="1:46" s="250" customFormat="1" ht="30" customHeight="1">
      <c r="A28" s="253"/>
      <c r="B28" s="248"/>
      <c r="C28" s="807" t="str">
        <f ca="1">INDIRECT('D1-D2-D3'!$J$4&amp;"!C93")&amp;" - " &amp;" "&amp;INDIRECT('D1-D2-D3'!$J$4&amp;"!C231")</f>
        <v>Comments -  Optional additional notes (pictures etc.)</v>
      </c>
      <c r="D28" s="257"/>
      <c r="E28" s="257"/>
      <c r="F28" s="258"/>
      <c r="G28" s="258"/>
      <c r="H28" s="258"/>
      <c r="I28" s="258"/>
      <c r="J28" s="258"/>
      <c r="K28" s="258"/>
      <c r="L28" s="259"/>
      <c r="M28" s="259"/>
      <c r="N28" s="259"/>
      <c r="O28" s="259"/>
      <c r="P28" s="259"/>
      <c r="Q28" s="259"/>
      <c r="R28" s="259"/>
      <c r="S28" s="259"/>
      <c r="T28" s="259"/>
      <c r="U28" s="259"/>
      <c r="V28" s="259"/>
      <c r="W28" s="259"/>
      <c r="X28" s="259"/>
      <c r="Y28" s="259"/>
      <c r="Z28" s="259"/>
      <c r="AA28" s="259"/>
      <c r="AB28" s="259"/>
      <c r="AC28" s="259"/>
      <c r="AD28" s="259"/>
      <c r="AE28" s="77"/>
      <c r="AF28" s="63"/>
      <c r="AG28" s="357"/>
      <c r="AH28" s="202"/>
      <c r="AI28" s="202"/>
      <c r="AJ28" s="202"/>
      <c r="AK28" s="202"/>
      <c r="AL28" s="202"/>
      <c r="AM28" s="202"/>
      <c r="AN28" s="202"/>
      <c r="AO28" s="202"/>
      <c r="AP28" s="202"/>
      <c r="AQ28" s="202"/>
      <c r="AR28" s="202"/>
      <c r="AS28" s="204"/>
      <c r="AT28" s="249"/>
    </row>
    <row r="29" spans="1:46" s="250" customFormat="1" ht="6" customHeight="1">
      <c r="A29" s="253"/>
      <c r="B29" s="248"/>
      <c r="C29" s="256"/>
      <c r="D29" s="257"/>
      <c r="E29" s="257"/>
      <c r="F29" s="258"/>
      <c r="G29" s="258"/>
      <c r="H29" s="258"/>
      <c r="I29" s="258"/>
      <c r="J29" s="258"/>
      <c r="K29" s="258"/>
      <c r="L29" s="259"/>
      <c r="M29" s="259"/>
      <c r="N29" s="259"/>
      <c r="O29" s="259"/>
      <c r="P29" s="259"/>
      <c r="Q29" s="259"/>
      <c r="R29" s="259"/>
      <c r="S29" s="259"/>
      <c r="T29" s="259"/>
      <c r="U29" s="259"/>
      <c r="V29" s="259"/>
      <c r="W29" s="259"/>
      <c r="X29" s="259"/>
      <c r="Y29" s="259"/>
      <c r="Z29" s="259"/>
      <c r="AA29" s="259"/>
      <c r="AB29" s="259"/>
      <c r="AC29" s="259"/>
      <c r="AD29" s="259"/>
      <c r="AE29" s="77"/>
      <c r="AF29" s="63"/>
      <c r="AG29" s="357"/>
      <c r="AH29" s="202"/>
      <c r="AI29" s="202"/>
      <c r="AJ29" s="202"/>
      <c r="AK29" s="202"/>
      <c r="AL29" s="202"/>
      <c r="AM29" s="202"/>
      <c r="AN29" s="202"/>
      <c r="AO29" s="202"/>
      <c r="AP29" s="202"/>
      <c r="AQ29" s="202"/>
      <c r="AR29" s="202"/>
      <c r="AS29" s="204"/>
      <c r="AT29" s="249"/>
    </row>
    <row r="30" spans="1:46" s="250" customFormat="1" ht="15" customHeight="1">
      <c r="A30" s="253"/>
      <c r="B30" s="248"/>
      <c r="C30" s="1245"/>
      <c r="D30" s="1246"/>
      <c r="E30" s="1246"/>
      <c r="F30" s="1246"/>
      <c r="G30" s="1246"/>
      <c r="H30" s="1246"/>
      <c r="I30" s="1246"/>
      <c r="J30" s="1246"/>
      <c r="K30" s="1246"/>
      <c r="L30" s="1246"/>
      <c r="M30" s="1246"/>
      <c r="N30" s="1246"/>
      <c r="O30" s="1246"/>
      <c r="P30" s="1246"/>
      <c r="Q30" s="1246"/>
      <c r="R30" s="1246"/>
      <c r="S30" s="1246"/>
      <c r="T30" s="1246"/>
      <c r="U30" s="1246"/>
      <c r="V30" s="1246"/>
      <c r="W30" s="1246"/>
      <c r="X30" s="1246"/>
      <c r="Y30" s="1246"/>
      <c r="Z30" s="1246"/>
      <c r="AA30" s="1246"/>
      <c r="AB30" s="1246"/>
      <c r="AC30" s="1246"/>
      <c r="AD30" s="1246"/>
      <c r="AE30" s="1247"/>
      <c r="AF30" s="63"/>
      <c r="AG30" s="357"/>
      <c r="AH30" s="202"/>
      <c r="AI30" s="202"/>
      <c r="AJ30" s="202"/>
      <c r="AK30" s="202"/>
      <c r="AL30" s="202"/>
      <c r="AM30" s="202"/>
      <c r="AN30" s="202"/>
      <c r="AO30" s="202"/>
      <c r="AP30" s="202"/>
      <c r="AQ30" s="202"/>
      <c r="AR30" s="202"/>
      <c r="AS30" s="204"/>
      <c r="AT30" s="249"/>
    </row>
    <row r="31" spans="1:46" s="250" customFormat="1" ht="15" customHeight="1">
      <c r="A31" s="253"/>
      <c r="B31" s="248"/>
      <c r="C31" s="1248"/>
      <c r="D31" s="1249"/>
      <c r="E31" s="1249"/>
      <c r="F31" s="1249"/>
      <c r="G31" s="1249"/>
      <c r="H31" s="1249"/>
      <c r="I31" s="1249"/>
      <c r="J31" s="1249"/>
      <c r="K31" s="1249"/>
      <c r="L31" s="1249"/>
      <c r="M31" s="1249"/>
      <c r="N31" s="1249"/>
      <c r="O31" s="1249"/>
      <c r="P31" s="1249"/>
      <c r="Q31" s="1249"/>
      <c r="R31" s="1249"/>
      <c r="S31" s="1249"/>
      <c r="T31" s="1249"/>
      <c r="U31" s="1249"/>
      <c r="V31" s="1249"/>
      <c r="W31" s="1249"/>
      <c r="X31" s="1249"/>
      <c r="Y31" s="1249"/>
      <c r="Z31" s="1249"/>
      <c r="AA31" s="1249"/>
      <c r="AB31" s="1249"/>
      <c r="AC31" s="1249"/>
      <c r="AD31" s="1249"/>
      <c r="AE31" s="1250"/>
      <c r="AF31" s="63"/>
      <c r="AG31" s="357"/>
      <c r="AH31" s="202"/>
      <c r="AI31" s="202"/>
      <c r="AJ31" s="202"/>
      <c r="AK31" s="202"/>
      <c r="AL31" s="202"/>
      <c r="AM31" s="202"/>
      <c r="AN31" s="202"/>
      <c r="AO31" s="202"/>
      <c r="AP31" s="202"/>
      <c r="AQ31" s="202"/>
      <c r="AR31" s="202"/>
      <c r="AS31" s="204"/>
      <c r="AT31" s="249"/>
    </row>
    <row r="32" spans="1:46" s="250" customFormat="1" ht="15" customHeight="1">
      <c r="A32" s="253"/>
      <c r="B32" s="248"/>
      <c r="C32" s="1248"/>
      <c r="D32" s="1249"/>
      <c r="E32" s="1249"/>
      <c r="F32" s="1249"/>
      <c r="G32" s="1249"/>
      <c r="H32" s="1249"/>
      <c r="I32" s="1249"/>
      <c r="J32" s="1249"/>
      <c r="K32" s="1249"/>
      <c r="L32" s="1249"/>
      <c r="M32" s="1249"/>
      <c r="N32" s="1249"/>
      <c r="O32" s="1249"/>
      <c r="P32" s="1249"/>
      <c r="Q32" s="1249"/>
      <c r="R32" s="1249"/>
      <c r="S32" s="1249"/>
      <c r="T32" s="1249"/>
      <c r="U32" s="1249"/>
      <c r="V32" s="1249"/>
      <c r="W32" s="1249"/>
      <c r="X32" s="1249"/>
      <c r="Y32" s="1249"/>
      <c r="Z32" s="1249"/>
      <c r="AA32" s="1249"/>
      <c r="AB32" s="1249"/>
      <c r="AC32" s="1249"/>
      <c r="AD32" s="1249"/>
      <c r="AE32" s="1250"/>
      <c r="AF32" s="63"/>
      <c r="AG32" s="357"/>
      <c r="AH32" s="202"/>
      <c r="AI32" s="202"/>
      <c r="AJ32" s="202"/>
      <c r="AK32" s="202"/>
      <c r="AL32" s="202"/>
      <c r="AM32" s="202"/>
      <c r="AN32" s="202"/>
      <c r="AO32" s="202"/>
      <c r="AP32" s="202"/>
      <c r="AQ32" s="202"/>
      <c r="AR32" s="202"/>
      <c r="AS32" s="204"/>
      <c r="AT32" s="249"/>
    </row>
    <row r="33" spans="1:46" s="250" customFormat="1" ht="15" customHeight="1">
      <c r="A33" s="253"/>
      <c r="B33" s="248"/>
      <c r="C33" s="1248"/>
      <c r="D33" s="1249"/>
      <c r="E33" s="1249"/>
      <c r="F33" s="1249"/>
      <c r="G33" s="1249"/>
      <c r="H33" s="1249"/>
      <c r="I33" s="1249"/>
      <c r="J33" s="1249"/>
      <c r="K33" s="1249"/>
      <c r="L33" s="1249"/>
      <c r="M33" s="1249"/>
      <c r="N33" s="1249"/>
      <c r="O33" s="1249"/>
      <c r="P33" s="1249"/>
      <c r="Q33" s="1249"/>
      <c r="R33" s="1249"/>
      <c r="S33" s="1249"/>
      <c r="T33" s="1249"/>
      <c r="U33" s="1249"/>
      <c r="V33" s="1249"/>
      <c r="W33" s="1249"/>
      <c r="X33" s="1249"/>
      <c r="Y33" s="1249"/>
      <c r="Z33" s="1249"/>
      <c r="AA33" s="1249"/>
      <c r="AB33" s="1249"/>
      <c r="AC33" s="1249"/>
      <c r="AD33" s="1249"/>
      <c r="AE33" s="1250"/>
      <c r="AF33" s="63"/>
      <c r="AG33" s="357"/>
      <c r="AH33" s="202"/>
      <c r="AI33" s="202"/>
      <c r="AJ33" s="202"/>
      <c r="AK33" s="202"/>
      <c r="AL33" s="202"/>
      <c r="AM33" s="202"/>
      <c r="AN33" s="202"/>
      <c r="AO33" s="202"/>
      <c r="AP33" s="202"/>
      <c r="AQ33" s="202"/>
      <c r="AR33" s="202"/>
      <c r="AS33" s="204"/>
      <c r="AT33" s="249"/>
    </row>
    <row r="34" spans="1:46" s="250" customFormat="1" ht="15" customHeight="1">
      <c r="A34" s="253"/>
      <c r="B34" s="248"/>
      <c r="C34" s="1248"/>
      <c r="D34" s="1249"/>
      <c r="E34" s="1249"/>
      <c r="F34" s="1249"/>
      <c r="G34" s="1249"/>
      <c r="H34" s="1249"/>
      <c r="I34" s="1249"/>
      <c r="J34" s="1249"/>
      <c r="K34" s="1249"/>
      <c r="L34" s="1249"/>
      <c r="M34" s="1249"/>
      <c r="N34" s="1249"/>
      <c r="O34" s="1249"/>
      <c r="P34" s="1249"/>
      <c r="Q34" s="1249"/>
      <c r="R34" s="1249"/>
      <c r="S34" s="1249"/>
      <c r="T34" s="1249"/>
      <c r="U34" s="1249"/>
      <c r="V34" s="1249"/>
      <c r="W34" s="1249"/>
      <c r="X34" s="1249"/>
      <c r="Y34" s="1249"/>
      <c r="Z34" s="1249"/>
      <c r="AA34" s="1249"/>
      <c r="AB34" s="1249"/>
      <c r="AC34" s="1249"/>
      <c r="AD34" s="1249"/>
      <c r="AE34" s="1250"/>
      <c r="AF34" s="63"/>
      <c r="AG34" s="357"/>
      <c r="AH34" s="202"/>
      <c r="AI34" s="202"/>
      <c r="AJ34" s="202"/>
      <c r="AK34" s="202"/>
      <c r="AL34" s="202"/>
      <c r="AM34" s="202"/>
      <c r="AN34" s="202"/>
      <c r="AO34" s="202"/>
      <c r="AP34" s="202"/>
      <c r="AQ34" s="202"/>
      <c r="AR34" s="202"/>
      <c r="AS34" s="204"/>
      <c r="AT34" s="249"/>
    </row>
    <row r="35" spans="1:46" s="250" customFormat="1" ht="15" customHeight="1">
      <c r="A35" s="253"/>
      <c r="B35" s="248"/>
      <c r="C35" s="1248"/>
      <c r="D35" s="1249"/>
      <c r="E35" s="1249"/>
      <c r="F35" s="1249"/>
      <c r="G35" s="1249"/>
      <c r="H35" s="1249"/>
      <c r="I35" s="1249"/>
      <c r="J35" s="1249"/>
      <c r="K35" s="1249"/>
      <c r="L35" s="1249"/>
      <c r="M35" s="1249"/>
      <c r="N35" s="1249"/>
      <c r="O35" s="1249"/>
      <c r="P35" s="1249"/>
      <c r="Q35" s="1249"/>
      <c r="R35" s="1249"/>
      <c r="S35" s="1249"/>
      <c r="T35" s="1249"/>
      <c r="U35" s="1249"/>
      <c r="V35" s="1249"/>
      <c r="W35" s="1249"/>
      <c r="X35" s="1249"/>
      <c r="Y35" s="1249"/>
      <c r="Z35" s="1249"/>
      <c r="AA35" s="1249"/>
      <c r="AB35" s="1249"/>
      <c r="AC35" s="1249"/>
      <c r="AD35" s="1249"/>
      <c r="AE35" s="1250"/>
      <c r="AF35" s="63"/>
      <c r="AG35" s="357"/>
      <c r="AH35" s="202"/>
      <c r="AI35" s="202"/>
      <c r="AJ35" s="202"/>
      <c r="AK35" s="202"/>
      <c r="AL35" s="202"/>
      <c r="AM35" s="202"/>
      <c r="AN35" s="202"/>
      <c r="AO35" s="202"/>
      <c r="AP35" s="202"/>
      <c r="AQ35" s="202"/>
      <c r="AR35" s="202"/>
      <c r="AS35" s="204"/>
      <c r="AT35" s="249"/>
    </row>
    <row r="36" spans="1:46" s="250" customFormat="1" ht="15" customHeight="1">
      <c r="A36" s="253"/>
      <c r="B36" s="248"/>
      <c r="C36" s="1248"/>
      <c r="D36" s="1249"/>
      <c r="E36" s="1249"/>
      <c r="F36" s="1249"/>
      <c r="G36" s="1249"/>
      <c r="H36" s="1249"/>
      <c r="I36" s="1249"/>
      <c r="J36" s="1249"/>
      <c r="K36" s="1249"/>
      <c r="L36" s="1249"/>
      <c r="M36" s="1249"/>
      <c r="N36" s="1249"/>
      <c r="O36" s="1249"/>
      <c r="P36" s="1249"/>
      <c r="Q36" s="1249"/>
      <c r="R36" s="1249"/>
      <c r="S36" s="1249"/>
      <c r="T36" s="1249"/>
      <c r="U36" s="1249"/>
      <c r="V36" s="1249"/>
      <c r="W36" s="1249"/>
      <c r="X36" s="1249"/>
      <c r="Y36" s="1249"/>
      <c r="Z36" s="1249"/>
      <c r="AA36" s="1249"/>
      <c r="AB36" s="1249"/>
      <c r="AC36" s="1249"/>
      <c r="AD36" s="1249"/>
      <c r="AE36" s="1250"/>
      <c r="AF36" s="63"/>
      <c r="AG36" s="357"/>
      <c r="AH36" s="202"/>
      <c r="AI36" s="202"/>
      <c r="AJ36" s="202"/>
      <c r="AK36" s="202"/>
      <c r="AL36" s="202"/>
      <c r="AM36" s="202"/>
      <c r="AN36" s="202"/>
      <c r="AO36" s="202"/>
      <c r="AP36" s="202"/>
      <c r="AQ36" s="202"/>
      <c r="AR36" s="202"/>
      <c r="AS36" s="204"/>
      <c r="AT36" s="249"/>
    </row>
    <row r="37" spans="1:46" s="250" customFormat="1" ht="15" customHeight="1">
      <c r="A37" s="253"/>
      <c r="B37" s="248"/>
      <c r="C37" s="1248"/>
      <c r="D37" s="1249"/>
      <c r="E37" s="1249"/>
      <c r="F37" s="1249"/>
      <c r="G37" s="1249"/>
      <c r="H37" s="1249"/>
      <c r="I37" s="1249"/>
      <c r="J37" s="1249"/>
      <c r="K37" s="1249"/>
      <c r="L37" s="1249"/>
      <c r="M37" s="1249"/>
      <c r="N37" s="1249"/>
      <c r="O37" s="1249"/>
      <c r="P37" s="1249"/>
      <c r="Q37" s="1249"/>
      <c r="R37" s="1249"/>
      <c r="S37" s="1249"/>
      <c r="T37" s="1249"/>
      <c r="U37" s="1249"/>
      <c r="V37" s="1249"/>
      <c r="W37" s="1249"/>
      <c r="X37" s="1249"/>
      <c r="Y37" s="1249"/>
      <c r="Z37" s="1249"/>
      <c r="AA37" s="1249"/>
      <c r="AB37" s="1249"/>
      <c r="AC37" s="1249"/>
      <c r="AD37" s="1249"/>
      <c r="AE37" s="1250"/>
      <c r="AF37" s="63"/>
      <c r="AG37" s="357"/>
      <c r="AH37" s="202"/>
      <c r="AI37" s="202"/>
      <c r="AJ37" s="202"/>
      <c r="AK37" s="202"/>
      <c r="AL37" s="202"/>
      <c r="AM37" s="202"/>
      <c r="AN37" s="202"/>
      <c r="AO37" s="202"/>
      <c r="AP37" s="202"/>
      <c r="AQ37" s="202"/>
      <c r="AR37" s="202"/>
      <c r="AS37" s="204"/>
      <c r="AT37" s="249"/>
    </row>
    <row r="38" spans="1:46" s="250" customFormat="1" ht="15" customHeight="1">
      <c r="A38" s="253"/>
      <c r="B38" s="248"/>
      <c r="C38" s="1248"/>
      <c r="D38" s="1249"/>
      <c r="E38" s="1249"/>
      <c r="F38" s="1249"/>
      <c r="G38" s="1249"/>
      <c r="H38" s="1249"/>
      <c r="I38" s="1249"/>
      <c r="J38" s="1249"/>
      <c r="K38" s="1249"/>
      <c r="L38" s="1249"/>
      <c r="M38" s="1249"/>
      <c r="N38" s="1249"/>
      <c r="O38" s="1249"/>
      <c r="P38" s="1249"/>
      <c r="Q38" s="1249"/>
      <c r="R38" s="1249"/>
      <c r="S38" s="1249"/>
      <c r="T38" s="1249"/>
      <c r="U38" s="1249"/>
      <c r="V38" s="1249"/>
      <c r="W38" s="1249"/>
      <c r="X38" s="1249"/>
      <c r="Y38" s="1249"/>
      <c r="Z38" s="1249"/>
      <c r="AA38" s="1249"/>
      <c r="AB38" s="1249"/>
      <c r="AC38" s="1249"/>
      <c r="AD38" s="1249"/>
      <c r="AE38" s="1250"/>
      <c r="AF38" s="63"/>
      <c r="AG38" s="357"/>
      <c r="AH38" s="202"/>
      <c r="AI38" s="202"/>
      <c r="AJ38" s="202"/>
      <c r="AK38" s="202"/>
      <c r="AL38" s="202"/>
      <c r="AM38" s="202"/>
      <c r="AN38" s="202"/>
      <c r="AO38" s="202"/>
      <c r="AP38" s="202"/>
      <c r="AQ38" s="202"/>
      <c r="AR38" s="202"/>
      <c r="AS38" s="204"/>
      <c r="AT38" s="249"/>
    </row>
    <row r="39" spans="1:46" s="250" customFormat="1" ht="15" customHeight="1">
      <c r="A39" s="253"/>
      <c r="B39" s="248"/>
      <c r="C39" s="1248"/>
      <c r="D39" s="1249"/>
      <c r="E39" s="1249"/>
      <c r="F39" s="1249"/>
      <c r="G39" s="1249"/>
      <c r="H39" s="1249"/>
      <c r="I39" s="1249"/>
      <c r="J39" s="1249"/>
      <c r="K39" s="1249"/>
      <c r="L39" s="1249"/>
      <c r="M39" s="1249"/>
      <c r="N39" s="1249"/>
      <c r="O39" s="1249"/>
      <c r="P39" s="1249"/>
      <c r="Q39" s="1249"/>
      <c r="R39" s="1249"/>
      <c r="S39" s="1249"/>
      <c r="T39" s="1249"/>
      <c r="U39" s="1249"/>
      <c r="V39" s="1249"/>
      <c r="W39" s="1249"/>
      <c r="X39" s="1249"/>
      <c r="Y39" s="1249"/>
      <c r="Z39" s="1249"/>
      <c r="AA39" s="1249"/>
      <c r="AB39" s="1249"/>
      <c r="AC39" s="1249"/>
      <c r="AD39" s="1249"/>
      <c r="AE39" s="1250"/>
      <c r="AF39" s="63"/>
      <c r="AG39" s="357"/>
      <c r="AH39" s="202"/>
      <c r="AI39" s="202"/>
      <c r="AJ39" s="202"/>
      <c r="AK39" s="202"/>
      <c r="AL39" s="202"/>
      <c r="AM39" s="202"/>
      <c r="AN39" s="202"/>
      <c r="AO39" s="202"/>
      <c r="AP39" s="202"/>
      <c r="AQ39" s="202"/>
      <c r="AR39" s="202"/>
      <c r="AS39" s="204"/>
      <c r="AT39" s="249"/>
    </row>
    <row r="40" spans="1:46" s="250" customFormat="1" ht="15" customHeight="1">
      <c r="A40" s="253"/>
      <c r="B40" s="248"/>
      <c r="C40" s="1248"/>
      <c r="D40" s="1249"/>
      <c r="E40" s="1249"/>
      <c r="F40" s="1249"/>
      <c r="G40" s="1249"/>
      <c r="H40" s="1249"/>
      <c r="I40" s="1249"/>
      <c r="J40" s="1249"/>
      <c r="K40" s="1249"/>
      <c r="L40" s="1249"/>
      <c r="M40" s="1249"/>
      <c r="N40" s="1249"/>
      <c r="O40" s="1249"/>
      <c r="P40" s="1249"/>
      <c r="Q40" s="1249"/>
      <c r="R40" s="1249"/>
      <c r="S40" s="1249"/>
      <c r="T40" s="1249"/>
      <c r="U40" s="1249"/>
      <c r="V40" s="1249"/>
      <c r="W40" s="1249"/>
      <c r="X40" s="1249"/>
      <c r="Y40" s="1249"/>
      <c r="Z40" s="1249"/>
      <c r="AA40" s="1249"/>
      <c r="AB40" s="1249"/>
      <c r="AC40" s="1249"/>
      <c r="AD40" s="1249"/>
      <c r="AE40" s="1250"/>
      <c r="AF40" s="63"/>
      <c r="AG40" s="357"/>
      <c r="AH40" s="202"/>
      <c r="AI40" s="202"/>
      <c r="AJ40" s="202"/>
      <c r="AK40" s="202"/>
      <c r="AL40" s="202"/>
      <c r="AM40" s="202"/>
      <c r="AN40" s="202"/>
      <c r="AO40" s="202"/>
      <c r="AP40" s="202"/>
      <c r="AQ40" s="202"/>
      <c r="AR40" s="202"/>
      <c r="AS40" s="204"/>
      <c r="AT40" s="249"/>
    </row>
    <row r="41" spans="1:46" s="250" customFormat="1" ht="15" customHeight="1">
      <c r="A41" s="253"/>
      <c r="B41" s="248"/>
      <c r="C41" s="1248"/>
      <c r="D41" s="1249"/>
      <c r="E41" s="1249"/>
      <c r="F41" s="1249"/>
      <c r="G41" s="1249"/>
      <c r="H41" s="1249"/>
      <c r="I41" s="1249"/>
      <c r="J41" s="1249"/>
      <c r="K41" s="1249"/>
      <c r="L41" s="1249"/>
      <c r="M41" s="1249"/>
      <c r="N41" s="1249"/>
      <c r="O41" s="1249"/>
      <c r="P41" s="1249"/>
      <c r="Q41" s="1249"/>
      <c r="R41" s="1249"/>
      <c r="S41" s="1249"/>
      <c r="T41" s="1249"/>
      <c r="U41" s="1249"/>
      <c r="V41" s="1249"/>
      <c r="W41" s="1249"/>
      <c r="X41" s="1249"/>
      <c r="Y41" s="1249"/>
      <c r="Z41" s="1249"/>
      <c r="AA41" s="1249"/>
      <c r="AB41" s="1249"/>
      <c r="AC41" s="1249"/>
      <c r="AD41" s="1249"/>
      <c r="AE41" s="1250"/>
      <c r="AF41" s="63"/>
      <c r="AG41" s="357"/>
      <c r="AH41" s="202"/>
      <c r="AI41" s="202"/>
      <c r="AJ41" s="202"/>
      <c r="AK41" s="202"/>
      <c r="AL41" s="202"/>
      <c r="AM41" s="202"/>
      <c r="AN41" s="202"/>
      <c r="AO41" s="202"/>
      <c r="AP41" s="202"/>
      <c r="AQ41" s="202"/>
      <c r="AR41" s="202"/>
      <c r="AS41" s="204"/>
      <c r="AT41" s="249"/>
    </row>
    <row r="42" spans="1:46" s="250" customFormat="1" ht="6" customHeight="1">
      <c r="A42" s="253"/>
      <c r="B42" s="248"/>
      <c r="C42" s="1251"/>
      <c r="D42" s="1252"/>
      <c r="E42" s="1252"/>
      <c r="F42" s="1252"/>
      <c r="G42" s="1252"/>
      <c r="H42" s="1252"/>
      <c r="I42" s="1252"/>
      <c r="J42" s="1252"/>
      <c r="K42" s="1252"/>
      <c r="L42" s="1252"/>
      <c r="M42" s="1252"/>
      <c r="N42" s="1252"/>
      <c r="O42" s="1252"/>
      <c r="P42" s="1252"/>
      <c r="Q42" s="1252"/>
      <c r="R42" s="1252"/>
      <c r="S42" s="1252"/>
      <c r="T42" s="1252"/>
      <c r="U42" s="1252"/>
      <c r="V42" s="1252"/>
      <c r="W42" s="1252"/>
      <c r="X42" s="1252"/>
      <c r="Y42" s="1252"/>
      <c r="Z42" s="1252"/>
      <c r="AA42" s="1252"/>
      <c r="AB42" s="1252"/>
      <c r="AC42" s="1252"/>
      <c r="AD42" s="1252"/>
      <c r="AE42" s="1253"/>
      <c r="AF42" s="63"/>
      <c r="AG42" s="357"/>
      <c r="AH42" s="202"/>
      <c r="AI42" s="202"/>
      <c r="AJ42" s="202"/>
      <c r="AK42" s="202"/>
      <c r="AL42" s="202"/>
      <c r="AM42" s="202"/>
      <c r="AN42" s="202"/>
      <c r="AO42" s="202"/>
      <c r="AP42" s="202"/>
      <c r="AQ42" s="202"/>
      <c r="AR42" s="202"/>
      <c r="AS42" s="204"/>
      <c r="AT42" s="249"/>
    </row>
    <row r="43" spans="1:46" s="250" customFormat="1" ht="6" customHeight="1" thickBot="1">
      <c r="A43" s="253"/>
      <c r="B43" s="778"/>
      <c r="C43" s="779"/>
      <c r="D43" s="780"/>
      <c r="E43" s="780"/>
      <c r="F43" s="781"/>
      <c r="G43" s="781"/>
      <c r="H43" s="781"/>
      <c r="I43" s="781"/>
      <c r="J43" s="781"/>
      <c r="K43" s="781"/>
      <c r="L43" s="782"/>
      <c r="M43" s="782"/>
      <c r="N43" s="782"/>
      <c r="O43" s="782"/>
      <c r="P43" s="782"/>
      <c r="Q43" s="782"/>
      <c r="R43" s="782"/>
      <c r="S43" s="782"/>
      <c r="T43" s="782"/>
      <c r="U43" s="782"/>
      <c r="V43" s="782"/>
      <c r="W43" s="782"/>
      <c r="X43" s="782"/>
      <c r="Y43" s="782"/>
      <c r="Z43" s="782"/>
      <c r="AA43" s="782"/>
      <c r="AB43" s="782"/>
      <c r="AC43" s="782"/>
      <c r="AD43" s="782"/>
      <c r="AE43" s="783"/>
      <c r="AF43" s="784"/>
      <c r="AG43" s="357"/>
      <c r="AH43" s="202"/>
      <c r="AI43" s="202"/>
      <c r="AJ43" s="202"/>
      <c r="AK43" s="202"/>
      <c r="AL43" s="202"/>
      <c r="AM43" s="202"/>
      <c r="AN43" s="202"/>
      <c r="AO43" s="202"/>
      <c r="AP43" s="202"/>
      <c r="AQ43" s="202"/>
      <c r="AR43" s="202"/>
      <c r="AS43" s="204"/>
      <c r="AT43" s="249"/>
    </row>
    <row r="44" spans="1:46" ht="30" customHeight="1">
      <c r="A44" s="226"/>
      <c r="B44" s="785" t="str">
        <f ca="1">INDIRECT('D1-D2-D3'!$J$4&amp;"!C193")</f>
        <v>D7 - Preventive Actions</v>
      </c>
      <c r="C44" s="708"/>
      <c r="D44" s="708"/>
      <c r="E44" s="708"/>
      <c r="F44" s="708"/>
      <c r="G44" s="708"/>
      <c r="H44" s="708"/>
      <c r="I44" s="708"/>
      <c r="J44" s="708"/>
      <c r="K44" s="708"/>
      <c r="L44" s="708"/>
      <c r="M44" s="186"/>
      <c r="N44" s="186"/>
      <c r="O44" s="186"/>
      <c r="P44" s="186"/>
      <c r="Q44" s="186"/>
      <c r="R44" s="186"/>
      <c r="S44" s="261"/>
      <c r="T44" s="261"/>
      <c r="U44" s="261"/>
      <c r="V44" s="261"/>
      <c r="W44" s="261"/>
      <c r="X44" s="261"/>
      <c r="Y44" s="261"/>
      <c r="Z44" s="261"/>
      <c r="AA44" s="261"/>
      <c r="AB44" s="261"/>
      <c r="AC44" s="261"/>
      <c r="AD44" s="261"/>
      <c r="AE44" s="261"/>
      <c r="AF44" s="262"/>
      <c r="AG44" s="23"/>
      <c r="AH44" s="126"/>
      <c r="AI44" s="126"/>
      <c r="AJ44" s="126"/>
      <c r="AK44" s="126"/>
      <c r="AL44" s="126"/>
      <c r="AM44" s="126"/>
      <c r="AN44" s="126"/>
      <c r="AO44" s="126"/>
      <c r="AP44" s="126"/>
      <c r="AQ44" s="126"/>
      <c r="AR44" s="126"/>
      <c r="AS44" s="127"/>
      <c r="AT44" s="222"/>
    </row>
    <row r="45" spans="1:46" ht="6" customHeight="1">
      <c r="A45" s="226"/>
      <c r="B45" s="260"/>
      <c r="C45" s="186"/>
      <c r="D45" s="186"/>
      <c r="E45" s="186"/>
      <c r="F45" s="186"/>
      <c r="G45" s="186"/>
      <c r="H45" s="186"/>
      <c r="I45" s="186"/>
      <c r="J45" s="186"/>
      <c r="K45" s="186"/>
      <c r="L45" s="186"/>
      <c r="M45" s="186"/>
      <c r="N45" s="186"/>
      <c r="O45" s="186"/>
      <c r="P45" s="186"/>
      <c r="Q45" s="186"/>
      <c r="R45" s="186"/>
      <c r="S45" s="261"/>
      <c r="T45" s="261"/>
      <c r="U45" s="261"/>
      <c r="V45" s="261"/>
      <c r="W45" s="261"/>
      <c r="X45" s="261"/>
      <c r="Y45" s="261"/>
      <c r="Z45" s="261"/>
      <c r="AA45" s="261"/>
      <c r="AB45" s="261"/>
      <c r="AC45" s="261"/>
      <c r="AD45" s="261"/>
      <c r="AE45" s="261"/>
      <c r="AF45" s="262"/>
      <c r="AG45" s="23"/>
      <c r="AH45" s="126"/>
      <c r="AI45" s="126"/>
      <c r="AJ45" s="126"/>
      <c r="AK45" s="126"/>
      <c r="AL45" s="126"/>
      <c r="AM45" s="126"/>
      <c r="AN45" s="126"/>
      <c r="AO45" s="126"/>
      <c r="AP45" s="126"/>
      <c r="AQ45" s="126"/>
      <c r="AR45" s="126"/>
      <c r="AS45" s="127"/>
      <c r="AT45" s="222"/>
    </row>
    <row r="46" spans="1:46" ht="30" customHeight="1">
      <c r="A46" s="226"/>
      <c r="B46" s="260"/>
      <c r="C46" s="241">
        <f ca="1">INDIRECT('D1-D2-D3'!$J$4&amp;"!C279")</f>
        <v>0</v>
      </c>
      <c r="D46" s="362" t="str">
        <f ca="1">INDIRECT('D1-D2-D3'!$J$4&amp;"!C194")</f>
        <v>Documentation - Standard updates</v>
      </c>
      <c r="E46" s="198"/>
      <c r="F46" s="198"/>
      <c r="G46" s="198"/>
      <c r="H46" s="198"/>
      <c r="I46" s="198"/>
      <c r="J46" s="198"/>
      <c r="K46" s="198"/>
      <c r="L46" s="198"/>
      <c r="M46" s="198"/>
      <c r="N46" s="198"/>
      <c r="O46" s="1273" t="str">
        <f ca="1">INDIRECT('D1-D2-D3'!$J$4&amp;"!C68")&amp;":"</f>
        <v>Status:</v>
      </c>
      <c r="P46" s="1273"/>
      <c r="Q46" s="198"/>
      <c r="R46" s="1047"/>
      <c r="S46" s="1048"/>
      <c r="T46" s="1049"/>
      <c r="U46" s="242"/>
      <c r="V46" s="1773"/>
      <c r="W46" s="1773"/>
      <c r="X46" s="1773"/>
      <c r="Y46" s="242"/>
      <c r="Z46" s="1714" t="str">
        <f ca="1">INDIRECT('D1-D2-D3'!$J$4&amp;"!C69")</f>
        <v>Date</v>
      </c>
      <c r="AA46" s="1715"/>
      <c r="AB46" s="1719"/>
      <c r="AC46" s="1720"/>
      <c r="AD46" s="1721"/>
      <c r="AE46" s="208"/>
      <c r="AF46" s="263"/>
      <c r="AG46" s="264"/>
      <c r="AH46" s="126"/>
      <c r="AI46" s="126"/>
      <c r="AJ46" s="126"/>
      <c r="AK46" s="126"/>
      <c r="AL46" s="126"/>
      <c r="AM46" s="126"/>
      <c r="AN46" s="126"/>
      <c r="AO46" s="126"/>
      <c r="AP46" s="126"/>
      <c r="AQ46" s="126"/>
      <c r="AR46" s="126"/>
      <c r="AS46" s="187"/>
      <c r="AT46" s="222"/>
    </row>
    <row r="47" spans="1:46" ht="6" customHeight="1">
      <c r="A47" s="226"/>
      <c r="B47" s="265"/>
      <c r="C47" s="266"/>
      <c r="D47" s="261"/>
      <c r="E47" s="267"/>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2"/>
      <c r="AG47" s="23"/>
      <c r="AH47" s="126"/>
      <c r="AI47" s="126"/>
      <c r="AJ47" s="126"/>
      <c r="AK47" s="126"/>
      <c r="AL47" s="126"/>
      <c r="AM47" s="126"/>
      <c r="AN47" s="126"/>
      <c r="AO47" s="126"/>
      <c r="AP47" s="126"/>
      <c r="AQ47" s="126"/>
      <c r="AR47" s="126"/>
      <c r="AS47" s="127"/>
      <c r="AT47" s="222"/>
    </row>
    <row r="48" spans="1:46" ht="11.25" hidden="1" customHeight="1">
      <c r="A48" s="226"/>
      <c r="B48" s="1782"/>
      <c r="C48" s="268"/>
      <c r="D48" s="268"/>
      <c r="E48" s="241"/>
      <c r="F48" s="241"/>
      <c r="G48" s="241"/>
      <c r="H48" s="241"/>
      <c r="I48" s="241"/>
      <c r="J48" s="241"/>
      <c r="K48" s="241"/>
      <c r="L48" s="241"/>
      <c r="M48" s="241"/>
      <c r="N48" s="241"/>
      <c r="O48" s="241"/>
      <c r="P48" s="502"/>
      <c r="Q48" s="241"/>
      <c r="R48" s="241"/>
      <c r="S48" s="241"/>
      <c r="T48" s="241"/>
      <c r="U48" s="241"/>
      <c r="V48" s="241"/>
      <c r="W48" s="241"/>
      <c r="X48" s="241"/>
      <c r="Y48" s="241"/>
      <c r="Z48" s="241"/>
      <c r="AA48" s="241"/>
      <c r="AB48" s="241"/>
      <c r="AC48" s="241"/>
      <c r="AD48" s="241"/>
      <c r="AE48" s="241"/>
      <c r="AF48" s="243"/>
      <c r="AG48" s="20"/>
      <c r="AH48" s="126"/>
      <c r="AI48" s="126"/>
      <c r="AJ48" s="126"/>
      <c r="AK48" s="126"/>
      <c r="AL48" s="126"/>
      <c r="AM48" s="126"/>
      <c r="AN48" s="126"/>
      <c r="AO48" s="126"/>
      <c r="AP48" s="126"/>
      <c r="AQ48" s="126"/>
      <c r="AR48" s="126"/>
      <c r="AS48" s="187"/>
      <c r="AT48" s="222"/>
    </row>
    <row r="49" spans="1:46" ht="6" customHeight="1">
      <c r="A49" s="226"/>
      <c r="B49" s="1782"/>
      <c r="C49" s="19"/>
      <c r="D49" s="19"/>
      <c r="E49" s="20"/>
      <c r="F49" s="20"/>
      <c r="G49" s="20"/>
      <c r="H49" s="20"/>
      <c r="I49" s="20"/>
      <c r="J49" s="20"/>
      <c r="K49" s="20"/>
      <c r="L49" s="20"/>
      <c r="M49" s="20"/>
      <c r="N49" s="20"/>
      <c r="O49" s="20"/>
      <c r="P49" s="21"/>
      <c r="Q49" s="20"/>
      <c r="R49" s="20"/>
      <c r="S49" s="20"/>
      <c r="T49" s="20"/>
      <c r="U49" s="20"/>
      <c r="V49" s="20"/>
      <c r="W49" s="20"/>
      <c r="X49" s="20"/>
      <c r="Y49" s="20"/>
      <c r="Z49" s="20"/>
      <c r="AA49" s="20"/>
      <c r="AB49" s="20"/>
      <c r="AC49" s="20"/>
      <c r="AD49" s="20"/>
      <c r="AE49" s="20"/>
      <c r="AF49" s="243"/>
      <c r="AG49" s="20"/>
      <c r="AH49" s="126"/>
      <c r="AI49" s="126"/>
      <c r="AJ49" s="126"/>
      <c r="AK49" s="126"/>
      <c r="AL49" s="126"/>
      <c r="AM49" s="126"/>
      <c r="AN49" s="126"/>
      <c r="AO49" s="126"/>
      <c r="AP49" s="126"/>
      <c r="AQ49" s="126"/>
      <c r="AR49" s="126"/>
      <c r="AS49" s="187"/>
      <c r="AT49" s="222"/>
    </row>
    <row r="50" spans="1:46" ht="30" customHeight="1">
      <c r="A50" s="226"/>
      <c r="B50" s="1782"/>
      <c r="C50" s="222"/>
      <c r="D50" s="1736" t="str">
        <f ca="1">INDIRECT('D1-D2-D3'!$J$4&amp;"!C195")</f>
        <v>Documentation</v>
      </c>
      <c r="E50" s="1737"/>
      <c r="F50" s="1737"/>
      <c r="G50" s="1735" t="str">
        <f ca="1">INDIRECT('D1-D2-D3'!$J$4&amp;"!C266")&amp;"/
"&amp;INDIRECT('D1-D2-D3'!$J$4&amp;"!C267")</f>
        <v>New/
Updated</v>
      </c>
      <c r="H50" s="1735"/>
      <c r="I50" s="1736" t="str">
        <f ca="1">INDIRECT('D1-D2-D3'!$J$4&amp;"!C196")</f>
        <v>Designation</v>
      </c>
      <c r="J50" s="1737"/>
      <c r="K50" s="1737"/>
      <c r="L50" s="1737"/>
      <c r="M50" s="1737"/>
      <c r="N50" s="1738"/>
      <c r="O50" s="1746" t="str">
        <f ca="1">INDIRECT('D1-D2-D3'!$J$4&amp;"!C166")</f>
        <v>Target Date</v>
      </c>
      <c r="P50" s="1747"/>
      <c r="Q50" s="1748"/>
      <c r="R50" s="1746" t="str">
        <f ca="1">INDIRECT('D1-D2-D3'!$J$4&amp;"!C84")</f>
        <v>Impl. Date</v>
      </c>
      <c r="S50" s="1747"/>
      <c r="T50" s="1748"/>
      <c r="U50" s="1736" t="str">
        <f ca="1">INDIRECT('D1-D2-D3'!$J$4&amp;"!C83")</f>
        <v>Responsible</v>
      </c>
      <c r="V50" s="1737"/>
      <c r="W50" s="1737"/>
      <c r="X50" s="1738"/>
      <c r="Y50" s="1767" t="str">
        <f ca="1">INDIRECT('D1-D2-D3'!$J$4&amp;"!C93")</f>
        <v>Comments</v>
      </c>
      <c r="Z50" s="1767"/>
      <c r="AA50" s="1767"/>
      <c r="AB50" s="1767"/>
      <c r="AC50" s="1767"/>
      <c r="AD50" s="1767"/>
      <c r="AE50" s="23"/>
      <c r="AF50" s="262"/>
      <c r="AG50" s="23"/>
      <c r="AH50" s="126"/>
      <c r="AI50" s="126"/>
      <c r="AJ50" s="126"/>
      <c r="AK50" s="126"/>
      <c r="AL50" s="126"/>
      <c r="AM50" s="126"/>
      <c r="AN50" s="126"/>
      <c r="AO50" s="126"/>
      <c r="AP50" s="126"/>
      <c r="AQ50" s="126"/>
      <c r="AR50" s="126"/>
      <c r="AS50" s="127"/>
      <c r="AT50" s="222"/>
    </row>
    <row r="51" spans="1:46" s="250" customFormat="1" ht="30" customHeight="1">
      <c r="A51" s="226"/>
      <c r="B51" s="1782"/>
      <c r="C51" s="249"/>
      <c r="D51" s="1783" t="str">
        <f ca="1">INDIRECT('D1-D2-D3'!$J$4&amp;"!C197")</f>
        <v>FMEA</v>
      </c>
      <c r="E51" s="1784"/>
      <c r="F51" s="1784"/>
      <c r="G51" s="1742"/>
      <c r="H51" s="1742"/>
      <c r="I51" s="1734"/>
      <c r="J51" s="1196"/>
      <c r="K51" s="1196"/>
      <c r="L51" s="1196"/>
      <c r="M51" s="1196"/>
      <c r="N51" s="1197"/>
      <c r="O51" s="1719"/>
      <c r="P51" s="1720"/>
      <c r="Q51" s="1721"/>
      <c r="R51" s="1719"/>
      <c r="S51" s="1720"/>
      <c r="T51" s="1721"/>
      <c r="U51" s="1046"/>
      <c r="V51" s="1046"/>
      <c r="W51" s="1046"/>
      <c r="X51" s="1046"/>
      <c r="Y51" s="1745"/>
      <c r="Z51" s="1046"/>
      <c r="AA51" s="1046"/>
      <c r="AB51" s="1046"/>
      <c r="AC51" s="1046"/>
      <c r="AD51" s="1046"/>
      <c r="AE51" s="269"/>
      <c r="AF51" s="270"/>
      <c r="AG51" s="271"/>
      <c r="AH51" s="202"/>
      <c r="AI51" s="202"/>
      <c r="AJ51" s="202"/>
      <c r="AK51" s="202"/>
      <c r="AL51" s="202"/>
      <c r="AM51" s="202"/>
      <c r="AN51" s="202"/>
      <c r="AO51" s="202"/>
      <c r="AP51" s="202"/>
      <c r="AQ51" s="202"/>
      <c r="AR51" s="202"/>
      <c r="AS51" s="204"/>
      <c r="AT51" s="249"/>
    </row>
    <row r="52" spans="1:46" s="250" customFormat="1" ht="30" customHeight="1">
      <c r="A52" s="253"/>
      <c r="B52" s="1782"/>
      <c r="C52" s="249"/>
      <c r="D52" s="1739" t="str">
        <f ca="1">INDIRECT('D1-D2-D3'!$J$4&amp;"!C198")</f>
        <v>PCP</v>
      </c>
      <c r="E52" s="1740"/>
      <c r="F52" s="1741"/>
      <c r="G52" s="1742"/>
      <c r="H52" s="1742"/>
      <c r="I52" s="1734"/>
      <c r="J52" s="1196"/>
      <c r="K52" s="1196"/>
      <c r="L52" s="1196"/>
      <c r="M52" s="1196"/>
      <c r="N52" s="1197"/>
      <c r="O52" s="1719"/>
      <c r="P52" s="1720"/>
      <c r="Q52" s="1721"/>
      <c r="R52" s="1719"/>
      <c r="S52" s="1720"/>
      <c r="T52" s="1721"/>
      <c r="U52" s="1046"/>
      <c r="V52" s="1046"/>
      <c r="W52" s="1046"/>
      <c r="X52" s="1046"/>
      <c r="Y52" s="1745"/>
      <c r="Z52" s="1046"/>
      <c r="AA52" s="1046"/>
      <c r="AB52" s="1046"/>
      <c r="AC52" s="1046"/>
      <c r="AD52" s="1046"/>
      <c r="AE52" s="269"/>
      <c r="AF52" s="270"/>
      <c r="AG52" s="271"/>
      <c r="AH52" s="202"/>
      <c r="AI52" s="202"/>
      <c r="AJ52" s="202"/>
      <c r="AK52" s="202"/>
      <c r="AL52" s="202"/>
      <c r="AM52" s="202"/>
      <c r="AN52" s="202"/>
      <c r="AO52" s="202"/>
      <c r="AP52" s="202"/>
      <c r="AQ52" s="202"/>
      <c r="AR52" s="202"/>
      <c r="AS52" s="204"/>
      <c r="AT52" s="249"/>
    </row>
    <row r="53" spans="1:46" s="250" customFormat="1" ht="30" customHeight="1">
      <c r="A53" s="253"/>
      <c r="B53" s="272"/>
      <c r="C53" s="249"/>
      <c r="D53" s="1739" t="str">
        <f ca="1">INDIRECT('D1-D2-D3'!$J$4&amp;"!C199")</f>
        <v>WI</v>
      </c>
      <c r="E53" s="1740"/>
      <c r="F53" s="1741"/>
      <c r="G53" s="1742"/>
      <c r="H53" s="1742"/>
      <c r="I53" s="1734"/>
      <c r="J53" s="1196"/>
      <c r="K53" s="1196"/>
      <c r="L53" s="1196"/>
      <c r="M53" s="1196"/>
      <c r="N53" s="1197"/>
      <c r="O53" s="1719"/>
      <c r="P53" s="1720"/>
      <c r="Q53" s="1721"/>
      <c r="R53" s="1719"/>
      <c r="S53" s="1720"/>
      <c r="T53" s="1721"/>
      <c r="U53" s="1046"/>
      <c r="V53" s="1046"/>
      <c r="W53" s="1046"/>
      <c r="X53" s="1046"/>
      <c r="Y53" s="1745"/>
      <c r="Z53" s="1046"/>
      <c r="AA53" s="1046"/>
      <c r="AB53" s="1046"/>
      <c r="AC53" s="1046"/>
      <c r="AD53" s="1046"/>
      <c r="AE53" s="269"/>
      <c r="AF53" s="270"/>
      <c r="AG53" s="271"/>
      <c r="AH53" s="202"/>
      <c r="AI53" s="202"/>
      <c r="AJ53" s="202"/>
      <c r="AK53" s="202"/>
      <c r="AL53" s="202"/>
      <c r="AM53" s="202"/>
      <c r="AN53" s="202"/>
      <c r="AO53" s="202"/>
      <c r="AP53" s="202"/>
      <c r="AQ53" s="202"/>
      <c r="AR53" s="202"/>
      <c r="AS53" s="204"/>
      <c r="AT53" s="249"/>
    </row>
    <row r="54" spans="1:46" s="250" customFormat="1" ht="30" customHeight="1">
      <c r="A54" s="253"/>
      <c r="B54" s="1782"/>
      <c r="C54" s="249"/>
      <c r="D54" s="1739" t="str">
        <f ca="1">INDIRECT('D1-D2-D3'!$J$4&amp;"!C200")</f>
        <v>Maintenance Plan</v>
      </c>
      <c r="E54" s="1740"/>
      <c r="F54" s="1741"/>
      <c r="G54" s="1742"/>
      <c r="H54" s="1742"/>
      <c r="I54" s="1734"/>
      <c r="J54" s="1196"/>
      <c r="K54" s="1196"/>
      <c r="L54" s="1196"/>
      <c r="M54" s="1196"/>
      <c r="N54" s="1197"/>
      <c r="O54" s="1719"/>
      <c r="P54" s="1720"/>
      <c r="Q54" s="1721"/>
      <c r="R54" s="1719"/>
      <c r="S54" s="1720"/>
      <c r="T54" s="1721"/>
      <c r="U54" s="1046"/>
      <c r="V54" s="1046"/>
      <c r="W54" s="1046"/>
      <c r="X54" s="1046"/>
      <c r="Y54" s="1745"/>
      <c r="Z54" s="1046"/>
      <c r="AA54" s="1046"/>
      <c r="AB54" s="1046"/>
      <c r="AC54" s="1046"/>
      <c r="AD54" s="1046"/>
      <c r="AE54" s="269"/>
      <c r="AF54" s="270"/>
      <c r="AG54" s="271"/>
      <c r="AH54" s="202"/>
      <c r="AI54" s="202"/>
      <c r="AJ54" s="202"/>
      <c r="AK54" s="202"/>
      <c r="AL54" s="202"/>
      <c r="AM54" s="202"/>
      <c r="AN54" s="202"/>
      <c r="AO54" s="202"/>
      <c r="AP54" s="202"/>
      <c r="AQ54" s="202"/>
      <c r="AR54" s="202"/>
      <c r="AS54" s="204"/>
      <c r="AT54" s="249"/>
    </row>
    <row r="55" spans="1:46" s="250" customFormat="1" ht="30" customHeight="1">
      <c r="A55" s="253"/>
      <c r="B55" s="1782"/>
      <c r="C55" s="249"/>
      <c r="D55" s="1739" t="str">
        <f ca="1">INDIRECT('D1-D2-D3'!$J$4&amp;"!C201")</f>
        <v>Drawing</v>
      </c>
      <c r="E55" s="1740"/>
      <c r="F55" s="1741"/>
      <c r="G55" s="1742"/>
      <c r="H55" s="1742"/>
      <c r="I55" s="1734"/>
      <c r="J55" s="1196"/>
      <c r="K55" s="1196"/>
      <c r="L55" s="1196"/>
      <c r="M55" s="1196"/>
      <c r="N55" s="1197"/>
      <c r="O55" s="1719"/>
      <c r="P55" s="1720"/>
      <c r="Q55" s="1721"/>
      <c r="R55" s="1719"/>
      <c r="S55" s="1720"/>
      <c r="T55" s="1721"/>
      <c r="U55" s="1046"/>
      <c r="V55" s="1046"/>
      <c r="W55" s="1046"/>
      <c r="X55" s="1046"/>
      <c r="Y55" s="1745"/>
      <c r="Z55" s="1046"/>
      <c r="AA55" s="1046"/>
      <c r="AB55" s="1046"/>
      <c r="AC55" s="1046"/>
      <c r="AD55" s="1046"/>
      <c r="AE55" s="269"/>
      <c r="AF55" s="270"/>
      <c r="AG55" s="271"/>
      <c r="AH55" s="202"/>
      <c r="AI55" s="202"/>
      <c r="AJ55" s="202"/>
      <c r="AK55" s="202"/>
      <c r="AL55" s="202"/>
      <c r="AM55" s="202"/>
      <c r="AN55" s="202"/>
      <c r="AO55" s="202"/>
      <c r="AP55" s="202"/>
      <c r="AQ55" s="202"/>
      <c r="AR55" s="202"/>
      <c r="AS55" s="204"/>
      <c r="AT55" s="249"/>
    </row>
    <row r="56" spans="1:46" s="250" customFormat="1" ht="30" customHeight="1">
      <c r="A56" s="253"/>
      <c r="B56" s="1782"/>
      <c r="C56" s="249"/>
      <c r="D56" s="1739" t="str">
        <f ca="1">INDIRECT('D1-D2-D3'!$J$4&amp;"!C202")</f>
        <v>Lessons Learned Card</v>
      </c>
      <c r="E56" s="1740"/>
      <c r="F56" s="1741"/>
      <c r="G56" s="1742"/>
      <c r="H56" s="1742"/>
      <c r="I56" s="1734"/>
      <c r="J56" s="1196"/>
      <c r="K56" s="1196"/>
      <c r="L56" s="1196"/>
      <c r="M56" s="1196"/>
      <c r="N56" s="1197"/>
      <c r="O56" s="1719"/>
      <c r="P56" s="1720"/>
      <c r="Q56" s="1721"/>
      <c r="R56" s="1719"/>
      <c r="S56" s="1720"/>
      <c r="T56" s="1721"/>
      <c r="U56" s="1046"/>
      <c r="V56" s="1046"/>
      <c r="W56" s="1046"/>
      <c r="X56" s="1046"/>
      <c r="Y56" s="1745"/>
      <c r="Z56" s="1046"/>
      <c r="AA56" s="1046"/>
      <c r="AB56" s="1046"/>
      <c r="AC56" s="1046"/>
      <c r="AD56" s="1046"/>
      <c r="AE56" s="269"/>
      <c r="AF56" s="270"/>
      <c r="AG56" s="271"/>
      <c r="AH56" s="202"/>
      <c r="AI56" s="202"/>
      <c r="AJ56" s="202"/>
      <c r="AK56" s="202"/>
      <c r="AL56" s="202"/>
      <c r="AM56" s="202"/>
      <c r="AN56" s="202"/>
      <c r="AO56" s="202"/>
      <c r="AP56" s="202"/>
      <c r="AQ56" s="202"/>
      <c r="AR56" s="202"/>
      <c r="AS56" s="204"/>
      <c r="AT56" s="249"/>
    </row>
    <row r="57" spans="1:46" s="250" customFormat="1" ht="30" customHeight="1">
      <c r="A57" s="253"/>
      <c r="B57" s="1782"/>
      <c r="C57" s="249"/>
      <c r="D57" s="1739" t="str">
        <f ca="1">INDIRECT('D1-D2-D3'!$J$4&amp;"!C203")</f>
        <v>Training standard</v>
      </c>
      <c r="E57" s="1740"/>
      <c r="F57" s="1741"/>
      <c r="G57" s="1742"/>
      <c r="H57" s="1742"/>
      <c r="I57" s="1734"/>
      <c r="J57" s="1196"/>
      <c r="K57" s="1196"/>
      <c r="L57" s="1196"/>
      <c r="M57" s="1196"/>
      <c r="N57" s="1197"/>
      <c r="O57" s="1719"/>
      <c r="P57" s="1720"/>
      <c r="Q57" s="1721"/>
      <c r="R57" s="1719"/>
      <c r="S57" s="1720"/>
      <c r="T57" s="1721"/>
      <c r="U57" s="1046"/>
      <c r="V57" s="1046"/>
      <c r="W57" s="1046"/>
      <c r="X57" s="1046"/>
      <c r="Y57" s="1745"/>
      <c r="Z57" s="1046"/>
      <c r="AA57" s="1046"/>
      <c r="AB57" s="1046"/>
      <c r="AC57" s="1046"/>
      <c r="AD57" s="1046"/>
      <c r="AE57" s="269"/>
      <c r="AF57" s="270"/>
      <c r="AG57" s="271"/>
      <c r="AH57" s="202"/>
      <c r="AI57" s="202"/>
      <c r="AJ57" s="202"/>
      <c r="AK57" s="202"/>
      <c r="AL57" s="202"/>
      <c r="AM57" s="202"/>
      <c r="AN57" s="202"/>
      <c r="AO57" s="202"/>
      <c r="AP57" s="202"/>
      <c r="AQ57" s="202"/>
      <c r="AR57" s="202"/>
      <c r="AS57" s="204"/>
      <c r="AT57" s="249"/>
    </row>
    <row r="58" spans="1:46" s="250" customFormat="1" ht="30" customHeight="1">
      <c r="A58" s="253"/>
      <c r="B58" s="272"/>
      <c r="C58" s="249"/>
      <c r="D58" s="1739" t="str">
        <f ca="1">INDIRECT('D1-D2-D3'!$J$4&amp;"!C204")</f>
        <v>Procedure</v>
      </c>
      <c r="E58" s="1740"/>
      <c r="F58" s="1741"/>
      <c r="G58" s="1742"/>
      <c r="H58" s="1742"/>
      <c r="I58" s="1734"/>
      <c r="J58" s="1196"/>
      <c r="K58" s="1196"/>
      <c r="L58" s="1196"/>
      <c r="M58" s="1196"/>
      <c r="N58" s="1197"/>
      <c r="O58" s="1719"/>
      <c r="P58" s="1720"/>
      <c r="Q58" s="1721"/>
      <c r="R58" s="1719"/>
      <c r="S58" s="1720"/>
      <c r="T58" s="1721"/>
      <c r="U58" s="1046"/>
      <c r="V58" s="1046"/>
      <c r="W58" s="1046"/>
      <c r="X58" s="1046"/>
      <c r="Y58" s="1745"/>
      <c r="Z58" s="1046"/>
      <c r="AA58" s="1046"/>
      <c r="AB58" s="1046"/>
      <c r="AC58" s="1046"/>
      <c r="AD58" s="1046"/>
      <c r="AE58" s="269"/>
      <c r="AF58" s="270"/>
      <c r="AG58" s="271"/>
      <c r="AH58" s="202"/>
      <c r="AI58" s="202"/>
      <c r="AJ58" s="202"/>
      <c r="AK58" s="202"/>
      <c r="AL58" s="202"/>
      <c r="AM58" s="202"/>
      <c r="AN58" s="202"/>
      <c r="AO58" s="202"/>
      <c r="AP58" s="202"/>
      <c r="AQ58" s="202"/>
      <c r="AR58" s="202"/>
      <c r="AS58" s="204"/>
      <c r="AT58" s="249"/>
    </row>
    <row r="59" spans="1:46" s="250" customFormat="1" ht="30" customHeight="1">
      <c r="A59" s="253"/>
      <c r="B59" s="1782"/>
      <c r="C59" s="249"/>
      <c r="D59" s="1739" t="str">
        <f ca="1">INDIRECT('D1-D2-D3'!$J$4&amp;"!C205")</f>
        <v>Specification</v>
      </c>
      <c r="E59" s="1740"/>
      <c r="F59" s="1741"/>
      <c r="G59" s="1742"/>
      <c r="H59" s="1742"/>
      <c r="I59" s="1734"/>
      <c r="J59" s="1196"/>
      <c r="K59" s="1196"/>
      <c r="L59" s="1196"/>
      <c r="M59" s="1196"/>
      <c r="N59" s="1197"/>
      <c r="O59" s="1719"/>
      <c r="P59" s="1720"/>
      <c r="Q59" s="1721"/>
      <c r="R59" s="1719"/>
      <c r="S59" s="1720"/>
      <c r="T59" s="1721"/>
      <c r="U59" s="1046"/>
      <c r="V59" s="1046"/>
      <c r="W59" s="1046"/>
      <c r="X59" s="1046"/>
      <c r="Y59" s="1745"/>
      <c r="Z59" s="1046"/>
      <c r="AA59" s="1046"/>
      <c r="AB59" s="1046"/>
      <c r="AC59" s="1046"/>
      <c r="AD59" s="1046"/>
      <c r="AE59" s="271"/>
      <c r="AF59" s="270"/>
      <c r="AG59" s="271"/>
      <c r="AH59" s="202"/>
      <c r="AI59" s="202"/>
      <c r="AJ59" s="202"/>
      <c r="AK59" s="202"/>
      <c r="AL59" s="202"/>
      <c r="AM59" s="202"/>
      <c r="AN59" s="202"/>
      <c r="AO59" s="202"/>
      <c r="AP59" s="202"/>
      <c r="AQ59" s="202"/>
      <c r="AR59" s="202"/>
      <c r="AS59" s="204"/>
      <c r="AT59" s="249"/>
    </row>
    <row r="60" spans="1:46" s="250" customFormat="1" ht="30" customHeight="1">
      <c r="A60" s="253"/>
      <c r="B60" s="1782"/>
      <c r="C60" s="249"/>
      <c r="D60" s="1764" t="str">
        <f ca="1">INDIRECT('D1-D2-D3'!$J$4&amp;"!C135")</f>
        <v>Others</v>
      </c>
      <c r="E60" s="1765"/>
      <c r="F60" s="1766"/>
      <c r="G60" s="1742"/>
      <c r="H60" s="1742"/>
      <c r="I60" s="1734"/>
      <c r="J60" s="1196"/>
      <c r="K60" s="1196"/>
      <c r="L60" s="1196"/>
      <c r="M60" s="1196"/>
      <c r="N60" s="1197"/>
      <c r="O60" s="1719"/>
      <c r="P60" s="1720"/>
      <c r="Q60" s="1721"/>
      <c r="R60" s="1719"/>
      <c r="S60" s="1720"/>
      <c r="T60" s="1721"/>
      <c r="U60" s="1046"/>
      <c r="V60" s="1046"/>
      <c r="W60" s="1046"/>
      <c r="X60" s="1046"/>
      <c r="Y60" s="1745"/>
      <c r="Z60" s="1046"/>
      <c r="AA60" s="1046"/>
      <c r="AB60" s="1046"/>
      <c r="AC60" s="1046"/>
      <c r="AD60" s="1046"/>
      <c r="AE60" s="271"/>
      <c r="AF60" s="270"/>
      <c r="AG60" s="271"/>
      <c r="AH60" s="202"/>
      <c r="AI60" s="202"/>
      <c r="AJ60" s="202"/>
      <c r="AK60" s="202"/>
      <c r="AL60" s="202"/>
      <c r="AM60" s="202"/>
      <c r="AN60" s="202"/>
      <c r="AO60" s="202"/>
      <c r="AP60" s="202"/>
      <c r="AQ60" s="202"/>
      <c r="AR60" s="202"/>
      <c r="AS60" s="204"/>
      <c r="AT60" s="249"/>
    </row>
    <row r="61" spans="1:46" ht="6" customHeight="1">
      <c r="A61" s="253"/>
      <c r="B61" s="1782"/>
      <c r="C61" s="22"/>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62"/>
      <c r="AG61" s="23"/>
      <c r="AH61" s="126"/>
      <c r="AI61" s="126"/>
      <c r="AJ61" s="126"/>
      <c r="AK61" s="126"/>
      <c r="AL61" s="126"/>
      <c r="AM61" s="126"/>
      <c r="AN61" s="126"/>
      <c r="AO61" s="126"/>
      <c r="AP61" s="126"/>
      <c r="AQ61" s="126"/>
      <c r="AR61" s="126"/>
      <c r="AS61" s="127"/>
      <c r="AT61" s="222"/>
    </row>
    <row r="62" spans="1:46" ht="35.25" customHeight="1">
      <c r="A62" s="226"/>
      <c r="B62" s="1782"/>
      <c r="C62" s="1654" t="str">
        <f ca="1">INDIRECT('D1-D2-D3'!$J$4&amp;"!C206")</f>
        <v>Implementation of measures to similar processes/products</v>
      </c>
      <c r="D62" s="1654"/>
      <c r="E62" s="1654"/>
      <c r="F62" s="1654"/>
      <c r="G62" s="1654"/>
      <c r="H62" s="1654"/>
      <c r="I62" s="1654"/>
      <c r="J62" s="1654"/>
      <c r="K62" s="1654"/>
      <c r="L62" s="1654"/>
      <c r="M62" s="1654"/>
      <c r="N62" s="1654"/>
      <c r="O62" s="1654"/>
      <c r="P62" s="1654"/>
      <c r="Q62" s="1654"/>
      <c r="R62" s="1654"/>
      <c r="S62" s="1654"/>
      <c r="T62" s="1654"/>
      <c r="U62" s="1654"/>
      <c r="V62" s="1654"/>
      <c r="W62" s="1654"/>
      <c r="X62" s="1654"/>
      <c r="Y62" s="1654"/>
      <c r="Z62" s="1654"/>
      <c r="AA62" s="1654"/>
      <c r="AB62" s="1654"/>
      <c r="AC62" s="1654"/>
      <c r="AD62" s="1654"/>
      <c r="AE62" s="1654"/>
      <c r="AF62" s="243"/>
      <c r="AG62" s="20"/>
      <c r="AH62" s="126"/>
      <c r="AI62" s="126"/>
      <c r="AJ62" s="126"/>
      <c r="AK62" s="126"/>
      <c r="AL62" s="126"/>
      <c r="AM62" s="126"/>
      <c r="AN62" s="126"/>
      <c r="AO62" s="126"/>
      <c r="AP62" s="126"/>
      <c r="AQ62" s="126"/>
      <c r="AR62" s="126"/>
      <c r="AS62" s="187"/>
      <c r="AT62" s="222"/>
    </row>
    <row r="63" spans="1:46" ht="6" customHeight="1">
      <c r="A63" s="226"/>
      <c r="B63" s="1782"/>
      <c r="C63" s="19"/>
      <c r="D63" s="19"/>
      <c r="E63" s="20"/>
      <c r="F63" s="20"/>
      <c r="G63" s="20"/>
      <c r="H63" s="20"/>
      <c r="I63" s="20"/>
      <c r="J63" s="20"/>
      <c r="K63" s="20"/>
      <c r="L63" s="20"/>
      <c r="M63" s="20"/>
      <c r="N63" s="20"/>
      <c r="O63" s="20"/>
      <c r="P63" s="21"/>
      <c r="Q63" s="20"/>
      <c r="R63" s="20"/>
      <c r="S63" s="20"/>
      <c r="T63" s="20"/>
      <c r="U63" s="20"/>
      <c r="V63" s="20"/>
      <c r="W63" s="20"/>
      <c r="X63" s="20"/>
      <c r="Y63" s="20"/>
      <c r="Z63" s="20"/>
      <c r="AA63" s="20"/>
      <c r="AB63" s="20"/>
      <c r="AC63" s="20"/>
      <c r="AD63" s="20"/>
      <c r="AE63" s="20"/>
      <c r="AF63" s="243"/>
      <c r="AG63" s="20"/>
      <c r="AH63" s="126"/>
      <c r="AI63" s="126"/>
      <c r="AJ63" s="126"/>
      <c r="AK63" s="126"/>
      <c r="AL63" s="126"/>
      <c r="AM63" s="126"/>
      <c r="AN63" s="126"/>
      <c r="AO63" s="126"/>
      <c r="AP63" s="126"/>
      <c r="AQ63" s="126"/>
      <c r="AR63" s="126"/>
      <c r="AS63" s="187"/>
      <c r="AT63" s="222"/>
    </row>
    <row r="64" spans="1:46" ht="38.1" customHeight="1">
      <c r="A64" s="226"/>
      <c r="B64" s="1782"/>
      <c r="C64" s="222"/>
      <c r="D64" s="357" t="str">
        <f ca="1">INDIRECT('D1-D2-D3'!$J$4&amp;"!C207")</f>
        <v>Processes</v>
      </c>
      <c r="E64" s="129"/>
      <c r="F64" s="740"/>
      <c r="G64" s="273"/>
      <c r="H64" s="129"/>
      <c r="I64" s="1772" t="str">
        <f ca="1">INDIRECT('D1-D2-D3'!$J$4&amp;"!C265")</f>
        <v>Inform Prevention-Team</v>
      </c>
      <c r="J64" s="1772"/>
      <c r="K64" s="1772"/>
      <c r="L64" s="1772"/>
      <c r="M64" s="1772"/>
      <c r="N64" s="1772"/>
      <c r="O64" s="1772"/>
      <c r="P64" s="1772"/>
      <c r="Q64" s="1772"/>
      <c r="R64" s="1772"/>
      <c r="S64" s="1772"/>
      <c r="T64" s="1772"/>
      <c r="U64" s="1755" t="s">
        <v>847</v>
      </c>
      <c r="V64" s="1755"/>
      <c r="W64" s="1756" t="s">
        <v>931</v>
      </c>
      <c r="X64" s="1756"/>
      <c r="Y64" s="1756"/>
      <c r="Z64" s="1756"/>
      <c r="AA64" s="1756"/>
      <c r="AB64" s="1757"/>
      <c r="AC64" s="1743"/>
      <c r="AD64" s="1744"/>
      <c r="AE64" s="23"/>
      <c r="AF64" s="262"/>
      <c r="AG64" s="23"/>
      <c r="AH64" s="126"/>
      <c r="AI64" s="126"/>
      <c r="AJ64" s="126"/>
      <c r="AK64" s="126"/>
      <c r="AL64" s="126"/>
      <c r="AM64" s="126"/>
      <c r="AN64" s="126"/>
      <c r="AO64" s="126"/>
      <c r="AP64" s="126"/>
      <c r="AQ64" s="126"/>
      <c r="AR64" s="126"/>
      <c r="AS64" s="127"/>
      <c r="AT64" s="222"/>
    </row>
    <row r="65" spans="1:55" s="222" customFormat="1" ht="6" customHeight="1">
      <c r="A65" s="226"/>
      <c r="B65" s="811"/>
      <c r="D65" s="129"/>
      <c r="E65" s="129"/>
      <c r="F65" s="810"/>
      <c r="G65" s="129"/>
      <c r="H65" s="129"/>
      <c r="I65" s="810"/>
      <c r="J65" s="810"/>
      <c r="K65" s="129"/>
      <c r="L65" s="500"/>
      <c r="M65" s="500"/>
      <c r="N65" s="129"/>
      <c r="O65" s="129"/>
      <c r="P65" s="129"/>
      <c r="Q65" s="129"/>
      <c r="R65" s="129"/>
      <c r="S65" s="129"/>
      <c r="T65" s="129"/>
      <c r="U65" s="129"/>
      <c r="V65" s="129"/>
      <c r="W65" s="129"/>
      <c r="X65" s="129"/>
      <c r="Y65" s="129"/>
      <c r="Z65" s="129"/>
      <c r="AA65" s="129"/>
      <c r="AB65" s="129"/>
      <c r="AC65" s="129"/>
      <c r="AD65" s="129"/>
      <c r="AE65" s="23"/>
      <c r="AF65" s="262"/>
      <c r="AG65" s="23"/>
      <c r="AH65" s="126"/>
      <c r="AI65" s="126"/>
      <c r="AJ65" s="126"/>
      <c r="AK65" s="126"/>
      <c r="AL65" s="126"/>
      <c r="AM65" s="126"/>
      <c r="AN65" s="126"/>
      <c r="AO65" s="126"/>
      <c r="AP65" s="126"/>
      <c r="AQ65" s="126"/>
      <c r="AR65" s="126"/>
      <c r="AS65" s="127"/>
    </row>
    <row r="66" spans="1:55" s="250" customFormat="1" ht="30" customHeight="1">
      <c r="A66" s="227"/>
      <c r="B66" s="248"/>
      <c r="C66" s="249"/>
      <c r="D66" s="1767" t="str">
        <f ca="1">INDIRECT('D1-D2-D3'!$J$4&amp;"!C208")</f>
        <v>Concerned processes</v>
      </c>
      <c r="E66" s="1767"/>
      <c r="F66" s="1767"/>
      <c r="G66" s="1767"/>
      <c r="H66" s="1767"/>
      <c r="I66" s="1736" t="str">
        <f ca="1">INDIRECT('D1-D2-D3'!$J$4&amp;"!C80")</f>
        <v>Action</v>
      </c>
      <c r="J66" s="1737"/>
      <c r="K66" s="1737"/>
      <c r="L66" s="1737"/>
      <c r="M66" s="1737"/>
      <c r="N66" s="1737"/>
      <c r="O66" s="1737"/>
      <c r="P66" s="1737"/>
      <c r="Q66" s="1737"/>
      <c r="R66" s="1737"/>
      <c r="S66" s="1737"/>
      <c r="T66" s="1738"/>
      <c r="U66" s="1752" t="str">
        <f ca="1">INDIRECT('D1-D2-D3'!$J$4&amp;"!C83")</f>
        <v>Responsible</v>
      </c>
      <c r="V66" s="1753"/>
      <c r="W66" s="1753"/>
      <c r="X66" s="1754"/>
      <c r="Y66" s="1761" t="str">
        <f ca="1">INDIRECT('D1-D2-D3'!$J$4&amp;"!C211")&amp;" - "&amp;INDIRECT('D1-D2-D3'!$J$4&amp;"!C69")</f>
        <v>E-mail sent to responsible - Date</v>
      </c>
      <c r="Z66" s="1762"/>
      <c r="AA66" s="1762"/>
      <c r="AB66" s="1762"/>
      <c r="AC66" s="1762"/>
      <c r="AD66" s="1763"/>
      <c r="AE66" s="357"/>
      <c r="AF66" s="63"/>
      <c r="AG66" s="357"/>
      <c r="AH66" s="202"/>
      <c r="AI66" s="202"/>
      <c r="AJ66" s="202"/>
      <c r="AK66" s="202"/>
      <c r="AL66" s="202"/>
      <c r="AM66" s="202"/>
      <c r="AN66" s="202"/>
      <c r="AO66" s="202"/>
      <c r="AP66" s="202"/>
      <c r="AQ66" s="202"/>
      <c r="AR66" s="202"/>
      <c r="AS66" s="204"/>
      <c r="AT66" s="249"/>
    </row>
    <row r="67" spans="1:55" s="250" customFormat="1" ht="30" customHeight="1">
      <c r="A67" s="253"/>
      <c r="B67" s="275"/>
      <c r="C67" s="249"/>
      <c r="D67" s="1192"/>
      <c r="E67" s="1193"/>
      <c r="F67" s="1193"/>
      <c r="G67" s="1193"/>
      <c r="H67" s="1193"/>
      <c r="I67" s="1768"/>
      <c r="J67" s="1769"/>
      <c r="K67" s="1769"/>
      <c r="L67" s="1769"/>
      <c r="M67" s="1769"/>
      <c r="N67" s="1769"/>
      <c r="O67" s="1769"/>
      <c r="P67" s="1769"/>
      <c r="Q67" s="1769"/>
      <c r="R67" s="1769"/>
      <c r="S67" s="1769"/>
      <c r="T67" s="1770"/>
      <c r="U67" s="1758"/>
      <c r="V67" s="1759"/>
      <c r="W67" s="1759"/>
      <c r="X67" s="1760"/>
      <c r="Y67" s="1102"/>
      <c r="Z67" s="1103"/>
      <c r="AA67" s="1103"/>
      <c r="AB67" s="1103"/>
      <c r="AC67" s="1103"/>
      <c r="AD67" s="1104"/>
      <c r="AE67" s="271"/>
      <c r="AF67" s="270"/>
      <c r="AG67" s="271"/>
      <c r="AH67" s="202"/>
      <c r="AI67" s="202"/>
      <c r="AJ67" s="202"/>
      <c r="AK67" s="202"/>
      <c r="AL67" s="202"/>
      <c r="AM67" s="202"/>
      <c r="AN67" s="202"/>
      <c r="AO67" s="202"/>
      <c r="AP67" s="202"/>
      <c r="AQ67" s="202"/>
      <c r="AR67" s="202"/>
      <c r="AS67" s="204"/>
      <c r="AT67" s="249"/>
    </row>
    <row r="68" spans="1:55" s="250" customFormat="1" ht="30" customHeight="1">
      <c r="A68" s="253"/>
      <c r="B68" s="275"/>
      <c r="C68" s="249"/>
      <c r="D68" s="1192"/>
      <c r="E68" s="1193"/>
      <c r="F68" s="1193"/>
      <c r="G68" s="1193"/>
      <c r="H68" s="1193"/>
      <c r="I68" s="1771"/>
      <c r="J68" s="1769"/>
      <c r="K68" s="1769"/>
      <c r="L68" s="1769"/>
      <c r="M68" s="1769"/>
      <c r="N68" s="1769"/>
      <c r="O68" s="1769"/>
      <c r="P68" s="1769"/>
      <c r="Q68" s="1769"/>
      <c r="R68" s="1769"/>
      <c r="S68" s="1769"/>
      <c r="T68" s="1770"/>
      <c r="U68" s="1758"/>
      <c r="V68" s="1759"/>
      <c r="W68" s="1759"/>
      <c r="X68" s="1760"/>
      <c r="Y68" s="1749"/>
      <c r="Z68" s="1750"/>
      <c r="AA68" s="1750"/>
      <c r="AB68" s="1750"/>
      <c r="AC68" s="1750"/>
      <c r="AD68" s="1751"/>
      <c r="AE68" s="271"/>
      <c r="AF68" s="270"/>
      <c r="AG68" s="271"/>
      <c r="AH68" s="202"/>
      <c r="AI68" s="202"/>
      <c r="AJ68" s="202"/>
      <c r="AK68" s="202"/>
      <c r="AL68" s="202"/>
      <c r="AM68" s="202"/>
      <c r="AN68" s="202"/>
      <c r="AO68" s="202"/>
      <c r="AP68" s="202"/>
      <c r="AQ68" s="202"/>
      <c r="AR68" s="202"/>
      <c r="AS68" s="204"/>
      <c r="AT68" s="249"/>
    </row>
    <row r="69" spans="1:55" s="250" customFormat="1" ht="30" customHeight="1">
      <c r="A69" s="253"/>
      <c r="B69" s="275"/>
      <c r="C69" s="249"/>
      <c r="D69" s="1192"/>
      <c r="E69" s="1193"/>
      <c r="F69" s="1193"/>
      <c r="G69" s="1193"/>
      <c r="H69" s="1193"/>
      <c r="I69" s="1771"/>
      <c r="J69" s="1769"/>
      <c r="K69" s="1769"/>
      <c r="L69" s="1769"/>
      <c r="M69" s="1769"/>
      <c r="N69" s="1769"/>
      <c r="O69" s="1769"/>
      <c r="P69" s="1769"/>
      <c r="Q69" s="1769"/>
      <c r="R69" s="1769"/>
      <c r="S69" s="1769"/>
      <c r="T69" s="1770"/>
      <c r="U69" s="1192"/>
      <c r="V69" s="1193"/>
      <c r="W69" s="1193"/>
      <c r="X69" s="1194"/>
      <c r="Y69" s="1749"/>
      <c r="Z69" s="1750"/>
      <c r="AA69" s="1750"/>
      <c r="AB69" s="1750"/>
      <c r="AC69" s="1750"/>
      <c r="AD69" s="1751"/>
      <c r="AE69" s="271"/>
      <c r="AF69" s="270"/>
      <c r="AG69" s="271"/>
      <c r="AH69" s="202"/>
      <c r="AI69" s="202"/>
      <c r="AJ69" s="202"/>
      <c r="AK69" s="202"/>
      <c r="AL69" s="202"/>
      <c r="AM69" s="202"/>
      <c r="AN69" s="202"/>
      <c r="AO69" s="202"/>
      <c r="AP69" s="202"/>
      <c r="AQ69" s="202"/>
      <c r="AR69" s="202"/>
      <c r="AS69" s="204"/>
      <c r="AT69" s="249"/>
    </row>
    <row r="70" spans="1:55" ht="6" customHeight="1">
      <c r="A70" s="253"/>
      <c r="B70" s="275"/>
      <c r="C70" s="19"/>
      <c r="D70" s="19"/>
      <c r="E70" s="20"/>
      <c r="F70" s="20"/>
      <c r="G70" s="20"/>
      <c r="H70" s="20"/>
      <c r="I70" s="20"/>
      <c r="J70" s="20"/>
      <c r="K70" s="20"/>
      <c r="L70" s="20"/>
      <c r="M70" s="20"/>
      <c r="N70" s="20"/>
      <c r="O70" s="20"/>
      <c r="P70" s="21"/>
      <c r="Q70" s="20"/>
      <c r="R70" s="20"/>
      <c r="S70" s="20"/>
      <c r="T70" s="20"/>
      <c r="U70" s="20"/>
      <c r="V70" s="20"/>
      <c r="W70" s="20"/>
      <c r="X70" s="20"/>
      <c r="Y70" s="20"/>
      <c r="Z70" s="20"/>
      <c r="AA70" s="20"/>
      <c r="AB70" s="20"/>
      <c r="AC70" s="20"/>
      <c r="AD70" s="20"/>
      <c r="AE70" s="20"/>
      <c r="AF70" s="243"/>
      <c r="AG70" s="20"/>
      <c r="AH70" s="126"/>
      <c r="AI70" s="126"/>
      <c r="AJ70" s="126"/>
      <c r="AK70" s="126"/>
      <c r="AL70" s="126"/>
      <c r="AM70" s="126"/>
      <c r="AN70" s="126"/>
      <c r="AO70" s="126"/>
      <c r="AP70" s="126"/>
      <c r="AQ70" s="126"/>
      <c r="AR70" s="126"/>
      <c r="AS70" s="187"/>
      <c r="AT70" s="222"/>
    </row>
    <row r="71" spans="1:55" ht="38.1" customHeight="1">
      <c r="A71" s="226"/>
      <c r="B71" s="276"/>
      <c r="C71" s="222"/>
      <c r="D71" s="357" t="str">
        <f ca="1">INDIRECT('D1-D2-D3'!$J$4&amp;"!C209")</f>
        <v>Products</v>
      </c>
      <c r="E71" s="129"/>
      <c r="F71" s="740"/>
      <c r="G71" s="277"/>
      <c r="H71" s="129"/>
      <c r="I71" s="1803"/>
      <c r="J71" s="1803"/>
      <c r="K71" s="277"/>
      <c r="L71" s="500"/>
      <c r="M71" s="500"/>
      <c r="N71" s="129"/>
      <c r="O71" s="129"/>
      <c r="P71" s="129"/>
      <c r="Q71" s="129"/>
      <c r="R71" s="129"/>
      <c r="S71" s="129"/>
      <c r="T71" s="129"/>
      <c r="U71" s="129"/>
      <c r="V71" s="129"/>
      <c r="W71" s="129"/>
      <c r="X71" s="129"/>
      <c r="Y71" s="129"/>
      <c r="Z71" s="129"/>
      <c r="AA71" s="129"/>
      <c r="AB71" s="129"/>
      <c r="AC71" s="129"/>
      <c r="AD71" s="129"/>
      <c r="AE71" s="23"/>
      <c r="AF71" s="262"/>
      <c r="AG71" s="23"/>
      <c r="AH71" s="126"/>
      <c r="AI71" s="126"/>
      <c r="AJ71" s="126"/>
      <c r="AK71" s="126"/>
      <c r="AL71" s="126"/>
      <c r="AM71" s="126"/>
      <c r="AN71" s="126"/>
      <c r="AO71" s="126"/>
      <c r="AP71" s="126"/>
      <c r="AQ71" s="126"/>
      <c r="AR71" s="126"/>
      <c r="AS71" s="127"/>
      <c r="AT71" s="222"/>
    </row>
    <row r="72" spans="1:55" s="222" customFormat="1" ht="6" customHeight="1">
      <c r="A72" s="226"/>
      <c r="B72" s="811"/>
      <c r="D72" s="129"/>
      <c r="E72" s="129"/>
      <c r="F72" s="810"/>
      <c r="G72" s="129"/>
      <c r="H72" s="129"/>
      <c r="I72" s="810"/>
      <c r="J72" s="810"/>
      <c r="K72" s="129"/>
      <c r="L72" s="500"/>
      <c r="M72" s="500"/>
      <c r="N72" s="129"/>
      <c r="O72" s="129"/>
      <c r="P72" s="129"/>
      <c r="Q72" s="129"/>
      <c r="R72" s="129"/>
      <c r="S72" s="129"/>
      <c r="T72" s="129"/>
      <c r="U72" s="129"/>
      <c r="V72" s="129"/>
      <c r="W72" s="129"/>
      <c r="X72" s="129"/>
      <c r="Y72" s="129"/>
      <c r="Z72" s="129"/>
      <c r="AA72" s="129"/>
      <c r="AB72" s="129"/>
      <c r="AC72" s="129"/>
      <c r="AD72" s="129"/>
      <c r="AE72" s="23"/>
      <c r="AF72" s="262"/>
      <c r="AG72" s="23"/>
      <c r="AH72" s="126"/>
      <c r="AI72" s="126"/>
      <c r="AJ72" s="126"/>
      <c r="AK72" s="126"/>
      <c r="AL72" s="126"/>
      <c r="AM72" s="126"/>
      <c r="AN72" s="126"/>
      <c r="AO72" s="126"/>
      <c r="AP72" s="126"/>
      <c r="AQ72" s="126"/>
      <c r="AR72" s="126"/>
      <c r="AS72" s="127"/>
    </row>
    <row r="73" spans="1:55" s="250" customFormat="1" ht="30" customHeight="1">
      <c r="A73" s="227"/>
      <c r="B73" s="248"/>
      <c r="C73" s="249"/>
      <c r="D73" s="1767" t="str">
        <f ca="1">INDIRECT('D1-D2-D3'!$J$4&amp;"!C210")</f>
        <v>Concerned products</v>
      </c>
      <c r="E73" s="1767"/>
      <c r="F73" s="1767"/>
      <c r="G73" s="1767"/>
      <c r="H73" s="1767"/>
      <c r="I73" s="1736" t="str">
        <f ca="1">INDIRECT('D1-D2-D3'!$J$4&amp;"!C80")</f>
        <v>Action</v>
      </c>
      <c r="J73" s="1737"/>
      <c r="K73" s="1737"/>
      <c r="L73" s="1737"/>
      <c r="M73" s="1737"/>
      <c r="N73" s="1737"/>
      <c r="O73" s="1737"/>
      <c r="P73" s="1737"/>
      <c r="Q73" s="1737"/>
      <c r="R73" s="1737"/>
      <c r="S73" s="1737"/>
      <c r="T73" s="1738"/>
      <c r="U73" s="1752" t="str">
        <f ca="1">INDIRECT('D1-D2-D3'!$J$4&amp;"!C83")</f>
        <v>Responsible</v>
      </c>
      <c r="V73" s="1753"/>
      <c r="W73" s="1753"/>
      <c r="X73" s="1754"/>
      <c r="Y73" s="1761" t="str">
        <f ca="1">INDIRECT('D1-D2-D3'!$J$4&amp;"!C211")&amp;" - "&amp;INDIRECT('D1-D2-D3'!$J$4&amp;"!C69")</f>
        <v>E-mail sent to responsible - Date</v>
      </c>
      <c r="Z73" s="1762"/>
      <c r="AA73" s="1762"/>
      <c r="AB73" s="1762"/>
      <c r="AC73" s="1762"/>
      <c r="AD73" s="1763"/>
      <c r="AE73" s="357"/>
      <c r="AF73" s="63"/>
      <c r="AG73" s="357"/>
      <c r="AH73" s="202"/>
      <c r="AI73" s="202"/>
      <c r="AJ73" s="202"/>
      <c r="AK73" s="202"/>
      <c r="AL73" s="202"/>
      <c r="AM73" s="202"/>
      <c r="AN73" s="202"/>
      <c r="AO73" s="202"/>
      <c r="AP73" s="202"/>
      <c r="AQ73" s="202"/>
      <c r="AR73" s="202"/>
      <c r="AS73" s="204"/>
      <c r="AT73" s="249"/>
    </row>
    <row r="74" spans="1:55" s="250" customFormat="1" ht="30" customHeight="1">
      <c r="A74" s="253"/>
      <c r="B74" s="275"/>
      <c r="C74" s="249"/>
      <c r="D74" s="1192"/>
      <c r="E74" s="1193"/>
      <c r="F74" s="1193"/>
      <c r="G74" s="1193"/>
      <c r="H74" s="1194"/>
      <c r="I74" s="1768"/>
      <c r="J74" s="1769"/>
      <c r="K74" s="1769"/>
      <c r="L74" s="1769"/>
      <c r="M74" s="1769"/>
      <c r="N74" s="1769"/>
      <c r="O74" s="1769"/>
      <c r="P74" s="1769"/>
      <c r="Q74" s="1769"/>
      <c r="R74" s="1769"/>
      <c r="S74" s="1769"/>
      <c r="T74" s="1770"/>
      <c r="U74" s="1758"/>
      <c r="V74" s="1759"/>
      <c r="W74" s="1759"/>
      <c r="X74" s="1760"/>
      <c r="Y74" s="1102"/>
      <c r="Z74" s="1103"/>
      <c r="AA74" s="1103"/>
      <c r="AB74" s="1103"/>
      <c r="AC74" s="1103"/>
      <c r="AD74" s="1104"/>
      <c r="AE74" s="271"/>
      <c r="AF74" s="270"/>
      <c r="AG74" s="271"/>
      <c r="AH74" s="202"/>
      <c r="AI74" s="202"/>
      <c r="AJ74" s="202"/>
      <c r="AK74" s="202"/>
      <c r="AL74" s="202"/>
      <c r="AM74" s="202"/>
      <c r="AN74" s="202"/>
      <c r="AO74" s="202"/>
      <c r="AP74" s="202"/>
      <c r="AQ74" s="202"/>
      <c r="AR74" s="202"/>
      <c r="AS74" s="204"/>
      <c r="AT74" s="249"/>
      <c r="AU74" s="249"/>
      <c r="AV74" s="249"/>
      <c r="AW74" s="249"/>
      <c r="AX74" s="249"/>
      <c r="AY74" s="249"/>
      <c r="AZ74" s="249"/>
      <c r="BA74" s="249"/>
      <c r="BB74" s="249"/>
      <c r="BC74" s="249"/>
    </row>
    <row r="75" spans="1:55" s="250" customFormat="1" ht="30" customHeight="1">
      <c r="A75" s="253"/>
      <c r="B75" s="275"/>
      <c r="C75" s="249"/>
      <c r="D75" s="1192"/>
      <c r="E75" s="1193"/>
      <c r="F75" s="1193"/>
      <c r="G75" s="1193"/>
      <c r="H75" s="1194"/>
      <c r="I75" s="1771"/>
      <c r="J75" s="1769"/>
      <c r="K75" s="1769"/>
      <c r="L75" s="1769"/>
      <c r="M75" s="1769"/>
      <c r="N75" s="1769"/>
      <c r="O75" s="1769"/>
      <c r="P75" s="1769"/>
      <c r="Q75" s="1769"/>
      <c r="R75" s="1769"/>
      <c r="S75" s="1769"/>
      <c r="T75" s="1770"/>
      <c r="U75" s="1758"/>
      <c r="V75" s="1759"/>
      <c r="W75" s="1759"/>
      <c r="X75" s="1760"/>
      <c r="Y75" s="1102"/>
      <c r="Z75" s="1103"/>
      <c r="AA75" s="1103"/>
      <c r="AB75" s="1103"/>
      <c r="AC75" s="1103"/>
      <c r="AD75" s="1104"/>
      <c r="AE75" s="271"/>
      <c r="AF75" s="270"/>
      <c r="AG75" s="271"/>
      <c r="AH75" s="202"/>
      <c r="AI75" s="202"/>
      <c r="AJ75" s="202"/>
      <c r="AK75" s="202"/>
      <c r="AL75" s="202"/>
      <c r="AM75" s="202"/>
      <c r="AN75" s="202"/>
      <c r="AO75" s="202"/>
      <c r="AP75" s="202"/>
      <c r="AQ75" s="202"/>
      <c r="AR75" s="202"/>
      <c r="AS75" s="204"/>
      <c r="AT75" s="249"/>
      <c r="AU75" s="249"/>
      <c r="AV75" s="249"/>
      <c r="AW75" s="249"/>
      <c r="AX75" s="249"/>
      <c r="AY75" s="249"/>
      <c r="AZ75" s="249"/>
      <c r="BA75" s="249"/>
      <c r="BB75" s="249"/>
      <c r="BC75" s="249"/>
    </row>
    <row r="76" spans="1:55" s="250" customFormat="1" ht="30" customHeight="1">
      <c r="A76" s="253"/>
      <c r="B76" s="275"/>
      <c r="C76" s="249"/>
      <c r="D76" s="1192"/>
      <c r="E76" s="1193"/>
      <c r="F76" s="1193"/>
      <c r="G76" s="1193"/>
      <c r="H76" s="1194"/>
      <c r="I76" s="1771"/>
      <c r="J76" s="1769"/>
      <c r="K76" s="1769"/>
      <c r="L76" s="1769"/>
      <c r="M76" s="1769"/>
      <c r="N76" s="1769"/>
      <c r="O76" s="1769"/>
      <c r="P76" s="1769"/>
      <c r="Q76" s="1769"/>
      <c r="R76" s="1769"/>
      <c r="S76" s="1769"/>
      <c r="T76" s="1770"/>
      <c r="U76" s="1192"/>
      <c r="V76" s="1193"/>
      <c r="W76" s="1193"/>
      <c r="X76" s="1194"/>
      <c r="Y76" s="1102"/>
      <c r="Z76" s="1103"/>
      <c r="AA76" s="1103"/>
      <c r="AB76" s="1103"/>
      <c r="AC76" s="1103"/>
      <c r="AD76" s="1104"/>
      <c r="AE76" s="271"/>
      <c r="AF76" s="270"/>
      <c r="AG76" s="271"/>
      <c r="AH76" s="202"/>
      <c r="AI76" s="202"/>
      <c r="AJ76" s="202"/>
      <c r="AK76" s="202"/>
      <c r="AL76" s="202"/>
      <c r="AM76" s="202"/>
      <c r="AN76" s="202"/>
      <c r="AO76" s="202"/>
      <c r="AP76" s="202"/>
      <c r="AQ76" s="202"/>
      <c r="AR76" s="202"/>
      <c r="AS76" s="204"/>
      <c r="AT76" s="249"/>
      <c r="AU76" s="249"/>
      <c r="AV76" s="249"/>
      <c r="AW76" s="249"/>
      <c r="AX76" s="249"/>
      <c r="AY76" s="249"/>
      <c r="AZ76" s="249"/>
      <c r="BA76" s="249"/>
      <c r="BB76" s="249"/>
      <c r="BC76" s="249"/>
    </row>
    <row r="77" spans="1:55" ht="6" customHeight="1">
      <c r="A77" s="253"/>
      <c r="B77" s="276"/>
      <c r="C77" s="22"/>
      <c r="D77" s="23"/>
      <c r="E77" s="23"/>
      <c r="F77" s="23"/>
      <c r="G77" s="23"/>
      <c r="H77" s="23"/>
      <c r="I77" s="23"/>
      <c r="J77" s="23"/>
      <c r="K77" s="23"/>
      <c r="L77" s="23"/>
      <c r="M77" s="23"/>
      <c r="N77" s="23"/>
      <c r="O77" s="23"/>
      <c r="P77" s="23"/>
      <c r="Q77" s="23"/>
      <c r="R77" s="23"/>
      <c r="S77" s="23"/>
      <c r="T77" s="23"/>
      <c r="U77" s="23"/>
      <c r="V77" s="23"/>
      <c r="W77" s="23"/>
      <c r="X77" s="23"/>
      <c r="Y77" s="23"/>
      <c r="Z77" s="23"/>
      <c r="AA77" s="23"/>
      <c r="AB77" s="278"/>
      <c r="AC77" s="23"/>
      <c r="AD77" s="23"/>
      <c r="AE77" s="23"/>
      <c r="AF77" s="262"/>
      <c r="AG77" s="23"/>
      <c r="AH77" s="126"/>
      <c r="AI77" s="126"/>
      <c r="AJ77" s="126"/>
      <c r="AK77" s="126"/>
      <c r="AL77" s="126"/>
      <c r="AM77" s="126"/>
      <c r="AN77" s="126"/>
      <c r="AO77" s="126"/>
      <c r="AP77" s="126"/>
      <c r="AQ77" s="126"/>
      <c r="AR77" s="126"/>
      <c r="AS77" s="127"/>
      <c r="AT77" s="222"/>
      <c r="AU77" s="222"/>
      <c r="AV77" s="222"/>
      <c r="AW77" s="222"/>
      <c r="AX77" s="222"/>
      <c r="AY77" s="222"/>
      <c r="AZ77" s="222"/>
      <c r="BA77" s="222"/>
      <c r="BB77" s="222"/>
      <c r="BC77" s="222"/>
    </row>
    <row r="78" spans="1:55" ht="8.25" customHeight="1" thickBot="1">
      <c r="A78" s="226"/>
      <c r="B78" s="786"/>
      <c r="C78" s="787"/>
      <c r="D78" s="787"/>
      <c r="E78" s="787"/>
      <c r="F78" s="787"/>
      <c r="G78" s="787"/>
      <c r="H78" s="787"/>
      <c r="I78" s="787"/>
      <c r="J78" s="787"/>
      <c r="K78" s="787"/>
      <c r="L78" s="787"/>
      <c r="M78" s="788"/>
      <c r="N78" s="789"/>
      <c r="O78" s="789"/>
      <c r="P78" s="789"/>
      <c r="Q78" s="789"/>
      <c r="R78" s="789"/>
      <c r="S78" s="789"/>
      <c r="T78" s="789"/>
      <c r="U78" s="789"/>
      <c r="V78" s="789"/>
      <c r="W78" s="789"/>
      <c r="X78" s="789"/>
      <c r="Y78" s="789"/>
      <c r="Z78" s="789"/>
      <c r="AA78" s="789"/>
      <c r="AB78" s="789"/>
      <c r="AC78" s="789"/>
      <c r="AD78" s="789"/>
      <c r="AE78" s="790"/>
      <c r="AF78" s="791"/>
      <c r="AG78" s="23"/>
      <c r="AH78" s="126"/>
      <c r="AI78" s="126"/>
      <c r="AJ78" s="126"/>
      <c r="AK78" s="126"/>
      <c r="AL78" s="126"/>
      <c r="AM78" s="126"/>
      <c r="AN78" s="126"/>
      <c r="AO78" s="126"/>
      <c r="AP78" s="126"/>
      <c r="AQ78" s="126"/>
      <c r="AR78" s="126"/>
      <c r="AS78" s="127"/>
      <c r="AT78" s="222"/>
      <c r="AU78" s="222"/>
      <c r="AV78" s="222"/>
      <c r="AW78" s="222"/>
      <c r="AX78" s="222"/>
      <c r="AY78" s="222"/>
      <c r="AZ78" s="222"/>
      <c r="BA78" s="222"/>
      <c r="BB78" s="222"/>
      <c r="BC78" s="222"/>
    </row>
    <row r="79" spans="1:55" ht="35.25" customHeight="1">
      <c r="A79" s="253"/>
      <c r="B79" s="799" t="str">
        <f ca="1">INDIRECT('D1-D2-D3'!$J$4&amp;"!C214")&amp;"  " &amp;INDIRECT('D1-D2-D3'!$J$4&amp;"!C215")</f>
        <v>D8 - PSS closure  and appreciation of team's success</v>
      </c>
      <c r="C79" s="761"/>
      <c r="D79" s="47"/>
      <c r="E79" s="241"/>
      <c r="F79" s="241"/>
      <c r="G79" s="241"/>
      <c r="H79" s="241"/>
      <c r="I79" s="241"/>
      <c r="J79" s="241"/>
      <c r="K79" s="241"/>
      <c r="L79" s="241"/>
      <c r="M79" s="241"/>
      <c r="N79" s="241"/>
      <c r="O79" s="241"/>
      <c r="P79" s="502"/>
      <c r="Q79" s="241"/>
      <c r="R79" s="241"/>
      <c r="S79" s="241"/>
      <c r="T79" s="241"/>
      <c r="U79" s="241"/>
      <c r="V79" s="241"/>
      <c r="W79" s="241"/>
      <c r="X79" s="241"/>
      <c r="Y79" s="241"/>
      <c r="Z79" s="241"/>
      <c r="AA79" s="241"/>
      <c r="AB79" s="241"/>
      <c r="AC79" s="241"/>
      <c r="AD79" s="241"/>
      <c r="AE79" s="241"/>
      <c r="AF79" s="243"/>
      <c r="AG79" s="20"/>
      <c r="AH79" s="126"/>
      <c r="AI79" s="126"/>
      <c r="AJ79" s="126"/>
      <c r="AK79" s="126"/>
      <c r="AL79" s="126"/>
      <c r="AM79" s="126"/>
      <c r="AN79" s="126"/>
      <c r="AO79" s="126"/>
      <c r="AP79" s="126"/>
      <c r="AQ79" s="126"/>
      <c r="AR79" s="126"/>
      <c r="AS79" s="187"/>
      <c r="AT79" s="222"/>
      <c r="AU79" s="222"/>
      <c r="AV79" s="222"/>
      <c r="AW79" s="222"/>
      <c r="AX79" s="222"/>
      <c r="AY79" s="222"/>
      <c r="AZ79" s="222"/>
      <c r="BA79" s="222"/>
      <c r="BB79" s="222"/>
      <c r="BC79" s="222"/>
    </row>
    <row r="80" spans="1:55" ht="6" customHeight="1">
      <c r="A80" s="226"/>
      <c r="B80" s="237"/>
      <c r="C80" s="247"/>
      <c r="D80" s="19"/>
      <c r="E80" s="20"/>
      <c r="F80" s="20"/>
      <c r="G80" s="20"/>
      <c r="H80" s="20"/>
      <c r="I80" s="20"/>
      <c r="J80" s="20"/>
      <c r="K80" s="20"/>
      <c r="L80" s="20"/>
      <c r="M80" s="20"/>
      <c r="N80" s="20"/>
      <c r="O80" s="20"/>
      <c r="P80" s="21"/>
      <c r="Q80" s="20"/>
      <c r="R80" s="20"/>
      <c r="S80" s="20"/>
      <c r="T80" s="20"/>
      <c r="U80" s="20"/>
      <c r="V80" s="20"/>
      <c r="W80" s="20"/>
      <c r="X80" s="20"/>
      <c r="Y80" s="20"/>
      <c r="Z80" s="20"/>
      <c r="AA80" s="20"/>
      <c r="AB80" s="20"/>
      <c r="AC80" s="20"/>
      <c r="AD80" s="20"/>
      <c r="AE80" s="20"/>
      <c r="AF80" s="243"/>
      <c r="AG80" s="20"/>
      <c r="AH80" s="126"/>
      <c r="AI80" s="126"/>
      <c r="AJ80" s="126"/>
      <c r="AK80" s="126"/>
      <c r="AL80" s="126"/>
      <c r="AM80" s="126"/>
      <c r="AN80" s="126"/>
      <c r="AO80" s="126"/>
      <c r="AP80" s="126"/>
      <c r="AQ80" s="126"/>
      <c r="AR80" s="126"/>
      <c r="AS80" s="187"/>
      <c r="AT80" s="222"/>
      <c r="AU80" s="222"/>
      <c r="AV80" s="222"/>
      <c r="AW80" s="222"/>
      <c r="AX80" s="222"/>
      <c r="AY80" s="222"/>
      <c r="AZ80" s="222"/>
      <c r="BA80" s="222"/>
      <c r="BB80" s="222"/>
      <c r="BC80" s="222"/>
    </row>
    <row r="81" spans="1:77" ht="30" customHeight="1">
      <c r="A81" s="226"/>
      <c r="B81" s="237"/>
      <c r="C81" s="247"/>
      <c r="D81" s="1772" t="str">
        <f ca="1">INDIRECT('D1-D2-D3'!$J$4&amp;"!C216")</f>
        <v>Last Update</v>
      </c>
      <c r="E81" s="1772"/>
      <c r="F81" s="1801"/>
      <c r="G81" s="1749"/>
      <c r="H81" s="1750"/>
      <c r="I81" s="1750"/>
      <c r="J81" s="1750"/>
      <c r="K81" s="1751"/>
      <c r="L81" s="1802" t="str">
        <f ca="1">INDIRECT('D1-D2-D3'!$J$4&amp;"!C217")</f>
        <v>Status of complaint</v>
      </c>
      <c r="M81" s="1772"/>
      <c r="N81" s="1779"/>
      <c r="O81" s="1780"/>
      <c r="P81" s="1780"/>
      <c r="Q81" s="1780"/>
      <c r="R81" s="1780"/>
      <c r="S81" s="1780"/>
      <c r="T81" s="1780"/>
      <c r="U81" s="1780"/>
      <c r="V81" s="1780"/>
      <c r="W81" s="1780"/>
      <c r="X81" s="1781"/>
      <c r="Y81" s="20"/>
      <c r="Z81" s="20"/>
      <c r="AA81" s="20"/>
      <c r="AB81" s="20"/>
      <c r="AC81" s="20"/>
      <c r="AD81" s="20"/>
      <c r="AE81" s="20"/>
      <c r="AF81" s="243"/>
      <c r="AG81" s="20"/>
      <c r="AH81" s="126"/>
      <c r="AI81" s="126"/>
      <c r="AJ81" s="126"/>
      <c r="AK81" s="126"/>
      <c r="AL81" s="126"/>
      <c r="AM81" s="126"/>
      <c r="AN81" s="126"/>
      <c r="AO81" s="126"/>
      <c r="AP81" s="126"/>
      <c r="AQ81" s="126"/>
      <c r="AR81" s="126"/>
      <c r="AS81" s="187"/>
      <c r="AT81" s="222"/>
      <c r="AU81" s="222"/>
      <c r="AV81" s="222"/>
      <c r="AW81" s="222"/>
      <c r="AX81" s="222"/>
      <c r="AY81" s="222"/>
      <c r="AZ81" s="222"/>
      <c r="BA81" s="222"/>
      <c r="BB81" s="222"/>
      <c r="BC81" s="222"/>
    </row>
    <row r="82" spans="1:77" ht="6" customHeight="1">
      <c r="A82" s="226"/>
      <c r="B82" s="237"/>
      <c r="C82" s="247"/>
      <c r="D82" s="19"/>
      <c r="E82" s="20"/>
      <c r="F82" s="20"/>
      <c r="G82" s="20"/>
      <c r="H82" s="20"/>
      <c r="I82" s="20"/>
      <c r="J82" s="20"/>
      <c r="K82" s="20"/>
      <c r="L82" s="20"/>
      <c r="M82" s="20"/>
      <c r="N82" s="20"/>
      <c r="O82" s="20"/>
      <c r="P82" s="21"/>
      <c r="Q82" s="20"/>
      <c r="R82" s="20"/>
      <c r="S82" s="20"/>
      <c r="T82" s="20"/>
      <c r="U82" s="20"/>
      <c r="V82" s="20"/>
      <c r="W82" s="20"/>
      <c r="X82" s="20"/>
      <c r="Y82" s="20"/>
      <c r="Z82" s="20"/>
      <c r="AA82" s="20"/>
      <c r="AB82" s="20"/>
      <c r="AC82" s="20"/>
      <c r="AD82" s="20"/>
      <c r="AE82" s="20"/>
      <c r="AF82" s="243"/>
      <c r="AG82" s="20"/>
      <c r="AH82" s="126"/>
      <c r="AI82" s="126"/>
      <c r="AJ82" s="126"/>
      <c r="AK82" s="126"/>
      <c r="AL82" s="126"/>
      <c r="AM82" s="126"/>
      <c r="AN82" s="126"/>
      <c r="AO82" s="126"/>
      <c r="AP82" s="126"/>
      <c r="AQ82" s="126"/>
      <c r="AR82" s="126"/>
      <c r="AS82" s="187"/>
      <c r="AT82" s="222"/>
      <c r="AU82" s="222"/>
      <c r="AV82" s="222"/>
      <c r="AW82" s="222"/>
      <c r="AX82" s="222"/>
      <c r="AY82" s="222"/>
      <c r="AZ82" s="222"/>
      <c r="BA82" s="222"/>
      <c r="BB82" s="222"/>
      <c r="BC82" s="222"/>
    </row>
    <row r="83" spans="1:77" s="250" customFormat="1" ht="30" customHeight="1">
      <c r="A83" s="226"/>
      <c r="B83" s="248"/>
      <c r="C83" s="249"/>
      <c r="D83" s="1767" t="str">
        <f ca="1">INDIRECT('D1-D2-D3'!$J$4&amp;"!C221")</f>
        <v>Position</v>
      </c>
      <c r="E83" s="1767"/>
      <c r="F83" s="1767"/>
      <c r="G83" s="1767" t="str">
        <f ca="1">INDIRECT('D1-D2-D3'!$J$4&amp;"!C24")</f>
        <v>Name, prename</v>
      </c>
      <c r="H83" s="1767"/>
      <c r="I83" s="1767"/>
      <c r="J83" s="1767"/>
      <c r="K83" s="1736"/>
      <c r="L83" s="1736" t="str">
        <f ca="1">INDIRECT('D1-D2-D3'!$J$4&amp;"!C69")</f>
        <v>Date</v>
      </c>
      <c r="M83" s="1738"/>
      <c r="N83" s="1736" t="str">
        <f ca="1">INDIRECT('D1-D2-D3'!$J$4&amp;"!C232")</f>
        <v>Comments, conclusion (result of final discussion)</v>
      </c>
      <c r="O83" s="1737"/>
      <c r="P83" s="1737"/>
      <c r="Q83" s="1737"/>
      <c r="R83" s="1737"/>
      <c r="S83" s="1737"/>
      <c r="T83" s="1737"/>
      <c r="U83" s="1737"/>
      <c r="V83" s="1737"/>
      <c r="W83" s="1737"/>
      <c r="X83" s="1737"/>
      <c r="Y83" s="1737"/>
      <c r="Z83" s="1737"/>
      <c r="AA83" s="1737"/>
      <c r="AB83" s="1737"/>
      <c r="AC83" s="1737"/>
      <c r="AD83" s="1738"/>
      <c r="AE83" s="357"/>
      <c r="AF83" s="63"/>
      <c r="AG83" s="357"/>
      <c r="AH83" s="202"/>
      <c r="AI83" s="202"/>
      <c r="AJ83" s="202"/>
      <c r="AK83" s="202"/>
      <c r="AL83" s="202"/>
      <c r="AM83" s="202"/>
      <c r="AN83" s="202"/>
      <c r="AO83" s="202"/>
      <c r="AP83" s="202"/>
      <c r="AQ83" s="202"/>
      <c r="AR83" s="202"/>
      <c r="AS83" s="204"/>
      <c r="AT83" s="249"/>
      <c r="AU83" s="249"/>
      <c r="AV83" s="249"/>
      <c r="AW83" s="249"/>
      <c r="AX83" s="249"/>
      <c r="AY83" s="249"/>
      <c r="AZ83" s="249"/>
      <c r="BA83" s="249"/>
      <c r="BB83" s="249"/>
      <c r="BC83" s="249"/>
    </row>
    <row r="84" spans="1:77" s="250" customFormat="1" ht="30" customHeight="1">
      <c r="A84" s="253"/>
      <c r="B84" s="248"/>
      <c r="C84" s="249"/>
      <c r="D84" s="1798" t="str">
        <f ca="1">'D1-D2-D3'!DX15</f>
        <v>PSC</v>
      </c>
      <c r="E84" s="1798"/>
      <c r="F84" s="1798"/>
      <c r="G84" s="1804"/>
      <c r="H84" s="1804"/>
      <c r="I84" s="1804"/>
      <c r="J84" s="1804"/>
      <c r="K84" s="1187"/>
      <c r="L84" s="707" t="str">
        <f ca="1">INDIRECT('D1-D2-D3'!$J$4&amp;"!C227")</f>
        <v>informed on</v>
      </c>
      <c r="M84" s="792"/>
      <c r="N84" s="1793"/>
      <c r="O84" s="1794"/>
      <c r="P84" s="1794"/>
      <c r="Q84" s="1794"/>
      <c r="R84" s="1794"/>
      <c r="S84" s="1794"/>
      <c r="T84" s="1794"/>
      <c r="U84" s="1794"/>
      <c r="V84" s="1794"/>
      <c r="W84" s="1794"/>
      <c r="X84" s="1794"/>
      <c r="Y84" s="1794"/>
      <c r="Z84" s="1794"/>
      <c r="AA84" s="1794"/>
      <c r="AB84" s="1794"/>
      <c r="AC84" s="1794"/>
      <c r="AD84" s="1795"/>
      <c r="AE84" s="357"/>
      <c r="AF84" s="63"/>
      <c r="AG84" s="357"/>
      <c r="AH84" s="202"/>
      <c r="AI84" s="1800"/>
      <c r="AJ84" s="1800"/>
      <c r="AK84" s="1800"/>
      <c r="AL84" s="1800"/>
      <c r="AM84" s="1800"/>
      <c r="AN84" s="1800"/>
      <c r="AO84" s="1800"/>
      <c r="AP84" s="1800"/>
      <c r="AQ84" s="279"/>
      <c r="AR84" s="279"/>
      <c r="AS84" s="279"/>
      <c r="AT84" s="279"/>
      <c r="AU84" s="279"/>
      <c r="AV84" s="279"/>
      <c r="AW84" s="279"/>
      <c r="AX84" s="279"/>
      <c r="AY84" s="279"/>
      <c r="AZ84" s="279"/>
      <c r="BA84" s="279"/>
      <c r="BB84" s="279"/>
      <c r="BC84" s="279"/>
      <c r="BD84" s="222"/>
      <c r="BE84" s="222"/>
      <c r="BF84" s="222"/>
      <c r="BG84" s="1799"/>
      <c r="BH84" s="1799"/>
      <c r="BI84" s="1799"/>
      <c r="BJ84" s="1799"/>
      <c r="BK84" s="1799"/>
      <c r="BL84" s="1799"/>
      <c r="BM84" s="1799"/>
      <c r="BN84" s="1799"/>
      <c r="BO84" s="1799"/>
      <c r="BP84" s="1799"/>
      <c r="BQ84" s="1799"/>
      <c r="BR84" s="1799"/>
      <c r="BS84" s="1799"/>
      <c r="BT84" s="1799"/>
      <c r="BU84" s="1799"/>
      <c r="BV84" s="1799"/>
      <c r="BW84" s="1799"/>
      <c r="BX84" s="1799"/>
      <c r="BY84" s="1799"/>
    </row>
    <row r="85" spans="1:77" s="250" customFormat="1" ht="30" customHeight="1">
      <c r="A85" s="253"/>
      <c r="B85" s="248"/>
      <c r="C85" s="249"/>
      <c r="D85" s="1798" t="str">
        <f ca="1">INDIRECT('D1-D2-D3'!$J$4&amp;"!C223")</f>
        <v>Responsible Q</v>
      </c>
      <c r="E85" s="1798"/>
      <c r="F85" s="1798"/>
      <c r="G85" s="1046"/>
      <c r="H85" s="1046"/>
      <c r="I85" s="1046"/>
      <c r="J85" s="1046"/>
      <c r="K85" s="1192"/>
      <c r="L85" s="707" t="str">
        <f ca="1">INDIRECT('D1-D2-D3'!$J$4&amp;"!C227")</f>
        <v>informed on</v>
      </c>
      <c r="M85" s="859"/>
      <c r="N85" s="1771"/>
      <c r="O85" s="1769"/>
      <c r="P85" s="1769"/>
      <c r="Q85" s="1769"/>
      <c r="R85" s="1769"/>
      <c r="S85" s="1769"/>
      <c r="T85" s="1769"/>
      <c r="U85" s="1769"/>
      <c r="V85" s="1769"/>
      <c r="W85" s="1769"/>
      <c r="X85" s="1769"/>
      <c r="Y85" s="1769"/>
      <c r="Z85" s="1769"/>
      <c r="AA85" s="1769"/>
      <c r="AB85" s="1769"/>
      <c r="AC85" s="1769"/>
      <c r="AD85" s="1770"/>
      <c r="AE85" s="357"/>
      <c r="AF85" s="63"/>
      <c r="AG85" s="357"/>
      <c r="AH85" s="202"/>
      <c r="AI85" s="202"/>
      <c r="AJ85" s="202"/>
      <c r="AK85" s="202"/>
      <c r="AL85" s="202"/>
      <c r="AM85" s="202"/>
      <c r="AN85" s="202"/>
      <c r="AO85" s="202"/>
      <c r="AP85" s="202"/>
      <c r="AQ85" s="202"/>
      <c r="AR85" s="202"/>
      <c r="AS85" s="204"/>
      <c r="AT85" s="249"/>
      <c r="AU85" s="249"/>
      <c r="AV85" s="249"/>
      <c r="AW85" s="249"/>
      <c r="AX85" s="249"/>
      <c r="AY85" s="249"/>
      <c r="AZ85" s="249"/>
      <c r="BA85" s="249"/>
      <c r="BB85" s="249"/>
      <c r="BC85" s="249"/>
    </row>
    <row r="86" spans="1:77" s="250" customFormat="1" ht="30" customHeight="1">
      <c r="A86" s="253"/>
      <c r="B86" s="248"/>
      <c r="C86" s="249"/>
      <c r="D86" s="1798" t="str">
        <f ca="1">INDIRECT('D1-D2-D3'!$J$4&amp;"!C224")</f>
        <v>AP-team leader</v>
      </c>
      <c r="E86" s="1798"/>
      <c r="F86" s="1798"/>
      <c r="G86" s="1046"/>
      <c r="H86" s="1046"/>
      <c r="I86" s="1046"/>
      <c r="J86" s="1046"/>
      <c r="K86" s="1192"/>
      <c r="L86" s="707" t="str">
        <f ca="1">INDIRECT('D1-D2-D3'!$J$4&amp;"!C228")</f>
        <v>verified on</v>
      </c>
      <c r="M86" s="859"/>
      <c r="N86" s="1771"/>
      <c r="O86" s="1769"/>
      <c r="P86" s="1769"/>
      <c r="Q86" s="1769"/>
      <c r="R86" s="1769"/>
      <c r="S86" s="1769"/>
      <c r="T86" s="1769"/>
      <c r="U86" s="1769"/>
      <c r="V86" s="1769"/>
      <c r="W86" s="1769"/>
      <c r="X86" s="1769"/>
      <c r="Y86" s="1769"/>
      <c r="Z86" s="1769"/>
      <c r="AA86" s="1769"/>
      <c r="AB86" s="1769"/>
      <c r="AC86" s="1769"/>
      <c r="AD86" s="1770"/>
      <c r="AE86" s="357"/>
      <c r="AF86" s="63"/>
      <c r="AG86" s="357"/>
      <c r="AH86" s="202"/>
      <c r="AI86" s="202"/>
      <c r="AJ86" s="202"/>
      <c r="AK86" s="202"/>
      <c r="AL86" s="202"/>
      <c r="AM86" s="202"/>
      <c r="AN86" s="202"/>
      <c r="AO86" s="202"/>
      <c r="AP86" s="202"/>
      <c r="AQ86" s="202"/>
      <c r="AR86" s="202"/>
      <c r="AS86" s="204"/>
      <c r="AT86" s="249"/>
      <c r="AU86" s="249"/>
      <c r="AV86" s="249"/>
      <c r="AW86" s="249"/>
      <c r="AX86" s="249"/>
      <c r="AY86" s="249"/>
      <c r="AZ86" s="249"/>
      <c r="BA86" s="249"/>
      <c r="BB86" s="249"/>
      <c r="BC86" s="249"/>
    </row>
    <row r="87" spans="1:77" s="250" customFormat="1" ht="30" customHeight="1">
      <c r="A87" s="253"/>
      <c r="B87" s="248"/>
      <c r="C87" s="249"/>
      <c r="D87" s="1798" t="str">
        <f ca="1">INDIRECT('D1-D2-D3'!$J$4&amp;"!C225")</f>
        <v>Problem coordinator</v>
      </c>
      <c r="E87" s="1798"/>
      <c r="F87" s="1798"/>
      <c r="G87" s="1046"/>
      <c r="H87" s="1046"/>
      <c r="I87" s="1046"/>
      <c r="J87" s="1046"/>
      <c r="K87" s="1192"/>
      <c r="L87" s="707" t="str">
        <f ca="1">INDIRECT('D1-D2-D3'!$J$4&amp;"!C229")</f>
        <v>closed on</v>
      </c>
      <c r="M87" s="859"/>
      <c r="N87" s="1771"/>
      <c r="O87" s="1769"/>
      <c r="P87" s="1769"/>
      <c r="Q87" s="1769"/>
      <c r="R87" s="1769"/>
      <c r="S87" s="1769"/>
      <c r="T87" s="1769"/>
      <c r="U87" s="1769"/>
      <c r="V87" s="1769"/>
      <c r="W87" s="1769"/>
      <c r="X87" s="1769"/>
      <c r="Y87" s="1769"/>
      <c r="Z87" s="1769"/>
      <c r="AA87" s="1769"/>
      <c r="AB87" s="1769"/>
      <c r="AC87" s="1769"/>
      <c r="AD87" s="1770"/>
      <c r="AE87" s="357"/>
      <c r="AF87" s="63"/>
      <c r="AG87" s="357"/>
      <c r="AH87" s="202"/>
      <c r="AI87" s="202"/>
      <c r="AJ87" s="202"/>
      <c r="AK87" s="202"/>
      <c r="AL87" s="202"/>
      <c r="AM87" s="202"/>
      <c r="AN87" s="202"/>
      <c r="AO87" s="202"/>
      <c r="AP87" s="202"/>
      <c r="AQ87" s="202"/>
      <c r="AR87" s="202"/>
      <c r="AS87" s="204"/>
      <c r="AT87" s="249"/>
      <c r="AU87" s="249"/>
      <c r="AV87" s="249"/>
      <c r="AW87" s="249"/>
      <c r="AX87" s="249"/>
      <c r="AY87" s="249"/>
      <c r="AZ87" s="249"/>
      <c r="BA87" s="249"/>
      <c r="BB87" s="249"/>
      <c r="BC87" s="249"/>
    </row>
    <row r="88" spans="1:77" s="250" customFormat="1" ht="6" customHeight="1">
      <c r="A88" s="253"/>
      <c r="B88" s="248"/>
      <c r="C88" s="249"/>
      <c r="D88" s="801"/>
      <c r="E88" s="801"/>
      <c r="F88" s="801"/>
      <c r="G88" s="802"/>
      <c r="H88" s="802"/>
      <c r="I88" s="802"/>
      <c r="J88" s="802"/>
      <c r="K88" s="802"/>
      <c r="L88" s="251"/>
      <c r="M88" s="812"/>
      <c r="N88" s="812"/>
      <c r="O88" s="812"/>
      <c r="P88" s="812"/>
      <c r="Q88" s="812"/>
      <c r="R88" s="812"/>
      <c r="S88" s="812"/>
      <c r="T88" s="812"/>
      <c r="U88" s="812"/>
      <c r="V88" s="812"/>
      <c r="W88" s="812"/>
      <c r="X88" s="812"/>
      <c r="Y88" s="812"/>
      <c r="Z88" s="812"/>
      <c r="AA88" s="812"/>
      <c r="AB88" s="812"/>
      <c r="AC88" s="812"/>
      <c r="AD88" s="812"/>
      <c r="AE88" s="357"/>
      <c r="AF88" s="63"/>
      <c r="AG88" s="357"/>
      <c r="AH88" s="202"/>
      <c r="AI88" s="202"/>
      <c r="AJ88" s="202"/>
      <c r="AK88" s="202"/>
      <c r="AL88" s="202"/>
      <c r="AM88" s="202"/>
      <c r="AN88" s="202"/>
      <c r="AO88" s="202"/>
      <c r="AP88" s="202"/>
      <c r="AQ88" s="202"/>
      <c r="AR88" s="202"/>
      <c r="AS88" s="204"/>
      <c r="AT88" s="249"/>
      <c r="AU88" s="249"/>
      <c r="AV88" s="249"/>
      <c r="AW88" s="249"/>
      <c r="AX88" s="249"/>
      <c r="AY88" s="249"/>
      <c r="AZ88" s="249"/>
      <c r="BA88" s="249"/>
      <c r="BB88" s="249"/>
      <c r="BC88" s="249"/>
    </row>
    <row r="89" spans="1:77" ht="11.1" customHeight="1" thickBot="1">
      <c r="A89" s="253"/>
      <c r="B89" s="280"/>
      <c r="C89" s="281"/>
      <c r="D89" s="282"/>
      <c r="E89" s="283"/>
      <c r="F89" s="283"/>
      <c r="G89" s="283"/>
      <c r="H89" s="283"/>
      <c r="I89" s="283"/>
      <c r="J89" s="283"/>
      <c r="K89" s="283"/>
      <c r="L89" s="283"/>
      <c r="M89" s="283"/>
      <c r="N89" s="283"/>
      <c r="O89" s="283"/>
      <c r="P89" s="284"/>
      <c r="Q89" s="283"/>
      <c r="R89" s="283"/>
      <c r="S89" s="283"/>
      <c r="T89" s="283"/>
      <c r="U89" s="283"/>
      <c r="V89" s="283"/>
      <c r="W89" s="283"/>
      <c r="X89" s="283"/>
      <c r="Y89" s="283"/>
      <c r="Z89" s="283"/>
      <c r="AA89" s="283"/>
      <c r="AB89" s="283"/>
      <c r="AC89" s="283"/>
      <c r="AD89" s="283"/>
      <c r="AE89" s="283"/>
      <c r="AF89" s="285"/>
      <c r="AG89" s="20"/>
      <c r="AH89" s="126"/>
      <c r="AI89" s="126"/>
      <c r="AJ89" s="126"/>
      <c r="AK89" s="126"/>
      <c r="AL89" s="126"/>
      <c r="AM89" s="126"/>
      <c r="AN89" s="126"/>
      <c r="AO89" s="126"/>
      <c r="AP89" s="126"/>
      <c r="AQ89" s="126"/>
      <c r="AR89" s="126"/>
      <c r="AS89" s="187"/>
      <c r="AT89" s="222"/>
      <c r="AU89" s="222"/>
      <c r="AV89" s="222"/>
      <c r="AW89" s="222"/>
      <c r="AX89" s="222"/>
      <c r="AY89" s="222"/>
      <c r="AZ89" s="222"/>
      <c r="BA89" s="222"/>
      <c r="BB89" s="222"/>
      <c r="BC89" s="222"/>
    </row>
    <row r="90" spans="1:77" ht="8.25" customHeight="1">
      <c r="A90" s="253"/>
      <c r="B90" s="189"/>
      <c r="C90" s="247"/>
      <c r="D90" s="19"/>
      <c r="E90" s="20"/>
      <c r="F90" s="20"/>
      <c r="G90" s="20"/>
      <c r="H90" s="20"/>
      <c r="I90" s="20"/>
      <c r="J90" s="20"/>
      <c r="K90" s="20"/>
      <c r="L90" s="20"/>
      <c r="M90" s="20"/>
      <c r="N90" s="20"/>
      <c r="O90" s="20"/>
      <c r="P90" s="21"/>
      <c r="Q90" s="20"/>
      <c r="R90" s="20"/>
      <c r="S90" s="20"/>
      <c r="T90" s="20"/>
      <c r="U90" s="20"/>
      <c r="V90" s="20"/>
      <c r="W90" s="20"/>
      <c r="X90" s="20"/>
      <c r="Y90" s="20"/>
      <c r="Z90" s="20"/>
      <c r="AA90" s="20"/>
      <c r="AB90" s="20"/>
      <c r="AC90" s="20"/>
      <c r="AD90" s="20"/>
      <c r="AE90" s="20"/>
      <c r="AF90" s="20"/>
      <c r="AG90" s="20"/>
      <c r="AH90" s="126"/>
      <c r="AI90" s="126"/>
      <c r="AJ90" s="126"/>
      <c r="AK90" s="126"/>
      <c r="AL90" s="126"/>
      <c r="AM90" s="126"/>
      <c r="AN90" s="126"/>
      <c r="AO90" s="126"/>
      <c r="AP90" s="126"/>
      <c r="AQ90" s="126"/>
      <c r="AR90" s="126"/>
      <c r="AS90" s="187"/>
      <c r="AT90" s="222"/>
      <c r="AU90" s="222"/>
      <c r="AV90" s="222"/>
      <c r="AW90" s="222"/>
      <c r="AX90" s="222"/>
      <c r="AY90" s="222"/>
      <c r="AZ90" s="222"/>
      <c r="BA90" s="222"/>
      <c r="BB90" s="222"/>
      <c r="BC90" s="222"/>
    </row>
    <row r="91" spans="1:77" ht="20.25" customHeight="1">
      <c r="A91" s="253"/>
      <c r="B91" s="189"/>
      <c r="C91" s="247"/>
      <c r="D91" s="19"/>
      <c r="E91" s="20"/>
      <c r="F91" s="20"/>
      <c r="G91" s="20"/>
      <c r="H91" s="20"/>
      <c r="I91" s="20"/>
      <c r="J91" s="20"/>
      <c r="K91" s="20"/>
      <c r="L91" s="20"/>
      <c r="M91" s="20"/>
      <c r="N91" s="20"/>
      <c r="O91" s="20"/>
      <c r="P91" s="21"/>
      <c r="Q91" s="20"/>
      <c r="R91" s="20"/>
      <c r="S91" s="20"/>
      <c r="T91" s="20"/>
      <c r="U91" s="20"/>
      <c r="V91" s="20"/>
      <c r="W91" s="20"/>
      <c r="X91" s="20"/>
      <c r="Y91" s="20"/>
      <c r="Z91" s="20"/>
      <c r="AA91" s="20"/>
      <c r="AB91" s="20"/>
      <c r="AC91" s="20"/>
      <c r="AD91" s="20"/>
      <c r="AE91" s="20"/>
      <c r="AF91" s="20"/>
      <c r="AG91" s="20"/>
      <c r="AH91" s="126"/>
      <c r="AI91" s="126"/>
      <c r="AJ91" s="126"/>
      <c r="AK91" s="126"/>
      <c r="AL91" s="126"/>
      <c r="AM91" s="126"/>
      <c r="AN91" s="126"/>
      <c r="AO91" s="126"/>
      <c r="AP91" s="126"/>
      <c r="AQ91" s="126"/>
      <c r="AR91" s="126"/>
      <c r="AS91" s="187"/>
      <c r="AT91" s="222"/>
      <c r="AU91" s="222"/>
      <c r="AV91" s="222"/>
      <c r="AW91" s="222"/>
      <c r="AX91" s="222"/>
      <c r="AY91" s="222"/>
      <c r="AZ91" s="222"/>
      <c r="BA91" s="222"/>
      <c r="BB91" s="222"/>
      <c r="BC91" s="222"/>
    </row>
    <row r="92" spans="1:77" ht="39" customHeight="1">
      <c r="A92" s="286"/>
      <c r="B92" s="189"/>
      <c r="C92" s="247" t="str">
        <f ca="1">INDIRECT('D1-D2-D3'!$J$4&amp;"!C226")</f>
        <v>Information about result of 3 month-evaluation</v>
      </c>
      <c r="D92" s="19"/>
      <c r="E92" s="20"/>
      <c r="F92" s="20"/>
      <c r="G92" s="20"/>
      <c r="H92" s="20"/>
      <c r="I92" s="20"/>
      <c r="J92" s="20"/>
      <c r="K92" s="20"/>
      <c r="L92" s="20"/>
      <c r="M92" s="20"/>
      <c r="N92" s="20"/>
      <c r="O92" s="20"/>
      <c r="P92" s="21"/>
      <c r="Q92" s="20"/>
      <c r="R92" s="20"/>
      <c r="S92" s="20"/>
      <c r="T92" s="20"/>
      <c r="U92" s="20"/>
      <c r="V92" s="20"/>
      <c r="W92" s="20"/>
      <c r="X92" s="20"/>
      <c r="Y92" s="20"/>
      <c r="Z92" s="20"/>
      <c r="AA92" s="20"/>
      <c r="AB92" s="20"/>
      <c r="AC92" s="20"/>
      <c r="AD92" s="20"/>
      <c r="AE92" s="20"/>
      <c r="AF92" s="20"/>
      <c r="AG92" s="20"/>
      <c r="AH92" s="126"/>
      <c r="AI92" s="126"/>
      <c r="AJ92" s="126"/>
      <c r="AK92" s="126"/>
      <c r="AL92" s="126"/>
      <c r="AM92" s="126"/>
      <c r="AN92" s="126"/>
      <c r="AO92" s="126"/>
      <c r="AP92" s="126"/>
      <c r="AQ92" s="126"/>
      <c r="AR92" s="126"/>
      <c r="AS92" s="187"/>
      <c r="AT92" s="222"/>
      <c r="AU92" s="222"/>
      <c r="AV92" s="222"/>
      <c r="AW92" s="222"/>
      <c r="AX92" s="222"/>
      <c r="AY92" s="222"/>
      <c r="AZ92" s="222"/>
      <c r="BA92" s="222"/>
      <c r="BB92" s="222"/>
      <c r="BC92" s="222"/>
    </row>
    <row r="93" spans="1:77" ht="75.75" customHeight="1">
      <c r="A93" s="227"/>
      <c r="B93" s="189"/>
      <c r="C93" s="1785"/>
      <c r="D93" s="1786"/>
      <c r="E93" s="1786"/>
      <c r="F93" s="1786"/>
      <c r="G93" s="1786"/>
      <c r="H93" s="1786"/>
      <c r="I93" s="1786"/>
      <c r="J93" s="1786"/>
      <c r="K93" s="1786"/>
      <c r="L93" s="1786"/>
      <c r="M93" s="1786"/>
      <c r="N93" s="1786"/>
      <c r="O93" s="1786"/>
      <c r="P93" s="1786"/>
      <c r="Q93" s="1786"/>
      <c r="R93" s="1786"/>
      <c r="S93" s="1786"/>
      <c r="T93" s="1786"/>
      <c r="U93" s="1786"/>
      <c r="V93" s="1786"/>
      <c r="W93" s="1786"/>
      <c r="X93" s="1786"/>
      <c r="Y93" s="1786"/>
      <c r="Z93" s="1786"/>
      <c r="AA93" s="1786"/>
      <c r="AB93" s="1786"/>
      <c r="AC93" s="1786"/>
      <c r="AD93" s="1786"/>
      <c r="AE93" s="1787"/>
      <c r="AF93" s="20"/>
      <c r="AG93" s="20"/>
      <c r="AH93" s="126"/>
      <c r="AI93" s="126"/>
      <c r="AJ93" s="126"/>
      <c r="AK93" s="126"/>
      <c r="AL93" s="126"/>
      <c r="AM93" s="126"/>
      <c r="AN93" s="126"/>
      <c r="AO93" s="126"/>
      <c r="AP93" s="126"/>
      <c r="AQ93" s="126"/>
      <c r="AR93" s="126"/>
      <c r="AS93" s="187"/>
      <c r="AT93" s="222"/>
      <c r="AU93" s="222"/>
      <c r="AV93" s="222"/>
      <c r="AW93" s="222"/>
      <c r="AX93" s="222"/>
      <c r="AY93" s="222"/>
      <c r="AZ93" s="222"/>
      <c r="BA93" s="222"/>
      <c r="BB93" s="222"/>
      <c r="BC93" s="222"/>
    </row>
    <row r="94" spans="1:77" ht="114" customHeight="1">
      <c r="A94" s="227"/>
      <c r="B94" s="189"/>
      <c r="C94" s="1788"/>
      <c r="D94" s="1696"/>
      <c r="E94" s="1696"/>
      <c r="F94" s="1696"/>
      <c r="G94" s="1696"/>
      <c r="H94" s="1696"/>
      <c r="I94" s="1696"/>
      <c r="J94" s="1696"/>
      <c r="K94" s="1696"/>
      <c r="L94" s="1696"/>
      <c r="M94" s="1696"/>
      <c r="N94" s="1696"/>
      <c r="O94" s="1696"/>
      <c r="P94" s="1696"/>
      <c r="Q94" s="1696"/>
      <c r="R94" s="1696"/>
      <c r="S94" s="1696"/>
      <c r="T94" s="1696"/>
      <c r="U94" s="1696"/>
      <c r="V94" s="1696"/>
      <c r="W94" s="1696"/>
      <c r="X94" s="1696"/>
      <c r="Y94" s="1696"/>
      <c r="Z94" s="1696"/>
      <c r="AA94" s="1696"/>
      <c r="AB94" s="1696"/>
      <c r="AC94" s="1696"/>
      <c r="AD94" s="1696"/>
      <c r="AE94" s="1789"/>
      <c r="AF94" s="20"/>
      <c r="AG94" s="20"/>
      <c r="AH94" s="126"/>
      <c r="AI94" s="126"/>
      <c r="AJ94" s="126"/>
      <c r="AK94" s="126"/>
      <c r="AL94" s="126"/>
      <c r="AM94" s="126"/>
      <c r="AN94" s="126"/>
      <c r="AO94" s="126"/>
      <c r="AP94" s="126"/>
      <c r="AQ94" s="126"/>
      <c r="AR94" s="126"/>
      <c r="AS94" s="187"/>
      <c r="AT94" s="222"/>
    </row>
    <row r="95" spans="1:77" ht="30.75" customHeight="1">
      <c r="A95" s="227"/>
      <c r="B95" s="189"/>
      <c r="C95" s="1788"/>
      <c r="D95" s="1696"/>
      <c r="E95" s="1696"/>
      <c r="F95" s="1696"/>
      <c r="G95" s="1696"/>
      <c r="H95" s="1696"/>
      <c r="I95" s="1696"/>
      <c r="J95" s="1696"/>
      <c r="K95" s="1696"/>
      <c r="L95" s="1696"/>
      <c r="M95" s="1696"/>
      <c r="N95" s="1696"/>
      <c r="O95" s="1696"/>
      <c r="P95" s="1696"/>
      <c r="Q95" s="1696"/>
      <c r="R95" s="1696"/>
      <c r="S95" s="1696"/>
      <c r="T95" s="1696"/>
      <c r="U95" s="1696"/>
      <c r="V95" s="1696"/>
      <c r="W95" s="1696"/>
      <c r="X95" s="1696"/>
      <c r="Y95" s="1696"/>
      <c r="Z95" s="1696"/>
      <c r="AA95" s="1696"/>
      <c r="AB95" s="1696"/>
      <c r="AC95" s="1696"/>
      <c r="AD95" s="1696"/>
      <c r="AE95" s="1789"/>
      <c r="AF95" s="20"/>
      <c r="AG95" s="20"/>
      <c r="AH95" s="126"/>
      <c r="AI95" s="126"/>
      <c r="AJ95" s="126"/>
      <c r="AK95" s="126"/>
      <c r="AL95" s="126"/>
      <c r="AM95" s="126"/>
      <c r="AN95" s="126"/>
      <c r="AO95" s="126"/>
      <c r="AP95" s="126"/>
      <c r="AQ95" s="126"/>
      <c r="AR95" s="126"/>
      <c r="AS95" s="187"/>
      <c r="AT95" s="222"/>
    </row>
    <row r="96" spans="1:77" ht="96.75" customHeight="1">
      <c r="A96" s="227"/>
      <c r="B96" s="189"/>
      <c r="C96" s="1788"/>
      <c r="D96" s="1696"/>
      <c r="E96" s="1696"/>
      <c r="F96" s="1696"/>
      <c r="G96" s="1696"/>
      <c r="H96" s="1696"/>
      <c r="I96" s="1696"/>
      <c r="J96" s="1696"/>
      <c r="K96" s="1696"/>
      <c r="L96" s="1696"/>
      <c r="M96" s="1696"/>
      <c r="N96" s="1696"/>
      <c r="O96" s="1696"/>
      <c r="P96" s="1696"/>
      <c r="Q96" s="1696"/>
      <c r="R96" s="1696"/>
      <c r="S96" s="1696"/>
      <c r="T96" s="1696"/>
      <c r="U96" s="1696"/>
      <c r="V96" s="1696"/>
      <c r="W96" s="1696"/>
      <c r="X96" s="1696"/>
      <c r="Y96" s="1696"/>
      <c r="Z96" s="1696"/>
      <c r="AA96" s="1696"/>
      <c r="AB96" s="1696"/>
      <c r="AC96" s="1696"/>
      <c r="AD96" s="1696"/>
      <c r="AE96" s="1789"/>
      <c r="AF96" s="20"/>
      <c r="AG96" s="20"/>
      <c r="AH96" s="126"/>
      <c r="AI96" s="126"/>
      <c r="AJ96" s="126"/>
      <c r="AK96" s="126"/>
      <c r="AL96" s="126"/>
      <c r="AM96" s="126"/>
      <c r="AN96" s="126"/>
      <c r="AO96" s="126"/>
      <c r="AP96" s="126"/>
      <c r="AQ96" s="126"/>
      <c r="AR96" s="126"/>
      <c r="AS96" s="187"/>
      <c r="AT96" s="222"/>
    </row>
    <row r="97" spans="1:46" ht="8.25" customHeight="1">
      <c r="A97" s="227"/>
      <c r="B97" s="189"/>
      <c r="C97" s="1788"/>
      <c r="D97" s="1696"/>
      <c r="E97" s="1696"/>
      <c r="F97" s="1696"/>
      <c r="G97" s="1696"/>
      <c r="H97" s="1696"/>
      <c r="I97" s="1696"/>
      <c r="J97" s="1696"/>
      <c r="K97" s="1696"/>
      <c r="L97" s="1696"/>
      <c r="M97" s="1696"/>
      <c r="N97" s="1696"/>
      <c r="O97" s="1696"/>
      <c r="P97" s="1696"/>
      <c r="Q97" s="1696"/>
      <c r="R97" s="1696"/>
      <c r="S97" s="1696"/>
      <c r="T97" s="1696"/>
      <c r="U97" s="1696"/>
      <c r="V97" s="1696"/>
      <c r="W97" s="1696"/>
      <c r="X97" s="1696"/>
      <c r="Y97" s="1696"/>
      <c r="Z97" s="1696"/>
      <c r="AA97" s="1696"/>
      <c r="AB97" s="1696"/>
      <c r="AC97" s="1696"/>
      <c r="AD97" s="1696"/>
      <c r="AE97" s="1789"/>
      <c r="AF97" s="20"/>
      <c r="AG97" s="20"/>
      <c r="AH97" s="126"/>
      <c r="AI97" s="126"/>
      <c r="AJ97" s="126"/>
      <c r="AK97" s="126"/>
      <c r="AL97" s="126"/>
      <c r="AM97" s="126"/>
      <c r="AN97" s="126"/>
      <c r="AO97" s="126"/>
      <c r="AP97" s="126"/>
      <c r="AQ97" s="126"/>
      <c r="AR97" s="126"/>
      <c r="AS97" s="187"/>
      <c r="AT97" s="222"/>
    </row>
    <row r="98" spans="1:46" ht="8.25" customHeight="1">
      <c r="A98" s="227"/>
      <c r="B98" s="189"/>
      <c r="C98" s="1788"/>
      <c r="D98" s="1696"/>
      <c r="E98" s="1696"/>
      <c r="F98" s="1696"/>
      <c r="G98" s="1696"/>
      <c r="H98" s="1696"/>
      <c r="I98" s="1696"/>
      <c r="J98" s="1696"/>
      <c r="K98" s="1696"/>
      <c r="L98" s="1696"/>
      <c r="M98" s="1696"/>
      <c r="N98" s="1696"/>
      <c r="O98" s="1696"/>
      <c r="P98" s="1696"/>
      <c r="Q98" s="1696"/>
      <c r="R98" s="1696"/>
      <c r="S98" s="1696"/>
      <c r="T98" s="1696"/>
      <c r="U98" s="1696"/>
      <c r="V98" s="1696"/>
      <c r="W98" s="1696"/>
      <c r="X98" s="1696"/>
      <c r="Y98" s="1696"/>
      <c r="Z98" s="1696"/>
      <c r="AA98" s="1696"/>
      <c r="AB98" s="1696"/>
      <c r="AC98" s="1696"/>
      <c r="AD98" s="1696"/>
      <c r="AE98" s="1789"/>
      <c r="AF98" s="20"/>
      <c r="AG98" s="20"/>
      <c r="AH98" s="126"/>
      <c r="AI98" s="126"/>
      <c r="AJ98" s="126"/>
      <c r="AK98" s="126"/>
      <c r="AL98" s="126"/>
      <c r="AM98" s="126"/>
      <c r="AN98" s="126"/>
      <c r="AO98" s="126"/>
      <c r="AP98" s="126"/>
      <c r="AQ98" s="126"/>
      <c r="AR98" s="126"/>
      <c r="AS98" s="187"/>
      <c r="AT98" s="222"/>
    </row>
    <row r="99" spans="1:46" ht="8.25" customHeight="1">
      <c r="A99" s="227"/>
      <c r="B99" s="189"/>
      <c r="C99" s="1788"/>
      <c r="D99" s="1696"/>
      <c r="E99" s="1696"/>
      <c r="F99" s="1696"/>
      <c r="G99" s="1696"/>
      <c r="H99" s="1696"/>
      <c r="I99" s="1696"/>
      <c r="J99" s="1696"/>
      <c r="K99" s="1696"/>
      <c r="L99" s="1696"/>
      <c r="M99" s="1696"/>
      <c r="N99" s="1696"/>
      <c r="O99" s="1696"/>
      <c r="P99" s="1696"/>
      <c r="Q99" s="1696"/>
      <c r="R99" s="1696"/>
      <c r="S99" s="1696"/>
      <c r="T99" s="1696"/>
      <c r="U99" s="1696"/>
      <c r="V99" s="1696"/>
      <c r="W99" s="1696"/>
      <c r="X99" s="1696"/>
      <c r="Y99" s="1696"/>
      <c r="Z99" s="1696"/>
      <c r="AA99" s="1696"/>
      <c r="AB99" s="1696"/>
      <c r="AC99" s="1696"/>
      <c r="AD99" s="1696"/>
      <c r="AE99" s="1789"/>
      <c r="AF99" s="20"/>
      <c r="AG99" s="20"/>
      <c r="AH99" s="126"/>
      <c r="AI99" s="126"/>
      <c r="AJ99" s="126"/>
      <c r="AK99" s="126"/>
      <c r="AL99" s="126"/>
      <c r="AM99" s="126"/>
      <c r="AN99" s="126"/>
      <c r="AO99" s="126"/>
      <c r="AP99" s="126"/>
      <c r="AQ99" s="126"/>
      <c r="AR99" s="126"/>
      <c r="AS99" s="187"/>
      <c r="AT99" s="222"/>
    </row>
    <row r="100" spans="1:46" ht="9" customHeight="1">
      <c r="A100" s="227"/>
      <c r="B100" s="222"/>
      <c r="C100" s="1788"/>
      <c r="D100" s="1696"/>
      <c r="E100" s="1696"/>
      <c r="F100" s="1696"/>
      <c r="G100" s="1696"/>
      <c r="H100" s="1696"/>
      <c r="I100" s="1696"/>
      <c r="J100" s="1696"/>
      <c r="K100" s="1696"/>
      <c r="L100" s="1696"/>
      <c r="M100" s="1696"/>
      <c r="N100" s="1696"/>
      <c r="O100" s="1696"/>
      <c r="P100" s="1696"/>
      <c r="Q100" s="1696"/>
      <c r="R100" s="1696"/>
      <c r="S100" s="1696"/>
      <c r="T100" s="1696"/>
      <c r="U100" s="1696"/>
      <c r="V100" s="1696"/>
      <c r="W100" s="1696"/>
      <c r="X100" s="1696"/>
      <c r="Y100" s="1696"/>
      <c r="Z100" s="1696"/>
      <c r="AA100" s="1696"/>
      <c r="AB100" s="1696"/>
      <c r="AC100" s="1696"/>
      <c r="AD100" s="1696"/>
      <c r="AE100" s="1789"/>
      <c r="AF100" s="222"/>
      <c r="AG100" s="222"/>
      <c r="AH100" s="222"/>
    </row>
    <row r="101" spans="1:46" ht="14.25" customHeight="1">
      <c r="B101" s="222"/>
      <c r="C101" s="1788"/>
      <c r="D101" s="1696"/>
      <c r="E101" s="1696"/>
      <c r="F101" s="1696"/>
      <c r="G101" s="1696"/>
      <c r="H101" s="1696"/>
      <c r="I101" s="1696"/>
      <c r="J101" s="1696"/>
      <c r="K101" s="1696"/>
      <c r="L101" s="1696"/>
      <c r="M101" s="1696"/>
      <c r="N101" s="1696"/>
      <c r="O101" s="1696"/>
      <c r="P101" s="1696"/>
      <c r="Q101" s="1696"/>
      <c r="R101" s="1696"/>
      <c r="S101" s="1696"/>
      <c r="T101" s="1696"/>
      <c r="U101" s="1696"/>
      <c r="V101" s="1696"/>
      <c r="W101" s="1696"/>
      <c r="X101" s="1696"/>
      <c r="Y101" s="1696"/>
      <c r="Z101" s="1696"/>
      <c r="AA101" s="1696"/>
      <c r="AB101" s="1696"/>
      <c r="AC101" s="1696"/>
      <c r="AD101" s="1696"/>
      <c r="AE101" s="1789"/>
      <c r="AF101" s="222"/>
      <c r="AG101" s="222"/>
      <c r="AH101" s="222"/>
    </row>
    <row r="102" spans="1:46" ht="14.25" customHeight="1">
      <c r="B102" s="222"/>
      <c r="C102" s="1788"/>
      <c r="D102" s="1696"/>
      <c r="E102" s="1696"/>
      <c r="F102" s="1696"/>
      <c r="G102" s="1696"/>
      <c r="H102" s="1696"/>
      <c r="I102" s="1696"/>
      <c r="J102" s="1696"/>
      <c r="K102" s="1696"/>
      <c r="L102" s="1696"/>
      <c r="M102" s="1696"/>
      <c r="N102" s="1696"/>
      <c r="O102" s="1696"/>
      <c r="P102" s="1696"/>
      <c r="Q102" s="1696"/>
      <c r="R102" s="1696"/>
      <c r="S102" s="1696"/>
      <c r="T102" s="1696"/>
      <c r="U102" s="1696"/>
      <c r="V102" s="1696"/>
      <c r="W102" s="1696"/>
      <c r="X102" s="1696"/>
      <c r="Y102" s="1696"/>
      <c r="Z102" s="1696"/>
      <c r="AA102" s="1696"/>
      <c r="AB102" s="1696"/>
      <c r="AC102" s="1696"/>
      <c r="AD102" s="1696"/>
      <c r="AE102" s="1789"/>
      <c r="AF102" s="222"/>
      <c r="AG102" s="222"/>
      <c r="AH102" s="222"/>
    </row>
    <row r="103" spans="1:46" ht="14.25" customHeight="1">
      <c r="B103" s="222"/>
      <c r="C103" s="1788"/>
      <c r="D103" s="1696"/>
      <c r="E103" s="1696"/>
      <c r="F103" s="1696"/>
      <c r="G103" s="1696"/>
      <c r="H103" s="1696"/>
      <c r="I103" s="1696"/>
      <c r="J103" s="1696"/>
      <c r="K103" s="1696"/>
      <c r="L103" s="1696"/>
      <c r="M103" s="1696"/>
      <c r="N103" s="1696"/>
      <c r="O103" s="1696"/>
      <c r="P103" s="1696"/>
      <c r="Q103" s="1696"/>
      <c r="R103" s="1696"/>
      <c r="S103" s="1696"/>
      <c r="T103" s="1696"/>
      <c r="U103" s="1696"/>
      <c r="V103" s="1696"/>
      <c r="W103" s="1696"/>
      <c r="X103" s="1696"/>
      <c r="Y103" s="1696"/>
      <c r="Z103" s="1696"/>
      <c r="AA103" s="1696"/>
      <c r="AB103" s="1696"/>
      <c r="AC103" s="1696"/>
      <c r="AD103" s="1696"/>
      <c r="AE103" s="1789"/>
      <c r="AF103" s="222"/>
      <c r="AG103" s="222"/>
      <c r="AH103" s="222"/>
    </row>
    <row r="104" spans="1:46" ht="14.25" customHeight="1">
      <c r="B104" s="222"/>
      <c r="C104" s="1788"/>
      <c r="D104" s="1696"/>
      <c r="E104" s="1696"/>
      <c r="F104" s="1696"/>
      <c r="G104" s="1696"/>
      <c r="H104" s="1696"/>
      <c r="I104" s="1696"/>
      <c r="J104" s="1696"/>
      <c r="K104" s="1696"/>
      <c r="L104" s="1696"/>
      <c r="M104" s="1696"/>
      <c r="N104" s="1696"/>
      <c r="O104" s="1696"/>
      <c r="P104" s="1696"/>
      <c r="Q104" s="1696"/>
      <c r="R104" s="1696"/>
      <c r="S104" s="1696"/>
      <c r="T104" s="1696"/>
      <c r="U104" s="1696"/>
      <c r="V104" s="1696"/>
      <c r="W104" s="1696"/>
      <c r="X104" s="1696"/>
      <c r="Y104" s="1696"/>
      <c r="Z104" s="1696"/>
      <c r="AA104" s="1696"/>
      <c r="AB104" s="1696"/>
      <c r="AC104" s="1696"/>
      <c r="AD104" s="1696"/>
      <c r="AE104" s="1789"/>
      <c r="AF104" s="222"/>
      <c r="AG104" s="222"/>
      <c r="AH104" s="222"/>
    </row>
    <row r="105" spans="1:46" ht="14.25" customHeight="1">
      <c r="B105" s="222"/>
      <c r="C105" s="1788"/>
      <c r="D105" s="1696"/>
      <c r="E105" s="1696"/>
      <c r="F105" s="1696"/>
      <c r="G105" s="1696"/>
      <c r="H105" s="1696"/>
      <c r="I105" s="1696"/>
      <c r="J105" s="1696"/>
      <c r="K105" s="1696"/>
      <c r="L105" s="1696"/>
      <c r="M105" s="1696"/>
      <c r="N105" s="1696"/>
      <c r="O105" s="1696"/>
      <c r="P105" s="1696"/>
      <c r="Q105" s="1696"/>
      <c r="R105" s="1696"/>
      <c r="S105" s="1696"/>
      <c r="T105" s="1696"/>
      <c r="U105" s="1696"/>
      <c r="V105" s="1696"/>
      <c r="W105" s="1696"/>
      <c r="X105" s="1696"/>
      <c r="Y105" s="1696"/>
      <c r="Z105" s="1696"/>
      <c r="AA105" s="1696"/>
      <c r="AB105" s="1696"/>
      <c r="AC105" s="1696"/>
      <c r="AD105" s="1696"/>
      <c r="AE105" s="1789"/>
      <c r="AF105" s="222"/>
      <c r="AG105" s="222"/>
      <c r="AH105" s="222"/>
    </row>
    <row r="106" spans="1:46" ht="14.25" customHeight="1">
      <c r="B106" s="222"/>
      <c r="C106" s="1788"/>
      <c r="D106" s="1696"/>
      <c r="E106" s="1696"/>
      <c r="F106" s="1696"/>
      <c r="G106" s="1696"/>
      <c r="H106" s="1696"/>
      <c r="I106" s="1696"/>
      <c r="J106" s="1696"/>
      <c r="K106" s="1696"/>
      <c r="L106" s="1696"/>
      <c r="M106" s="1696"/>
      <c r="N106" s="1696"/>
      <c r="O106" s="1696"/>
      <c r="P106" s="1696"/>
      <c r="Q106" s="1696"/>
      <c r="R106" s="1696"/>
      <c r="S106" s="1696"/>
      <c r="T106" s="1696"/>
      <c r="U106" s="1696"/>
      <c r="V106" s="1696"/>
      <c r="W106" s="1696"/>
      <c r="X106" s="1696"/>
      <c r="Y106" s="1696"/>
      <c r="Z106" s="1696"/>
      <c r="AA106" s="1696"/>
      <c r="AB106" s="1696"/>
      <c r="AC106" s="1696"/>
      <c r="AD106" s="1696"/>
      <c r="AE106" s="1789"/>
      <c r="AF106" s="222"/>
      <c r="AG106" s="222"/>
    </row>
    <row r="107" spans="1:46" ht="14.25" customHeight="1">
      <c r="B107" s="222"/>
      <c r="C107" s="1788"/>
      <c r="D107" s="1696"/>
      <c r="E107" s="1696"/>
      <c r="F107" s="1696"/>
      <c r="G107" s="1696"/>
      <c r="H107" s="1696"/>
      <c r="I107" s="1696"/>
      <c r="J107" s="1696"/>
      <c r="K107" s="1696"/>
      <c r="L107" s="1696"/>
      <c r="M107" s="1696"/>
      <c r="N107" s="1696"/>
      <c r="O107" s="1696"/>
      <c r="P107" s="1696"/>
      <c r="Q107" s="1696"/>
      <c r="R107" s="1696"/>
      <c r="S107" s="1696"/>
      <c r="T107" s="1696"/>
      <c r="U107" s="1696"/>
      <c r="V107" s="1696"/>
      <c r="W107" s="1696"/>
      <c r="X107" s="1696"/>
      <c r="Y107" s="1696"/>
      <c r="Z107" s="1696"/>
      <c r="AA107" s="1696"/>
      <c r="AB107" s="1696"/>
      <c r="AC107" s="1696"/>
      <c r="AD107" s="1696"/>
      <c r="AE107" s="1789"/>
      <c r="AF107" s="222"/>
      <c r="AG107" s="222"/>
    </row>
    <row r="108" spans="1:46" ht="14.25" customHeight="1">
      <c r="B108" s="222"/>
      <c r="C108" s="1788"/>
      <c r="D108" s="1696"/>
      <c r="E108" s="1696"/>
      <c r="F108" s="1696"/>
      <c r="G108" s="1696"/>
      <c r="H108" s="1696"/>
      <c r="I108" s="1696"/>
      <c r="J108" s="1696"/>
      <c r="K108" s="1696"/>
      <c r="L108" s="1696"/>
      <c r="M108" s="1696"/>
      <c r="N108" s="1696"/>
      <c r="O108" s="1696"/>
      <c r="P108" s="1696"/>
      <c r="Q108" s="1696"/>
      <c r="R108" s="1696"/>
      <c r="S108" s="1696"/>
      <c r="T108" s="1696"/>
      <c r="U108" s="1696"/>
      <c r="V108" s="1696"/>
      <c r="W108" s="1696"/>
      <c r="X108" s="1696"/>
      <c r="Y108" s="1696"/>
      <c r="Z108" s="1696"/>
      <c r="AA108" s="1696"/>
      <c r="AB108" s="1696"/>
      <c r="AC108" s="1696"/>
      <c r="AD108" s="1696"/>
      <c r="AE108" s="1789"/>
      <c r="AF108" s="222"/>
      <c r="AG108" s="222"/>
    </row>
    <row r="109" spans="1:46" ht="14.25" customHeight="1">
      <c r="B109" s="222"/>
      <c r="C109" s="1788"/>
      <c r="D109" s="1696"/>
      <c r="E109" s="1696"/>
      <c r="F109" s="1696"/>
      <c r="G109" s="1696"/>
      <c r="H109" s="1696"/>
      <c r="I109" s="1696"/>
      <c r="J109" s="1696"/>
      <c r="K109" s="1696"/>
      <c r="L109" s="1696"/>
      <c r="M109" s="1696"/>
      <c r="N109" s="1696"/>
      <c r="O109" s="1696"/>
      <c r="P109" s="1696"/>
      <c r="Q109" s="1696"/>
      <c r="R109" s="1696"/>
      <c r="S109" s="1696"/>
      <c r="T109" s="1696"/>
      <c r="U109" s="1696"/>
      <c r="V109" s="1696"/>
      <c r="W109" s="1696"/>
      <c r="X109" s="1696"/>
      <c r="Y109" s="1696"/>
      <c r="Z109" s="1696"/>
      <c r="AA109" s="1696"/>
      <c r="AB109" s="1696"/>
      <c r="AC109" s="1696"/>
      <c r="AD109" s="1696"/>
      <c r="AE109" s="1789"/>
      <c r="AF109" s="222"/>
      <c r="AG109" s="222"/>
    </row>
    <row r="110" spans="1:46" ht="14.25" customHeight="1">
      <c r="B110" s="222"/>
      <c r="C110" s="1788"/>
      <c r="D110" s="1696"/>
      <c r="E110" s="1696"/>
      <c r="F110" s="1696"/>
      <c r="G110" s="1696"/>
      <c r="H110" s="1696"/>
      <c r="I110" s="1696"/>
      <c r="J110" s="1696"/>
      <c r="K110" s="1696"/>
      <c r="L110" s="1696"/>
      <c r="M110" s="1696"/>
      <c r="N110" s="1696"/>
      <c r="O110" s="1696"/>
      <c r="P110" s="1696"/>
      <c r="Q110" s="1696"/>
      <c r="R110" s="1696"/>
      <c r="S110" s="1696"/>
      <c r="T110" s="1696"/>
      <c r="U110" s="1696"/>
      <c r="V110" s="1696"/>
      <c r="W110" s="1696"/>
      <c r="X110" s="1696"/>
      <c r="Y110" s="1696"/>
      <c r="Z110" s="1696"/>
      <c r="AA110" s="1696"/>
      <c r="AB110" s="1696"/>
      <c r="AC110" s="1696"/>
      <c r="AD110" s="1696"/>
      <c r="AE110" s="1789"/>
      <c r="AF110" s="222"/>
      <c r="AG110" s="222"/>
    </row>
    <row r="111" spans="1:46" ht="14.25" customHeight="1">
      <c r="B111" s="222"/>
      <c r="C111" s="1788"/>
      <c r="D111" s="1696"/>
      <c r="E111" s="1696"/>
      <c r="F111" s="1696"/>
      <c r="G111" s="1696"/>
      <c r="H111" s="1696"/>
      <c r="I111" s="1696"/>
      <c r="J111" s="1696"/>
      <c r="K111" s="1696"/>
      <c r="L111" s="1696"/>
      <c r="M111" s="1696"/>
      <c r="N111" s="1696"/>
      <c r="O111" s="1696"/>
      <c r="P111" s="1696"/>
      <c r="Q111" s="1696"/>
      <c r="R111" s="1696"/>
      <c r="S111" s="1696"/>
      <c r="T111" s="1696"/>
      <c r="U111" s="1696"/>
      <c r="V111" s="1696"/>
      <c r="W111" s="1696"/>
      <c r="X111" s="1696"/>
      <c r="Y111" s="1696"/>
      <c r="Z111" s="1696"/>
      <c r="AA111" s="1696"/>
      <c r="AB111" s="1696"/>
      <c r="AC111" s="1696"/>
      <c r="AD111" s="1696"/>
      <c r="AE111" s="1789"/>
      <c r="AF111" s="222"/>
      <c r="AG111" s="222"/>
    </row>
    <row r="112" spans="1:46" ht="14.25" customHeight="1">
      <c r="B112" s="222"/>
      <c r="C112" s="1788"/>
      <c r="D112" s="1696"/>
      <c r="E112" s="1696"/>
      <c r="F112" s="1696"/>
      <c r="G112" s="1696"/>
      <c r="H112" s="1696"/>
      <c r="I112" s="1696"/>
      <c r="J112" s="1696"/>
      <c r="K112" s="1696"/>
      <c r="L112" s="1696"/>
      <c r="M112" s="1696"/>
      <c r="N112" s="1696"/>
      <c r="O112" s="1696"/>
      <c r="P112" s="1696"/>
      <c r="Q112" s="1696"/>
      <c r="R112" s="1696"/>
      <c r="S112" s="1696"/>
      <c r="T112" s="1696"/>
      <c r="U112" s="1696"/>
      <c r="V112" s="1696"/>
      <c r="W112" s="1696"/>
      <c r="X112" s="1696"/>
      <c r="Y112" s="1696"/>
      <c r="Z112" s="1696"/>
      <c r="AA112" s="1696"/>
      <c r="AB112" s="1696"/>
      <c r="AC112" s="1696"/>
      <c r="AD112" s="1696"/>
      <c r="AE112" s="1789"/>
      <c r="AF112" s="222"/>
      <c r="AG112" s="222"/>
    </row>
    <row r="113" spans="3:31" ht="14.25" customHeight="1">
      <c r="C113" s="1788"/>
      <c r="D113" s="1696"/>
      <c r="E113" s="1696"/>
      <c r="F113" s="1696"/>
      <c r="G113" s="1696"/>
      <c r="H113" s="1696"/>
      <c r="I113" s="1696"/>
      <c r="J113" s="1696"/>
      <c r="K113" s="1696"/>
      <c r="L113" s="1696"/>
      <c r="M113" s="1696"/>
      <c r="N113" s="1696"/>
      <c r="O113" s="1696"/>
      <c r="P113" s="1696"/>
      <c r="Q113" s="1696"/>
      <c r="R113" s="1696"/>
      <c r="S113" s="1696"/>
      <c r="T113" s="1696"/>
      <c r="U113" s="1696"/>
      <c r="V113" s="1696"/>
      <c r="W113" s="1696"/>
      <c r="X113" s="1696"/>
      <c r="Y113" s="1696"/>
      <c r="Z113" s="1696"/>
      <c r="AA113" s="1696"/>
      <c r="AB113" s="1696"/>
      <c r="AC113" s="1696"/>
      <c r="AD113" s="1696"/>
      <c r="AE113" s="1789"/>
    </row>
    <row r="114" spans="3:31" ht="14.25" customHeight="1">
      <c r="C114" s="1788"/>
      <c r="D114" s="1696"/>
      <c r="E114" s="1696"/>
      <c r="F114" s="1696"/>
      <c r="G114" s="1696"/>
      <c r="H114" s="1696"/>
      <c r="I114" s="1696"/>
      <c r="J114" s="1696"/>
      <c r="K114" s="1696"/>
      <c r="L114" s="1696"/>
      <c r="M114" s="1696"/>
      <c r="N114" s="1696"/>
      <c r="O114" s="1696"/>
      <c r="P114" s="1696"/>
      <c r="Q114" s="1696"/>
      <c r="R114" s="1696"/>
      <c r="S114" s="1696"/>
      <c r="T114" s="1696"/>
      <c r="U114" s="1696"/>
      <c r="V114" s="1696"/>
      <c r="W114" s="1696"/>
      <c r="X114" s="1696"/>
      <c r="Y114" s="1696"/>
      <c r="Z114" s="1696"/>
      <c r="AA114" s="1696"/>
      <c r="AB114" s="1696"/>
      <c r="AC114" s="1696"/>
      <c r="AD114" s="1696"/>
      <c r="AE114" s="1789"/>
    </row>
    <row r="115" spans="3:31" ht="14.25" customHeight="1">
      <c r="C115" s="1788"/>
      <c r="D115" s="1696"/>
      <c r="E115" s="1696"/>
      <c r="F115" s="1696"/>
      <c r="G115" s="1696"/>
      <c r="H115" s="1696"/>
      <c r="I115" s="1696"/>
      <c r="J115" s="1696"/>
      <c r="K115" s="1696"/>
      <c r="L115" s="1696"/>
      <c r="M115" s="1696"/>
      <c r="N115" s="1696"/>
      <c r="O115" s="1696"/>
      <c r="P115" s="1696"/>
      <c r="Q115" s="1696"/>
      <c r="R115" s="1696"/>
      <c r="S115" s="1696"/>
      <c r="T115" s="1696"/>
      <c r="U115" s="1696"/>
      <c r="V115" s="1696"/>
      <c r="W115" s="1696"/>
      <c r="X115" s="1696"/>
      <c r="Y115" s="1696"/>
      <c r="Z115" s="1696"/>
      <c r="AA115" s="1696"/>
      <c r="AB115" s="1696"/>
      <c r="AC115" s="1696"/>
      <c r="AD115" s="1696"/>
      <c r="AE115" s="1789"/>
    </row>
    <row r="116" spans="3:31" ht="14.25" customHeight="1">
      <c r="C116" s="1788"/>
      <c r="D116" s="1696"/>
      <c r="E116" s="1696"/>
      <c r="F116" s="1696"/>
      <c r="G116" s="1696"/>
      <c r="H116" s="1696"/>
      <c r="I116" s="1696"/>
      <c r="J116" s="1696"/>
      <c r="K116" s="1696"/>
      <c r="L116" s="1696"/>
      <c r="M116" s="1696"/>
      <c r="N116" s="1696"/>
      <c r="O116" s="1696"/>
      <c r="P116" s="1696"/>
      <c r="Q116" s="1696"/>
      <c r="R116" s="1696"/>
      <c r="S116" s="1696"/>
      <c r="T116" s="1696"/>
      <c r="U116" s="1696"/>
      <c r="V116" s="1696"/>
      <c r="W116" s="1696"/>
      <c r="X116" s="1696"/>
      <c r="Y116" s="1696"/>
      <c r="Z116" s="1696"/>
      <c r="AA116" s="1696"/>
      <c r="AB116" s="1696"/>
      <c r="AC116" s="1696"/>
      <c r="AD116" s="1696"/>
      <c r="AE116" s="1789"/>
    </row>
    <row r="117" spans="3:31" ht="14.25" customHeight="1">
      <c r="C117" s="1788"/>
      <c r="D117" s="1696"/>
      <c r="E117" s="1696"/>
      <c r="F117" s="1696"/>
      <c r="G117" s="1696"/>
      <c r="H117" s="1696"/>
      <c r="I117" s="1696"/>
      <c r="J117" s="1696"/>
      <c r="K117" s="1696"/>
      <c r="L117" s="1696"/>
      <c r="M117" s="1696"/>
      <c r="N117" s="1696"/>
      <c r="O117" s="1696"/>
      <c r="P117" s="1696"/>
      <c r="Q117" s="1696"/>
      <c r="R117" s="1696"/>
      <c r="S117" s="1696"/>
      <c r="T117" s="1696"/>
      <c r="U117" s="1696"/>
      <c r="V117" s="1696"/>
      <c r="W117" s="1696"/>
      <c r="X117" s="1696"/>
      <c r="Y117" s="1696"/>
      <c r="Z117" s="1696"/>
      <c r="AA117" s="1696"/>
      <c r="AB117" s="1696"/>
      <c r="AC117" s="1696"/>
      <c r="AD117" s="1696"/>
      <c r="AE117" s="1789"/>
    </row>
    <row r="118" spans="3:31" ht="14.25" customHeight="1">
      <c r="C118" s="1788"/>
      <c r="D118" s="1696"/>
      <c r="E118" s="1696"/>
      <c r="F118" s="1696"/>
      <c r="G118" s="1696"/>
      <c r="H118" s="1696"/>
      <c r="I118" s="1696"/>
      <c r="J118" s="1696"/>
      <c r="K118" s="1696"/>
      <c r="L118" s="1696"/>
      <c r="M118" s="1696"/>
      <c r="N118" s="1696"/>
      <c r="O118" s="1696"/>
      <c r="P118" s="1696"/>
      <c r="Q118" s="1696"/>
      <c r="R118" s="1696"/>
      <c r="S118" s="1696"/>
      <c r="T118" s="1696"/>
      <c r="U118" s="1696"/>
      <c r="V118" s="1696"/>
      <c r="W118" s="1696"/>
      <c r="X118" s="1696"/>
      <c r="Y118" s="1696"/>
      <c r="Z118" s="1696"/>
      <c r="AA118" s="1696"/>
      <c r="AB118" s="1696"/>
      <c r="AC118" s="1696"/>
      <c r="AD118" s="1696"/>
      <c r="AE118" s="1789"/>
    </row>
    <row r="119" spans="3:31" ht="14.25" customHeight="1">
      <c r="C119" s="1788"/>
      <c r="D119" s="1696"/>
      <c r="E119" s="1696"/>
      <c r="F119" s="1696"/>
      <c r="G119" s="1696"/>
      <c r="H119" s="1696"/>
      <c r="I119" s="1696"/>
      <c r="J119" s="1696"/>
      <c r="K119" s="1696"/>
      <c r="L119" s="1696"/>
      <c r="M119" s="1696"/>
      <c r="N119" s="1696"/>
      <c r="O119" s="1696"/>
      <c r="P119" s="1696"/>
      <c r="Q119" s="1696"/>
      <c r="R119" s="1696"/>
      <c r="S119" s="1696"/>
      <c r="T119" s="1696"/>
      <c r="U119" s="1696"/>
      <c r="V119" s="1696"/>
      <c r="W119" s="1696"/>
      <c r="X119" s="1696"/>
      <c r="Y119" s="1696"/>
      <c r="Z119" s="1696"/>
      <c r="AA119" s="1696"/>
      <c r="AB119" s="1696"/>
      <c r="AC119" s="1696"/>
      <c r="AD119" s="1696"/>
      <c r="AE119" s="1789"/>
    </row>
    <row r="120" spans="3:31" ht="14.25" customHeight="1">
      <c r="C120" s="1788"/>
      <c r="D120" s="1696"/>
      <c r="E120" s="1696"/>
      <c r="F120" s="1696"/>
      <c r="G120" s="1696"/>
      <c r="H120" s="1696"/>
      <c r="I120" s="1696"/>
      <c r="J120" s="1696"/>
      <c r="K120" s="1696"/>
      <c r="L120" s="1696"/>
      <c r="M120" s="1696"/>
      <c r="N120" s="1696"/>
      <c r="O120" s="1696"/>
      <c r="P120" s="1696"/>
      <c r="Q120" s="1696"/>
      <c r="R120" s="1696"/>
      <c r="S120" s="1696"/>
      <c r="T120" s="1696"/>
      <c r="U120" s="1696"/>
      <c r="V120" s="1696"/>
      <c r="W120" s="1696"/>
      <c r="X120" s="1696"/>
      <c r="Y120" s="1696"/>
      <c r="Z120" s="1696"/>
      <c r="AA120" s="1696"/>
      <c r="AB120" s="1696"/>
      <c r="AC120" s="1696"/>
      <c r="AD120" s="1696"/>
      <c r="AE120" s="1789"/>
    </row>
    <row r="121" spans="3:31" ht="14.25" customHeight="1">
      <c r="C121" s="1788"/>
      <c r="D121" s="1696"/>
      <c r="E121" s="1696"/>
      <c r="F121" s="1696"/>
      <c r="G121" s="1696"/>
      <c r="H121" s="1696"/>
      <c r="I121" s="1696"/>
      <c r="J121" s="1696"/>
      <c r="K121" s="1696"/>
      <c r="L121" s="1696"/>
      <c r="M121" s="1696"/>
      <c r="N121" s="1696"/>
      <c r="O121" s="1696"/>
      <c r="P121" s="1696"/>
      <c r="Q121" s="1696"/>
      <c r="R121" s="1696"/>
      <c r="S121" s="1696"/>
      <c r="T121" s="1696"/>
      <c r="U121" s="1696"/>
      <c r="V121" s="1696"/>
      <c r="W121" s="1696"/>
      <c r="X121" s="1696"/>
      <c r="Y121" s="1696"/>
      <c r="Z121" s="1696"/>
      <c r="AA121" s="1696"/>
      <c r="AB121" s="1696"/>
      <c r="AC121" s="1696"/>
      <c r="AD121" s="1696"/>
      <c r="AE121" s="1789"/>
    </row>
    <row r="122" spans="3:31" ht="14.25" customHeight="1">
      <c r="C122" s="1788"/>
      <c r="D122" s="1696"/>
      <c r="E122" s="1696"/>
      <c r="F122" s="1696"/>
      <c r="G122" s="1696"/>
      <c r="H122" s="1696"/>
      <c r="I122" s="1696"/>
      <c r="J122" s="1696"/>
      <c r="K122" s="1696"/>
      <c r="L122" s="1696"/>
      <c r="M122" s="1696"/>
      <c r="N122" s="1696"/>
      <c r="O122" s="1696"/>
      <c r="P122" s="1696"/>
      <c r="Q122" s="1696"/>
      <c r="R122" s="1696"/>
      <c r="S122" s="1696"/>
      <c r="T122" s="1696"/>
      <c r="U122" s="1696"/>
      <c r="V122" s="1696"/>
      <c r="W122" s="1696"/>
      <c r="X122" s="1696"/>
      <c r="Y122" s="1696"/>
      <c r="Z122" s="1696"/>
      <c r="AA122" s="1696"/>
      <c r="AB122" s="1696"/>
      <c r="AC122" s="1696"/>
      <c r="AD122" s="1696"/>
      <c r="AE122" s="1789"/>
    </row>
    <row r="123" spans="3:31" ht="14.25" customHeight="1">
      <c r="C123" s="1788"/>
      <c r="D123" s="1696"/>
      <c r="E123" s="1696"/>
      <c r="F123" s="1696"/>
      <c r="G123" s="1696"/>
      <c r="H123" s="1696"/>
      <c r="I123" s="1696"/>
      <c r="J123" s="1696"/>
      <c r="K123" s="1696"/>
      <c r="L123" s="1696"/>
      <c r="M123" s="1696"/>
      <c r="N123" s="1696"/>
      <c r="O123" s="1696"/>
      <c r="P123" s="1696"/>
      <c r="Q123" s="1696"/>
      <c r="R123" s="1696"/>
      <c r="S123" s="1696"/>
      <c r="T123" s="1696"/>
      <c r="U123" s="1696"/>
      <c r="V123" s="1696"/>
      <c r="W123" s="1696"/>
      <c r="X123" s="1696"/>
      <c r="Y123" s="1696"/>
      <c r="Z123" s="1696"/>
      <c r="AA123" s="1696"/>
      <c r="AB123" s="1696"/>
      <c r="AC123" s="1696"/>
      <c r="AD123" s="1696"/>
      <c r="AE123" s="1789"/>
    </row>
    <row r="124" spans="3:31" ht="14.25" customHeight="1">
      <c r="C124" s="1788"/>
      <c r="D124" s="1696"/>
      <c r="E124" s="1696"/>
      <c r="F124" s="1696"/>
      <c r="G124" s="1696"/>
      <c r="H124" s="1696"/>
      <c r="I124" s="1696"/>
      <c r="J124" s="1696"/>
      <c r="K124" s="1696"/>
      <c r="L124" s="1696"/>
      <c r="M124" s="1696"/>
      <c r="N124" s="1696"/>
      <c r="O124" s="1696"/>
      <c r="P124" s="1696"/>
      <c r="Q124" s="1696"/>
      <c r="R124" s="1696"/>
      <c r="S124" s="1696"/>
      <c r="T124" s="1696"/>
      <c r="U124" s="1696"/>
      <c r="V124" s="1696"/>
      <c r="W124" s="1696"/>
      <c r="X124" s="1696"/>
      <c r="Y124" s="1696"/>
      <c r="Z124" s="1696"/>
      <c r="AA124" s="1696"/>
      <c r="AB124" s="1696"/>
      <c r="AC124" s="1696"/>
      <c r="AD124" s="1696"/>
      <c r="AE124" s="1789"/>
    </row>
    <row r="125" spans="3:31" ht="14.25" customHeight="1">
      <c r="C125" s="1788"/>
      <c r="D125" s="1696"/>
      <c r="E125" s="1696"/>
      <c r="F125" s="1696"/>
      <c r="G125" s="1696"/>
      <c r="H125" s="1696"/>
      <c r="I125" s="1696"/>
      <c r="J125" s="1696"/>
      <c r="K125" s="1696"/>
      <c r="L125" s="1696"/>
      <c r="M125" s="1696"/>
      <c r="N125" s="1696"/>
      <c r="O125" s="1696"/>
      <c r="P125" s="1696"/>
      <c r="Q125" s="1696"/>
      <c r="R125" s="1696"/>
      <c r="S125" s="1696"/>
      <c r="T125" s="1696"/>
      <c r="U125" s="1696"/>
      <c r="V125" s="1696"/>
      <c r="W125" s="1696"/>
      <c r="X125" s="1696"/>
      <c r="Y125" s="1696"/>
      <c r="Z125" s="1696"/>
      <c r="AA125" s="1696"/>
      <c r="AB125" s="1696"/>
      <c r="AC125" s="1696"/>
      <c r="AD125" s="1696"/>
      <c r="AE125" s="1789"/>
    </row>
    <row r="126" spans="3:31" ht="14.25" customHeight="1">
      <c r="C126" s="1790"/>
      <c r="D126" s="1791"/>
      <c r="E126" s="1791"/>
      <c r="F126" s="1791"/>
      <c r="G126" s="1791"/>
      <c r="H126" s="1791"/>
      <c r="I126" s="1791"/>
      <c r="J126" s="1791"/>
      <c r="K126" s="1791"/>
      <c r="L126" s="1791"/>
      <c r="M126" s="1791"/>
      <c r="N126" s="1791"/>
      <c r="O126" s="1791"/>
      <c r="P126" s="1791"/>
      <c r="Q126" s="1791"/>
      <c r="R126" s="1791"/>
      <c r="S126" s="1791"/>
      <c r="T126" s="1791"/>
      <c r="U126" s="1791"/>
      <c r="V126" s="1791"/>
      <c r="W126" s="1791"/>
      <c r="X126" s="1791"/>
      <c r="Y126" s="1791"/>
      <c r="Z126" s="1791"/>
      <c r="AA126" s="1791"/>
      <c r="AB126" s="1791"/>
      <c r="AC126" s="1791"/>
      <c r="AD126" s="1791"/>
      <c r="AE126" s="1792"/>
    </row>
    <row r="204" spans="117:117">
      <c r="DM204" s="218" t="str">
        <f>IF('D6.Verification-D7-D8'!AC64="","",'D6.Verification-D7-D8'!F64)</f>
        <v/>
      </c>
    </row>
  </sheetData>
  <sheetProtection algorithmName="SHA-512" hashValue="WXy6gfaj+FXT95Dho8GPj0mN6qMZl4dW97npQyP8FrBsXOvq55H/JCo8YeMPex2vhQDTIU9qd0uyWbofSr1gng==" saltValue="tlt859Jv+Z3Ex3vMP0PYYg==" spinCount="100000" sheet="1" scenarios="1" formatCells="0" formatRows="0" insertHyperlinks="0"/>
  <customSheetViews>
    <customSheetView guid="{727552C9-10E3-4948-B2AE-8FE165517887}" scale="40" showPageBreaks="1" showGridLines="0" fitToPage="1" printArea="1" hiddenRows="1" view="pageBreakPreview">
      <selection activeCell="AH76" sqref="AH76"/>
      <pageMargins left="0.7" right="0.7" top="0.3046875" bottom="0.78740157499999996" header="0.3" footer="0.3"/>
      <pageSetup paperSize="9" scale="30" orientation="portrait" r:id="rId1"/>
    </customSheetView>
  </customSheetViews>
  <mergeCells count="167">
    <mergeCell ref="BG84:BY84"/>
    <mergeCell ref="AI84:AP84"/>
    <mergeCell ref="D81:F81"/>
    <mergeCell ref="G81:K81"/>
    <mergeCell ref="L81:M81"/>
    <mergeCell ref="Y69:AD69"/>
    <mergeCell ref="Y73:AD73"/>
    <mergeCell ref="Y74:AD74"/>
    <mergeCell ref="Y75:AD75"/>
    <mergeCell ref="Y76:AD76"/>
    <mergeCell ref="U74:X74"/>
    <mergeCell ref="U69:X69"/>
    <mergeCell ref="U73:X73"/>
    <mergeCell ref="D73:H73"/>
    <mergeCell ref="D69:H69"/>
    <mergeCell ref="I74:T74"/>
    <mergeCell ref="I69:T69"/>
    <mergeCell ref="I71:J71"/>
    <mergeCell ref="D74:H74"/>
    <mergeCell ref="I73:T73"/>
    <mergeCell ref="G84:K84"/>
    <mergeCell ref="C93:AE126"/>
    <mergeCell ref="L83:M83"/>
    <mergeCell ref="N83:AD83"/>
    <mergeCell ref="N84:AD84"/>
    <mergeCell ref="N87:AD87"/>
    <mergeCell ref="N86:AD86"/>
    <mergeCell ref="N85:AD85"/>
    <mergeCell ref="G85:K85"/>
    <mergeCell ref="N18:T18"/>
    <mergeCell ref="U18:V18"/>
    <mergeCell ref="W18:Y18"/>
    <mergeCell ref="D19:D25"/>
    <mergeCell ref="D75:H75"/>
    <mergeCell ref="G87:K87"/>
    <mergeCell ref="D86:F86"/>
    <mergeCell ref="D83:F83"/>
    <mergeCell ref="G83:K83"/>
    <mergeCell ref="D87:F87"/>
    <mergeCell ref="D85:F85"/>
    <mergeCell ref="U75:X75"/>
    <mergeCell ref="U76:X76"/>
    <mergeCell ref="I75:T75"/>
    <mergeCell ref="I76:T76"/>
    <mergeCell ref="D84:F84"/>
    <mergeCell ref="G86:K86"/>
    <mergeCell ref="D76:H76"/>
    <mergeCell ref="N81:X81"/>
    <mergeCell ref="B48:B52"/>
    <mergeCell ref="D50:F50"/>
    <mergeCell ref="D51:F51"/>
    <mergeCell ref="D52:F52"/>
    <mergeCell ref="B59:B64"/>
    <mergeCell ref="B54:B57"/>
    <mergeCell ref="I54:N54"/>
    <mergeCell ref="I55:N55"/>
    <mergeCell ref="I56:N56"/>
    <mergeCell ref="I57:N57"/>
    <mergeCell ref="I58:N58"/>
    <mergeCell ref="I59:N59"/>
    <mergeCell ref="I60:N60"/>
    <mergeCell ref="D53:F53"/>
    <mergeCell ref="D54:F54"/>
    <mergeCell ref="D56:F56"/>
    <mergeCell ref="G54:H54"/>
    <mergeCell ref="G55:H55"/>
    <mergeCell ref="G51:H51"/>
    <mergeCell ref="G52:H52"/>
    <mergeCell ref="G53:H53"/>
    <mergeCell ref="AK2:AR2"/>
    <mergeCell ref="Y53:AD53"/>
    <mergeCell ref="Y50:AD50"/>
    <mergeCell ref="AB46:AD46"/>
    <mergeCell ref="V46:X46"/>
    <mergeCell ref="U50:X50"/>
    <mergeCell ref="U53:X53"/>
    <mergeCell ref="Y51:AD51"/>
    <mergeCell ref="Y52:AD52"/>
    <mergeCell ref="Z18:AD18"/>
    <mergeCell ref="U51:X51"/>
    <mergeCell ref="U52:X52"/>
    <mergeCell ref="C30:AE42"/>
    <mergeCell ref="I52:N52"/>
    <mergeCell ref="O50:Q50"/>
    <mergeCell ref="O51:Q51"/>
    <mergeCell ref="O52:Q52"/>
    <mergeCell ref="R46:T46"/>
    <mergeCell ref="R51:T51"/>
    <mergeCell ref="R52:T52"/>
    <mergeCell ref="R53:T53"/>
    <mergeCell ref="E19:AD25"/>
    <mergeCell ref="D11:D17"/>
    <mergeCell ref="E18:F18"/>
    <mergeCell ref="Y68:AD68"/>
    <mergeCell ref="Y58:AD58"/>
    <mergeCell ref="Y59:AD59"/>
    <mergeCell ref="Y60:AD60"/>
    <mergeCell ref="U59:X59"/>
    <mergeCell ref="U60:X60"/>
    <mergeCell ref="U66:X66"/>
    <mergeCell ref="U64:V64"/>
    <mergeCell ref="W64:AB64"/>
    <mergeCell ref="U58:X58"/>
    <mergeCell ref="C62:AE62"/>
    <mergeCell ref="U67:X67"/>
    <mergeCell ref="U68:X68"/>
    <mergeCell ref="Y66:AD66"/>
    <mergeCell ref="D68:H68"/>
    <mergeCell ref="D60:F60"/>
    <mergeCell ref="O60:Q60"/>
    <mergeCell ref="D66:H66"/>
    <mergeCell ref="D67:H67"/>
    <mergeCell ref="I67:T67"/>
    <mergeCell ref="I68:T68"/>
    <mergeCell ref="I66:T66"/>
    <mergeCell ref="G60:H60"/>
    <mergeCell ref="I64:T64"/>
    <mergeCell ref="Y67:AD67"/>
    <mergeCell ref="AC64:AD64"/>
    <mergeCell ref="O46:P46"/>
    <mergeCell ref="Y55:AD55"/>
    <mergeCell ref="Y54:AD54"/>
    <mergeCell ref="O59:Q59"/>
    <mergeCell ref="R58:T58"/>
    <mergeCell ref="R50:T50"/>
    <mergeCell ref="R60:T60"/>
    <mergeCell ref="O58:Q58"/>
    <mergeCell ref="U54:X54"/>
    <mergeCell ref="Z46:AA46"/>
    <mergeCell ref="O53:Q53"/>
    <mergeCell ref="R54:T54"/>
    <mergeCell ref="O54:Q54"/>
    <mergeCell ref="Y56:AD56"/>
    <mergeCell ref="Y57:AD57"/>
    <mergeCell ref="I51:N51"/>
    <mergeCell ref="G50:H50"/>
    <mergeCell ref="I53:N53"/>
    <mergeCell ref="I50:N50"/>
    <mergeCell ref="D57:F57"/>
    <mergeCell ref="D58:F58"/>
    <mergeCell ref="D59:F59"/>
    <mergeCell ref="G59:H59"/>
    <mergeCell ref="U55:X55"/>
    <mergeCell ref="U56:X56"/>
    <mergeCell ref="U57:X57"/>
    <mergeCell ref="R56:T56"/>
    <mergeCell ref="G57:H57"/>
    <mergeCell ref="G58:H58"/>
    <mergeCell ref="D55:F55"/>
    <mergeCell ref="O56:Q56"/>
    <mergeCell ref="G56:H56"/>
    <mergeCell ref="O57:Q57"/>
    <mergeCell ref="R57:T57"/>
    <mergeCell ref="R59:T59"/>
    <mergeCell ref="R55:T55"/>
    <mergeCell ref="O55:Q55"/>
    <mergeCell ref="R7:T7"/>
    <mergeCell ref="V7:X7"/>
    <mergeCell ref="Z7:AA7"/>
    <mergeCell ref="X2:Z2"/>
    <mergeCell ref="T2:U2"/>
    <mergeCell ref="AB7:AD7"/>
    <mergeCell ref="O7:P7"/>
    <mergeCell ref="E10:AD10"/>
    <mergeCell ref="E11:AD17"/>
    <mergeCell ref="F2:S2"/>
    <mergeCell ref="AA2:AF2"/>
  </mergeCells>
  <phoneticPr fontId="198" type="noConversion"/>
  <hyperlinks>
    <hyperlink ref="W64" r:id="rId2"/>
  </hyperlinks>
  <pageMargins left="0.7" right="0.7" top="0.3046875" bottom="0.78740157499999996" header="0.3" footer="0.3"/>
  <pageSetup paperSize="9" scale="29" orientation="portrait" r:id="rId3"/>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16" id="{615EA698-585E-4018-A3FC-091417ED2281}">
            <xm:f>IF('D1-D2-D3'!$DD$16:$DR$16=DropDown!$N$12,1,0)</xm:f>
            <x14:dxf>
              <font>
                <color theme="0" tint="-4.9989318521683403E-2"/>
              </font>
              <fill>
                <patternFill>
                  <bgColor theme="0" tint="-4.9989318521683403E-2"/>
                </patternFill>
              </fill>
            </x14:dxf>
          </x14:cfRule>
          <xm:sqref>D84:AD84</xm:sqref>
        </x14:conditionalFormatting>
        <x14:conditionalFormatting xmlns:xm="http://schemas.microsoft.com/office/excel/2006/main">
          <x14:cfRule type="expression" priority="1" id="{6B25C3AC-B5AE-4377-8BDE-4AB183668293}">
            <xm:f>IF($F$64=INDIRECT('D1-D2-D3'!$J$4&amp;"!C42"),1,0)</xm:f>
            <x14:dxf>
              <font>
                <color theme="0"/>
              </font>
              <border>
                <left/>
                <right/>
                <top/>
                <bottom/>
                <vertical/>
                <horizontal/>
              </border>
            </x14:dxf>
          </x14:cfRule>
          <xm:sqref>I64:AD64</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14:formula1>
            <xm:f>DropDown!$J$7:$J$8</xm:f>
          </x14:formula1>
          <xm:sqref>R7:T7 R46:T46</xm:sqref>
        </x14:dataValidation>
        <x14:dataValidation type="list" allowBlank="1" showInputMessage="1" showErrorMessage="1">
          <x14:formula1>
            <xm:f>DropDown!$N$11:$N$12</xm:f>
          </x14:formula1>
          <xm:sqref>AC64:AD64 F64 F71</xm:sqref>
        </x14:dataValidation>
        <x14:dataValidation type="list" allowBlank="1" showInputMessage="1" showErrorMessage="1">
          <x14:formula1>
            <xm:f>DropDown!$J$10:$J$13</xm:f>
          </x14:formula1>
          <xm:sqref>N81</xm:sqref>
        </x14:dataValidation>
        <x14:dataValidation type="list" allowBlank="1" showInputMessage="1" showErrorMessage="1">
          <x14:formula1>
            <xm:f>'D4.5Why''s-D5-D6'!$X$19:$X$25</xm:f>
          </x14:formula1>
          <xm:sqref>G18</xm:sqref>
        </x14:dataValidation>
        <x14:dataValidation type="list" allowBlank="1" showInputMessage="1" showErrorMessage="1">
          <x14:formula1>
            <xm:f>DropDown!$J$23:$J$25</xm:f>
          </x14:formula1>
          <xm:sqref>G51:H60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H240"/>
  <sheetViews>
    <sheetView view="pageBreakPreview" zoomScale="55" zoomScaleNormal="50" zoomScaleSheetLayoutView="55" zoomScalePageLayoutView="40" workbookViewId="0">
      <selection activeCell="R2" sqref="R2:CF2"/>
    </sheetView>
  </sheetViews>
  <sheetFormatPr defaultColWidth="12.5546875" defaultRowHeight="13.8"/>
  <cols>
    <col min="1" max="1" width="2.109375" style="291" customWidth="1"/>
    <col min="2" max="3" width="2.109375" style="299" customWidth="1"/>
    <col min="4" max="4" width="6.33203125" style="299" customWidth="1"/>
    <col min="5" max="7" width="2.109375" style="299" customWidth="1"/>
    <col min="8" max="8" width="3.6640625" style="299" customWidth="1"/>
    <col min="9" max="21" width="2.109375" style="299" customWidth="1"/>
    <col min="22" max="22" width="3.88671875" style="299" customWidth="1"/>
    <col min="23" max="23" width="2.109375" style="299" customWidth="1"/>
    <col min="24" max="24" width="5.109375" style="299" customWidth="1"/>
    <col min="25" max="34" width="2.109375" style="299" customWidth="1"/>
    <col min="35" max="35" width="9.33203125" style="299" customWidth="1"/>
    <col min="36" max="37" width="2.109375" style="299" customWidth="1"/>
    <col min="38" max="38" width="1.88671875" style="299" customWidth="1"/>
    <col min="39" max="60" width="2.109375" style="299" customWidth="1"/>
    <col min="61" max="61" width="4" style="299" customWidth="1"/>
    <col min="62" max="62" width="1" style="299" customWidth="1"/>
    <col min="63" max="63" width="4.88671875" style="299" customWidth="1"/>
    <col min="64" max="76" width="2.109375" style="299" customWidth="1"/>
    <col min="77" max="77" width="4" style="299" customWidth="1"/>
    <col min="78" max="84" width="2.109375" style="299" customWidth="1"/>
    <col min="85" max="85" width="10.109375" style="299" customWidth="1"/>
    <col min="86" max="87" width="2.109375" style="299" customWidth="1"/>
    <col min="88" max="88" width="3.6640625" style="299" customWidth="1"/>
    <col min="89" max="94" width="2.109375" style="299" customWidth="1"/>
    <col min="95" max="99" width="2.6640625" style="299" customWidth="1"/>
    <col min="100" max="100" width="2.109375" style="299" customWidth="1"/>
    <col min="101" max="106" width="2.6640625" style="299" customWidth="1"/>
    <col min="107" max="107" width="0.6640625" style="299" customWidth="1"/>
    <col min="108" max="113" width="2.6640625" style="299" customWidth="1"/>
    <col min="114" max="116" width="2.44140625" style="299" customWidth="1"/>
    <col min="117" max="117" width="8.6640625" style="299" customWidth="1"/>
    <col min="118" max="119" width="2.44140625" style="299" customWidth="1"/>
    <col min="120" max="120" width="2.109375" style="299" customWidth="1"/>
    <col min="121" max="121" width="1.6640625" style="299" customWidth="1"/>
    <col min="122" max="122" width="0.6640625" style="299" customWidth="1"/>
    <col min="123" max="123" width="2.6640625" style="299" customWidth="1"/>
    <col min="124" max="124" width="2.88671875" style="299" customWidth="1"/>
    <col min="125" max="125" width="2.109375" style="293" customWidth="1"/>
    <col min="126" max="126" width="2.6640625" style="293" customWidth="1"/>
    <col min="127" max="127" width="3.109375" style="293" customWidth="1"/>
    <col min="128" max="128" width="14.6640625" style="293" customWidth="1"/>
    <col min="129" max="129" width="28" style="293" customWidth="1"/>
    <col min="130" max="130" width="10.88671875" style="293" customWidth="1"/>
    <col min="131" max="131" width="14.5546875" style="293" customWidth="1"/>
    <col min="132" max="132" width="9.88671875" style="293" customWidth="1"/>
    <col min="133" max="133" width="11" style="293" customWidth="1"/>
    <col min="134" max="134" width="13.109375" style="293" customWidth="1"/>
    <col min="135" max="135" width="12.6640625" style="293" customWidth="1"/>
    <col min="136" max="136" width="2.109375" style="293" customWidth="1"/>
    <col min="137" max="341" width="10.33203125" style="293" customWidth="1"/>
    <col min="342" max="16384" width="12.5546875" style="293"/>
  </cols>
  <sheetData>
    <row r="1" spans="1:136" ht="6" customHeight="1" thickBot="1">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2"/>
      <c r="AP1" s="292"/>
      <c r="AQ1" s="292"/>
      <c r="AR1" s="292"/>
      <c r="AS1" s="292"/>
      <c r="AT1" s="292"/>
      <c r="AU1" s="292"/>
      <c r="AV1" s="292"/>
      <c r="AW1" s="292"/>
      <c r="AX1" s="292"/>
      <c r="AY1" s="292"/>
      <c r="AZ1" s="292"/>
      <c r="BA1" s="292"/>
      <c r="BB1" s="292"/>
      <c r="BC1" s="292"/>
      <c r="BD1" s="292"/>
      <c r="BE1" s="292"/>
      <c r="BF1" s="292"/>
      <c r="BG1" s="292"/>
      <c r="BH1" s="292"/>
      <c r="BI1" s="292"/>
      <c r="BJ1" s="292"/>
      <c r="BK1" s="292"/>
      <c r="BL1" s="292"/>
      <c r="BM1" s="292"/>
      <c r="BN1" s="292"/>
      <c r="BO1" s="292"/>
      <c r="BP1" s="292"/>
      <c r="BQ1" s="292"/>
      <c r="BR1" s="292"/>
      <c r="BS1" s="292"/>
      <c r="BT1" s="292"/>
      <c r="BU1" s="292"/>
      <c r="BV1" s="292"/>
      <c r="BW1" s="292"/>
      <c r="BX1" s="292"/>
      <c r="BY1" s="292"/>
      <c r="BZ1" s="292"/>
      <c r="CA1" s="292"/>
      <c r="CB1" s="292"/>
      <c r="CC1" s="292"/>
      <c r="CD1" s="292"/>
      <c r="CE1" s="292"/>
      <c r="CF1" s="292"/>
      <c r="CG1" s="292"/>
      <c r="CH1" s="292"/>
      <c r="CI1" s="292"/>
      <c r="CJ1" s="292"/>
      <c r="CK1" s="292"/>
      <c r="CL1" s="292"/>
      <c r="CM1" s="292"/>
      <c r="CN1" s="292"/>
      <c r="CO1" s="292"/>
      <c r="CP1" s="292"/>
      <c r="CQ1" s="292"/>
      <c r="CR1" s="292"/>
      <c r="CS1" s="292"/>
      <c r="CT1" s="292"/>
      <c r="CU1" s="292"/>
      <c r="CV1" s="292"/>
      <c r="CW1" s="292"/>
      <c r="CX1" s="292"/>
      <c r="CY1" s="292"/>
      <c r="CZ1" s="292"/>
      <c r="DA1" s="292"/>
      <c r="DB1" s="292"/>
      <c r="DC1" s="292"/>
      <c r="DD1" s="292"/>
      <c r="DE1" s="292"/>
      <c r="DF1" s="292"/>
      <c r="DG1" s="292"/>
      <c r="DH1" s="292"/>
      <c r="DI1" s="292"/>
      <c r="DJ1" s="292"/>
      <c r="DK1" s="292"/>
      <c r="DL1" s="292"/>
      <c r="DM1" s="292"/>
      <c r="DN1" s="292"/>
      <c r="DO1" s="292"/>
      <c r="DP1" s="292"/>
      <c r="DQ1" s="292"/>
      <c r="DR1" s="292"/>
      <c r="DS1" s="292"/>
      <c r="DT1" s="292"/>
      <c r="DW1" s="94"/>
      <c r="DX1" s="94"/>
      <c r="DY1" s="94"/>
      <c r="DZ1" s="94"/>
      <c r="EA1" s="94"/>
      <c r="EB1" s="94"/>
      <c r="EC1" s="94"/>
      <c r="ED1" s="94"/>
      <c r="EE1" s="94"/>
      <c r="EF1" s="94"/>
    </row>
    <row r="2" spans="1:136" ht="57" customHeight="1" thickBot="1">
      <c r="B2" s="294"/>
      <c r="C2" s="295"/>
      <c r="D2" s="295"/>
      <c r="E2" s="295"/>
      <c r="F2" s="295"/>
      <c r="G2" s="295"/>
      <c r="H2" s="295"/>
      <c r="I2" s="295"/>
      <c r="J2" s="295"/>
      <c r="K2" s="295"/>
      <c r="L2" s="295"/>
      <c r="M2" s="295"/>
      <c r="N2" s="295"/>
      <c r="O2" s="295"/>
      <c r="P2" s="295"/>
      <c r="Q2" s="296"/>
      <c r="R2" s="2000" t="str">
        <f ca="1">INDIRECT($J$4&amp;"!C230")</f>
        <v>8D-report</v>
      </c>
      <c r="S2" s="2001"/>
      <c r="T2" s="2001"/>
      <c r="U2" s="2001"/>
      <c r="V2" s="2001"/>
      <c r="W2" s="2001"/>
      <c r="X2" s="2001"/>
      <c r="Y2" s="2001"/>
      <c r="Z2" s="2001"/>
      <c r="AA2" s="2001"/>
      <c r="AB2" s="2001"/>
      <c r="AC2" s="2001"/>
      <c r="AD2" s="2001"/>
      <c r="AE2" s="2001"/>
      <c r="AF2" s="2001"/>
      <c r="AG2" s="2001"/>
      <c r="AH2" s="2001"/>
      <c r="AI2" s="2001"/>
      <c r="AJ2" s="2001"/>
      <c r="AK2" s="2001"/>
      <c r="AL2" s="2001"/>
      <c r="AM2" s="2001"/>
      <c r="AN2" s="2001"/>
      <c r="AO2" s="2001"/>
      <c r="AP2" s="2001"/>
      <c r="AQ2" s="2001"/>
      <c r="AR2" s="2001"/>
      <c r="AS2" s="2001"/>
      <c r="AT2" s="2001"/>
      <c r="AU2" s="2001"/>
      <c r="AV2" s="2001"/>
      <c r="AW2" s="2001"/>
      <c r="AX2" s="2001"/>
      <c r="AY2" s="2001"/>
      <c r="AZ2" s="2001"/>
      <c r="BA2" s="2001"/>
      <c r="BB2" s="2001"/>
      <c r="BC2" s="2001"/>
      <c r="BD2" s="2001"/>
      <c r="BE2" s="2001"/>
      <c r="BF2" s="2001"/>
      <c r="BG2" s="2001"/>
      <c r="BH2" s="2001"/>
      <c r="BI2" s="2001"/>
      <c r="BJ2" s="2001"/>
      <c r="BK2" s="2001"/>
      <c r="BL2" s="2001"/>
      <c r="BM2" s="2001"/>
      <c r="BN2" s="2001"/>
      <c r="BO2" s="2001"/>
      <c r="BP2" s="2001"/>
      <c r="BQ2" s="2001"/>
      <c r="BR2" s="2001"/>
      <c r="BS2" s="2001"/>
      <c r="BT2" s="2001"/>
      <c r="BU2" s="2001"/>
      <c r="BV2" s="2001"/>
      <c r="BW2" s="2001"/>
      <c r="BX2" s="2001"/>
      <c r="BY2" s="2001"/>
      <c r="BZ2" s="2001"/>
      <c r="CA2" s="2001"/>
      <c r="CB2" s="2001"/>
      <c r="CC2" s="2001"/>
      <c r="CD2" s="2001"/>
      <c r="CE2" s="2001"/>
      <c r="CF2" s="2002"/>
      <c r="CG2" s="1221" t="s">
        <v>930</v>
      </c>
      <c r="CH2" s="1222"/>
      <c r="CI2" s="1222"/>
      <c r="CJ2" s="1222"/>
      <c r="CK2" s="1222"/>
      <c r="CL2" s="1222"/>
      <c r="CM2" s="1222"/>
      <c r="CN2" s="1222"/>
      <c r="CO2" s="1222"/>
      <c r="CP2" s="1222"/>
      <c r="CQ2" s="1222"/>
      <c r="CR2" s="1222"/>
      <c r="CS2" s="1222"/>
      <c r="CT2" s="1222"/>
      <c r="CU2" s="1222"/>
      <c r="CV2" s="1222"/>
      <c r="CW2" s="1222"/>
      <c r="CX2" s="1222"/>
      <c r="CY2" s="1222"/>
      <c r="CZ2" s="1222"/>
      <c r="DA2" s="1222"/>
      <c r="DB2" s="1222"/>
      <c r="DC2" s="1222"/>
      <c r="DD2" s="1222"/>
      <c r="DE2" s="1222"/>
      <c r="DF2" s="1222"/>
      <c r="DG2" s="1222"/>
      <c r="DH2" s="1222"/>
      <c r="DI2" s="1222"/>
      <c r="DJ2" s="1222"/>
      <c r="DK2" s="1222"/>
      <c r="DL2" s="1222"/>
      <c r="DM2" s="1222"/>
      <c r="DN2" s="1222"/>
      <c r="DO2" s="1222"/>
      <c r="DP2" s="1222"/>
      <c r="DQ2" s="1222"/>
      <c r="DR2" s="1222"/>
      <c r="DS2" s="1222"/>
      <c r="DT2" s="1223"/>
      <c r="DU2" s="104"/>
      <c r="DV2" s="104"/>
      <c r="DW2" s="104"/>
      <c r="DX2" s="1363"/>
      <c r="DY2" s="1363"/>
      <c r="DZ2" s="1363"/>
      <c r="EA2" s="1363"/>
      <c r="EB2" s="1363"/>
      <c r="EC2" s="1363"/>
      <c r="ED2" s="1363"/>
      <c r="EE2" s="1363"/>
      <c r="EF2" s="32"/>
    </row>
    <row r="3" spans="1:136" ht="6" customHeight="1">
      <c r="A3" s="293"/>
      <c r="B3" s="297"/>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3"/>
      <c r="BP3" s="293"/>
      <c r="BQ3" s="293"/>
      <c r="BR3" s="293"/>
      <c r="BS3" s="293"/>
      <c r="BT3" s="293"/>
      <c r="BU3" s="293"/>
      <c r="BV3" s="293"/>
      <c r="BW3" s="293"/>
      <c r="BX3" s="293"/>
      <c r="BY3" s="293"/>
      <c r="BZ3" s="293"/>
      <c r="CA3" s="293"/>
      <c r="CB3" s="293"/>
      <c r="CC3" s="293"/>
      <c r="CD3" s="293"/>
      <c r="CE3" s="293"/>
      <c r="CF3" s="293"/>
      <c r="CG3" s="293"/>
      <c r="CH3" s="293"/>
      <c r="CI3" s="293"/>
      <c r="CJ3" s="293"/>
      <c r="CK3" s="293"/>
      <c r="CL3" s="293"/>
      <c r="CM3" s="293"/>
      <c r="CN3" s="293"/>
      <c r="CO3" s="293"/>
      <c r="CP3" s="293"/>
      <c r="CQ3" s="293"/>
      <c r="CR3" s="293"/>
      <c r="CS3" s="293"/>
      <c r="CT3" s="293"/>
      <c r="CU3" s="293"/>
      <c r="CV3" s="293"/>
      <c r="CW3" s="293"/>
      <c r="CX3" s="293"/>
      <c r="CY3" s="293"/>
      <c r="CZ3" s="293"/>
      <c r="DA3" s="293"/>
      <c r="DB3" s="293"/>
      <c r="DC3" s="293"/>
      <c r="DD3" s="293"/>
      <c r="DE3" s="293"/>
      <c r="DF3" s="293"/>
      <c r="DG3" s="293"/>
      <c r="DH3" s="293"/>
      <c r="DI3" s="293"/>
      <c r="DJ3" s="293"/>
      <c r="DK3" s="293"/>
      <c r="DL3" s="293"/>
      <c r="DM3" s="293"/>
      <c r="DN3" s="293"/>
      <c r="DO3" s="293"/>
      <c r="DP3" s="293"/>
      <c r="DQ3" s="293"/>
      <c r="DR3" s="293"/>
      <c r="DS3" s="293"/>
      <c r="DT3" s="298"/>
      <c r="DW3" s="109"/>
      <c r="DX3" s="32"/>
      <c r="DY3" s="32"/>
      <c r="DZ3" s="32"/>
      <c r="EA3" s="32"/>
      <c r="EB3" s="32"/>
      <c r="EC3" s="32"/>
      <c r="ED3" s="32"/>
      <c r="EE3" s="32"/>
      <c r="EF3" s="32"/>
    </row>
    <row r="4" spans="1:136" ht="30" customHeight="1">
      <c r="B4" s="182"/>
      <c r="C4" s="1985" t="str">
        <f ca="1">'D1-D2-D3'!C4</f>
        <v>Language</v>
      </c>
      <c r="D4" s="1985"/>
      <c r="E4" s="1985"/>
      <c r="F4" s="1985"/>
      <c r="G4" s="1985"/>
      <c r="H4" s="1985"/>
      <c r="I4" s="1986"/>
      <c r="J4" s="1987" t="str">
        <f>'D1-D2-D3'!J4:V4</f>
        <v>ENGLISH</v>
      </c>
      <c r="K4" s="1988"/>
      <c r="L4" s="1988"/>
      <c r="M4" s="1988"/>
      <c r="N4" s="1988"/>
      <c r="O4" s="1988"/>
      <c r="P4" s="1988"/>
      <c r="Q4" s="1988"/>
      <c r="R4" s="1988"/>
      <c r="S4" s="1988"/>
      <c r="T4" s="1988"/>
      <c r="U4" s="1988"/>
      <c r="V4" s="1989"/>
      <c r="W4" s="293"/>
      <c r="X4" s="293"/>
      <c r="Y4" s="293"/>
      <c r="AA4" s="1990" t="str">
        <f ca="1">'D1-D2-D3'!AA4</f>
        <v>PSS No.</v>
      </c>
      <c r="AB4" s="1990"/>
      <c r="AC4" s="1990"/>
      <c r="AD4" s="1990"/>
      <c r="AE4" s="1990"/>
      <c r="AF4" s="1990"/>
      <c r="AG4" s="1990"/>
      <c r="AH4" s="1991"/>
      <c r="AI4" s="1992" t="str">
        <f>IF('D1-D2-D3'!AI4:AU4="","",'D1-D2-D3'!AI4:AU4)</f>
        <v/>
      </c>
      <c r="AJ4" s="1993"/>
      <c r="AK4" s="1993"/>
      <c r="AL4" s="1993"/>
      <c r="AM4" s="1993"/>
      <c r="AN4" s="1993"/>
      <c r="AO4" s="1993"/>
      <c r="AP4" s="1993"/>
      <c r="AQ4" s="1993"/>
      <c r="AR4" s="1993"/>
      <c r="AS4" s="1993"/>
      <c r="AT4" s="1993"/>
      <c r="AU4" s="1994"/>
      <c r="AV4" s="293"/>
      <c r="AW4" s="293"/>
      <c r="AX4" s="293"/>
      <c r="AZ4" s="1990" t="str">
        <f ca="1">'D1-D2-D3'!AZ4:BI4</f>
        <v>Fault type</v>
      </c>
      <c r="BA4" s="1990"/>
      <c r="BB4" s="1990"/>
      <c r="BC4" s="1990"/>
      <c r="BD4" s="1990"/>
      <c r="BE4" s="1990"/>
      <c r="BF4" s="1990"/>
      <c r="BG4" s="1990"/>
      <c r="BH4" s="1990"/>
      <c r="BI4" s="1991"/>
      <c r="BJ4" s="1995" t="str">
        <f>IF('D1-D2-D3'!BJ4:BV4="","",'D1-D2-D3'!$BJ$4)</f>
        <v/>
      </c>
      <c r="BK4" s="1996"/>
      <c r="BL4" s="1996"/>
      <c r="BM4" s="1996"/>
      <c r="BN4" s="1996"/>
      <c r="BO4" s="1996"/>
      <c r="BP4" s="1996"/>
      <c r="BQ4" s="1996"/>
      <c r="BR4" s="1996"/>
      <c r="BS4" s="1996"/>
      <c r="BT4" s="1996"/>
      <c r="BU4" s="1996"/>
      <c r="BV4" s="1997"/>
      <c r="BX4" s="293"/>
      <c r="BY4" s="293"/>
      <c r="BZ4" s="293"/>
      <c r="CA4" s="293"/>
      <c r="CB4" s="293"/>
      <c r="CC4" s="293"/>
      <c r="CD4" s="293"/>
      <c r="CE4" s="293"/>
      <c r="CF4" s="293"/>
      <c r="CG4" s="293"/>
      <c r="CH4" s="293"/>
      <c r="CI4" s="293"/>
      <c r="CJ4" s="293"/>
      <c r="CK4" s="293"/>
      <c r="CL4" s="293"/>
      <c r="CM4" s="293"/>
      <c r="CN4" s="293"/>
      <c r="CO4" s="293"/>
      <c r="CP4" s="293"/>
      <c r="CQ4" s="293"/>
      <c r="CR4" s="293"/>
      <c r="CS4" s="293"/>
      <c r="CT4" s="293"/>
      <c r="CU4" s="293"/>
      <c r="CV4" s="293"/>
      <c r="CW4" s="293"/>
      <c r="CX4" s="293"/>
      <c r="CY4" s="293"/>
      <c r="CZ4" s="293"/>
      <c r="DA4" s="293"/>
      <c r="DB4" s="293"/>
      <c r="DC4" s="293"/>
      <c r="DD4" s="293"/>
      <c r="DE4" s="293"/>
      <c r="DF4" s="293"/>
      <c r="DH4" s="293"/>
      <c r="DI4" s="293"/>
      <c r="DJ4" s="293"/>
      <c r="DK4" s="293"/>
      <c r="DL4" s="293"/>
      <c r="DM4" s="293"/>
      <c r="DN4" s="293"/>
      <c r="DO4" s="293"/>
      <c r="DP4" s="293"/>
      <c r="DQ4" s="293"/>
      <c r="DR4" s="293"/>
      <c r="DS4" s="293"/>
      <c r="DT4" s="300"/>
      <c r="DW4" s="183"/>
      <c r="DX4" s="183"/>
      <c r="DY4" s="183"/>
      <c r="DZ4" s="183"/>
      <c r="EA4" s="183"/>
      <c r="EB4" s="183"/>
      <c r="EC4" s="183"/>
      <c r="ED4" s="183"/>
      <c r="EE4" s="183"/>
      <c r="EF4" s="184"/>
    </row>
    <row r="5" spans="1:136" ht="6" customHeight="1">
      <c r="B5" s="301"/>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2"/>
      <c r="BA5" s="302"/>
      <c r="BB5" s="302"/>
      <c r="BC5" s="302"/>
      <c r="BD5" s="302"/>
      <c r="BE5" s="302"/>
      <c r="BF5" s="302"/>
      <c r="BG5" s="302"/>
      <c r="BH5" s="302"/>
      <c r="BI5" s="302"/>
      <c r="BJ5" s="302"/>
      <c r="BK5" s="302"/>
      <c r="BL5" s="302"/>
      <c r="BM5" s="302"/>
      <c r="BN5" s="302"/>
      <c r="BO5" s="302"/>
      <c r="BP5" s="302"/>
      <c r="BQ5" s="302"/>
      <c r="BR5" s="302"/>
      <c r="BS5" s="302"/>
      <c r="BT5" s="302"/>
      <c r="BU5" s="302"/>
      <c r="BV5" s="302"/>
      <c r="BW5" s="302"/>
      <c r="BX5" s="302"/>
      <c r="BY5" s="302"/>
      <c r="BZ5" s="302"/>
      <c r="CA5" s="302"/>
      <c r="CB5" s="302"/>
      <c r="CC5" s="302"/>
      <c r="CD5" s="302"/>
      <c r="CE5" s="302"/>
      <c r="CF5" s="302"/>
      <c r="CG5" s="302"/>
      <c r="CH5" s="302"/>
      <c r="CI5" s="302"/>
      <c r="CJ5" s="302"/>
      <c r="CK5" s="302"/>
      <c r="CL5" s="302"/>
      <c r="CM5" s="302"/>
      <c r="CN5" s="302"/>
      <c r="CO5" s="302"/>
      <c r="CP5" s="302"/>
      <c r="CQ5" s="302"/>
      <c r="CR5" s="302"/>
      <c r="CS5" s="302"/>
      <c r="CT5" s="302"/>
      <c r="CU5" s="302"/>
      <c r="CV5" s="302"/>
      <c r="CW5" s="302"/>
      <c r="CX5" s="302"/>
      <c r="CY5" s="302"/>
      <c r="CZ5" s="302"/>
      <c r="DA5" s="302"/>
      <c r="DB5" s="302"/>
      <c r="DC5" s="302"/>
      <c r="DD5" s="302"/>
      <c r="DE5" s="302"/>
      <c r="DF5" s="302"/>
      <c r="DG5" s="302"/>
      <c r="DH5" s="302"/>
      <c r="DI5" s="302"/>
      <c r="DJ5" s="302"/>
      <c r="DK5" s="302"/>
      <c r="DL5" s="302"/>
      <c r="DM5" s="302"/>
      <c r="DN5" s="302"/>
      <c r="DO5" s="302"/>
      <c r="DP5" s="302"/>
      <c r="DQ5" s="302"/>
      <c r="DR5" s="302"/>
      <c r="DS5" s="302"/>
      <c r="DT5" s="303"/>
      <c r="DW5" s="104"/>
      <c r="DX5" s="498"/>
      <c r="DY5" s="498"/>
      <c r="DZ5" s="498"/>
      <c r="EA5" s="498"/>
      <c r="EB5" s="498"/>
      <c r="EC5" s="498"/>
      <c r="ED5" s="498"/>
      <c r="EE5" s="498"/>
      <c r="EF5" s="32"/>
    </row>
    <row r="6" spans="1:136" ht="6" customHeight="1">
      <c r="B6" s="517"/>
      <c r="C6" s="329"/>
      <c r="D6" s="329"/>
      <c r="E6" s="329"/>
      <c r="F6" s="329"/>
      <c r="G6" s="329"/>
      <c r="H6" s="329"/>
      <c r="I6" s="329"/>
      <c r="J6" s="329"/>
      <c r="K6" s="329"/>
      <c r="L6" s="329"/>
      <c r="M6" s="329"/>
      <c r="N6" s="329"/>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29"/>
      <c r="CL6" s="329"/>
      <c r="CM6" s="329"/>
      <c r="CN6" s="329"/>
      <c r="CO6" s="329"/>
      <c r="CP6" s="329"/>
      <c r="CQ6" s="329"/>
      <c r="CR6" s="329"/>
      <c r="CS6" s="329"/>
      <c r="CT6" s="329"/>
      <c r="CU6" s="329"/>
      <c r="CV6" s="329"/>
      <c r="CW6" s="329"/>
      <c r="CX6" s="329"/>
      <c r="CY6" s="329"/>
      <c r="CZ6" s="329"/>
      <c r="DA6" s="329"/>
      <c r="DB6" s="329"/>
      <c r="DC6" s="329"/>
      <c r="DD6" s="329"/>
      <c r="DE6" s="329"/>
      <c r="DF6" s="329"/>
      <c r="DG6" s="329"/>
      <c r="DH6" s="329"/>
      <c r="DI6" s="329"/>
      <c r="DJ6" s="329"/>
      <c r="DK6" s="329"/>
      <c r="DL6" s="329"/>
      <c r="DM6" s="329"/>
      <c r="DN6" s="329"/>
      <c r="DO6" s="329"/>
      <c r="DP6" s="329"/>
      <c r="DQ6" s="329"/>
      <c r="DR6" s="329"/>
      <c r="DS6" s="329"/>
      <c r="DT6" s="518"/>
      <c r="DW6" s="109"/>
      <c r="DX6" s="32"/>
      <c r="DY6" s="32"/>
      <c r="DZ6" s="32"/>
      <c r="EA6" s="32"/>
      <c r="EB6" s="32"/>
      <c r="EC6" s="32"/>
      <c r="ED6" s="32"/>
      <c r="EE6" s="32"/>
      <c r="EF6" s="32"/>
    </row>
    <row r="7" spans="1:136" ht="30" customHeight="1">
      <c r="B7" s="304"/>
      <c r="C7" s="1286" t="str">
        <f ca="1">'D1-D2-D3'!C7:M7</f>
        <v>Kroschu plant</v>
      </c>
      <c r="D7" s="1286"/>
      <c r="E7" s="1286"/>
      <c r="F7" s="1286"/>
      <c r="G7" s="1286"/>
      <c r="H7" s="1286"/>
      <c r="I7" s="1286"/>
      <c r="J7" s="1286"/>
      <c r="K7" s="1286"/>
      <c r="L7" s="1286"/>
      <c r="M7" s="1287"/>
      <c r="N7" s="1809" t="str">
        <f>IF('D1-D2-D3'!N7:Z7="","",'D1-D2-D3'!N7:Z7)</f>
        <v/>
      </c>
      <c r="O7" s="1810"/>
      <c r="P7" s="1810"/>
      <c r="Q7" s="1810"/>
      <c r="R7" s="1810"/>
      <c r="S7" s="1810"/>
      <c r="T7" s="1810"/>
      <c r="U7" s="1810"/>
      <c r="V7" s="1810"/>
      <c r="W7" s="1810"/>
      <c r="X7" s="1810"/>
      <c r="Y7" s="1810"/>
      <c r="Z7" s="1811"/>
      <c r="AA7" s="293"/>
      <c r="AB7" s="293"/>
      <c r="AC7" s="293"/>
      <c r="AD7" s="305"/>
      <c r="AE7" s="305"/>
      <c r="AF7" s="1998" t="str">
        <f ca="1">'D1-D2-D3'!AF7:AQ7</f>
        <v>Opening date</v>
      </c>
      <c r="AG7" s="1998"/>
      <c r="AH7" s="1998"/>
      <c r="AI7" s="1998"/>
      <c r="AJ7" s="1998"/>
      <c r="AK7" s="1998"/>
      <c r="AL7" s="1998"/>
      <c r="AM7" s="1998"/>
      <c r="AN7" s="1998"/>
      <c r="AO7" s="1998"/>
      <c r="AP7" s="1998"/>
      <c r="AQ7" s="1999"/>
      <c r="AR7" s="1812" t="str">
        <f>IF('D1-D2-D3'!AR7:BD7="","",'D1-D2-D3'!AR7:BD7)</f>
        <v/>
      </c>
      <c r="AS7" s="1813"/>
      <c r="AT7" s="1813"/>
      <c r="AU7" s="1813"/>
      <c r="AV7" s="1813"/>
      <c r="AW7" s="1813"/>
      <c r="AX7" s="1813"/>
      <c r="AY7" s="1813"/>
      <c r="AZ7" s="1813"/>
      <c r="BA7" s="1813"/>
      <c r="BB7" s="1813"/>
      <c r="BC7" s="1813"/>
      <c r="BD7" s="1814"/>
      <c r="BE7" s="293"/>
      <c r="BF7" s="293"/>
      <c r="BG7" s="293"/>
      <c r="BH7" s="293"/>
      <c r="BI7" s="293"/>
      <c r="BJ7" s="293"/>
      <c r="BK7" s="293"/>
      <c r="BL7" s="293"/>
      <c r="BM7" s="2004" t="str">
        <f>'D1-D2-D3'!BU7</f>
        <v>Report version</v>
      </c>
      <c r="BN7" s="2004"/>
      <c r="BO7" s="2004"/>
      <c r="BP7" s="2004"/>
      <c r="BQ7" s="2004"/>
      <c r="BR7" s="2004"/>
      <c r="BS7" s="2004"/>
      <c r="BT7" s="2004"/>
      <c r="BU7" s="2004"/>
      <c r="BV7" s="2004"/>
      <c r="BW7" s="2004"/>
      <c r="BX7" s="2004"/>
      <c r="BY7" s="2004"/>
      <c r="BZ7" s="2004"/>
      <c r="CA7" s="2004"/>
      <c r="CB7" s="2004"/>
      <c r="CC7" s="2004"/>
      <c r="CD7" s="2004"/>
      <c r="CE7" s="2004"/>
      <c r="CF7" s="2004"/>
      <c r="CG7" s="2004"/>
      <c r="CH7" s="2004"/>
      <c r="CI7" s="2004"/>
      <c r="CJ7" s="2004"/>
      <c r="CK7" s="2003"/>
      <c r="CL7" s="2003"/>
      <c r="CM7" s="2003"/>
      <c r="CN7" s="2003"/>
      <c r="CO7" s="2003"/>
      <c r="CP7" s="2003"/>
      <c r="CQ7" s="2003"/>
      <c r="CR7" s="2003"/>
      <c r="CS7" s="2003"/>
      <c r="CT7" s="2003"/>
      <c r="CU7" s="2003"/>
      <c r="CV7" s="2003"/>
      <c r="CW7" s="2003"/>
      <c r="CX7" s="2003"/>
      <c r="CY7" s="2003"/>
      <c r="CZ7" s="2003"/>
      <c r="DA7" s="2003"/>
      <c r="DB7" s="2003"/>
      <c r="DC7" s="2003"/>
      <c r="DD7" s="2003"/>
      <c r="DE7" s="2003"/>
      <c r="DF7" s="2003"/>
      <c r="DG7" s="2003"/>
      <c r="DH7" s="2003"/>
      <c r="DI7" s="2003"/>
      <c r="DJ7" s="2003"/>
      <c r="DK7" s="2003"/>
      <c r="DL7" s="2003"/>
      <c r="DM7" s="2003"/>
      <c r="DN7" s="2003"/>
      <c r="DO7" s="2003"/>
      <c r="DP7" s="2003"/>
      <c r="DQ7" s="2003"/>
      <c r="DR7" s="2003"/>
      <c r="DS7" s="293"/>
      <c r="DT7" s="298"/>
      <c r="DW7" s="183"/>
      <c r="DX7" s="183"/>
      <c r="DY7" s="183"/>
      <c r="DZ7" s="183"/>
      <c r="EA7" s="183"/>
      <c r="EB7" s="183"/>
      <c r="EC7" s="183"/>
      <c r="ED7" s="183"/>
      <c r="EE7" s="183"/>
      <c r="EF7" s="184"/>
    </row>
    <row r="8" spans="1:136" ht="6" customHeight="1">
      <c r="B8" s="297"/>
      <c r="C8" s="293"/>
      <c r="D8" s="293"/>
      <c r="E8" s="293"/>
      <c r="F8" s="293"/>
      <c r="G8" s="293"/>
      <c r="H8" s="293"/>
      <c r="I8" s="293"/>
      <c r="J8" s="293"/>
      <c r="K8" s="293"/>
      <c r="L8" s="293"/>
      <c r="M8" s="293"/>
      <c r="N8" s="293"/>
      <c r="O8" s="293"/>
      <c r="P8" s="293"/>
      <c r="Q8" s="293"/>
      <c r="R8" s="293"/>
      <c r="S8" s="293"/>
      <c r="T8" s="293"/>
      <c r="U8" s="293"/>
      <c r="V8" s="293"/>
      <c r="W8" s="293"/>
      <c r="X8" s="293"/>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3"/>
      <c r="BK8" s="293"/>
      <c r="BL8" s="293"/>
      <c r="BM8" s="293"/>
      <c r="BN8" s="293"/>
      <c r="BO8" s="293"/>
      <c r="BP8" s="293"/>
      <c r="BQ8" s="293"/>
      <c r="BR8" s="293"/>
      <c r="BS8" s="293"/>
      <c r="BT8" s="293"/>
      <c r="BU8" s="293"/>
      <c r="BV8" s="293"/>
      <c r="BW8" s="293"/>
      <c r="BX8" s="293"/>
      <c r="BY8" s="293"/>
      <c r="BZ8" s="293"/>
      <c r="CA8" s="293"/>
      <c r="CB8" s="293"/>
      <c r="CC8" s="293"/>
      <c r="CD8" s="293"/>
      <c r="CE8" s="293"/>
      <c r="CF8" s="293"/>
      <c r="CG8" s="293"/>
      <c r="CH8" s="293"/>
      <c r="CI8" s="293"/>
      <c r="CJ8" s="293"/>
      <c r="CK8" s="293"/>
      <c r="CL8" s="293"/>
      <c r="CM8" s="293"/>
      <c r="CN8" s="293"/>
      <c r="CO8" s="293"/>
      <c r="CP8" s="293"/>
      <c r="CQ8" s="293"/>
      <c r="CR8" s="293"/>
      <c r="CS8" s="293"/>
      <c r="CT8" s="293"/>
      <c r="CU8" s="293"/>
      <c r="CV8" s="293"/>
      <c r="CW8" s="293"/>
      <c r="CX8" s="293"/>
      <c r="CY8" s="293"/>
      <c r="CZ8" s="293"/>
      <c r="DA8" s="293"/>
      <c r="DB8" s="293"/>
      <c r="DC8" s="293"/>
      <c r="DD8" s="293"/>
      <c r="DE8" s="293"/>
      <c r="DF8" s="293"/>
      <c r="DG8" s="293"/>
      <c r="DH8" s="293"/>
      <c r="DI8" s="293"/>
      <c r="DJ8" s="293"/>
      <c r="DK8" s="293"/>
      <c r="DL8" s="293"/>
      <c r="DM8" s="293"/>
      <c r="DN8" s="293"/>
      <c r="DO8" s="293"/>
      <c r="DP8" s="293"/>
      <c r="DQ8" s="293"/>
      <c r="DR8" s="293"/>
      <c r="DS8" s="293"/>
      <c r="DT8" s="298"/>
      <c r="DW8" s="109"/>
      <c r="DX8" s="32"/>
      <c r="DY8" s="32"/>
      <c r="DZ8" s="32"/>
      <c r="EA8" s="32"/>
      <c r="EB8" s="32"/>
      <c r="EC8" s="32"/>
      <c r="ED8" s="32"/>
      <c r="EE8" s="32"/>
      <c r="EF8" s="32"/>
    </row>
    <row r="9" spans="1:136" ht="30" customHeight="1">
      <c r="B9" s="304"/>
      <c r="C9" s="38" t="str">
        <f ca="1">INDIRECT($J$4&amp;"!C10")</f>
        <v>Customer</v>
      </c>
      <c r="D9" s="38"/>
      <c r="E9" s="38"/>
      <c r="F9" s="38"/>
      <c r="G9" s="38"/>
      <c r="H9" s="38"/>
      <c r="I9" s="38"/>
      <c r="J9" s="38"/>
      <c r="K9" s="38"/>
      <c r="L9" s="38"/>
      <c r="M9" s="39"/>
      <c r="N9" s="1809" t="str">
        <f>IF('D1-D2-D3'!N8:Z8="","",'D1-D2-D3'!N8:Z8)</f>
        <v/>
      </c>
      <c r="O9" s="1810"/>
      <c r="P9" s="1810"/>
      <c r="Q9" s="1810"/>
      <c r="R9" s="1810"/>
      <c r="S9" s="1810"/>
      <c r="T9" s="1810"/>
      <c r="U9" s="1810"/>
      <c r="V9" s="1810"/>
      <c r="W9" s="1810"/>
      <c r="X9" s="1810"/>
      <c r="Y9" s="1810"/>
      <c r="Z9" s="1811"/>
      <c r="AA9" s="293"/>
      <c r="AB9" s="293"/>
      <c r="AC9" s="293"/>
      <c r="AD9" s="293"/>
      <c r="AE9" s="293"/>
      <c r="AF9" s="1286" t="str">
        <f ca="1">'D1-D2-D3'!AF8:AQ8</f>
        <v>Project</v>
      </c>
      <c r="AG9" s="1286"/>
      <c r="AH9" s="1286"/>
      <c r="AI9" s="1286"/>
      <c r="AJ9" s="1286"/>
      <c r="AK9" s="1286"/>
      <c r="AL9" s="1286"/>
      <c r="AM9" s="1286"/>
      <c r="AN9" s="1286"/>
      <c r="AO9" s="1286"/>
      <c r="AP9" s="1286"/>
      <c r="AQ9" s="1287"/>
      <c r="AR9" s="1809" t="str">
        <f>IF('D1-D2-D3'!AR8:BD8="","",'D1-D2-D3'!AR8:BD8)</f>
        <v/>
      </c>
      <c r="AS9" s="1810"/>
      <c r="AT9" s="1810"/>
      <c r="AU9" s="1810"/>
      <c r="AV9" s="1810"/>
      <c r="AW9" s="1810"/>
      <c r="AX9" s="1810"/>
      <c r="AY9" s="1810"/>
      <c r="AZ9" s="1810"/>
      <c r="BA9" s="1810"/>
      <c r="BB9" s="1810"/>
      <c r="BC9" s="1810"/>
      <c r="BD9" s="1811"/>
      <c r="BE9" s="293"/>
      <c r="BF9" s="293"/>
      <c r="BG9" s="293"/>
      <c r="BH9" s="293"/>
      <c r="BI9" s="293"/>
      <c r="BJ9" s="293"/>
      <c r="BK9" s="293"/>
      <c r="BL9" s="293"/>
      <c r="BM9" s="1286" t="str">
        <f ca="1">'D1-D2-D3'!BU8</f>
        <v>Customer complaint No.</v>
      </c>
      <c r="BN9" s="1286"/>
      <c r="BO9" s="1286"/>
      <c r="BP9" s="1286"/>
      <c r="BQ9" s="1286"/>
      <c r="BR9" s="1286"/>
      <c r="BS9" s="1286"/>
      <c r="BT9" s="1286"/>
      <c r="BU9" s="1286"/>
      <c r="BV9" s="1286"/>
      <c r="BW9" s="1286"/>
      <c r="BX9" s="1286"/>
      <c r="BY9" s="1286"/>
      <c r="BZ9" s="1286"/>
      <c r="CA9" s="1286"/>
      <c r="CB9" s="1286"/>
      <c r="CC9" s="1286"/>
      <c r="CD9" s="1286"/>
      <c r="CE9" s="1286"/>
      <c r="CF9" s="1286"/>
      <c r="CG9" s="1286"/>
      <c r="CH9" s="1286"/>
      <c r="CI9" s="1286"/>
      <c r="CJ9" s="1287"/>
      <c r="CK9" s="2016" t="str">
        <f>IF('D1-D2-D3'!CK8="","",'D1-D2-D3'!$CK$8)</f>
        <v/>
      </c>
      <c r="CL9" s="2017"/>
      <c r="CM9" s="2017"/>
      <c r="CN9" s="2017"/>
      <c r="CO9" s="2017"/>
      <c r="CP9" s="2017"/>
      <c r="CQ9" s="2017"/>
      <c r="CR9" s="2017"/>
      <c r="CS9" s="2017"/>
      <c r="CT9" s="2017"/>
      <c r="CU9" s="2017"/>
      <c r="CV9" s="2017"/>
      <c r="CW9" s="2017"/>
      <c r="CX9" s="2017"/>
      <c r="CY9" s="2017"/>
      <c r="CZ9" s="2017"/>
      <c r="DA9" s="2017"/>
      <c r="DB9" s="2017"/>
      <c r="DC9" s="2017"/>
      <c r="DD9" s="2017"/>
      <c r="DE9" s="2017"/>
      <c r="DF9" s="2017"/>
      <c r="DG9" s="2017"/>
      <c r="DH9" s="2017"/>
      <c r="DI9" s="2017"/>
      <c r="DJ9" s="2017"/>
      <c r="DK9" s="2017"/>
      <c r="DL9" s="2017"/>
      <c r="DM9" s="2017"/>
      <c r="DN9" s="2017"/>
      <c r="DO9" s="2017"/>
      <c r="DP9" s="2017"/>
      <c r="DQ9" s="2017"/>
      <c r="DR9" s="2018"/>
      <c r="DS9" s="330"/>
      <c r="DT9" s="306"/>
      <c r="DW9" s="183"/>
      <c r="DX9" s="183"/>
      <c r="DY9" s="183"/>
      <c r="DZ9" s="183"/>
      <c r="EA9" s="183"/>
      <c r="EB9" s="183"/>
      <c r="EC9" s="183"/>
      <c r="ED9" s="183"/>
      <c r="EE9" s="183"/>
      <c r="EF9" s="184"/>
    </row>
    <row r="10" spans="1:136" ht="6" customHeight="1" thickBot="1">
      <c r="B10" s="297"/>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c r="BW10" s="293"/>
      <c r="BX10" s="293"/>
      <c r="BY10" s="293"/>
      <c r="BZ10" s="293"/>
      <c r="CA10" s="293"/>
      <c r="CB10" s="293"/>
      <c r="CC10" s="293"/>
      <c r="CD10" s="293"/>
      <c r="CE10" s="293"/>
      <c r="CF10" s="293"/>
      <c r="CG10" s="293"/>
      <c r="CH10" s="293"/>
      <c r="CI10" s="293"/>
      <c r="CJ10" s="293"/>
      <c r="CK10" s="293"/>
      <c r="CL10" s="293"/>
      <c r="CM10" s="293"/>
      <c r="CN10" s="293"/>
      <c r="CO10" s="293"/>
      <c r="CP10" s="293"/>
      <c r="CQ10" s="293"/>
      <c r="CR10" s="293"/>
      <c r="CS10" s="293"/>
      <c r="CT10" s="293"/>
      <c r="CU10" s="293"/>
      <c r="CV10" s="293"/>
      <c r="CW10" s="293"/>
      <c r="CX10" s="293"/>
      <c r="CY10" s="293"/>
      <c r="CZ10" s="293"/>
      <c r="DA10" s="293"/>
      <c r="DB10" s="293"/>
      <c r="DC10" s="293"/>
      <c r="DD10" s="293"/>
      <c r="DE10" s="293"/>
      <c r="DF10" s="293"/>
      <c r="DG10" s="293"/>
      <c r="DH10" s="293"/>
      <c r="DI10" s="293"/>
      <c r="DJ10" s="293"/>
      <c r="DK10" s="293"/>
      <c r="DL10" s="293"/>
      <c r="DM10" s="293"/>
      <c r="DN10" s="293"/>
      <c r="DO10" s="293"/>
      <c r="DP10" s="293"/>
      <c r="DQ10" s="293"/>
      <c r="DR10" s="293"/>
      <c r="DS10" s="293"/>
      <c r="DT10" s="298"/>
      <c r="DW10" s="109"/>
      <c r="DX10" s="32"/>
      <c r="DY10" s="32"/>
      <c r="DZ10" s="32"/>
      <c r="EA10" s="32"/>
      <c r="EB10" s="32"/>
      <c r="EC10" s="32"/>
      <c r="ED10" s="32"/>
      <c r="EE10" s="32"/>
      <c r="EF10" s="32"/>
    </row>
    <row r="11" spans="1:136" ht="6" customHeight="1">
      <c r="B11" s="1966" t="str">
        <f ca="1">'D1-D2-D3'!B11:AR12</f>
        <v>Basic Data</v>
      </c>
      <c r="C11" s="1967"/>
      <c r="D11" s="1967"/>
      <c r="E11" s="1967"/>
      <c r="F11" s="1967"/>
      <c r="G11" s="1967"/>
      <c r="H11" s="1967"/>
      <c r="I11" s="1967"/>
      <c r="J11" s="1967"/>
      <c r="K11" s="1967"/>
      <c r="L11" s="1967"/>
      <c r="M11" s="1967"/>
      <c r="N11" s="1967"/>
      <c r="O11" s="1967"/>
      <c r="P11" s="1967"/>
      <c r="Q11" s="1967"/>
      <c r="R11" s="1967"/>
      <c r="S11" s="1967"/>
      <c r="T11" s="1967"/>
      <c r="U11" s="1967"/>
      <c r="V11" s="1967"/>
      <c r="W11" s="1967"/>
      <c r="X11" s="1967"/>
      <c r="Y11" s="1967"/>
      <c r="Z11" s="1967"/>
      <c r="AA11" s="1967"/>
      <c r="AB11" s="1967"/>
      <c r="AC11" s="1967"/>
      <c r="AD11" s="1967"/>
      <c r="AE11" s="1967"/>
      <c r="AF11" s="1967"/>
      <c r="AG11" s="1967"/>
      <c r="AH11" s="1967"/>
      <c r="AI11" s="1967"/>
      <c r="AJ11" s="1967"/>
      <c r="AK11" s="1967"/>
      <c r="AL11" s="1967"/>
      <c r="AM11" s="1967"/>
      <c r="AN11" s="1967"/>
      <c r="AO11" s="1967"/>
      <c r="AP11" s="1967"/>
      <c r="AQ11" s="1967"/>
      <c r="AR11" s="1967"/>
      <c r="AS11" s="185"/>
      <c r="AT11" s="185"/>
      <c r="AU11" s="185"/>
      <c r="AV11" s="185"/>
      <c r="AW11" s="185"/>
      <c r="AX11" s="185"/>
      <c r="AY11" s="185"/>
      <c r="AZ11" s="185"/>
      <c r="BA11" s="185"/>
      <c r="BB11" s="185"/>
      <c r="BC11" s="185"/>
      <c r="BD11" s="185"/>
      <c r="BE11" s="185"/>
      <c r="BF11" s="185"/>
      <c r="BG11" s="185"/>
      <c r="BH11" s="185"/>
      <c r="BI11" s="185"/>
      <c r="BJ11" s="185"/>
      <c r="BK11" s="185"/>
      <c r="BL11" s="185"/>
      <c r="BM11" s="185"/>
      <c r="BN11" s="185"/>
      <c r="BO11" s="307"/>
      <c r="BP11" s="307"/>
      <c r="BQ11" s="307"/>
      <c r="BR11" s="307"/>
      <c r="BS11" s="307"/>
      <c r="BT11" s="307"/>
      <c r="BU11" s="307"/>
      <c r="BV11" s="307"/>
      <c r="BW11" s="307"/>
      <c r="BX11" s="307"/>
      <c r="BY11" s="307"/>
      <c r="BZ11" s="307"/>
      <c r="CA11" s="307"/>
      <c r="CB11" s="307"/>
      <c r="CC11" s="307"/>
      <c r="CD11" s="307"/>
      <c r="CE11" s="307"/>
      <c r="CF11" s="307"/>
      <c r="CG11" s="307"/>
      <c r="CH11" s="307"/>
      <c r="CI11" s="307"/>
      <c r="CJ11" s="307"/>
      <c r="CK11" s="307"/>
      <c r="CL11" s="307"/>
      <c r="CM11" s="307"/>
      <c r="CN11" s="307"/>
      <c r="CO11" s="307"/>
      <c r="CP11" s="307"/>
      <c r="CQ11" s="307"/>
      <c r="CR11" s="307"/>
      <c r="CS11" s="307"/>
      <c r="CT11" s="307"/>
      <c r="CU11" s="307"/>
      <c r="CV11" s="307"/>
      <c r="CW11" s="307"/>
      <c r="CX11" s="307"/>
      <c r="CY11" s="307"/>
      <c r="CZ11" s="307"/>
      <c r="DA11" s="307"/>
      <c r="DB11" s="307"/>
      <c r="DC11" s="307"/>
      <c r="DD11" s="307"/>
      <c r="DE11" s="307"/>
      <c r="DF11" s="307"/>
      <c r="DG11" s="307"/>
      <c r="DH11" s="307"/>
      <c r="DI11" s="307"/>
      <c r="DJ11" s="307"/>
      <c r="DK11" s="307"/>
      <c r="DL11" s="307"/>
      <c r="DM11" s="307"/>
      <c r="DN11" s="307"/>
      <c r="DO11" s="307"/>
      <c r="DP11" s="307"/>
      <c r="DQ11" s="307"/>
      <c r="DR11" s="307"/>
      <c r="DS11" s="307"/>
      <c r="DT11" s="308"/>
      <c r="DW11" s="104"/>
      <c r="DX11" s="498"/>
      <c r="DY11" s="498"/>
      <c r="DZ11" s="498"/>
      <c r="EA11" s="498"/>
      <c r="EB11" s="498"/>
      <c r="EC11" s="498"/>
      <c r="ED11" s="498"/>
      <c r="EE11" s="498"/>
      <c r="EF11" s="32"/>
    </row>
    <row r="12" spans="1:136" ht="31.5" customHeight="1">
      <c r="B12" s="1968"/>
      <c r="C12" s="1969"/>
      <c r="D12" s="1969"/>
      <c r="E12" s="1969"/>
      <c r="F12" s="1969"/>
      <c r="G12" s="1969"/>
      <c r="H12" s="1969"/>
      <c r="I12" s="1969"/>
      <c r="J12" s="1969"/>
      <c r="K12" s="1969"/>
      <c r="L12" s="1969"/>
      <c r="M12" s="1969"/>
      <c r="N12" s="1969"/>
      <c r="O12" s="1969"/>
      <c r="P12" s="1969"/>
      <c r="Q12" s="1969"/>
      <c r="R12" s="1969"/>
      <c r="S12" s="1969"/>
      <c r="T12" s="1969"/>
      <c r="U12" s="1969"/>
      <c r="V12" s="1969"/>
      <c r="W12" s="1969"/>
      <c r="X12" s="1969"/>
      <c r="Y12" s="1969"/>
      <c r="Z12" s="1969"/>
      <c r="AA12" s="1969"/>
      <c r="AB12" s="1969"/>
      <c r="AC12" s="1969"/>
      <c r="AD12" s="1969"/>
      <c r="AE12" s="1969"/>
      <c r="AF12" s="1969"/>
      <c r="AG12" s="1969"/>
      <c r="AH12" s="1969"/>
      <c r="AI12" s="1969"/>
      <c r="AJ12" s="1969"/>
      <c r="AK12" s="1969"/>
      <c r="AL12" s="1969"/>
      <c r="AM12" s="1969"/>
      <c r="AN12" s="1969"/>
      <c r="AO12" s="1969"/>
      <c r="AP12" s="1969"/>
      <c r="AQ12" s="1969"/>
      <c r="AR12" s="1969"/>
      <c r="AS12" s="186"/>
      <c r="AT12" s="186"/>
      <c r="AU12" s="186"/>
      <c r="AV12" s="186"/>
      <c r="AW12" s="186"/>
      <c r="AX12" s="186"/>
      <c r="AY12" s="186"/>
      <c r="AZ12" s="186"/>
      <c r="BA12" s="186"/>
      <c r="BB12" s="186"/>
      <c r="BC12" s="186"/>
      <c r="BD12" s="186"/>
      <c r="BE12" s="186"/>
      <c r="BF12" s="186"/>
      <c r="BG12" s="186"/>
      <c r="BH12" s="186"/>
      <c r="BI12" s="186"/>
      <c r="BJ12" s="186"/>
      <c r="BK12" s="186"/>
      <c r="BL12" s="186"/>
      <c r="BM12" s="186"/>
      <c r="BN12" s="186"/>
      <c r="BO12" s="309"/>
      <c r="BP12" s="310"/>
      <c r="BQ12" s="310"/>
      <c r="BR12" s="310"/>
      <c r="BS12" s="310"/>
      <c r="BT12" s="310"/>
      <c r="BU12" s="310"/>
      <c r="BV12" s="310"/>
      <c r="BW12" s="310"/>
      <c r="BX12" s="310"/>
      <c r="BY12" s="310"/>
      <c r="BZ12" s="310"/>
      <c r="CA12" s="310"/>
      <c r="CB12" s="310"/>
      <c r="CC12" s="310"/>
      <c r="CD12" s="310"/>
      <c r="CE12" s="310"/>
      <c r="CF12" s="310"/>
      <c r="CG12" s="310"/>
      <c r="CH12" s="310"/>
      <c r="CI12" s="310"/>
      <c r="CJ12" s="310"/>
      <c r="CK12" s="310"/>
      <c r="CL12" s="310"/>
      <c r="CM12" s="310"/>
      <c r="CN12" s="310"/>
      <c r="CO12" s="310"/>
      <c r="CP12" s="310"/>
      <c r="CQ12" s="310"/>
      <c r="CR12" s="310"/>
      <c r="CS12" s="310"/>
      <c r="CT12" s="310"/>
      <c r="CU12" s="310"/>
      <c r="CV12" s="310"/>
      <c r="CW12" s="310"/>
      <c r="CX12" s="310"/>
      <c r="CY12" s="310"/>
      <c r="CZ12" s="310"/>
      <c r="DA12" s="310"/>
      <c r="DB12" s="310"/>
      <c r="DC12" s="310"/>
      <c r="DD12" s="310"/>
      <c r="DE12" s="310"/>
      <c r="DF12" s="310"/>
      <c r="DG12" s="310"/>
      <c r="DH12" s="310"/>
      <c r="DI12" s="310"/>
      <c r="DJ12" s="310"/>
      <c r="DK12" s="310"/>
      <c r="DL12" s="310"/>
      <c r="DM12" s="310"/>
      <c r="DN12" s="310"/>
      <c r="DO12" s="310"/>
      <c r="DP12" s="310"/>
      <c r="DQ12" s="310"/>
      <c r="DR12" s="310"/>
      <c r="DS12" s="310"/>
      <c r="DT12" s="311"/>
      <c r="DU12" s="305"/>
      <c r="DV12" s="305"/>
      <c r="DW12" s="126"/>
      <c r="DX12" s="126"/>
      <c r="DY12" s="126"/>
      <c r="DZ12" s="126"/>
      <c r="EA12" s="126"/>
      <c r="EB12" s="126"/>
      <c r="EC12" s="126"/>
      <c r="ED12" s="126"/>
      <c r="EE12" s="126"/>
      <c r="EF12" s="187"/>
    </row>
    <row r="13" spans="1:136" ht="6" customHeight="1">
      <c r="B13" s="312"/>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c r="BH13" s="313"/>
      <c r="BI13" s="313"/>
      <c r="BJ13" s="313"/>
      <c r="BK13" s="313"/>
      <c r="BL13" s="313"/>
      <c r="BM13" s="313"/>
      <c r="BN13" s="313"/>
      <c r="BO13" s="313"/>
      <c r="BP13" s="313"/>
      <c r="BQ13" s="313"/>
      <c r="BR13" s="313"/>
      <c r="BS13" s="313"/>
      <c r="BT13" s="313"/>
      <c r="BU13" s="313"/>
      <c r="BV13" s="313"/>
      <c r="BW13" s="313"/>
      <c r="BX13" s="313"/>
      <c r="BY13" s="313"/>
      <c r="BZ13" s="313"/>
      <c r="CA13" s="313"/>
      <c r="CB13" s="313"/>
      <c r="CC13" s="313"/>
      <c r="CD13" s="313"/>
      <c r="CE13" s="313"/>
      <c r="CF13" s="313"/>
      <c r="CG13" s="313"/>
      <c r="CH13" s="313"/>
      <c r="CI13" s="313"/>
      <c r="CJ13" s="313"/>
      <c r="CK13" s="313"/>
      <c r="CL13" s="313"/>
      <c r="CM13" s="313"/>
      <c r="CN13" s="313"/>
      <c r="CO13" s="313"/>
      <c r="CP13" s="313"/>
      <c r="CQ13" s="313"/>
      <c r="CR13" s="313"/>
      <c r="CS13" s="313"/>
      <c r="CT13" s="313"/>
      <c r="CU13" s="313"/>
      <c r="CV13" s="313"/>
      <c r="CW13" s="313"/>
      <c r="CX13" s="313"/>
      <c r="CY13" s="313"/>
      <c r="CZ13" s="313"/>
      <c r="DA13" s="313"/>
      <c r="DB13" s="313"/>
      <c r="DC13" s="313"/>
      <c r="DD13" s="313"/>
      <c r="DE13" s="313"/>
      <c r="DF13" s="313"/>
      <c r="DG13" s="313"/>
      <c r="DH13" s="313"/>
      <c r="DI13" s="313"/>
      <c r="DJ13" s="313"/>
      <c r="DK13" s="313"/>
      <c r="DL13" s="313"/>
      <c r="DM13" s="313"/>
      <c r="DN13" s="313"/>
      <c r="DO13" s="313"/>
      <c r="DP13" s="313"/>
      <c r="DQ13" s="313"/>
      <c r="DR13" s="313"/>
      <c r="DS13" s="313"/>
      <c r="DT13" s="311"/>
      <c r="DU13" s="305"/>
      <c r="DV13" s="305"/>
      <c r="DW13" s="126"/>
      <c r="DX13" s="126"/>
      <c r="DY13" s="126"/>
      <c r="DZ13" s="126"/>
      <c r="EA13" s="126"/>
      <c r="EB13" s="126"/>
      <c r="EC13" s="126"/>
      <c r="ED13" s="126"/>
      <c r="EE13" s="126"/>
      <c r="EF13" s="187"/>
    </row>
    <row r="14" spans="1:136" ht="30" customHeight="1">
      <c r="B14" s="312"/>
      <c r="C14" s="313"/>
      <c r="D14" s="1959" t="str">
        <f>'D1-D2-D3'!D14:M14</f>
        <v>KSK</v>
      </c>
      <c r="E14" s="1959"/>
      <c r="F14" s="1959"/>
      <c r="G14" s="1959"/>
      <c r="H14" s="1959"/>
      <c r="I14" s="1959"/>
      <c r="J14" s="1959"/>
      <c r="K14" s="1959"/>
      <c r="L14" s="1959"/>
      <c r="M14" s="1959"/>
      <c r="N14" s="1960" t="str">
        <f>IF('D1-D2-D3'!N14:AH14="","",'D1-D2-D3'!N14:AH14)</f>
        <v/>
      </c>
      <c r="O14" s="1961"/>
      <c r="P14" s="1961"/>
      <c r="Q14" s="1961"/>
      <c r="R14" s="1961"/>
      <c r="S14" s="1961"/>
      <c r="T14" s="1961"/>
      <c r="U14" s="1961"/>
      <c r="V14" s="1961"/>
      <c r="W14" s="1961"/>
      <c r="X14" s="1961"/>
      <c r="Y14" s="1961"/>
      <c r="Z14" s="1961"/>
      <c r="AA14" s="1961"/>
      <c r="AB14" s="1961"/>
      <c r="AC14" s="1961"/>
      <c r="AD14" s="1961"/>
      <c r="AE14" s="1961"/>
      <c r="AF14" s="1961"/>
      <c r="AG14" s="1961"/>
      <c r="AH14" s="1962"/>
      <c r="AI14" s="313"/>
      <c r="AJ14" s="313"/>
      <c r="AK14" s="313"/>
      <c r="AL14" s="313"/>
      <c r="AM14" s="1959" t="str">
        <f ca="1">'D1-D2-D3'!$AM$14</f>
        <v>Int. KSK-No.</v>
      </c>
      <c r="AN14" s="1959"/>
      <c r="AO14" s="1959"/>
      <c r="AP14" s="1959"/>
      <c r="AQ14" s="1959"/>
      <c r="AR14" s="1959"/>
      <c r="AS14" s="1959"/>
      <c r="AT14" s="1959"/>
      <c r="AU14" s="1959"/>
      <c r="AV14" s="1959"/>
      <c r="AW14" s="1959"/>
      <c r="AX14" s="1959"/>
      <c r="AY14" s="1959"/>
      <c r="AZ14" s="1959"/>
      <c r="BA14" s="1959"/>
      <c r="BB14" s="1959"/>
      <c r="BC14" s="1963" t="str">
        <f>IF('D1-D2-D3'!BC14="","",'D1-D2-D3'!$BC$14)</f>
        <v/>
      </c>
      <c r="BD14" s="1964"/>
      <c r="BE14" s="1964"/>
      <c r="BF14" s="1964"/>
      <c r="BG14" s="1964"/>
      <c r="BH14" s="1964"/>
      <c r="BI14" s="1964"/>
      <c r="BJ14" s="1964"/>
      <c r="BK14" s="1964"/>
      <c r="BL14" s="1964"/>
      <c r="BM14" s="1964"/>
      <c r="BN14" s="1964"/>
      <c r="BO14" s="1964"/>
      <c r="BP14" s="1964"/>
      <c r="BQ14" s="1964"/>
      <c r="BR14" s="1964"/>
      <c r="BS14" s="1964"/>
      <c r="BT14" s="1964"/>
      <c r="BU14" s="1965"/>
      <c r="BV14" s="293"/>
      <c r="BW14" s="293"/>
      <c r="BX14" s="293"/>
      <c r="BY14" s="293"/>
      <c r="BZ14" s="293"/>
      <c r="CA14" s="293"/>
      <c r="CB14" s="305"/>
      <c r="CC14" s="357" t="str">
        <f ca="1">'D1-D2-D3'!CC14</f>
        <v>Production date/time</v>
      </c>
      <c r="CD14" s="37"/>
      <c r="CE14" s="26"/>
      <c r="CF14" s="26"/>
      <c r="CG14" s="37"/>
      <c r="CH14" s="37"/>
      <c r="CI14" s="55"/>
      <c r="CJ14" s="55"/>
      <c r="CK14" s="55"/>
      <c r="CL14" s="55"/>
      <c r="CM14" s="55"/>
      <c r="CN14" s="55"/>
      <c r="CO14" s="55"/>
      <c r="CP14" s="55"/>
      <c r="CQ14" s="55"/>
      <c r="CR14" s="55"/>
      <c r="CS14" s="55"/>
      <c r="CT14" s="55"/>
      <c r="CU14" s="55"/>
      <c r="CV14" s="55"/>
      <c r="CW14" s="55"/>
      <c r="CX14" s="55"/>
      <c r="CY14" s="55"/>
      <c r="CZ14" s="55"/>
      <c r="DA14" s="55"/>
      <c r="DB14" s="55"/>
      <c r="DC14" s="55"/>
      <c r="DD14" s="2005" t="str">
        <f>IF('D1-D2-D3'!DD14:DR14="","",'D1-D2-D3'!DD14:DR14)</f>
        <v/>
      </c>
      <c r="DE14" s="2006"/>
      <c r="DF14" s="2006"/>
      <c r="DG14" s="2006"/>
      <c r="DH14" s="2006"/>
      <c r="DI14" s="2006"/>
      <c r="DJ14" s="2006"/>
      <c r="DK14" s="2006"/>
      <c r="DL14" s="2006"/>
      <c r="DM14" s="2006"/>
      <c r="DN14" s="2006"/>
      <c r="DO14" s="2006"/>
      <c r="DP14" s="2006"/>
      <c r="DQ14" s="2006"/>
      <c r="DR14" s="2007"/>
      <c r="DS14" s="88"/>
      <c r="DT14" s="311"/>
      <c r="DU14" s="305"/>
      <c r="DV14" s="305"/>
      <c r="DW14" s="126"/>
      <c r="DX14" s="126"/>
      <c r="DY14" s="126"/>
      <c r="DZ14" s="126"/>
      <c r="EA14" s="126"/>
      <c r="EB14" s="126"/>
      <c r="EC14" s="126"/>
      <c r="ED14" s="126"/>
      <c r="EE14" s="126"/>
      <c r="EF14" s="187"/>
    </row>
    <row r="15" spans="1:136" ht="6" customHeight="1">
      <c r="B15" s="312"/>
      <c r="C15" s="313"/>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313"/>
      <c r="AJ15" s="313"/>
      <c r="AK15" s="313"/>
      <c r="AL15" s="313"/>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c r="BQ15" s="188"/>
      <c r="BR15" s="188"/>
      <c r="BS15" s="188"/>
      <c r="BT15" s="188"/>
      <c r="BU15" s="188"/>
      <c r="BV15" s="293"/>
      <c r="BW15" s="293"/>
      <c r="BX15" s="293"/>
      <c r="BY15" s="293"/>
      <c r="BZ15" s="293"/>
      <c r="CA15" s="293"/>
      <c r="CB15" s="305"/>
      <c r="CC15" s="20"/>
      <c r="CD15" s="305"/>
      <c r="CE15" s="293"/>
      <c r="CF15" s="293"/>
      <c r="CG15" s="305"/>
      <c r="CH15" s="305"/>
      <c r="CI15" s="313"/>
      <c r="CJ15" s="313"/>
      <c r="CK15" s="313"/>
      <c r="CL15" s="313"/>
      <c r="CM15" s="313"/>
      <c r="CN15" s="313"/>
      <c r="CO15" s="313"/>
      <c r="CP15" s="313"/>
      <c r="CQ15" s="313"/>
      <c r="CR15" s="313"/>
      <c r="CS15" s="313"/>
      <c r="CT15" s="313"/>
      <c r="CU15" s="313"/>
      <c r="CV15" s="313"/>
      <c r="CW15" s="313"/>
      <c r="CX15" s="313"/>
      <c r="CY15" s="313"/>
      <c r="CZ15" s="313"/>
      <c r="DA15" s="313"/>
      <c r="DB15" s="313"/>
      <c r="DC15" s="313"/>
      <c r="DD15" s="313"/>
      <c r="DE15" s="313"/>
      <c r="DF15" s="313"/>
      <c r="DG15" s="313"/>
      <c r="DH15" s="313"/>
      <c r="DI15" s="313"/>
      <c r="DJ15" s="313"/>
      <c r="DK15" s="313"/>
      <c r="DL15" s="313"/>
      <c r="DM15" s="313"/>
      <c r="DN15" s="313"/>
      <c r="DO15" s="313"/>
      <c r="DP15" s="313"/>
      <c r="DQ15" s="313"/>
      <c r="DR15" s="313"/>
      <c r="DS15" s="313"/>
      <c r="DT15" s="311"/>
      <c r="DU15" s="305"/>
      <c r="DV15" s="305"/>
      <c r="DW15" s="126"/>
      <c r="DX15" s="126"/>
      <c r="DY15" s="126"/>
      <c r="DZ15" s="126"/>
      <c r="EA15" s="126"/>
      <c r="EB15" s="126"/>
      <c r="EC15" s="126"/>
      <c r="ED15" s="126"/>
      <c r="EE15" s="126"/>
      <c r="EF15" s="187"/>
    </row>
    <row r="16" spans="1:136" ht="30" customHeight="1">
      <c r="B16" s="312"/>
      <c r="C16" s="313"/>
      <c r="D16" s="188"/>
      <c r="E16" s="188"/>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313"/>
      <c r="AJ16" s="313"/>
      <c r="AK16" s="313"/>
      <c r="AL16" s="313"/>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293"/>
      <c r="BW16" s="293"/>
      <c r="BX16" s="293"/>
      <c r="BY16" s="293"/>
      <c r="BZ16" s="293"/>
      <c r="CA16" s="293"/>
      <c r="CB16" s="305"/>
      <c r="CD16" s="37"/>
      <c r="CE16" s="26"/>
      <c r="CF16" s="26"/>
      <c r="CG16" s="37"/>
      <c r="CH16" s="37"/>
      <c r="CI16" s="55"/>
      <c r="CJ16" s="55"/>
      <c r="CK16" s="55"/>
      <c r="CL16" s="55"/>
      <c r="CM16" s="55"/>
      <c r="CN16" s="55"/>
      <c r="CO16" s="55"/>
      <c r="CP16" s="55"/>
      <c r="CQ16" s="55"/>
      <c r="CR16" s="55"/>
      <c r="CS16" s="55"/>
      <c r="CT16" s="55"/>
      <c r="CU16" s="55"/>
      <c r="CV16" s="55"/>
      <c r="CW16" s="55"/>
      <c r="CX16" s="55"/>
      <c r="CY16" s="55"/>
      <c r="CZ16" s="55"/>
      <c r="DA16" s="55"/>
      <c r="DB16" s="55"/>
      <c r="DC16" s="55"/>
      <c r="DD16" s="2010"/>
      <c r="DE16" s="2010"/>
      <c r="DF16" s="2010"/>
      <c r="DG16" s="2010"/>
      <c r="DH16" s="2010"/>
      <c r="DI16" s="2010"/>
      <c r="DJ16" s="2010"/>
      <c r="DK16" s="2010"/>
      <c r="DL16" s="2010"/>
      <c r="DM16" s="2010"/>
      <c r="DN16" s="2010"/>
      <c r="DO16" s="2010"/>
      <c r="DP16" s="2010"/>
      <c r="DQ16" s="2010"/>
      <c r="DR16" s="2010"/>
      <c r="DS16" s="88"/>
      <c r="DT16" s="311"/>
      <c r="DU16" s="305"/>
      <c r="DV16" s="305"/>
      <c r="DW16" s="126"/>
      <c r="DX16" s="126"/>
      <c r="DY16" s="126"/>
      <c r="DZ16" s="126"/>
      <c r="EA16" s="126"/>
      <c r="EB16" s="126"/>
      <c r="EC16" s="126"/>
      <c r="ED16" s="126"/>
      <c r="EE16" s="126"/>
      <c r="EF16" s="127"/>
    </row>
    <row r="17" spans="2:136" ht="30" customHeight="1">
      <c r="B17" s="312"/>
      <c r="C17" s="313"/>
      <c r="D17" s="1755" t="str">
        <f ca="1">'D1-D2-D3'!D16:M16</f>
        <v>Index</v>
      </c>
      <c r="E17" s="1755"/>
      <c r="F17" s="1755"/>
      <c r="G17" s="1755"/>
      <c r="H17" s="1755"/>
      <c r="I17" s="1755"/>
      <c r="J17" s="1755"/>
      <c r="K17" s="1755"/>
      <c r="L17" s="1755"/>
      <c r="M17" s="1970"/>
      <c r="N17" s="2011" t="str">
        <f>IF('D1-D2-D3'!N16:AH16="","",'D1-D2-D3'!N16:AH16)</f>
        <v/>
      </c>
      <c r="O17" s="2012"/>
      <c r="P17" s="2012"/>
      <c r="Q17" s="2012"/>
      <c r="R17" s="2012"/>
      <c r="S17" s="2012"/>
      <c r="T17" s="2012"/>
      <c r="U17" s="2012"/>
      <c r="V17" s="2012"/>
      <c r="W17" s="2012"/>
      <c r="X17" s="2012"/>
      <c r="Y17" s="2012"/>
      <c r="Z17" s="2012"/>
      <c r="AA17" s="2012"/>
      <c r="AB17" s="2012"/>
      <c r="AC17" s="2012"/>
      <c r="AD17" s="2012"/>
      <c r="AE17" s="2012"/>
      <c r="AF17" s="2012"/>
      <c r="AG17" s="2012"/>
      <c r="AH17" s="2013"/>
      <c r="AI17" s="313"/>
      <c r="AJ17" s="313"/>
      <c r="AK17" s="313"/>
      <c r="AL17" s="313"/>
      <c r="AM17" s="1755" t="str">
        <f ca="1">'D1-D2-D3'!AM16:BB16</f>
        <v>Lfd./Serial</v>
      </c>
      <c r="AN17" s="1755"/>
      <c r="AO17" s="1755"/>
      <c r="AP17" s="1755"/>
      <c r="AQ17" s="1755"/>
      <c r="AR17" s="1755"/>
      <c r="AS17" s="1755"/>
      <c r="AT17" s="1755"/>
      <c r="AU17" s="1755"/>
      <c r="AV17" s="1755"/>
      <c r="AW17" s="1755"/>
      <c r="AX17" s="1755"/>
      <c r="AY17" s="1755"/>
      <c r="AZ17" s="1755"/>
      <c r="BA17" s="1755"/>
      <c r="BB17" s="1970"/>
      <c r="BC17" s="2011" t="str">
        <f>IF('D1-D2-D3'!BC16:BU16="","",'D1-D2-D3'!BC16:BU16)</f>
        <v/>
      </c>
      <c r="BD17" s="2012"/>
      <c r="BE17" s="2012"/>
      <c r="BF17" s="2012"/>
      <c r="BG17" s="2012"/>
      <c r="BH17" s="2012"/>
      <c r="BI17" s="2012"/>
      <c r="BJ17" s="2012"/>
      <c r="BK17" s="2012"/>
      <c r="BL17" s="2012"/>
      <c r="BM17" s="2012"/>
      <c r="BN17" s="2012"/>
      <c r="BO17" s="2012"/>
      <c r="BP17" s="2012"/>
      <c r="BQ17" s="2012"/>
      <c r="BR17" s="2012"/>
      <c r="BS17" s="2012"/>
      <c r="BT17" s="2012"/>
      <c r="BU17" s="2013"/>
      <c r="BV17" s="293"/>
      <c r="BW17" s="293"/>
      <c r="BX17" s="293"/>
      <c r="BY17" s="293"/>
      <c r="BZ17" s="293"/>
      <c r="CA17" s="293"/>
      <c r="CB17" s="305"/>
      <c r="CC17" s="357" t="str">
        <f>'D1-D2-D3'!CC16</f>
        <v>Safety-relevant characterisitc</v>
      </c>
      <c r="CD17" s="37"/>
      <c r="CE17" s="26"/>
      <c r="CF17" s="26"/>
      <c r="CG17" s="37"/>
      <c r="CH17" s="37"/>
      <c r="CI17" s="55"/>
      <c r="CJ17" s="55"/>
      <c r="CK17" s="55"/>
      <c r="CL17" s="55"/>
      <c r="CM17" s="55"/>
      <c r="CN17" s="55"/>
      <c r="CO17" s="55"/>
      <c r="CP17" s="55"/>
      <c r="CQ17" s="55"/>
      <c r="CR17" s="55"/>
      <c r="CS17" s="55"/>
      <c r="CT17" s="55"/>
      <c r="CU17" s="55"/>
      <c r="CV17" s="37"/>
      <c r="CW17" s="37"/>
      <c r="CX17" s="37"/>
      <c r="CY17" s="37"/>
      <c r="CZ17" s="37"/>
      <c r="DA17" s="55"/>
      <c r="DB17" s="55"/>
      <c r="DC17" s="55"/>
      <c r="DD17" s="2005" t="str">
        <f>IF('D1-D2-D3'!DD16:DR16="","",'D1-D2-D3'!DD16:DR16)</f>
        <v/>
      </c>
      <c r="DE17" s="2006"/>
      <c r="DF17" s="2006"/>
      <c r="DG17" s="2006"/>
      <c r="DH17" s="2006"/>
      <c r="DI17" s="2006"/>
      <c r="DJ17" s="2006"/>
      <c r="DK17" s="2006"/>
      <c r="DL17" s="2006"/>
      <c r="DM17" s="2006"/>
      <c r="DN17" s="2006"/>
      <c r="DO17" s="2006"/>
      <c r="DP17" s="2006"/>
      <c r="DQ17" s="2006"/>
      <c r="DR17" s="2007"/>
      <c r="DS17" s="331"/>
      <c r="DT17" s="311"/>
      <c r="DU17" s="305"/>
      <c r="DV17" s="305"/>
      <c r="DW17" s="126"/>
      <c r="DX17" s="126"/>
      <c r="DY17" s="126"/>
      <c r="DZ17" s="126"/>
      <c r="EA17" s="126"/>
      <c r="EB17" s="126"/>
      <c r="EC17" s="126"/>
      <c r="ED17" s="126"/>
      <c r="EE17" s="126"/>
      <c r="EF17" s="127"/>
    </row>
    <row r="18" spans="2:136" ht="6" customHeight="1">
      <c r="B18" s="312"/>
      <c r="C18" s="313"/>
      <c r="D18" s="812"/>
      <c r="E18" s="812"/>
      <c r="F18" s="812"/>
      <c r="G18" s="812"/>
      <c r="H18" s="812"/>
      <c r="I18" s="812"/>
      <c r="J18" s="812"/>
      <c r="K18" s="812"/>
      <c r="L18" s="812"/>
      <c r="M18" s="812"/>
      <c r="N18" s="88"/>
      <c r="O18" s="88"/>
      <c r="P18" s="88"/>
      <c r="Q18" s="88"/>
      <c r="R18" s="88"/>
      <c r="S18" s="88"/>
      <c r="T18" s="88"/>
      <c r="U18" s="88"/>
      <c r="V18" s="88"/>
      <c r="W18" s="88"/>
      <c r="X18" s="88"/>
      <c r="Y18" s="88"/>
      <c r="Z18" s="88"/>
      <c r="AA18" s="88"/>
      <c r="AB18" s="88"/>
      <c r="AC18" s="88"/>
      <c r="AD18" s="88"/>
      <c r="AE18" s="88"/>
      <c r="AF18" s="88"/>
      <c r="AG18" s="88"/>
      <c r="AH18" s="88"/>
      <c r="AI18" s="313"/>
      <c r="AJ18" s="313"/>
      <c r="AK18" s="313"/>
      <c r="AL18" s="313"/>
      <c r="AM18" s="812"/>
      <c r="AN18" s="812"/>
      <c r="AO18" s="812"/>
      <c r="AP18" s="812"/>
      <c r="AQ18" s="812"/>
      <c r="AR18" s="812"/>
      <c r="AS18" s="812"/>
      <c r="AT18" s="812"/>
      <c r="AU18" s="812"/>
      <c r="AV18" s="812"/>
      <c r="AW18" s="812"/>
      <c r="AX18" s="812"/>
      <c r="AY18" s="812"/>
      <c r="AZ18" s="812"/>
      <c r="BA18" s="812"/>
      <c r="BB18" s="812"/>
      <c r="BC18" s="88"/>
      <c r="BD18" s="88"/>
      <c r="BE18" s="88"/>
      <c r="BF18" s="88"/>
      <c r="BG18" s="88"/>
      <c r="BH18" s="88"/>
      <c r="BI18" s="88"/>
      <c r="BJ18" s="88"/>
      <c r="BK18" s="88"/>
      <c r="BL18" s="88"/>
      <c r="BM18" s="88"/>
      <c r="BN18" s="88"/>
      <c r="BO18" s="88"/>
      <c r="BP18" s="88"/>
      <c r="BQ18" s="88"/>
      <c r="BR18" s="88"/>
      <c r="BS18" s="88"/>
      <c r="BT18" s="88"/>
      <c r="BU18" s="88"/>
      <c r="BV18" s="293"/>
      <c r="BW18" s="293"/>
      <c r="BX18" s="293"/>
      <c r="BY18" s="293"/>
      <c r="BZ18" s="293"/>
      <c r="CA18" s="293"/>
      <c r="CB18" s="305"/>
      <c r="CC18" s="357"/>
      <c r="CD18" s="37"/>
      <c r="CE18" s="26"/>
      <c r="CF18" s="26"/>
      <c r="CG18" s="37"/>
      <c r="CH18" s="37"/>
      <c r="CI18" s="55"/>
      <c r="CJ18" s="55"/>
      <c r="CK18" s="55"/>
      <c r="CL18" s="55"/>
      <c r="CM18" s="55"/>
      <c r="CN18" s="55"/>
      <c r="CO18" s="55"/>
      <c r="CP18" s="55"/>
      <c r="CQ18" s="55"/>
      <c r="CR18" s="55"/>
      <c r="CS18" s="55"/>
      <c r="CT18" s="55"/>
      <c r="CU18" s="55"/>
      <c r="CV18" s="37"/>
      <c r="CW18" s="37"/>
      <c r="CX18" s="37"/>
      <c r="CY18" s="37"/>
      <c r="CZ18" s="37"/>
      <c r="DA18" s="55"/>
      <c r="DB18" s="55"/>
      <c r="DC18" s="55"/>
      <c r="DD18" s="331"/>
      <c r="DE18" s="331"/>
      <c r="DF18" s="331"/>
      <c r="DG18" s="331"/>
      <c r="DH18" s="331"/>
      <c r="DI18" s="331"/>
      <c r="DJ18" s="331"/>
      <c r="DK18" s="331"/>
      <c r="DL18" s="331"/>
      <c r="DM18" s="331"/>
      <c r="DN18" s="331"/>
      <c r="DO18" s="331"/>
      <c r="DP18" s="331"/>
      <c r="DQ18" s="331"/>
      <c r="DR18" s="331"/>
      <c r="DS18" s="331"/>
      <c r="DT18" s="311"/>
      <c r="DU18" s="305"/>
      <c r="DV18" s="305"/>
      <c r="DW18" s="126"/>
      <c r="DX18" s="126"/>
      <c r="DY18" s="126"/>
      <c r="DZ18" s="126"/>
      <c r="EA18" s="126"/>
      <c r="EB18" s="126"/>
      <c r="EC18" s="126"/>
      <c r="ED18" s="126"/>
      <c r="EE18" s="126"/>
      <c r="EF18" s="127"/>
    </row>
    <row r="19" spans="2:136" ht="6" customHeight="1" thickBot="1">
      <c r="B19" s="312"/>
      <c r="C19" s="310"/>
      <c r="D19" s="310"/>
      <c r="E19" s="310"/>
      <c r="F19" s="310"/>
      <c r="G19" s="310"/>
      <c r="H19" s="310"/>
      <c r="I19" s="310"/>
      <c r="J19" s="310"/>
      <c r="K19" s="310"/>
      <c r="L19" s="310"/>
      <c r="M19" s="310"/>
      <c r="N19" s="310"/>
      <c r="O19" s="310"/>
      <c r="P19" s="310"/>
      <c r="Q19" s="310"/>
      <c r="R19" s="310"/>
      <c r="S19" s="310"/>
      <c r="T19" s="310"/>
      <c r="U19" s="310"/>
      <c r="V19" s="310"/>
      <c r="W19" s="310"/>
      <c r="X19" s="310"/>
      <c r="Y19" s="310"/>
      <c r="Z19" s="310"/>
      <c r="AA19" s="310"/>
      <c r="AB19" s="310"/>
      <c r="AC19" s="310"/>
      <c r="AD19" s="310"/>
      <c r="AE19" s="310"/>
      <c r="AF19" s="310"/>
      <c r="AG19" s="310"/>
      <c r="AH19" s="310"/>
      <c r="AI19" s="310"/>
      <c r="AJ19" s="310"/>
      <c r="AK19" s="310"/>
      <c r="AL19" s="310"/>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0"/>
      <c r="BK19" s="310"/>
      <c r="BL19" s="310"/>
      <c r="BM19" s="310"/>
      <c r="BN19" s="310"/>
      <c r="BO19" s="310"/>
      <c r="BP19" s="310"/>
      <c r="BQ19" s="310"/>
      <c r="BR19" s="310"/>
      <c r="BS19" s="310"/>
      <c r="BT19" s="310"/>
      <c r="BU19" s="310"/>
      <c r="BV19" s="310"/>
      <c r="BW19" s="310"/>
      <c r="BX19" s="310"/>
      <c r="BY19" s="310"/>
      <c r="BZ19" s="310"/>
      <c r="CA19" s="310"/>
      <c r="CB19" s="310"/>
      <c r="CC19" s="310"/>
      <c r="CD19" s="310"/>
      <c r="CE19" s="310"/>
      <c r="CF19" s="310"/>
      <c r="CG19" s="310"/>
      <c r="CH19" s="310"/>
      <c r="CI19" s="310"/>
      <c r="CJ19" s="310"/>
      <c r="CK19" s="310"/>
      <c r="CL19" s="310"/>
      <c r="CM19" s="310"/>
      <c r="CN19" s="310"/>
      <c r="CO19" s="310"/>
      <c r="CP19" s="310"/>
      <c r="CQ19" s="310"/>
      <c r="CR19" s="310"/>
      <c r="CS19" s="310"/>
      <c r="CT19" s="310"/>
      <c r="CU19" s="310"/>
      <c r="CV19" s="310"/>
      <c r="CW19" s="310"/>
      <c r="CX19" s="310"/>
      <c r="CY19" s="310"/>
      <c r="CZ19" s="310"/>
      <c r="DA19" s="310"/>
      <c r="DB19" s="310"/>
      <c r="DC19" s="310"/>
      <c r="DD19" s="310"/>
      <c r="DE19" s="310"/>
      <c r="DF19" s="310"/>
      <c r="DG19" s="310"/>
      <c r="DH19" s="310"/>
      <c r="DI19" s="310"/>
      <c r="DJ19" s="310"/>
      <c r="DK19" s="310"/>
      <c r="DL19" s="310"/>
      <c r="DM19" s="310"/>
      <c r="DN19" s="310"/>
      <c r="DO19" s="310"/>
      <c r="DP19" s="310"/>
      <c r="DQ19" s="310"/>
      <c r="DR19" s="310"/>
      <c r="DS19" s="310"/>
      <c r="DT19" s="311"/>
      <c r="DU19" s="305"/>
      <c r="DV19" s="305"/>
      <c r="DW19" s="126"/>
      <c r="DX19" s="126"/>
      <c r="DY19" s="126"/>
      <c r="DZ19" s="126"/>
      <c r="EA19" s="126"/>
      <c r="EB19" s="126"/>
      <c r="EC19" s="126"/>
      <c r="ED19" s="126"/>
      <c r="EE19" s="126"/>
      <c r="EF19" s="127"/>
    </row>
    <row r="20" spans="2:136" ht="6" customHeight="1">
      <c r="B20" s="1966" t="str">
        <f ca="1">'D1-D2-D3'!B18</f>
        <v>D1 - Team</v>
      </c>
      <c r="C20" s="1967"/>
      <c r="D20" s="1967"/>
      <c r="E20" s="1967"/>
      <c r="F20" s="1967"/>
      <c r="G20" s="1967"/>
      <c r="H20" s="1967"/>
      <c r="I20" s="1967"/>
      <c r="J20" s="1967"/>
      <c r="K20" s="1967"/>
      <c r="L20" s="1967"/>
      <c r="M20" s="1967"/>
      <c r="N20" s="1967"/>
      <c r="O20" s="1967"/>
      <c r="P20" s="1967"/>
      <c r="Q20" s="1967"/>
      <c r="R20" s="1967"/>
      <c r="S20" s="1967"/>
      <c r="T20" s="1967"/>
      <c r="U20" s="1967"/>
      <c r="V20" s="1967"/>
      <c r="W20" s="1967"/>
      <c r="X20" s="1967"/>
      <c r="Y20" s="1967"/>
      <c r="Z20" s="1967"/>
      <c r="AA20" s="1967"/>
      <c r="AB20" s="1967"/>
      <c r="AC20" s="1967"/>
      <c r="AD20" s="1967"/>
      <c r="AE20" s="307"/>
      <c r="AF20" s="307"/>
      <c r="AG20" s="307"/>
      <c r="AH20" s="307"/>
      <c r="AI20" s="307"/>
      <c r="AJ20" s="307"/>
      <c r="AK20" s="307"/>
      <c r="AL20" s="307"/>
      <c r="AM20" s="307"/>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7"/>
      <c r="BK20" s="307"/>
      <c r="BL20" s="307"/>
      <c r="BM20" s="307"/>
      <c r="BN20" s="307"/>
      <c r="BO20" s="307"/>
      <c r="BP20" s="307"/>
      <c r="BQ20" s="307"/>
      <c r="BR20" s="307"/>
      <c r="BS20" s="307"/>
      <c r="BT20" s="307"/>
      <c r="BU20" s="307"/>
      <c r="BV20" s="307"/>
      <c r="BW20" s="307"/>
      <c r="BX20" s="307"/>
      <c r="BY20" s="307"/>
      <c r="BZ20" s="307"/>
      <c r="CA20" s="307"/>
      <c r="CB20" s="307"/>
      <c r="CC20" s="307"/>
      <c r="CD20" s="307"/>
      <c r="CE20" s="307"/>
      <c r="CF20" s="307"/>
      <c r="CG20" s="307"/>
      <c r="CH20" s="307"/>
      <c r="CI20" s="307"/>
      <c r="CJ20" s="307"/>
      <c r="CK20" s="307"/>
      <c r="CL20" s="307"/>
      <c r="CM20" s="307"/>
      <c r="CN20" s="307"/>
      <c r="CO20" s="307"/>
      <c r="CP20" s="307"/>
      <c r="CQ20" s="307"/>
      <c r="CR20" s="307"/>
      <c r="CS20" s="307"/>
      <c r="CT20" s="307"/>
      <c r="CU20" s="307"/>
      <c r="CV20" s="307"/>
      <c r="CW20" s="307"/>
      <c r="CX20" s="307"/>
      <c r="CY20" s="307"/>
      <c r="CZ20" s="307"/>
      <c r="DA20" s="307"/>
      <c r="DB20" s="307"/>
      <c r="DC20" s="307"/>
      <c r="DD20" s="307"/>
      <c r="DE20" s="307"/>
      <c r="DF20" s="307"/>
      <c r="DG20" s="307"/>
      <c r="DH20" s="307"/>
      <c r="DI20" s="307"/>
      <c r="DJ20" s="307"/>
      <c r="DK20" s="307"/>
      <c r="DL20" s="307"/>
      <c r="DM20" s="307"/>
      <c r="DN20" s="307"/>
      <c r="DO20" s="307"/>
      <c r="DP20" s="307"/>
      <c r="DQ20" s="307"/>
      <c r="DR20" s="307"/>
      <c r="DS20" s="307"/>
      <c r="DT20" s="308"/>
      <c r="DW20" s="104"/>
      <c r="DX20" s="498"/>
      <c r="DY20" s="498"/>
      <c r="DZ20" s="498"/>
      <c r="EA20" s="498"/>
      <c r="EB20" s="498"/>
      <c r="EC20" s="498"/>
      <c r="ED20" s="498"/>
      <c r="EE20" s="498"/>
      <c r="EF20" s="32"/>
    </row>
    <row r="21" spans="2:136" ht="30" customHeight="1">
      <c r="B21" s="1968"/>
      <c r="C21" s="1969"/>
      <c r="D21" s="1969"/>
      <c r="E21" s="1969"/>
      <c r="F21" s="1969"/>
      <c r="G21" s="1969"/>
      <c r="H21" s="1969"/>
      <c r="I21" s="1969"/>
      <c r="J21" s="1969"/>
      <c r="K21" s="1969"/>
      <c r="L21" s="1969"/>
      <c r="M21" s="1969"/>
      <c r="N21" s="1969"/>
      <c r="O21" s="1969"/>
      <c r="P21" s="1969"/>
      <c r="Q21" s="1969"/>
      <c r="R21" s="1969"/>
      <c r="S21" s="1969"/>
      <c r="T21" s="1969"/>
      <c r="U21" s="1969"/>
      <c r="V21" s="1969"/>
      <c r="W21" s="1969"/>
      <c r="X21" s="1969"/>
      <c r="Y21" s="1969"/>
      <c r="Z21" s="1969"/>
      <c r="AA21" s="1969"/>
      <c r="AB21" s="1969"/>
      <c r="AC21" s="1969"/>
      <c r="AD21" s="1969"/>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1"/>
      <c r="DU21" s="305"/>
      <c r="DV21" s="305"/>
      <c r="DW21" s="126"/>
      <c r="DX21" s="126"/>
      <c r="DY21" s="126"/>
      <c r="DZ21" s="126"/>
      <c r="EA21" s="126"/>
      <c r="EB21" s="126"/>
      <c r="EC21" s="126"/>
      <c r="ED21" s="126"/>
      <c r="EE21" s="126"/>
      <c r="EF21" s="187"/>
    </row>
    <row r="22" spans="2:136" ht="30" customHeight="1">
      <c r="B22" s="312"/>
      <c r="C22" s="55"/>
      <c r="D22" s="1278" t="str">
        <f ca="1">INDIRECT($J$4&amp;"!C23")</f>
        <v>Coordinator (/Champion)</v>
      </c>
      <c r="E22" s="1278"/>
      <c r="F22" s="1278"/>
      <c r="G22" s="1278"/>
      <c r="H22" s="1278"/>
      <c r="I22" s="1278"/>
      <c r="J22" s="1278"/>
      <c r="K22" s="1278"/>
      <c r="L22" s="1278"/>
      <c r="M22" s="1278"/>
      <c r="N22" s="1278"/>
      <c r="O22" s="1278"/>
      <c r="P22" s="1278"/>
      <c r="Q22" s="1278"/>
      <c r="R22" s="1278"/>
      <c r="S22" s="1278"/>
      <c r="T22" s="1278"/>
      <c r="U22" s="1278"/>
      <c r="V22" s="1278"/>
      <c r="W22" s="1278"/>
      <c r="X22" s="1278"/>
      <c r="Y22" s="1278"/>
      <c r="Z22" s="1278"/>
      <c r="AA22" s="1278"/>
      <c r="AB22" s="1278"/>
      <c r="AC22" s="1278"/>
      <c r="AD22" s="1278"/>
      <c r="AE22" s="1278"/>
      <c r="AF22" s="1278"/>
      <c r="AG22" s="1278"/>
      <c r="AH22" s="1278"/>
      <c r="AI22" s="1278"/>
      <c r="AJ22" s="1278"/>
      <c r="AK22" s="1278"/>
      <c r="AL22" s="1278"/>
      <c r="AM22" s="1278"/>
      <c r="AN22" s="1278"/>
      <c r="AO22" s="1278"/>
      <c r="AP22" s="1278"/>
      <c r="AQ22" s="1278"/>
      <c r="AR22" s="1278"/>
      <c r="AS22" s="1278"/>
      <c r="AT22" s="1278"/>
      <c r="AU22" s="1278"/>
      <c r="AV22" s="1278"/>
      <c r="AW22" s="1278"/>
      <c r="AX22" s="1278"/>
      <c r="AY22" s="1278"/>
      <c r="AZ22" s="1278"/>
      <c r="BA22" s="1278"/>
      <c r="BB22" s="1278"/>
      <c r="BC22" s="1278"/>
      <c r="BD22" s="1278"/>
      <c r="BE22" s="1278"/>
      <c r="BF22" s="1278"/>
      <c r="BG22" s="1278"/>
      <c r="BH22" s="1278"/>
      <c r="BI22" s="55"/>
      <c r="BJ22" s="55"/>
      <c r="BK22" s="36"/>
      <c r="BL22" s="1278" t="str">
        <f ca="1">INDIRECT($J$4&amp;"!C26")</f>
        <v>Sponsor</v>
      </c>
      <c r="BM22" s="1278"/>
      <c r="BN22" s="1278"/>
      <c r="BO22" s="1278"/>
      <c r="BP22" s="1278"/>
      <c r="BQ22" s="1278"/>
      <c r="BR22" s="1278"/>
      <c r="BS22" s="1278"/>
      <c r="BT22" s="1278"/>
      <c r="BU22" s="1278"/>
      <c r="BV22" s="1278"/>
      <c r="BW22" s="1278"/>
      <c r="BX22" s="1278"/>
      <c r="BY22" s="1278"/>
      <c r="BZ22" s="1278"/>
      <c r="CA22" s="1278"/>
      <c r="CB22" s="1278"/>
      <c r="CC22" s="1278"/>
      <c r="CD22" s="1278"/>
      <c r="CE22" s="1278"/>
      <c r="CF22" s="1278"/>
      <c r="CG22" s="1278"/>
      <c r="CH22" s="1278"/>
      <c r="CI22" s="1278"/>
      <c r="CJ22" s="1278"/>
      <c r="CK22" s="1278"/>
      <c r="CL22" s="1278"/>
      <c r="CM22" s="1278"/>
      <c r="CN22" s="1278"/>
      <c r="CO22" s="1278"/>
      <c r="CP22" s="1278"/>
      <c r="CQ22" s="1278"/>
      <c r="CR22" s="1278"/>
      <c r="CS22" s="1278"/>
      <c r="CT22" s="1278"/>
      <c r="CU22" s="1278"/>
      <c r="CV22" s="1278"/>
      <c r="CW22" s="1278"/>
      <c r="CX22" s="1278"/>
      <c r="CY22" s="1278"/>
      <c r="CZ22" s="1278"/>
      <c r="DA22" s="1278"/>
      <c r="DB22" s="1278"/>
      <c r="DC22" s="1278"/>
      <c r="DD22" s="1278"/>
      <c r="DE22" s="1278"/>
      <c r="DF22" s="1278"/>
      <c r="DG22" s="1278"/>
      <c r="DH22" s="1278"/>
      <c r="DI22" s="1278"/>
      <c r="DJ22" s="1278"/>
      <c r="DK22" s="1278"/>
      <c r="DL22" s="1278"/>
      <c r="DM22" s="1278"/>
      <c r="DN22" s="1278"/>
      <c r="DO22" s="1278"/>
      <c r="DP22" s="1278"/>
      <c r="DQ22" s="55"/>
      <c r="DR22" s="55"/>
      <c r="DS22" s="313"/>
      <c r="DT22" s="311"/>
      <c r="DU22" s="305"/>
      <c r="DV22" s="305"/>
      <c r="DW22" s="126"/>
      <c r="DX22" s="126"/>
      <c r="DY22" s="126"/>
      <c r="DZ22" s="126"/>
      <c r="EA22" s="126"/>
      <c r="EB22" s="126"/>
      <c r="EC22" s="126"/>
      <c r="ED22" s="126"/>
      <c r="EE22" s="126"/>
      <c r="EF22" s="127"/>
    </row>
    <row r="23" spans="2:136" ht="30" customHeight="1">
      <c r="B23" s="312"/>
      <c r="C23" s="190"/>
      <c r="D23" s="1210" t="str">
        <f ca="1">INDIRECT($J$4&amp;"!C24")</f>
        <v>Name, prename</v>
      </c>
      <c r="E23" s="1210"/>
      <c r="F23" s="1210"/>
      <c r="G23" s="1210"/>
      <c r="H23" s="1210"/>
      <c r="I23" s="1210"/>
      <c r="J23" s="1210"/>
      <c r="K23" s="1210"/>
      <c r="L23" s="1210"/>
      <c r="M23" s="1210"/>
      <c r="N23" s="1210"/>
      <c r="O23" s="1210"/>
      <c r="P23" s="1210"/>
      <c r="Q23" s="1210"/>
      <c r="R23" s="1210"/>
      <c r="S23" s="873"/>
      <c r="T23" s="874"/>
      <c r="U23" s="874"/>
      <c r="V23" s="874"/>
      <c r="W23" s="925" t="str">
        <f ca="1">INDIRECT($J$4&amp;"!C25")</f>
        <v>Department/function   Contact data</v>
      </c>
      <c r="X23" s="874"/>
      <c r="Y23" s="874"/>
      <c r="Z23" s="874"/>
      <c r="AA23" s="874"/>
      <c r="AB23" s="874"/>
      <c r="AC23" s="874"/>
      <c r="AD23" s="874"/>
      <c r="AE23" s="874"/>
      <c r="AF23" s="874"/>
      <c r="AG23" s="874"/>
      <c r="AH23" s="874"/>
      <c r="AI23" s="874"/>
      <c r="AJ23" s="874"/>
      <c r="AK23" s="874"/>
      <c r="AL23" s="874"/>
      <c r="AM23" s="874"/>
      <c r="AN23" s="874"/>
      <c r="AO23" s="874"/>
      <c r="AP23" s="874"/>
      <c r="AQ23" s="874"/>
      <c r="AR23" s="874"/>
      <c r="AS23" s="874"/>
      <c r="AT23" s="874"/>
      <c r="AU23" s="874"/>
      <c r="AV23" s="874"/>
      <c r="AW23" s="874"/>
      <c r="AX23" s="874"/>
      <c r="AY23" s="874"/>
      <c r="AZ23" s="874"/>
      <c r="BA23" s="874"/>
      <c r="BB23" s="874"/>
      <c r="BC23" s="874"/>
      <c r="BD23" s="874"/>
      <c r="BE23" s="874"/>
      <c r="BF23" s="874"/>
      <c r="BG23" s="874"/>
      <c r="BH23" s="874"/>
      <c r="BI23" s="677"/>
      <c r="BJ23" s="677"/>
      <c r="BK23" s="1210" t="str">
        <f ca="1">INDIRECT($J$4&amp;"!C24")</f>
        <v>Name, prename</v>
      </c>
      <c r="BL23" s="1210"/>
      <c r="BM23" s="1210"/>
      <c r="BN23" s="1210"/>
      <c r="BO23" s="1210"/>
      <c r="BP23" s="1210"/>
      <c r="BQ23" s="1210"/>
      <c r="BR23" s="1210"/>
      <c r="BS23" s="1210"/>
      <c r="BT23" s="1210"/>
      <c r="BU23" s="1210"/>
      <c r="BV23" s="1210"/>
      <c r="BW23" s="1210"/>
      <c r="BX23" s="1210"/>
      <c r="BY23" s="1210"/>
      <c r="BZ23" s="677"/>
      <c r="CB23" s="862"/>
      <c r="CC23" s="862"/>
      <c r="CD23" s="1805" t="str">
        <f ca="1">INDIRECT($J$4&amp;"!C25")</f>
        <v>Department/function   Contact data</v>
      </c>
      <c r="CE23" s="1805"/>
      <c r="CF23" s="1805"/>
      <c r="CG23" s="1805"/>
      <c r="CH23" s="1805"/>
      <c r="CI23" s="1805"/>
      <c r="CJ23" s="1805"/>
      <c r="CK23" s="1805"/>
      <c r="CL23" s="1805"/>
      <c r="CM23" s="1805"/>
      <c r="CN23" s="1805"/>
      <c r="CO23" s="1805"/>
      <c r="CP23" s="1805"/>
      <c r="CQ23" s="1805"/>
      <c r="CR23" s="1805"/>
      <c r="CS23" s="1805"/>
      <c r="CT23" s="1805"/>
      <c r="CU23" s="1805"/>
      <c r="CV23" s="1805"/>
      <c r="CW23" s="1805"/>
      <c r="CX23" s="1805"/>
      <c r="CY23" s="365"/>
      <c r="CZ23" s="365"/>
      <c r="DA23" s="365"/>
      <c r="DB23" s="365"/>
      <c r="DC23" s="365"/>
      <c r="DD23" s="365"/>
      <c r="DE23" s="365"/>
      <c r="DF23" s="365"/>
      <c r="DG23" s="365"/>
      <c r="DH23" s="365"/>
      <c r="DI23" s="365"/>
      <c r="DJ23" s="365"/>
      <c r="DK23" s="365"/>
      <c r="DL23" s="365"/>
      <c r="DM23" s="365"/>
      <c r="DN23" s="365"/>
      <c r="DO23" s="875"/>
      <c r="DP23" s="365"/>
      <c r="DQ23" s="365"/>
      <c r="DR23" s="365"/>
      <c r="DS23" s="501"/>
      <c r="DT23" s="311"/>
      <c r="DU23" s="305"/>
      <c r="DV23" s="305"/>
      <c r="DW23" s="126"/>
      <c r="DX23" s="126"/>
      <c r="DY23" s="126"/>
      <c r="DZ23" s="126"/>
      <c r="EA23" s="126"/>
      <c r="EB23" s="126"/>
      <c r="EC23" s="126"/>
      <c r="ED23" s="126"/>
      <c r="EE23" s="126"/>
      <c r="EF23" s="127"/>
    </row>
    <row r="24" spans="2:136" ht="35.25" customHeight="1">
      <c r="B24" s="312"/>
      <c r="C24" s="378"/>
      <c r="D24" s="1979" t="str">
        <f>IF('D1-D2-D3'!D22="","",'D1-D2-D3'!D22)</f>
        <v/>
      </c>
      <c r="E24" s="1980"/>
      <c r="F24" s="1980"/>
      <c r="G24" s="1980"/>
      <c r="H24" s="1980"/>
      <c r="I24" s="1980"/>
      <c r="J24" s="1980"/>
      <c r="K24" s="1980"/>
      <c r="L24" s="1980"/>
      <c r="M24" s="1980"/>
      <c r="N24" s="1980"/>
      <c r="O24" s="1980"/>
      <c r="P24" s="1980"/>
      <c r="Q24" s="1980"/>
      <c r="R24" s="1981"/>
      <c r="S24" s="1979" t="str">
        <f>IF('D1-D2-D3'!S22="","",'D1-D2-D3'!S22)</f>
        <v/>
      </c>
      <c r="T24" s="1980"/>
      <c r="U24" s="1980"/>
      <c r="V24" s="1980"/>
      <c r="W24" s="1980"/>
      <c r="X24" s="1980"/>
      <c r="Y24" s="1980"/>
      <c r="Z24" s="1980"/>
      <c r="AA24" s="1980"/>
      <c r="AB24" s="1980"/>
      <c r="AC24" s="1980"/>
      <c r="AD24" s="1980"/>
      <c r="AE24" s="1980"/>
      <c r="AF24" s="1980"/>
      <c r="AG24" s="1980"/>
      <c r="AH24" s="1981"/>
      <c r="AI24" s="1982" t="str">
        <f>IF('D1-D2-D3'!AI22="","",'D1-D2-D3'!AI22)</f>
        <v/>
      </c>
      <c r="AJ24" s="1983"/>
      <c r="AK24" s="1983"/>
      <c r="AL24" s="1983"/>
      <c r="AM24" s="1983"/>
      <c r="AN24" s="1983"/>
      <c r="AO24" s="1983"/>
      <c r="AP24" s="1983"/>
      <c r="AQ24" s="1983"/>
      <c r="AR24" s="1983"/>
      <c r="AS24" s="1983"/>
      <c r="AT24" s="1983"/>
      <c r="AU24" s="1983"/>
      <c r="AV24" s="1983"/>
      <c r="AW24" s="1983"/>
      <c r="AX24" s="1983"/>
      <c r="AY24" s="1983"/>
      <c r="AZ24" s="1983"/>
      <c r="BA24" s="1983"/>
      <c r="BB24" s="1983"/>
      <c r="BC24" s="1983"/>
      <c r="BD24" s="1983"/>
      <c r="BE24" s="1983"/>
      <c r="BF24" s="1983"/>
      <c r="BG24" s="1983"/>
      <c r="BH24" s="1984"/>
      <c r="BI24" s="398"/>
      <c r="BJ24" s="365"/>
      <c r="BK24" s="365"/>
      <c r="BL24" s="1979" t="str">
        <f>IF('D1-D2-D3'!BL22="","",'D1-D2-D3'!BL22)</f>
        <v/>
      </c>
      <c r="BM24" s="1980"/>
      <c r="BN24" s="1980"/>
      <c r="BO24" s="1980"/>
      <c r="BP24" s="1980"/>
      <c r="BQ24" s="1980"/>
      <c r="BR24" s="1980"/>
      <c r="BS24" s="1980"/>
      <c r="BT24" s="1980"/>
      <c r="BU24" s="1980"/>
      <c r="BV24" s="1980"/>
      <c r="BW24" s="1980"/>
      <c r="BX24" s="1980"/>
      <c r="BY24" s="1980"/>
      <c r="BZ24" s="1981"/>
      <c r="CA24" s="2050" t="str">
        <f>IF('D1-D2-D3'!CA22="","",'D1-D2-D3'!CA22)</f>
        <v/>
      </c>
      <c r="CB24" s="2051"/>
      <c r="CC24" s="2051"/>
      <c r="CD24" s="2051"/>
      <c r="CE24" s="2051"/>
      <c r="CF24" s="2051"/>
      <c r="CG24" s="2051"/>
      <c r="CH24" s="2051"/>
      <c r="CI24" s="2051"/>
      <c r="CJ24" s="2051"/>
      <c r="CK24" s="2051"/>
      <c r="CL24" s="2051"/>
      <c r="CM24" s="2051"/>
      <c r="CN24" s="2051"/>
      <c r="CO24" s="2051"/>
      <c r="CP24" s="2052"/>
      <c r="CQ24" s="1982" t="str">
        <f>IF('D1-D2-D3'!CQ22="","",'D1-D2-D3'!CQ22)</f>
        <v/>
      </c>
      <c r="CR24" s="1983"/>
      <c r="CS24" s="1983"/>
      <c r="CT24" s="1983"/>
      <c r="CU24" s="1983"/>
      <c r="CV24" s="1983"/>
      <c r="CW24" s="1983"/>
      <c r="CX24" s="1983"/>
      <c r="CY24" s="1983"/>
      <c r="CZ24" s="1983"/>
      <c r="DA24" s="1983"/>
      <c r="DB24" s="1983"/>
      <c r="DC24" s="1983"/>
      <c r="DD24" s="1983"/>
      <c r="DE24" s="1983"/>
      <c r="DF24" s="1983"/>
      <c r="DG24" s="1983"/>
      <c r="DH24" s="1983"/>
      <c r="DI24" s="1983"/>
      <c r="DJ24" s="1983"/>
      <c r="DK24" s="1983"/>
      <c r="DL24" s="1983"/>
      <c r="DM24" s="1983"/>
      <c r="DN24" s="1983"/>
      <c r="DO24" s="1983"/>
      <c r="DP24" s="1983"/>
      <c r="DQ24" s="1983"/>
      <c r="DR24" s="1984"/>
      <c r="DS24" s="305"/>
      <c r="DT24" s="311"/>
      <c r="DU24" s="305"/>
      <c r="DV24" s="305"/>
      <c r="DW24" s="126"/>
      <c r="DX24" s="126"/>
      <c r="DY24" s="126"/>
      <c r="DZ24" s="126"/>
      <c r="EA24" s="126"/>
      <c r="EB24" s="126"/>
      <c r="EC24" s="126"/>
      <c r="ED24" s="126"/>
      <c r="EE24" s="126"/>
      <c r="EF24" s="127"/>
    </row>
    <row r="25" spans="2:136" ht="6" customHeight="1">
      <c r="B25" s="312"/>
      <c r="C25" s="190"/>
      <c r="D25" s="365"/>
      <c r="E25" s="365"/>
      <c r="F25" s="365"/>
      <c r="G25" s="365"/>
      <c r="H25" s="365"/>
      <c r="I25" s="365"/>
      <c r="J25" s="365"/>
      <c r="K25" s="365"/>
      <c r="L25" s="365"/>
      <c r="M25" s="365"/>
      <c r="N25" s="365"/>
      <c r="O25" s="365"/>
      <c r="P25" s="365"/>
      <c r="Q25" s="365"/>
      <c r="R25" s="365"/>
      <c r="S25" s="365"/>
      <c r="T25" s="365"/>
      <c r="U25" s="365"/>
      <c r="V25" s="365"/>
      <c r="W25" s="365"/>
      <c r="X25" s="365"/>
      <c r="Y25" s="365"/>
      <c r="Z25" s="365"/>
      <c r="AA25" s="365"/>
      <c r="AB25" s="365"/>
      <c r="AC25" s="365"/>
      <c r="AD25" s="365"/>
      <c r="AE25" s="365"/>
      <c r="AF25" s="365"/>
      <c r="AG25" s="365"/>
      <c r="AH25" s="365"/>
      <c r="AI25" s="365"/>
      <c r="AJ25" s="365"/>
      <c r="AK25" s="365"/>
      <c r="AL25" s="365"/>
      <c r="AM25" s="365"/>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98"/>
      <c r="BJ25" s="365"/>
      <c r="BK25" s="365"/>
      <c r="BL25" s="365"/>
      <c r="BM25" s="365"/>
      <c r="BN25" s="365"/>
      <c r="BO25" s="365"/>
      <c r="BP25" s="365"/>
      <c r="BQ25" s="365"/>
      <c r="BR25" s="365"/>
      <c r="BS25" s="365"/>
      <c r="BT25" s="365"/>
      <c r="BU25" s="365"/>
      <c r="BV25" s="365"/>
      <c r="BW25" s="365"/>
      <c r="BX25" s="365"/>
      <c r="BY25" s="365"/>
      <c r="BZ25" s="365"/>
      <c r="CA25" s="365"/>
      <c r="CB25" s="365"/>
      <c r="CC25" s="365"/>
      <c r="CD25" s="365"/>
      <c r="CE25" s="365"/>
      <c r="CF25" s="365"/>
      <c r="CG25" s="365"/>
      <c r="CH25" s="365"/>
      <c r="CI25" s="365"/>
      <c r="CJ25" s="365"/>
      <c r="CK25" s="365"/>
      <c r="CL25" s="365"/>
      <c r="CM25" s="365"/>
      <c r="CN25" s="365"/>
      <c r="CO25" s="365"/>
      <c r="CP25" s="365"/>
      <c r="CQ25" s="365"/>
      <c r="CR25" s="365"/>
      <c r="CS25" s="365"/>
      <c r="CT25" s="365"/>
      <c r="CU25" s="365"/>
      <c r="CV25" s="365"/>
      <c r="CW25" s="365"/>
      <c r="CX25" s="365"/>
      <c r="CY25" s="365"/>
      <c r="CZ25" s="365"/>
      <c r="DA25" s="365"/>
      <c r="DB25" s="365"/>
      <c r="DC25" s="365"/>
      <c r="DD25" s="365"/>
      <c r="DE25" s="365"/>
      <c r="DF25" s="365"/>
      <c r="DG25" s="365"/>
      <c r="DH25" s="365"/>
      <c r="DI25" s="365"/>
      <c r="DJ25" s="365"/>
      <c r="DK25" s="365"/>
      <c r="DL25" s="365"/>
      <c r="DM25" s="365"/>
      <c r="DN25" s="365"/>
      <c r="DO25" s="365"/>
      <c r="DP25" s="365"/>
      <c r="DQ25" s="365"/>
      <c r="DR25" s="365"/>
      <c r="DS25" s="88"/>
      <c r="DT25" s="311"/>
      <c r="DU25" s="305"/>
      <c r="DV25" s="305"/>
      <c r="DW25" s="126"/>
      <c r="DX25" s="126"/>
      <c r="DY25" s="126"/>
      <c r="DZ25" s="126"/>
      <c r="EA25" s="126"/>
      <c r="EB25" s="126"/>
      <c r="EC25" s="126"/>
      <c r="ED25" s="126"/>
      <c r="EE25" s="126"/>
      <c r="EF25" s="127"/>
    </row>
    <row r="26" spans="2:136" ht="30" customHeight="1">
      <c r="B26" s="312"/>
      <c r="C26" s="390"/>
      <c r="D26" s="1105" t="str">
        <f ca="1">INDIRECT($J$4&amp;"!C27")</f>
        <v>Members</v>
      </c>
      <c r="E26" s="1105"/>
      <c r="F26" s="1105"/>
      <c r="G26" s="1105"/>
      <c r="H26" s="1105"/>
      <c r="I26" s="1105"/>
      <c r="J26" s="1105"/>
      <c r="K26" s="1105"/>
      <c r="L26" s="1105"/>
      <c r="M26" s="1105"/>
      <c r="N26" s="1105"/>
      <c r="O26" s="1105"/>
      <c r="P26" s="1105"/>
      <c r="Q26" s="1105"/>
      <c r="R26" s="1105"/>
      <c r="S26" s="1105"/>
      <c r="T26" s="1105"/>
      <c r="U26" s="1105"/>
      <c r="V26" s="1105"/>
      <c r="W26" s="1105"/>
      <c r="X26" s="1105"/>
      <c r="Y26" s="1105"/>
      <c r="Z26" s="1105"/>
      <c r="AA26" s="1105"/>
      <c r="AB26" s="1105"/>
      <c r="AC26" s="1105"/>
      <c r="AD26" s="1105"/>
      <c r="AE26" s="1105"/>
      <c r="AF26" s="1105"/>
      <c r="AG26" s="1105"/>
      <c r="AH26" s="1105"/>
      <c r="AI26" s="1105"/>
      <c r="AJ26" s="1105"/>
      <c r="AK26" s="1105"/>
      <c r="AL26" s="1105"/>
      <c r="AM26" s="1105"/>
      <c r="AN26" s="1105"/>
      <c r="AO26" s="1105"/>
      <c r="AP26" s="1105"/>
      <c r="AQ26" s="1105"/>
      <c r="AR26" s="1105"/>
      <c r="AS26" s="1105"/>
      <c r="AT26" s="1105"/>
      <c r="AU26" s="1105"/>
      <c r="AV26" s="1105"/>
      <c r="AW26" s="1105"/>
      <c r="AX26" s="1105"/>
      <c r="AY26" s="1105"/>
      <c r="AZ26" s="1105"/>
      <c r="BA26" s="1105"/>
      <c r="BB26" s="1105"/>
      <c r="BC26" s="1105"/>
      <c r="BD26" s="1105"/>
      <c r="BE26" s="1105"/>
      <c r="BF26" s="1105"/>
      <c r="BG26" s="1105"/>
      <c r="BH26" s="1105"/>
      <c r="BI26" s="1105"/>
      <c r="BJ26" s="1105"/>
      <c r="BK26" s="1105"/>
      <c r="BL26" s="1105"/>
      <c r="BM26" s="1105"/>
      <c r="BN26" s="1105"/>
      <c r="BO26" s="1105"/>
      <c r="BP26" s="1105"/>
      <c r="BQ26" s="1105"/>
      <c r="BR26" s="1105"/>
      <c r="BS26" s="1105"/>
      <c r="BT26" s="1105"/>
      <c r="BU26" s="1105"/>
      <c r="BV26" s="1105"/>
      <c r="BW26" s="1105"/>
      <c r="BX26" s="1105"/>
      <c r="BY26" s="1105"/>
      <c r="BZ26" s="1105"/>
      <c r="CA26" s="1105"/>
      <c r="CB26" s="1105"/>
      <c r="CC26" s="1105"/>
      <c r="CD26" s="1105"/>
      <c r="CE26" s="1105"/>
      <c r="CF26" s="1105"/>
      <c r="CG26" s="1105"/>
      <c r="CH26" s="1105"/>
      <c r="CI26" s="1105"/>
      <c r="CJ26" s="1105"/>
      <c r="CK26" s="1105"/>
      <c r="CL26" s="1105"/>
      <c r="CM26" s="1105"/>
      <c r="CN26" s="1105"/>
      <c r="CO26" s="1105"/>
      <c r="CP26" s="1105"/>
      <c r="CQ26" s="1105"/>
      <c r="CR26" s="1105"/>
      <c r="CS26" s="1105"/>
      <c r="CT26" s="1105"/>
      <c r="CU26" s="1105"/>
      <c r="CV26" s="1105"/>
      <c r="CW26" s="1105"/>
      <c r="CX26" s="1105"/>
      <c r="CY26" s="1105"/>
      <c r="CZ26" s="1105"/>
      <c r="DA26" s="1105"/>
      <c r="DB26" s="1105"/>
      <c r="DC26" s="1105"/>
      <c r="DD26" s="1105"/>
      <c r="DE26" s="1105"/>
      <c r="DF26" s="1105"/>
      <c r="DG26" s="1105"/>
      <c r="DH26" s="1105"/>
      <c r="DI26" s="1105"/>
      <c r="DJ26" s="1105"/>
      <c r="DK26" s="1105"/>
      <c r="DL26" s="1105"/>
      <c r="DM26" s="1105"/>
      <c r="DN26" s="1105"/>
      <c r="DO26" s="1105"/>
      <c r="DP26" s="1105"/>
      <c r="DQ26" s="408"/>
      <c r="DR26" s="408"/>
      <c r="DS26" s="709"/>
      <c r="DT26" s="311"/>
      <c r="DU26" s="305"/>
      <c r="DV26" s="305"/>
      <c r="DW26" s="126"/>
      <c r="DX26" s="126"/>
      <c r="DY26" s="126"/>
      <c r="DZ26" s="126"/>
      <c r="EA26" s="126"/>
      <c r="EB26" s="126"/>
      <c r="EC26" s="126"/>
      <c r="ED26" s="126"/>
      <c r="EE26" s="126"/>
      <c r="EF26" s="127"/>
    </row>
    <row r="27" spans="2:136" ht="6" customHeight="1">
      <c r="B27" s="312"/>
      <c r="C27" s="190"/>
      <c r="D27" s="191"/>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0"/>
      <c r="AP27" s="365"/>
      <c r="AQ27" s="365"/>
      <c r="AR27" s="365"/>
      <c r="AS27" s="190"/>
      <c r="AT27" s="398"/>
      <c r="AU27" s="398"/>
      <c r="AV27" s="398"/>
      <c r="AW27" s="398"/>
      <c r="AX27" s="398"/>
      <c r="AY27" s="398"/>
      <c r="AZ27" s="398"/>
      <c r="BA27" s="398"/>
      <c r="BB27" s="398"/>
      <c r="BC27" s="398"/>
      <c r="BD27" s="398"/>
      <c r="BE27" s="398"/>
      <c r="BF27" s="398"/>
      <c r="BG27" s="398"/>
      <c r="BH27" s="398"/>
      <c r="BI27" s="398"/>
      <c r="BJ27" s="365"/>
      <c r="BK27" s="365"/>
      <c r="BL27" s="365"/>
      <c r="BM27" s="365"/>
      <c r="BN27" s="365"/>
      <c r="BO27" s="365"/>
      <c r="BP27" s="365"/>
      <c r="BQ27" s="365"/>
      <c r="BR27" s="365"/>
      <c r="BS27" s="365"/>
      <c r="BT27" s="365"/>
      <c r="BU27" s="365"/>
      <c r="BV27" s="365"/>
      <c r="BW27" s="365"/>
      <c r="BX27" s="365"/>
      <c r="BY27" s="365"/>
      <c r="BZ27" s="365"/>
      <c r="CA27" s="365"/>
      <c r="CB27" s="365"/>
      <c r="CC27" s="365"/>
      <c r="CD27" s="365"/>
      <c r="CE27" s="365"/>
      <c r="CF27" s="365"/>
      <c r="CG27" s="365"/>
      <c r="CH27" s="365"/>
      <c r="CI27" s="365"/>
      <c r="CJ27" s="365"/>
      <c r="CK27" s="365"/>
      <c r="CL27" s="365"/>
      <c r="CM27" s="365"/>
      <c r="CN27" s="365"/>
      <c r="CO27" s="365"/>
      <c r="CP27" s="365"/>
      <c r="CQ27" s="365"/>
      <c r="CR27" s="365"/>
      <c r="CS27" s="365"/>
      <c r="CT27" s="365"/>
      <c r="CU27" s="365"/>
      <c r="CV27" s="365"/>
      <c r="CW27" s="365"/>
      <c r="CX27" s="365"/>
      <c r="CY27" s="365"/>
      <c r="CZ27" s="365"/>
      <c r="DA27" s="365"/>
      <c r="DB27" s="365"/>
      <c r="DC27" s="365"/>
      <c r="DD27" s="365"/>
      <c r="DE27" s="365"/>
      <c r="DF27" s="365"/>
      <c r="DG27" s="365"/>
      <c r="DH27" s="365"/>
      <c r="DI27" s="365"/>
      <c r="DJ27" s="365"/>
      <c r="DK27" s="365"/>
      <c r="DL27" s="365"/>
      <c r="DM27" s="365"/>
      <c r="DN27" s="365"/>
      <c r="DO27" s="365"/>
      <c r="DP27" s="365"/>
      <c r="DQ27" s="365"/>
      <c r="DR27" s="365"/>
      <c r="DS27" s="88"/>
      <c r="DT27" s="311"/>
      <c r="DU27" s="305"/>
      <c r="DV27" s="305"/>
      <c r="DW27" s="126"/>
      <c r="DX27" s="126"/>
      <c r="DY27" s="126"/>
      <c r="DZ27" s="126"/>
      <c r="EA27" s="126"/>
      <c r="EB27" s="126"/>
      <c r="EC27" s="126"/>
      <c r="ED27" s="126"/>
      <c r="EE27" s="126"/>
      <c r="EF27" s="127"/>
    </row>
    <row r="28" spans="2:136" ht="35.25" customHeight="1">
      <c r="B28" s="312"/>
      <c r="C28" s="405"/>
      <c r="D28" s="1979" t="str">
        <f>IF('D1-D2-D3'!D26="","",'D1-D2-D3'!D26)</f>
        <v/>
      </c>
      <c r="E28" s="1980"/>
      <c r="F28" s="1980"/>
      <c r="G28" s="1980"/>
      <c r="H28" s="1980"/>
      <c r="I28" s="1980"/>
      <c r="J28" s="1980"/>
      <c r="K28" s="1980"/>
      <c r="L28" s="1980"/>
      <c r="M28" s="1980"/>
      <c r="N28" s="1980"/>
      <c r="O28" s="1980"/>
      <c r="P28" s="1980"/>
      <c r="Q28" s="1980"/>
      <c r="R28" s="1981"/>
      <c r="S28" s="1979" t="str">
        <f>IF('D1-D2-D3'!S26="","",'D1-D2-D3'!S26)</f>
        <v/>
      </c>
      <c r="T28" s="1980"/>
      <c r="U28" s="1980"/>
      <c r="V28" s="1980"/>
      <c r="W28" s="1980"/>
      <c r="X28" s="1980"/>
      <c r="Y28" s="1980"/>
      <c r="Z28" s="1980"/>
      <c r="AA28" s="1980"/>
      <c r="AB28" s="1980"/>
      <c r="AC28" s="1980"/>
      <c r="AD28" s="1980"/>
      <c r="AE28" s="1980"/>
      <c r="AF28" s="1980"/>
      <c r="AG28" s="1980"/>
      <c r="AH28" s="1981"/>
      <c r="AI28" s="1982" t="str">
        <f>IF('D1-D2-D3'!AI26="","",'D1-D2-D3'!AI26)</f>
        <v/>
      </c>
      <c r="AJ28" s="1983"/>
      <c r="AK28" s="1983"/>
      <c r="AL28" s="1983"/>
      <c r="AM28" s="1983"/>
      <c r="AN28" s="1983"/>
      <c r="AO28" s="1983"/>
      <c r="AP28" s="1983"/>
      <c r="AQ28" s="1983"/>
      <c r="AR28" s="1983"/>
      <c r="AS28" s="1983"/>
      <c r="AT28" s="1983"/>
      <c r="AU28" s="1983"/>
      <c r="AV28" s="1983"/>
      <c r="AW28" s="1983"/>
      <c r="AX28" s="1983"/>
      <c r="AY28" s="1983"/>
      <c r="AZ28" s="1983"/>
      <c r="BA28" s="1983"/>
      <c r="BB28" s="1983"/>
      <c r="BC28" s="1983"/>
      <c r="BD28" s="1983"/>
      <c r="BE28" s="1983"/>
      <c r="BF28" s="1983"/>
      <c r="BG28" s="1983"/>
      <c r="BH28" s="1984"/>
      <c r="BI28" s="365"/>
      <c r="BJ28" s="365"/>
      <c r="BK28" s="365"/>
      <c r="BL28" s="1979" t="str">
        <f>IF('D1-D2-D3'!BL26="","",'D1-D2-D3'!BL26)</f>
        <v/>
      </c>
      <c r="BM28" s="1980"/>
      <c r="BN28" s="1980"/>
      <c r="BO28" s="1980"/>
      <c r="BP28" s="1980"/>
      <c r="BQ28" s="1980"/>
      <c r="BR28" s="1980"/>
      <c r="BS28" s="1980"/>
      <c r="BT28" s="1980"/>
      <c r="BU28" s="1980"/>
      <c r="BV28" s="1980"/>
      <c r="BW28" s="1980"/>
      <c r="BX28" s="1980"/>
      <c r="BY28" s="1980"/>
      <c r="BZ28" s="1981"/>
      <c r="CA28" s="1979" t="str">
        <f>IF('D1-D2-D3'!CA26="","",'D1-D2-D3'!CA26)</f>
        <v/>
      </c>
      <c r="CB28" s="1980"/>
      <c r="CC28" s="1980"/>
      <c r="CD28" s="1980"/>
      <c r="CE28" s="1980"/>
      <c r="CF28" s="1980"/>
      <c r="CG28" s="1980"/>
      <c r="CH28" s="1980"/>
      <c r="CI28" s="1980"/>
      <c r="CJ28" s="1980"/>
      <c r="CK28" s="1980"/>
      <c r="CL28" s="1980"/>
      <c r="CM28" s="1980"/>
      <c r="CN28" s="1980"/>
      <c r="CO28" s="1980"/>
      <c r="CP28" s="1981"/>
      <c r="CQ28" s="1982" t="str">
        <f>IF('D1-D2-D3'!CQ26="","",'D1-D2-D3'!CQ26)</f>
        <v/>
      </c>
      <c r="CR28" s="1983"/>
      <c r="CS28" s="1983"/>
      <c r="CT28" s="1983"/>
      <c r="CU28" s="1983"/>
      <c r="CV28" s="1983"/>
      <c r="CW28" s="1983"/>
      <c r="CX28" s="1983"/>
      <c r="CY28" s="1983"/>
      <c r="CZ28" s="1983"/>
      <c r="DA28" s="1983"/>
      <c r="DB28" s="1983"/>
      <c r="DC28" s="1983"/>
      <c r="DD28" s="1983"/>
      <c r="DE28" s="1983"/>
      <c r="DF28" s="1983"/>
      <c r="DG28" s="1983"/>
      <c r="DH28" s="1983"/>
      <c r="DI28" s="1983"/>
      <c r="DJ28" s="1983"/>
      <c r="DK28" s="1983"/>
      <c r="DL28" s="1983"/>
      <c r="DM28" s="1983"/>
      <c r="DN28" s="1983"/>
      <c r="DO28" s="1983"/>
      <c r="DP28" s="1983"/>
      <c r="DQ28" s="1983"/>
      <c r="DR28" s="1984"/>
      <c r="DS28" s="214"/>
      <c r="DT28" s="311"/>
      <c r="DU28" s="305"/>
      <c r="DV28" s="305"/>
      <c r="DW28" s="126"/>
      <c r="DX28" s="126"/>
      <c r="DY28" s="126"/>
      <c r="DZ28" s="126"/>
      <c r="EA28" s="126"/>
      <c r="EB28" s="126"/>
      <c r="EC28" s="126"/>
      <c r="ED28" s="126"/>
      <c r="EE28" s="126"/>
      <c r="EF28" s="127"/>
    </row>
    <row r="29" spans="2:136" ht="35.25" customHeight="1">
      <c r="B29" s="312"/>
      <c r="C29" s="190"/>
      <c r="D29" s="1979" t="str">
        <f>IF('D1-D2-D3'!D27="","",'D1-D2-D3'!D27)</f>
        <v/>
      </c>
      <c r="E29" s="1980"/>
      <c r="F29" s="1980"/>
      <c r="G29" s="1980"/>
      <c r="H29" s="1980"/>
      <c r="I29" s="1980"/>
      <c r="J29" s="1980"/>
      <c r="K29" s="1980"/>
      <c r="L29" s="1980"/>
      <c r="M29" s="1980"/>
      <c r="N29" s="1980"/>
      <c r="O29" s="1980"/>
      <c r="P29" s="1980"/>
      <c r="Q29" s="1980"/>
      <c r="R29" s="1981"/>
      <c r="S29" s="1979" t="str">
        <f>IF('D1-D2-D3'!S27="","",'D1-D2-D3'!S27)</f>
        <v/>
      </c>
      <c r="T29" s="1980"/>
      <c r="U29" s="1980"/>
      <c r="V29" s="1980"/>
      <c r="W29" s="1980"/>
      <c r="X29" s="1980"/>
      <c r="Y29" s="1980"/>
      <c r="Z29" s="1980"/>
      <c r="AA29" s="1980"/>
      <c r="AB29" s="1980"/>
      <c r="AC29" s="1980"/>
      <c r="AD29" s="1980"/>
      <c r="AE29" s="1980"/>
      <c r="AF29" s="1980"/>
      <c r="AG29" s="1980"/>
      <c r="AH29" s="1981"/>
      <c r="AI29" s="1982" t="str">
        <f>IF('D1-D2-D3'!AI27="","",'D1-D2-D3'!AI27)</f>
        <v/>
      </c>
      <c r="AJ29" s="1983"/>
      <c r="AK29" s="1983"/>
      <c r="AL29" s="1983"/>
      <c r="AM29" s="1983"/>
      <c r="AN29" s="1983"/>
      <c r="AO29" s="1983"/>
      <c r="AP29" s="1983"/>
      <c r="AQ29" s="1983"/>
      <c r="AR29" s="1983"/>
      <c r="AS29" s="1983"/>
      <c r="AT29" s="1983"/>
      <c r="AU29" s="1983"/>
      <c r="AV29" s="1983"/>
      <c r="AW29" s="1983"/>
      <c r="AX29" s="1983"/>
      <c r="AY29" s="1983"/>
      <c r="AZ29" s="1983"/>
      <c r="BA29" s="1983"/>
      <c r="BB29" s="1983"/>
      <c r="BC29" s="1983"/>
      <c r="BD29" s="1983"/>
      <c r="BE29" s="1983"/>
      <c r="BF29" s="1983"/>
      <c r="BG29" s="1983"/>
      <c r="BH29" s="1984"/>
      <c r="BI29" s="398"/>
      <c r="BJ29" s="365"/>
      <c r="BK29" s="365"/>
      <c r="BL29" s="1979" t="str">
        <f>IF('D1-D2-D3'!BL27="","",'D1-D2-D3'!BL27)</f>
        <v/>
      </c>
      <c r="BM29" s="1980"/>
      <c r="BN29" s="1980"/>
      <c r="BO29" s="1980"/>
      <c r="BP29" s="1980"/>
      <c r="BQ29" s="1980"/>
      <c r="BR29" s="1980"/>
      <c r="BS29" s="1980"/>
      <c r="BT29" s="1980"/>
      <c r="BU29" s="1980"/>
      <c r="BV29" s="1980"/>
      <c r="BW29" s="1980"/>
      <c r="BX29" s="1980"/>
      <c r="BY29" s="1980"/>
      <c r="BZ29" s="1981"/>
      <c r="CA29" s="1979" t="str">
        <f>IF('D1-D2-D3'!CA27="","",'D1-D2-D3'!CA27)</f>
        <v/>
      </c>
      <c r="CB29" s="1980"/>
      <c r="CC29" s="1980"/>
      <c r="CD29" s="1980"/>
      <c r="CE29" s="1980"/>
      <c r="CF29" s="1980"/>
      <c r="CG29" s="1980"/>
      <c r="CH29" s="1980"/>
      <c r="CI29" s="1980"/>
      <c r="CJ29" s="1980"/>
      <c r="CK29" s="1980"/>
      <c r="CL29" s="1980"/>
      <c r="CM29" s="1980"/>
      <c r="CN29" s="1980"/>
      <c r="CO29" s="1980"/>
      <c r="CP29" s="1981"/>
      <c r="CQ29" s="1982" t="str">
        <f>IF('D1-D2-D3'!CQ27="","",'D1-D2-D3'!CQ27)</f>
        <v/>
      </c>
      <c r="CR29" s="1983"/>
      <c r="CS29" s="1983"/>
      <c r="CT29" s="1983"/>
      <c r="CU29" s="1983"/>
      <c r="CV29" s="1983"/>
      <c r="CW29" s="1983"/>
      <c r="CX29" s="1983"/>
      <c r="CY29" s="1983"/>
      <c r="CZ29" s="1983"/>
      <c r="DA29" s="1983"/>
      <c r="DB29" s="1983"/>
      <c r="DC29" s="1983"/>
      <c r="DD29" s="1983"/>
      <c r="DE29" s="1983"/>
      <c r="DF29" s="1983"/>
      <c r="DG29" s="1983"/>
      <c r="DH29" s="1983"/>
      <c r="DI29" s="1983"/>
      <c r="DJ29" s="1983"/>
      <c r="DK29" s="1983"/>
      <c r="DL29" s="1983"/>
      <c r="DM29" s="1983"/>
      <c r="DN29" s="1983"/>
      <c r="DO29" s="1983"/>
      <c r="DP29" s="1983"/>
      <c r="DQ29" s="1983"/>
      <c r="DR29" s="1984"/>
      <c r="DS29" s="88"/>
      <c r="DT29" s="311"/>
      <c r="DU29" s="305"/>
      <c r="DV29" s="305"/>
      <c r="DW29" s="126"/>
      <c r="DX29" s="126"/>
      <c r="DY29" s="126"/>
      <c r="DZ29" s="126"/>
      <c r="EA29" s="126"/>
      <c r="EB29" s="126"/>
      <c r="EC29" s="126"/>
      <c r="ED29" s="126"/>
      <c r="EE29" s="126"/>
      <c r="EF29" s="127"/>
    </row>
    <row r="30" spans="2:136" ht="35.25" customHeight="1">
      <c r="B30" s="312"/>
      <c r="C30" s="190"/>
      <c r="D30" s="1979" t="str">
        <f>IF('D1-D2-D3'!D28="","",'D1-D2-D3'!D28)</f>
        <v/>
      </c>
      <c r="E30" s="1980"/>
      <c r="F30" s="1980"/>
      <c r="G30" s="1980"/>
      <c r="H30" s="1980"/>
      <c r="I30" s="1980"/>
      <c r="J30" s="1980"/>
      <c r="K30" s="1980"/>
      <c r="L30" s="1980"/>
      <c r="M30" s="1980"/>
      <c r="N30" s="1980"/>
      <c r="O30" s="1980"/>
      <c r="P30" s="1980"/>
      <c r="Q30" s="1980"/>
      <c r="R30" s="1981"/>
      <c r="S30" s="1979" t="str">
        <f>IF('D1-D2-D3'!S28="","",'D1-D2-D3'!S28)</f>
        <v/>
      </c>
      <c r="T30" s="1980"/>
      <c r="U30" s="1980"/>
      <c r="V30" s="1980"/>
      <c r="W30" s="1980"/>
      <c r="X30" s="1980"/>
      <c r="Y30" s="1980"/>
      <c r="Z30" s="1980"/>
      <c r="AA30" s="1980"/>
      <c r="AB30" s="1980"/>
      <c r="AC30" s="1980"/>
      <c r="AD30" s="1980"/>
      <c r="AE30" s="1980"/>
      <c r="AF30" s="1980"/>
      <c r="AG30" s="1980"/>
      <c r="AH30" s="1981"/>
      <c r="AI30" s="1982" t="str">
        <f>IF('D1-D2-D3'!AI28="","",'D1-D2-D3'!AI28)</f>
        <v/>
      </c>
      <c r="AJ30" s="1983"/>
      <c r="AK30" s="1983"/>
      <c r="AL30" s="1983"/>
      <c r="AM30" s="1983"/>
      <c r="AN30" s="1983"/>
      <c r="AO30" s="1983"/>
      <c r="AP30" s="1983"/>
      <c r="AQ30" s="1983"/>
      <c r="AR30" s="1983"/>
      <c r="AS30" s="1983"/>
      <c r="AT30" s="1983"/>
      <c r="AU30" s="1983"/>
      <c r="AV30" s="1983"/>
      <c r="AW30" s="1983"/>
      <c r="AX30" s="1983"/>
      <c r="AY30" s="1983"/>
      <c r="AZ30" s="1983"/>
      <c r="BA30" s="1983"/>
      <c r="BB30" s="1983"/>
      <c r="BC30" s="1983"/>
      <c r="BD30" s="1983"/>
      <c r="BE30" s="1983"/>
      <c r="BF30" s="1983"/>
      <c r="BG30" s="1983"/>
      <c r="BH30" s="1984"/>
      <c r="BI30" s="398"/>
      <c r="BJ30" s="365"/>
      <c r="BK30" s="365"/>
      <c r="BL30" s="1979" t="str">
        <f>IF('D1-D2-D3'!BL28="","",'D1-D2-D3'!BL28)</f>
        <v/>
      </c>
      <c r="BM30" s="1980"/>
      <c r="BN30" s="1980"/>
      <c r="BO30" s="1980"/>
      <c r="BP30" s="1980"/>
      <c r="BQ30" s="1980"/>
      <c r="BR30" s="1980"/>
      <c r="BS30" s="1980"/>
      <c r="BT30" s="1980"/>
      <c r="BU30" s="1980"/>
      <c r="BV30" s="1980"/>
      <c r="BW30" s="1980"/>
      <c r="BX30" s="1980"/>
      <c r="BY30" s="1980"/>
      <c r="BZ30" s="1981"/>
      <c r="CA30" s="1979" t="str">
        <f>IF('D1-D2-D3'!CA28="","",'D1-D2-D3'!CA28)</f>
        <v/>
      </c>
      <c r="CB30" s="1980"/>
      <c r="CC30" s="1980"/>
      <c r="CD30" s="1980"/>
      <c r="CE30" s="1980"/>
      <c r="CF30" s="1980"/>
      <c r="CG30" s="1980"/>
      <c r="CH30" s="1980"/>
      <c r="CI30" s="1980"/>
      <c r="CJ30" s="1980"/>
      <c r="CK30" s="1980"/>
      <c r="CL30" s="1980"/>
      <c r="CM30" s="1980"/>
      <c r="CN30" s="1980"/>
      <c r="CO30" s="1980"/>
      <c r="CP30" s="1981"/>
      <c r="CQ30" s="1982" t="str">
        <f>IF('D1-D2-D3'!CQ28="","",'D1-D2-D3'!CQ28)</f>
        <v/>
      </c>
      <c r="CR30" s="1983"/>
      <c r="CS30" s="1983"/>
      <c r="CT30" s="1983"/>
      <c r="CU30" s="1983"/>
      <c r="CV30" s="1983"/>
      <c r="CW30" s="1983"/>
      <c r="CX30" s="1983"/>
      <c r="CY30" s="1983"/>
      <c r="CZ30" s="1983"/>
      <c r="DA30" s="1983"/>
      <c r="DB30" s="1983"/>
      <c r="DC30" s="1983"/>
      <c r="DD30" s="1983"/>
      <c r="DE30" s="1983"/>
      <c r="DF30" s="1983"/>
      <c r="DG30" s="1983"/>
      <c r="DH30" s="1983"/>
      <c r="DI30" s="1983"/>
      <c r="DJ30" s="1983"/>
      <c r="DK30" s="1983"/>
      <c r="DL30" s="1983"/>
      <c r="DM30" s="1983"/>
      <c r="DN30" s="1983"/>
      <c r="DO30" s="1983"/>
      <c r="DP30" s="1983"/>
      <c r="DQ30" s="1983"/>
      <c r="DR30" s="1984"/>
      <c r="DS30" s="214"/>
      <c r="DT30" s="311"/>
      <c r="DU30" s="305"/>
      <c r="DV30" s="305"/>
      <c r="DW30" s="126"/>
      <c r="DX30" s="126"/>
      <c r="DY30" s="126"/>
      <c r="DZ30" s="126"/>
      <c r="EA30" s="126"/>
      <c r="EB30" s="126"/>
      <c r="EC30" s="126"/>
      <c r="ED30" s="126"/>
      <c r="EE30" s="126"/>
      <c r="EF30" s="127"/>
    </row>
    <row r="31" spans="2:136" ht="35.25" customHeight="1">
      <c r="B31" s="312"/>
      <c r="C31" s="190"/>
      <c r="D31" s="1979" t="str">
        <f>IF('D1-D2-D3'!D29="","",'D1-D2-D3'!D29)</f>
        <v/>
      </c>
      <c r="E31" s="1980"/>
      <c r="F31" s="1980"/>
      <c r="G31" s="1980"/>
      <c r="H31" s="1980"/>
      <c r="I31" s="1980"/>
      <c r="J31" s="1980"/>
      <c r="K31" s="1980"/>
      <c r="L31" s="1980"/>
      <c r="M31" s="1980"/>
      <c r="N31" s="1980"/>
      <c r="O31" s="1980"/>
      <c r="P31" s="1980"/>
      <c r="Q31" s="1980"/>
      <c r="R31" s="1981"/>
      <c r="S31" s="1979" t="str">
        <f>IF('D1-D2-D3'!S29="","",'D1-D2-D3'!S29)</f>
        <v/>
      </c>
      <c r="T31" s="1980"/>
      <c r="U31" s="1980"/>
      <c r="V31" s="1980"/>
      <c r="W31" s="1980"/>
      <c r="X31" s="1980"/>
      <c r="Y31" s="1980"/>
      <c r="Z31" s="1980"/>
      <c r="AA31" s="1980"/>
      <c r="AB31" s="1980"/>
      <c r="AC31" s="1980"/>
      <c r="AD31" s="1980"/>
      <c r="AE31" s="1980"/>
      <c r="AF31" s="1980"/>
      <c r="AG31" s="1980"/>
      <c r="AH31" s="1981"/>
      <c r="AI31" s="1982" t="str">
        <f>IF('D1-D2-D3'!AI29="","",'D1-D2-D3'!AI29)</f>
        <v/>
      </c>
      <c r="AJ31" s="1983"/>
      <c r="AK31" s="1983"/>
      <c r="AL31" s="1983"/>
      <c r="AM31" s="1983"/>
      <c r="AN31" s="1983"/>
      <c r="AO31" s="1983"/>
      <c r="AP31" s="1983"/>
      <c r="AQ31" s="1983"/>
      <c r="AR31" s="1983"/>
      <c r="AS31" s="1983"/>
      <c r="AT31" s="1983"/>
      <c r="AU31" s="1983"/>
      <c r="AV31" s="1983"/>
      <c r="AW31" s="1983"/>
      <c r="AX31" s="1983"/>
      <c r="AY31" s="1983"/>
      <c r="AZ31" s="1983"/>
      <c r="BA31" s="1983"/>
      <c r="BB31" s="1983"/>
      <c r="BC31" s="1983"/>
      <c r="BD31" s="1983"/>
      <c r="BE31" s="1983"/>
      <c r="BF31" s="1983"/>
      <c r="BG31" s="1983"/>
      <c r="BH31" s="1984"/>
      <c r="BI31" s="398"/>
      <c r="BJ31" s="365"/>
      <c r="BK31" s="365"/>
      <c r="BL31" s="1979" t="str">
        <f>IF('D1-D2-D3'!BL29="","",'D1-D2-D3'!BL29)</f>
        <v/>
      </c>
      <c r="BM31" s="1980"/>
      <c r="BN31" s="1980"/>
      <c r="BO31" s="1980"/>
      <c r="BP31" s="1980"/>
      <c r="BQ31" s="1980"/>
      <c r="BR31" s="1980"/>
      <c r="BS31" s="1980"/>
      <c r="BT31" s="1980"/>
      <c r="BU31" s="1980"/>
      <c r="BV31" s="1980"/>
      <c r="BW31" s="1980"/>
      <c r="BX31" s="1980"/>
      <c r="BY31" s="1980"/>
      <c r="BZ31" s="1981"/>
      <c r="CA31" s="1979" t="str">
        <f>IF('D1-D2-D3'!CA29="","",'D1-D2-D3'!CA29)</f>
        <v/>
      </c>
      <c r="CB31" s="1980"/>
      <c r="CC31" s="1980"/>
      <c r="CD31" s="1980"/>
      <c r="CE31" s="1980"/>
      <c r="CF31" s="1980"/>
      <c r="CG31" s="1980"/>
      <c r="CH31" s="1980"/>
      <c r="CI31" s="1980"/>
      <c r="CJ31" s="1980"/>
      <c r="CK31" s="1980"/>
      <c r="CL31" s="1980"/>
      <c r="CM31" s="1980"/>
      <c r="CN31" s="1980"/>
      <c r="CO31" s="1980"/>
      <c r="CP31" s="1981"/>
      <c r="CQ31" s="1982" t="str">
        <f>IF('D1-D2-D3'!CQ29="","",'D1-D2-D3'!CQ29)</f>
        <v/>
      </c>
      <c r="CR31" s="1983"/>
      <c r="CS31" s="1983"/>
      <c r="CT31" s="1983"/>
      <c r="CU31" s="1983"/>
      <c r="CV31" s="1983"/>
      <c r="CW31" s="1983"/>
      <c r="CX31" s="1983"/>
      <c r="CY31" s="1983"/>
      <c r="CZ31" s="1983"/>
      <c r="DA31" s="1983"/>
      <c r="DB31" s="1983"/>
      <c r="DC31" s="1983"/>
      <c r="DD31" s="1983"/>
      <c r="DE31" s="1983"/>
      <c r="DF31" s="1983"/>
      <c r="DG31" s="1983"/>
      <c r="DH31" s="1983"/>
      <c r="DI31" s="1983"/>
      <c r="DJ31" s="1983"/>
      <c r="DK31" s="1983"/>
      <c r="DL31" s="1983"/>
      <c r="DM31" s="1983"/>
      <c r="DN31" s="1983"/>
      <c r="DO31" s="1983"/>
      <c r="DP31" s="1983"/>
      <c r="DQ31" s="1983"/>
      <c r="DR31" s="1984"/>
      <c r="DS31" s="88"/>
      <c r="DT31" s="311"/>
      <c r="DU31" s="305"/>
      <c r="DV31" s="305"/>
      <c r="DW31" s="126"/>
      <c r="DX31" s="126"/>
      <c r="DY31" s="126"/>
      <c r="DZ31" s="126"/>
      <c r="EA31" s="126"/>
      <c r="EB31" s="126"/>
      <c r="EC31" s="126"/>
      <c r="ED31" s="126"/>
      <c r="EE31" s="126"/>
      <c r="EF31" s="127"/>
    </row>
    <row r="32" spans="2:136" ht="35.25" customHeight="1">
      <c r="B32" s="312"/>
      <c r="C32" s="190"/>
      <c r="D32" s="1979" t="str">
        <f>IF('D1-D2-D3'!D30="","",'D1-D2-D3'!D30)</f>
        <v/>
      </c>
      <c r="E32" s="1980"/>
      <c r="F32" s="1980"/>
      <c r="G32" s="1980"/>
      <c r="H32" s="1980"/>
      <c r="I32" s="1980"/>
      <c r="J32" s="1980"/>
      <c r="K32" s="1980"/>
      <c r="L32" s="1980"/>
      <c r="M32" s="1980"/>
      <c r="N32" s="1980"/>
      <c r="O32" s="1980"/>
      <c r="P32" s="1980"/>
      <c r="Q32" s="1980"/>
      <c r="R32" s="1981"/>
      <c r="S32" s="1979" t="str">
        <f>IF('D1-D2-D3'!S30="","",'D1-D2-D3'!S30)</f>
        <v/>
      </c>
      <c r="T32" s="1980"/>
      <c r="U32" s="1980"/>
      <c r="V32" s="1980"/>
      <c r="W32" s="1980"/>
      <c r="X32" s="1980"/>
      <c r="Y32" s="1980"/>
      <c r="Z32" s="1980"/>
      <c r="AA32" s="1980"/>
      <c r="AB32" s="1980"/>
      <c r="AC32" s="1980"/>
      <c r="AD32" s="1980"/>
      <c r="AE32" s="1980"/>
      <c r="AF32" s="1980"/>
      <c r="AG32" s="1980"/>
      <c r="AH32" s="1981"/>
      <c r="AI32" s="1982" t="str">
        <f>IF('D1-D2-D3'!AI30="","",'D1-D2-D3'!AI30)</f>
        <v/>
      </c>
      <c r="AJ32" s="1983"/>
      <c r="AK32" s="1983"/>
      <c r="AL32" s="1983"/>
      <c r="AM32" s="1983"/>
      <c r="AN32" s="1983"/>
      <c r="AO32" s="1983"/>
      <c r="AP32" s="1983"/>
      <c r="AQ32" s="1983"/>
      <c r="AR32" s="1983"/>
      <c r="AS32" s="1983"/>
      <c r="AT32" s="1983"/>
      <c r="AU32" s="1983"/>
      <c r="AV32" s="1983"/>
      <c r="AW32" s="1983"/>
      <c r="AX32" s="1983"/>
      <c r="AY32" s="1983"/>
      <c r="AZ32" s="1983"/>
      <c r="BA32" s="1983"/>
      <c r="BB32" s="1983"/>
      <c r="BC32" s="1983"/>
      <c r="BD32" s="1983"/>
      <c r="BE32" s="1983"/>
      <c r="BF32" s="1983"/>
      <c r="BG32" s="1983"/>
      <c r="BH32" s="1984"/>
      <c r="BI32" s="398"/>
      <c r="BJ32" s="365"/>
      <c r="BK32" s="365"/>
      <c r="BL32" s="1979" t="str">
        <f>IF('D1-D2-D3'!BL30="","",'D1-D2-D3'!BL30)</f>
        <v/>
      </c>
      <c r="BM32" s="1980"/>
      <c r="BN32" s="1980"/>
      <c r="BO32" s="1980"/>
      <c r="BP32" s="1980"/>
      <c r="BQ32" s="1980"/>
      <c r="BR32" s="1980"/>
      <c r="BS32" s="1980"/>
      <c r="BT32" s="1980"/>
      <c r="BU32" s="1980"/>
      <c r="BV32" s="1980"/>
      <c r="BW32" s="1980"/>
      <c r="BX32" s="1980"/>
      <c r="BY32" s="1980"/>
      <c r="BZ32" s="1981"/>
      <c r="CA32" s="1979" t="str">
        <f>IF('D1-D2-D3'!CA30="","",'D1-D2-D3'!CA30)</f>
        <v/>
      </c>
      <c r="CB32" s="1980"/>
      <c r="CC32" s="1980"/>
      <c r="CD32" s="1980"/>
      <c r="CE32" s="1980"/>
      <c r="CF32" s="1980"/>
      <c r="CG32" s="1980"/>
      <c r="CH32" s="1980"/>
      <c r="CI32" s="1980"/>
      <c r="CJ32" s="1980"/>
      <c r="CK32" s="1980"/>
      <c r="CL32" s="1980"/>
      <c r="CM32" s="1980"/>
      <c r="CN32" s="1980"/>
      <c r="CO32" s="1980"/>
      <c r="CP32" s="1981"/>
      <c r="CQ32" s="1982" t="str">
        <f>IF('D1-D2-D3'!CQ30="","",'D1-D2-D3'!CQ30)</f>
        <v/>
      </c>
      <c r="CR32" s="1983"/>
      <c r="CS32" s="1983"/>
      <c r="CT32" s="1983"/>
      <c r="CU32" s="1983"/>
      <c r="CV32" s="1983"/>
      <c r="CW32" s="1983"/>
      <c r="CX32" s="1983"/>
      <c r="CY32" s="1983"/>
      <c r="CZ32" s="1983"/>
      <c r="DA32" s="1983"/>
      <c r="DB32" s="1983"/>
      <c r="DC32" s="1983"/>
      <c r="DD32" s="1983"/>
      <c r="DE32" s="1983"/>
      <c r="DF32" s="1983"/>
      <c r="DG32" s="1983"/>
      <c r="DH32" s="1983"/>
      <c r="DI32" s="1983"/>
      <c r="DJ32" s="1983"/>
      <c r="DK32" s="1983"/>
      <c r="DL32" s="1983"/>
      <c r="DM32" s="1983"/>
      <c r="DN32" s="1983"/>
      <c r="DO32" s="1983"/>
      <c r="DP32" s="1983"/>
      <c r="DQ32" s="1983"/>
      <c r="DR32" s="1984"/>
      <c r="DS32" s="88"/>
      <c r="DT32" s="311"/>
      <c r="DU32" s="305"/>
      <c r="DV32" s="305"/>
      <c r="DW32" s="126"/>
      <c r="DX32" s="126"/>
      <c r="DY32" s="126"/>
      <c r="DZ32" s="126"/>
      <c r="EA32" s="126"/>
      <c r="EB32" s="126"/>
      <c r="EC32" s="126"/>
      <c r="ED32" s="126"/>
      <c r="EE32" s="126"/>
      <c r="EF32" s="127"/>
    </row>
    <row r="33" spans="2:136" ht="6" customHeight="1">
      <c r="B33" s="312"/>
      <c r="C33" s="190"/>
      <c r="D33" s="365"/>
      <c r="E33" s="365"/>
      <c r="F33" s="365"/>
      <c r="G33" s="365"/>
      <c r="H33" s="365"/>
      <c r="I33" s="365"/>
      <c r="J33" s="365"/>
      <c r="K33" s="365"/>
      <c r="L33" s="365"/>
      <c r="M33" s="365"/>
      <c r="N33" s="365"/>
      <c r="O33" s="365"/>
      <c r="P33" s="365"/>
      <c r="Q33" s="365"/>
      <c r="R33" s="365"/>
      <c r="S33" s="365"/>
      <c r="T33" s="365"/>
      <c r="U33" s="365"/>
      <c r="V33" s="365"/>
      <c r="W33" s="365"/>
      <c r="X33" s="365"/>
      <c r="Y33" s="365"/>
      <c r="Z33" s="365"/>
      <c r="AA33" s="365"/>
      <c r="AB33" s="365"/>
      <c r="AC33" s="365"/>
      <c r="AD33" s="365"/>
      <c r="AE33" s="365"/>
      <c r="AF33" s="365"/>
      <c r="AG33" s="365"/>
      <c r="AH33" s="365"/>
      <c r="AI33" s="365"/>
      <c r="AJ33" s="365"/>
      <c r="AK33" s="365"/>
      <c r="AL33" s="365"/>
      <c r="AM33" s="365"/>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98"/>
      <c r="BJ33" s="365"/>
      <c r="BK33" s="365"/>
      <c r="BL33" s="365"/>
      <c r="BM33" s="365"/>
      <c r="BN33" s="365"/>
      <c r="BO33" s="365"/>
      <c r="BP33" s="365"/>
      <c r="BQ33" s="365"/>
      <c r="BR33" s="365"/>
      <c r="BS33" s="365"/>
      <c r="BT33" s="365"/>
      <c r="BU33" s="365"/>
      <c r="BV33" s="365"/>
      <c r="BW33" s="365"/>
      <c r="BX33" s="365"/>
      <c r="BY33" s="365"/>
      <c r="BZ33" s="365"/>
      <c r="CA33" s="365"/>
      <c r="CB33" s="365"/>
      <c r="CC33" s="365"/>
      <c r="CD33" s="365"/>
      <c r="CE33" s="365"/>
      <c r="CF33" s="365"/>
      <c r="CG33" s="365"/>
      <c r="CH33" s="365"/>
      <c r="CI33" s="365"/>
      <c r="CJ33" s="365"/>
      <c r="CK33" s="365"/>
      <c r="CL33" s="365"/>
      <c r="CM33" s="365"/>
      <c r="CN33" s="365"/>
      <c r="CO33" s="365"/>
      <c r="CP33" s="365"/>
      <c r="CQ33" s="365"/>
      <c r="CR33" s="365"/>
      <c r="CS33" s="365"/>
      <c r="CT33" s="365"/>
      <c r="CU33" s="365"/>
      <c r="CV33" s="365"/>
      <c r="CW33" s="365"/>
      <c r="CX33" s="365"/>
      <c r="CY33" s="365"/>
      <c r="CZ33" s="365"/>
      <c r="DA33" s="365"/>
      <c r="DB33" s="365"/>
      <c r="DC33" s="365"/>
      <c r="DD33" s="365"/>
      <c r="DE33" s="365"/>
      <c r="DF33" s="365"/>
      <c r="DG33" s="365"/>
      <c r="DH33" s="365"/>
      <c r="DI33" s="365"/>
      <c r="DJ33" s="365"/>
      <c r="DK33" s="365"/>
      <c r="DL33" s="365"/>
      <c r="DM33" s="365"/>
      <c r="DN33" s="365"/>
      <c r="DO33" s="365"/>
      <c r="DP33" s="365"/>
      <c r="DQ33" s="365"/>
      <c r="DR33" s="365"/>
      <c r="DS33" s="88"/>
      <c r="DT33" s="311"/>
      <c r="DU33" s="305"/>
      <c r="DV33" s="305"/>
      <c r="DW33" s="126"/>
      <c r="DX33" s="126"/>
      <c r="DY33" s="126"/>
      <c r="DZ33" s="126"/>
      <c r="EA33" s="126"/>
      <c r="EB33" s="126"/>
      <c r="EC33" s="126"/>
      <c r="ED33" s="126"/>
      <c r="EE33" s="126"/>
      <c r="EF33" s="127"/>
    </row>
    <row r="34" spans="2:136" ht="6" customHeight="1" thickBot="1">
      <c r="B34" s="312"/>
      <c r="C34" s="310"/>
      <c r="D34" s="257"/>
      <c r="E34" s="257"/>
      <c r="F34" s="257"/>
      <c r="G34" s="257"/>
      <c r="H34" s="257"/>
      <c r="I34" s="257"/>
      <c r="J34" s="257"/>
      <c r="K34" s="257"/>
      <c r="L34" s="257"/>
      <c r="M34" s="257"/>
      <c r="N34" s="257"/>
      <c r="O34" s="257"/>
      <c r="P34" s="257"/>
      <c r="Q34" s="257"/>
      <c r="R34" s="257"/>
      <c r="S34" s="257"/>
      <c r="T34" s="257"/>
      <c r="U34" s="257"/>
      <c r="V34" s="257"/>
      <c r="W34" s="257"/>
      <c r="X34" s="257"/>
      <c r="Y34" s="257"/>
      <c r="Z34" s="257"/>
      <c r="AA34" s="257"/>
      <c r="AB34" s="257"/>
      <c r="AC34" s="257"/>
      <c r="AD34" s="257"/>
      <c r="AE34" s="257"/>
      <c r="AF34" s="257"/>
      <c r="AG34" s="257"/>
      <c r="AH34" s="257"/>
      <c r="AI34" s="257"/>
      <c r="AJ34" s="257"/>
      <c r="AK34" s="257"/>
      <c r="AL34" s="257"/>
      <c r="AM34" s="257"/>
      <c r="AN34" s="257"/>
      <c r="AO34" s="310"/>
      <c r="AP34" s="520"/>
      <c r="AQ34" s="520"/>
      <c r="AR34" s="520"/>
      <c r="AS34" s="310"/>
      <c r="AT34" s="328"/>
      <c r="AU34" s="328"/>
      <c r="AV34" s="328"/>
      <c r="AW34" s="328"/>
      <c r="AX34" s="328"/>
      <c r="AY34" s="328"/>
      <c r="AZ34" s="328"/>
      <c r="BA34" s="328"/>
      <c r="BB34" s="328"/>
      <c r="BC34" s="328"/>
      <c r="BD34" s="328"/>
      <c r="BE34" s="328"/>
      <c r="BF34" s="328"/>
      <c r="BG34" s="328"/>
      <c r="BH34" s="328"/>
      <c r="BI34" s="328"/>
      <c r="BJ34" s="328"/>
      <c r="BK34" s="328"/>
      <c r="BL34" s="328"/>
      <c r="BM34" s="328"/>
      <c r="BN34" s="328"/>
      <c r="BO34" s="328"/>
      <c r="BP34" s="328"/>
      <c r="BQ34" s="328"/>
      <c r="BR34" s="328"/>
      <c r="BS34" s="328"/>
      <c r="BT34" s="328"/>
      <c r="BU34" s="328"/>
      <c r="BV34" s="328"/>
      <c r="BW34" s="328"/>
      <c r="BX34" s="328"/>
      <c r="BY34" s="328"/>
      <c r="BZ34" s="328"/>
      <c r="CA34" s="328"/>
      <c r="CB34" s="328"/>
      <c r="CC34" s="328"/>
      <c r="CD34" s="328"/>
      <c r="CE34" s="328"/>
      <c r="CF34" s="328"/>
      <c r="CG34" s="310"/>
      <c r="CH34" s="328"/>
      <c r="CI34" s="328"/>
      <c r="CJ34" s="328"/>
      <c r="CK34" s="328"/>
      <c r="CL34" s="328"/>
      <c r="CM34" s="328"/>
      <c r="CN34" s="328"/>
      <c r="CO34" s="328"/>
      <c r="CP34" s="328"/>
      <c r="CQ34" s="328"/>
      <c r="CR34" s="328"/>
      <c r="CS34" s="328"/>
      <c r="CT34" s="328"/>
      <c r="CU34" s="328"/>
      <c r="CV34" s="328"/>
      <c r="CW34" s="328"/>
      <c r="CX34" s="328"/>
      <c r="CY34" s="328"/>
      <c r="CZ34" s="328"/>
      <c r="DA34" s="328"/>
      <c r="DB34" s="328"/>
      <c r="DC34" s="328"/>
      <c r="DD34" s="328"/>
      <c r="DE34" s="328"/>
      <c r="DF34" s="328"/>
      <c r="DG34" s="328"/>
      <c r="DH34" s="328"/>
      <c r="DI34" s="328"/>
      <c r="DJ34" s="328"/>
      <c r="DK34" s="328"/>
      <c r="DL34" s="328"/>
      <c r="DM34" s="328"/>
      <c r="DN34" s="328"/>
      <c r="DO34" s="328"/>
      <c r="DP34" s="328"/>
      <c r="DQ34" s="328"/>
      <c r="DR34" s="328"/>
      <c r="DS34" s="328"/>
      <c r="DT34" s="311"/>
      <c r="DU34" s="305"/>
      <c r="DV34" s="305"/>
      <c r="DW34" s="126"/>
      <c r="DX34" s="126"/>
      <c r="DY34" s="126"/>
      <c r="DZ34" s="126"/>
      <c r="EA34" s="126"/>
      <c r="EB34" s="126"/>
      <c r="EC34" s="126"/>
      <c r="ED34" s="126"/>
      <c r="EE34" s="126"/>
      <c r="EF34" s="127"/>
    </row>
    <row r="35" spans="2:136" ht="6" customHeight="1">
      <c r="B35" s="1966" t="str">
        <f ca="1">'D1-D2-D3'!B33</f>
        <v>D2 - Problem description</v>
      </c>
      <c r="C35" s="1967"/>
      <c r="D35" s="1967"/>
      <c r="E35" s="1967"/>
      <c r="F35" s="1967"/>
      <c r="G35" s="1967"/>
      <c r="H35" s="1967"/>
      <c r="I35" s="1967"/>
      <c r="J35" s="1967"/>
      <c r="K35" s="1967"/>
      <c r="L35" s="1967"/>
      <c r="M35" s="1967"/>
      <c r="N35" s="1967"/>
      <c r="O35" s="1967"/>
      <c r="P35" s="1967"/>
      <c r="Q35" s="1967"/>
      <c r="R35" s="1967"/>
      <c r="S35" s="1967"/>
      <c r="T35" s="1967"/>
      <c r="U35" s="1967"/>
      <c r="V35" s="1967"/>
      <c r="W35" s="1967"/>
      <c r="X35" s="1967"/>
      <c r="Y35" s="1967"/>
      <c r="Z35" s="1967"/>
      <c r="AA35" s="1967"/>
      <c r="AB35" s="1967"/>
      <c r="AC35" s="1967"/>
      <c r="AD35" s="1967"/>
      <c r="AE35" s="1967"/>
      <c r="AF35" s="1967"/>
      <c r="AG35" s="1967"/>
      <c r="AH35" s="1967"/>
      <c r="AI35" s="1967"/>
      <c r="AJ35" s="1967"/>
      <c r="AK35" s="1967"/>
      <c r="AL35" s="1967"/>
      <c r="AM35" s="1967"/>
      <c r="AN35" s="1967"/>
      <c r="AO35" s="1967"/>
      <c r="AP35" s="1967"/>
      <c r="AQ35" s="1967"/>
      <c r="AR35" s="1967"/>
      <c r="AS35" s="307"/>
      <c r="AT35" s="307"/>
      <c r="AU35" s="307"/>
      <c r="AV35" s="307"/>
      <c r="AW35" s="307"/>
      <c r="AX35" s="307"/>
      <c r="AY35" s="307"/>
      <c r="AZ35" s="307"/>
      <c r="BA35" s="307"/>
      <c r="BB35" s="307"/>
      <c r="BC35" s="307"/>
      <c r="BD35" s="307"/>
      <c r="BE35" s="307"/>
      <c r="BF35" s="307"/>
      <c r="BG35" s="307"/>
      <c r="BH35" s="307"/>
      <c r="BI35" s="307"/>
      <c r="BJ35" s="307"/>
      <c r="BK35" s="307"/>
      <c r="BL35" s="307"/>
      <c r="BM35" s="307"/>
      <c r="BN35" s="307"/>
      <c r="BO35" s="307"/>
      <c r="BP35" s="307"/>
      <c r="BQ35" s="307"/>
      <c r="BR35" s="307"/>
      <c r="BS35" s="307"/>
      <c r="BT35" s="307"/>
      <c r="BU35" s="307"/>
      <c r="BV35" s="307"/>
      <c r="BW35" s="307"/>
      <c r="BX35" s="307"/>
      <c r="BY35" s="307"/>
      <c r="BZ35" s="307"/>
      <c r="CA35" s="307"/>
      <c r="CB35" s="307"/>
      <c r="CC35" s="307"/>
      <c r="CD35" s="307"/>
      <c r="CE35" s="307"/>
      <c r="CF35" s="307"/>
      <c r="CG35" s="307"/>
      <c r="CH35" s="307"/>
      <c r="CI35" s="307"/>
      <c r="CJ35" s="307"/>
      <c r="CK35" s="307"/>
      <c r="CL35" s="307"/>
      <c r="CM35" s="307"/>
      <c r="CN35" s="307"/>
      <c r="CO35" s="307"/>
      <c r="CP35" s="307"/>
      <c r="CQ35" s="307"/>
      <c r="CR35" s="307"/>
      <c r="CS35" s="307"/>
      <c r="CT35" s="307"/>
      <c r="CU35" s="307"/>
      <c r="CV35" s="307"/>
      <c r="CW35" s="307"/>
      <c r="CX35" s="307"/>
      <c r="CY35" s="307"/>
      <c r="CZ35" s="307"/>
      <c r="DA35" s="307"/>
      <c r="DB35" s="307"/>
      <c r="DC35" s="307"/>
      <c r="DD35" s="307"/>
      <c r="DE35" s="307"/>
      <c r="DF35" s="307"/>
      <c r="DG35" s="307"/>
      <c r="DH35" s="307"/>
      <c r="DI35" s="307"/>
      <c r="DJ35" s="307"/>
      <c r="DK35" s="307"/>
      <c r="DL35" s="307"/>
      <c r="DM35" s="307"/>
      <c r="DN35" s="307"/>
      <c r="DO35" s="307"/>
      <c r="DP35" s="307"/>
      <c r="DQ35" s="307"/>
      <c r="DR35" s="307"/>
      <c r="DS35" s="307"/>
      <c r="DT35" s="308"/>
      <c r="DW35" s="104"/>
      <c r="DX35" s="498"/>
      <c r="DY35" s="498"/>
      <c r="DZ35" s="498"/>
      <c r="EA35" s="498"/>
      <c r="EB35" s="498"/>
      <c r="EC35" s="498"/>
      <c r="ED35" s="498"/>
      <c r="EE35" s="498"/>
      <c r="EF35" s="32"/>
    </row>
    <row r="36" spans="2:136" ht="30" customHeight="1">
      <c r="B36" s="1968"/>
      <c r="C36" s="1969"/>
      <c r="D36" s="1969"/>
      <c r="E36" s="1969"/>
      <c r="F36" s="1969"/>
      <c r="G36" s="1969"/>
      <c r="H36" s="1969"/>
      <c r="I36" s="1969"/>
      <c r="J36" s="1969"/>
      <c r="K36" s="1969"/>
      <c r="L36" s="1969"/>
      <c r="M36" s="1969"/>
      <c r="N36" s="1969"/>
      <c r="O36" s="1969"/>
      <c r="P36" s="1969"/>
      <c r="Q36" s="1969"/>
      <c r="R36" s="1969"/>
      <c r="S36" s="1969"/>
      <c r="T36" s="1969"/>
      <c r="U36" s="1969"/>
      <c r="V36" s="1969"/>
      <c r="W36" s="1969"/>
      <c r="X36" s="1969"/>
      <c r="Y36" s="1969"/>
      <c r="Z36" s="1969"/>
      <c r="AA36" s="1969"/>
      <c r="AB36" s="1969"/>
      <c r="AC36" s="1969"/>
      <c r="AD36" s="1969"/>
      <c r="AE36" s="1969"/>
      <c r="AF36" s="1969"/>
      <c r="AG36" s="1969"/>
      <c r="AH36" s="1969"/>
      <c r="AI36" s="1969"/>
      <c r="AJ36" s="1969"/>
      <c r="AK36" s="1969"/>
      <c r="AL36" s="1969"/>
      <c r="AM36" s="1969"/>
      <c r="AN36" s="1969"/>
      <c r="AO36" s="1969"/>
      <c r="AP36" s="1969"/>
      <c r="AQ36" s="1969"/>
      <c r="AR36" s="1969"/>
      <c r="AS36" s="310"/>
      <c r="AT36" s="310"/>
      <c r="AU36" s="310"/>
      <c r="AV36" s="310"/>
      <c r="AW36" s="310"/>
      <c r="AX36" s="310"/>
      <c r="AY36" s="310"/>
      <c r="AZ36" s="310"/>
      <c r="BA36" s="310"/>
      <c r="BB36" s="310"/>
      <c r="BC36" s="310"/>
      <c r="BD36" s="310"/>
      <c r="BE36" s="310"/>
      <c r="BF36" s="310"/>
      <c r="BG36" s="310"/>
      <c r="BH36" s="310"/>
      <c r="BI36" s="310"/>
      <c r="BJ36" s="310"/>
      <c r="BK36" s="310"/>
      <c r="BL36" s="310"/>
      <c r="BM36" s="310"/>
      <c r="BN36" s="310"/>
      <c r="BO36" s="310"/>
      <c r="BP36" s="310"/>
      <c r="BQ36" s="310"/>
      <c r="BR36" s="310"/>
      <c r="BS36" s="310"/>
      <c r="BT36" s="310"/>
      <c r="BU36" s="310"/>
      <c r="BV36" s="310"/>
      <c r="BW36" s="310"/>
      <c r="BX36" s="310"/>
      <c r="BY36" s="310"/>
      <c r="BZ36" s="310"/>
      <c r="CA36" s="310"/>
      <c r="CB36" s="310"/>
      <c r="CC36" s="310"/>
      <c r="CD36" s="310"/>
      <c r="CE36" s="310"/>
      <c r="CF36" s="310"/>
      <c r="CG36" s="310"/>
      <c r="CH36" s="310"/>
      <c r="CI36" s="310"/>
      <c r="CJ36" s="310"/>
      <c r="CK36" s="310"/>
      <c r="CL36" s="310"/>
      <c r="CM36" s="310"/>
      <c r="CN36" s="310"/>
      <c r="CO36" s="310"/>
      <c r="CP36" s="310"/>
      <c r="CQ36" s="310"/>
      <c r="CR36" s="310"/>
      <c r="CS36" s="310"/>
      <c r="CT36" s="310"/>
      <c r="CU36" s="310"/>
      <c r="CV36" s="310"/>
      <c r="CW36" s="310"/>
      <c r="CX36" s="310"/>
      <c r="CY36" s="310"/>
      <c r="CZ36" s="310"/>
      <c r="DA36" s="310"/>
      <c r="DB36" s="310"/>
      <c r="DC36" s="310"/>
      <c r="DD36" s="310"/>
      <c r="DE36" s="310"/>
      <c r="DF36" s="310"/>
      <c r="DG36" s="310"/>
      <c r="DH36" s="310"/>
      <c r="DI36" s="310"/>
      <c r="DJ36" s="310"/>
      <c r="DK36" s="310"/>
      <c r="DL36" s="310"/>
      <c r="DM36" s="310"/>
      <c r="DN36" s="310"/>
      <c r="DO36" s="310"/>
      <c r="DP36" s="310"/>
      <c r="DQ36" s="310"/>
      <c r="DR36" s="310"/>
      <c r="DS36" s="310"/>
      <c r="DT36" s="311"/>
      <c r="DU36" s="305"/>
      <c r="DV36" s="305"/>
      <c r="DW36" s="126"/>
      <c r="DX36" s="126"/>
      <c r="DY36" s="126"/>
      <c r="DZ36" s="126"/>
      <c r="EA36" s="126"/>
      <c r="EB36" s="126"/>
      <c r="EC36" s="126"/>
      <c r="ED36" s="126"/>
      <c r="EE36" s="126"/>
      <c r="EF36" s="187"/>
    </row>
    <row r="37" spans="2:136" ht="6" customHeight="1">
      <c r="B37" s="312"/>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c r="BX37" s="313"/>
      <c r="BY37" s="313"/>
      <c r="BZ37" s="313"/>
      <c r="CA37" s="313"/>
      <c r="CB37" s="313"/>
      <c r="CC37" s="313"/>
      <c r="CD37" s="313"/>
      <c r="CE37" s="313"/>
      <c r="CF37" s="313"/>
      <c r="CG37" s="313"/>
      <c r="CH37" s="313"/>
      <c r="CI37" s="313"/>
      <c r="CJ37" s="313"/>
      <c r="CK37" s="313"/>
      <c r="CL37" s="313"/>
      <c r="CM37" s="313"/>
      <c r="CN37" s="313"/>
      <c r="CO37" s="313"/>
      <c r="CP37" s="313"/>
      <c r="CQ37" s="313"/>
      <c r="CR37" s="313"/>
      <c r="CS37" s="313"/>
      <c r="CT37" s="313"/>
      <c r="CU37" s="313"/>
      <c r="CV37" s="313"/>
      <c r="CW37" s="313"/>
      <c r="CX37" s="313"/>
      <c r="CY37" s="313"/>
      <c r="CZ37" s="313"/>
      <c r="DA37" s="313"/>
      <c r="DB37" s="313"/>
      <c r="DC37" s="313"/>
      <c r="DD37" s="313"/>
      <c r="DE37" s="313"/>
      <c r="DF37" s="313"/>
      <c r="DG37" s="313"/>
      <c r="DH37" s="313"/>
      <c r="DI37" s="313"/>
      <c r="DJ37" s="313"/>
      <c r="DK37" s="313"/>
      <c r="DL37" s="313"/>
      <c r="DM37" s="313"/>
      <c r="DN37" s="313"/>
      <c r="DO37" s="313"/>
      <c r="DP37" s="313"/>
      <c r="DQ37" s="313"/>
      <c r="DR37" s="313"/>
      <c r="DS37" s="313"/>
      <c r="DT37" s="311"/>
      <c r="DU37" s="305"/>
      <c r="DV37" s="305"/>
      <c r="DW37" s="126"/>
      <c r="DX37" s="126"/>
      <c r="DY37" s="126"/>
      <c r="DZ37" s="126"/>
      <c r="EA37" s="126"/>
      <c r="EB37" s="126"/>
      <c r="EC37" s="126"/>
      <c r="ED37" s="126"/>
      <c r="EE37" s="126"/>
      <c r="EF37" s="127"/>
    </row>
    <row r="38" spans="2:136" ht="38.25" customHeight="1">
      <c r="B38" s="312"/>
      <c r="C38" s="313"/>
      <c r="D38" s="1959" t="str">
        <f ca="1">'D1-D2-D3'!D36</f>
        <v xml:space="preserve">NOK PART </v>
      </c>
      <c r="E38" s="1959"/>
      <c r="F38" s="1959"/>
      <c r="G38" s="1959"/>
      <c r="H38" s="1959"/>
      <c r="I38" s="1959"/>
      <c r="J38" s="1959"/>
      <c r="K38" s="1959"/>
      <c r="L38" s="1972"/>
      <c r="M38" s="1972"/>
      <c r="N38" s="1972"/>
      <c r="O38" s="1972"/>
      <c r="P38" s="1972"/>
      <c r="Q38" s="1972"/>
      <c r="R38" s="1972"/>
      <c r="S38" s="1972"/>
      <c r="T38" s="1972"/>
      <c r="U38" s="1972"/>
      <c r="V38" s="1972"/>
      <c r="W38" s="1972"/>
      <c r="X38" s="1972"/>
      <c r="Y38" s="1972"/>
      <c r="Z38" s="1972"/>
      <c r="AA38" s="1972"/>
      <c r="AB38" s="1972"/>
      <c r="AC38" s="1972"/>
      <c r="AD38" s="1972"/>
      <c r="AE38" s="1972"/>
      <c r="AF38" s="1972"/>
      <c r="AG38" s="1972"/>
      <c r="AH38" s="1972"/>
      <c r="AI38" s="1972"/>
      <c r="AJ38" s="1972"/>
      <c r="AK38" s="1972"/>
      <c r="AL38" s="1972"/>
      <c r="AM38" s="1972"/>
      <c r="AN38" s="1972"/>
      <c r="AO38" s="1972"/>
      <c r="AP38" s="1972"/>
      <c r="AQ38" s="1972"/>
      <c r="AR38" s="1972"/>
      <c r="AS38" s="1972"/>
      <c r="AT38" s="1972"/>
      <c r="AU38" s="1972"/>
      <c r="AV38" s="1972"/>
      <c r="AW38" s="1972"/>
      <c r="AX38" s="1972"/>
      <c r="AY38" s="1972"/>
      <c r="AZ38" s="1972"/>
      <c r="BA38" s="1972"/>
      <c r="BB38" s="1972"/>
      <c r="BC38" s="1972"/>
      <c r="BD38" s="1972"/>
      <c r="BE38" s="1972"/>
      <c r="BF38" s="1972"/>
      <c r="BG38" s="1972"/>
      <c r="BH38" s="1972"/>
      <c r="BI38" s="1972"/>
      <c r="BJ38" s="1972"/>
      <c r="BK38" s="192"/>
      <c r="BL38" s="1971" t="str">
        <f ca="1">'D1-D2-D3'!BL36</f>
        <v>OK PART</v>
      </c>
      <c r="BM38" s="1971"/>
      <c r="BN38" s="1971"/>
      <c r="BO38" s="1971"/>
      <c r="BP38" s="1971"/>
      <c r="BQ38" s="1971"/>
      <c r="BR38" s="1971"/>
      <c r="BS38" s="1971"/>
      <c r="BT38" s="1972"/>
      <c r="BU38" s="1972"/>
      <c r="BV38" s="1972"/>
      <c r="BW38" s="1972"/>
      <c r="BX38" s="1972"/>
      <c r="BY38" s="1972"/>
      <c r="BZ38" s="1972"/>
      <c r="CA38" s="1972"/>
      <c r="CB38" s="1972"/>
      <c r="CC38" s="1972"/>
      <c r="CD38" s="1972"/>
      <c r="CE38" s="1972"/>
      <c r="CF38" s="1972"/>
      <c r="CG38" s="1972"/>
      <c r="CH38" s="1972"/>
      <c r="CI38" s="1972"/>
      <c r="CJ38" s="1972"/>
      <c r="CK38" s="1972"/>
      <c r="CL38" s="1972"/>
      <c r="CM38" s="1972"/>
      <c r="CN38" s="1972"/>
      <c r="CO38" s="1972"/>
      <c r="CP38" s="1972"/>
      <c r="CQ38" s="1972"/>
      <c r="CR38" s="1972"/>
      <c r="CS38" s="1972"/>
      <c r="CT38" s="1972"/>
      <c r="CU38" s="1972"/>
      <c r="CV38" s="1972"/>
      <c r="CW38" s="1972"/>
      <c r="CX38" s="1972"/>
      <c r="CY38" s="1972"/>
      <c r="CZ38" s="1972"/>
      <c r="DA38" s="1972"/>
      <c r="DB38" s="1972"/>
      <c r="DC38" s="1972"/>
      <c r="DD38" s="1972"/>
      <c r="DE38" s="1972"/>
      <c r="DF38" s="1972"/>
      <c r="DG38" s="1972"/>
      <c r="DH38" s="1972"/>
      <c r="DI38" s="1972"/>
      <c r="DJ38" s="1972"/>
      <c r="DK38" s="1972"/>
      <c r="DL38" s="1972"/>
      <c r="DM38" s="1972"/>
      <c r="DN38" s="1972"/>
      <c r="DO38" s="1972"/>
      <c r="DP38" s="1972"/>
      <c r="DQ38" s="1972"/>
      <c r="DR38" s="1972"/>
      <c r="DS38" s="813"/>
      <c r="DT38" s="238"/>
      <c r="DU38" s="129"/>
      <c r="DV38" s="129"/>
      <c r="DW38" s="126"/>
      <c r="DX38" s="126"/>
      <c r="DY38" s="126"/>
      <c r="DZ38" s="126"/>
      <c r="EA38" s="126"/>
      <c r="EB38" s="126"/>
      <c r="EC38" s="126"/>
      <c r="ED38" s="126"/>
      <c r="EE38" s="126"/>
      <c r="EF38" s="127"/>
    </row>
    <row r="39" spans="2:136" ht="38.25" customHeight="1">
      <c r="B39" s="312"/>
      <c r="C39" s="313"/>
      <c r="D39" s="1959"/>
      <c r="E39" s="1959"/>
      <c r="F39" s="1959"/>
      <c r="G39" s="1959"/>
      <c r="H39" s="1959"/>
      <c r="I39" s="1959"/>
      <c r="J39" s="1959"/>
      <c r="K39" s="1959"/>
      <c r="L39" s="1972"/>
      <c r="M39" s="1972"/>
      <c r="N39" s="1972"/>
      <c r="O39" s="1972"/>
      <c r="P39" s="1972"/>
      <c r="Q39" s="1972"/>
      <c r="R39" s="1972"/>
      <c r="S39" s="1972"/>
      <c r="T39" s="1972"/>
      <c r="U39" s="1972"/>
      <c r="V39" s="1972"/>
      <c r="W39" s="1972"/>
      <c r="X39" s="1972"/>
      <c r="Y39" s="1972"/>
      <c r="Z39" s="1972"/>
      <c r="AA39" s="1972"/>
      <c r="AB39" s="1972"/>
      <c r="AC39" s="1972"/>
      <c r="AD39" s="1972"/>
      <c r="AE39" s="1972"/>
      <c r="AF39" s="1972"/>
      <c r="AG39" s="1972"/>
      <c r="AH39" s="1972"/>
      <c r="AI39" s="1972"/>
      <c r="AJ39" s="1972"/>
      <c r="AK39" s="1972"/>
      <c r="AL39" s="1972"/>
      <c r="AM39" s="1972"/>
      <c r="AN39" s="1972"/>
      <c r="AO39" s="1972"/>
      <c r="AP39" s="1972"/>
      <c r="AQ39" s="1972"/>
      <c r="AR39" s="1972"/>
      <c r="AS39" s="1972"/>
      <c r="AT39" s="1972"/>
      <c r="AU39" s="1972"/>
      <c r="AV39" s="1972"/>
      <c r="AW39" s="1972"/>
      <c r="AX39" s="1972"/>
      <c r="AY39" s="1972"/>
      <c r="AZ39" s="1972"/>
      <c r="BA39" s="1972"/>
      <c r="BB39" s="1972"/>
      <c r="BC39" s="1972"/>
      <c r="BD39" s="1972"/>
      <c r="BE39" s="1972"/>
      <c r="BF39" s="1972"/>
      <c r="BG39" s="1972"/>
      <c r="BH39" s="1972"/>
      <c r="BI39" s="1972"/>
      <c r="BJ39" s="1972"/>
      <c r="BK39" s="192"/>
      <c r="BL39" s="1971"/>
      <c r="BM39" s="1971"/>
      <c r="BN39" s="1971"/>
      <c r="BO39" s="1971"/>
      <c r="BP39" s="1971"/>
      <c r="BQ39" s="1971"/>
      <c r="BR39" s="1971"/>
      <c r="BS39" s="1971"/>
      <c r="BT39" s="1972"/>
      <c r="BU39" s="1972"/>
      <c r="BV39" s="1972"/>
      <c r="BW39" s="1972"/>
      <c r="BX39" s="1972"/>
      <c r="BY39" s="1972"/>
      <c r="BZ39" s="1972"/>
      <c r="CA39" s="1972"/>
      <c r="CB39" s="1972"/>
      <c r="CC39" s="1972"/>
      <c r="CD39" s="1972"/>
      <c r="CE39" s="1972"/>
      <c r="CF39" s="1972"/>
      <c r="CG39" s="1972"/>
      <c r="CH39" s="1972"/>
      <c r="CI39" s="1972"/>
      <c r="CJ39" s="1972"/>
      <c r="CK39" s="1972"/>
      <c r="CL39" s="1972"/>
      <c r="CM39" s="1972"/>
      <c r="CN39" s="1972"/>
      <c r="CO39" s="1972"/>
      <c r="CP39" s="1972"/>
      <c r="CQ39" s="1972"/>
      <c r="CR39" s="1972"/>
      <c r="CS39" s="1972"/>
      <c r="CT39" s="1972"/>
      <c r="CU39" s="1972"/>
      <c r="CV39" s="1972"/>
      <c r="CW39" s="1972"/>
      <c r="CX39" s="1972"/>
      <c r="CY39" s="1972"/>
      <c r="CZ39" s="1972"/>
      <c r="DA39" s="1972"/>
      <c r="DB39" s="1972"/>
      <c r="DC39" s="1972"/>
      <c r="DD39" s="1972"/>
      <c r="DE39" s="1972"/>
      <c r="DF39" s="1972"/>
      <c r="DG39" s="1972"/>
      <c r="DH39" s="1972"/>
      <c r="DI39" s="1972"/>
      <c r="DJ39" s="1972"/>
      <c r="DK39" s="1972"/>
      <c r="DL39" s="1972"/>
      <c r="DM39" s="1972"/>
      <c r="DN39" s="1972"/>
      <c r="DO39" s="1972"/>
      <c r="DP39" s="1972"/>
      <c r="DQ39" s="1972"/>
      <c r="DR39" s="1972"/>
      <c r="DS39" s="813"/>
      <c r="DT39" s="238"/>
      <c r="DU39" s="129"/>
      <c r="DV39" s="129"/>
      <c r="DW39" s="126"/>
      <c r="DX39" s="126"/>
      <c r="DY39" s="126"/>
      <c r="DZ39" s="126"/>
      <c r="EA39" s="126"/>
      <c r="EB39" s="126"/>
      <c r="EC39" s="126"/>
      <c r="ED39" s="126"/>
      <c r="EE39" s="126"/>
      <c r="EF39" s="127"/>
    </row>
    <row r="40" spans="2:136" ht="38.25" customHeight="1">
      <c r="B40" s="312"/>
      <c r="C40" s="313"/>
      <c r="D40" s="1959"/>
      <c r="E40" s="1959"/>
      <c r="F40" s="1959"/>
      <c r="G40" s="1959"/>
      <c r="H40" s="1959"/>
      <c r="I40" s="1959"/>
      <c r="J40" s="1959"/>
      <c r="K40" s="1959"/>
      <c r="L40" s="1972"/>
      <c r="M40" s="1972"/>
      <c r="N40" s="1972"/>
      <c r="O40" s="1972"/>
      <c r="P40" s="1972"/>
      <c r="Q40" s="1972"/>
      <c r="R40" s="1972"/>
      <c r="S40" s="1972"/>
      <c r="T40" s="1972"/>
      <c r="U40" s="1972"/>
      <c r="V40" s="1972"/>
      <c r="W40" s="1972"/>
      <c r="X40" s="1972"/>
      <c r="Y40" s="1972"/>
      <c r="Z40" s="1972"/>
      <c r="AA40" s="1972"/>
      <c r="AB40" s="1972"/>
      <c r="AC40" s="1972"/>
      <c r="AD40" s="1972"/>
      <c r="AE40" s="1972"/>
      <c r="AF40" s="1972"/>
      <c r="AG40" s="1972"/>
      <c r="AH40" s="1972"/>
      <c r="AI40" s="1972"/>
      <c r="AJ40" s="1972"/>
      <c r="AK40" s="1972"/>
      <c r="AL40" s="1972"/>
      <c r="AM40" s="1972"/>
      <c r="AN40" s="1972"/>
      <c r="AO40" s="1972"/>
      <c r="AP40" s="1972"/>
      <c r="AQ40" s="1972"/>
      <c r="AR40" s="1972"/>
      <c r="AS40" s="1972"/>
      <c r="AT40" s="1972"/>
      <c r="AU40" s="1972"/>
      <c r="AV40" s="1972"/>
      <c r="AW40" s="1972"/>
      <c r="AX40" s="1972"/>
      <c r="AY40" s="1972"/>
      <c r="AZ40" s="1972"/>
      <c r="BA40" s="1972"/>
      <c r="BB40" s="1972"/>
      <c r="BC40" s="1972"/>
      <c r="BD40" s="1972"/>
      <c r="BE40" s="1972"/>
      <c r="BF40" s="1972"/>
      <c r="BG40" s="1972"/>
      <c r="BH40" s="1972"/>
      <c r="BI40" s="1972"/>
      <c r="BJ40" s="1972"/>
      <c r="BK40" s="192"/>
      <c r="BL40" s="1971"/>
      <c r="BM40" s="1971"/>
      <c r="BN40" s="1971"/>
      <c r="BO40" s="1971"/>
      <c r="BP40" s="1971"/>
      <c r="BQ40" s="1971"/>
      <c r="BR40" s="1971"/>
      <c r="BS40" s="1971"/>
      <c r="BT40" s="1972"/>
      <c r="BU40" s="1972"/>
      <c r="BV40" s="1972"/>
      <c r="BW40" s="1972"/>
      <c r="BX40" s="1972"/>
      <c r="BY40" s="1972"/>
      <c r="BZ40" s="1972"/>
      <c r="CA40" s="1972"/>
      <c r="CB40" s="1972"/>
      <c r="CC40" s="1972"/>
      <c r="CD40" s="1972"/>
      <c r="CE40" s="1972"/>
      <c r="CF40" s="1972"/>
      <c r="CG40" s="1972"/>
      <c r="CH40" s="1972"/>
      <c r="CI40" s="1972"/>
      <c r="CJ40" s="1972"/>
      <c r="CK40" s="1972"/>
      <c r="CL40" s="1972"/>
      <c r="CM40" s="1972"/>
      <c r="CN40" s="1972"/>
      <c r="CO40" s="1972"/>
      <c r="CP40" s="1972"/>
      <c r="CQ40" s="1972"/>
      <c r="CR40" s="1972"/>
      <c r="CS40" s="1972"/>
      <c r="CT40" s="1972"/>
      <c r="CU40" s="1972"/>
      <c r="CV40" s="1972"/>
      <c r="CW40" s="1972"/>
      <c r="CX40" s="1972"/>
      <c r="CY40" s="1972"/>
      <c r="CZ40" s="1972"/>
      <c r="DA40" s="1972"/>
      <c r="DB40" s="1972"/>
      <c r="DC40" s="1972"/>
      <c r="DD40" s="1972"/>
      <c r="DE40" s="1972"/>
      <c r="DF40" s="1972"/>
      <c r="DG40" s="1972"/>
      <c r="DH40" s="1972"/>
      <c r="DI40" s="1972"/>
      <c r="DJ40" s="1972"/>
      <c r="DK40" s="1972"/>
      <c r="DL40" s="1972"/>
      <c r="DM40" s="1972"/>
      <c r="DN40" s="1972"/>
      <c r="DO40" s="1972"/>
      <c r="DP40" s="1972"/>
      <c r="DQ40" s="1972"/>
      <c r="DR40" s="1972"/>
      <c r="DS40" s="813"/>
      <c r="DT40" s="238"/>
      <c r="DU40" s="129"/>
      <c r="DV40" s="129"/>
      <c r="DW40" s="126"/>
      <c r="DX40" s="126"/>
      <c r="DY40" s="126"/>
      <c r="DZ40" s="126"/>
      <c r="EA40" s="126"/>
      <c r="EB40" s="126"/>
      <c r="EC40" s="126"/>
      <c r="ED40" s="126"/>
      <c r="EE40" s="126"/>
      <c r="EF40" s="127"/>
    </row>
    <row r="41" spans="2:136" ht="38.25" customHeight="1">
      <c r="B41" s="312"/>
      <c r="C41" s="313"/>
      <c r="D41" s="1959"/>
      <c r="E41" s="1959"/>
      <c r="F41" s="1959"/>
      <c r="G41" s="1959"/>
      <c r="H41" s="1959"/>
      <c r="I41" s="1959"/>
      <c r="J41" s="1959"/>
      <c r="K41" s="1959"/>
      <c r="L41" s="1972"/>
      <c r="M41" s="1972"/>
      <c r="N41" s="1972"/>
      <c r="O41" s="1972"/>
      <c r="P41" s="1972"/>
      <c r="Q41" s="1972"/>
      <c r="R41" s="1972"/>
      <c r="S41" s="1972"/>
      <c r="T41" s="1972"/>
      <c r="U41" s="1972"/>
      <c r="V41" s="1972"/>
      <c r="W41" s="1972"/>
      <c r="X41" s="1972"/>
      <c r="Y41" s="1972"/>
      <c r="Z41" s="1972"/>
      <c r="AA41" s="1972"/>
      <c r="AB41" s="1972"/>
      <c r="AC41" s="1972"/>
      <c r="AD41" s="1972"/>
      <c r="AE41" s="1972"/>
      <c r="AF41" s="1972"/>
      <c r="AG41" s="1972"/>
      <c r="AH41" s="1972"/>
      <c r="AI41" s="1972"/>
      <c r="AJ41" s="1972"/>
      <c r="AK41" s="1972"/>
      <c r="AL41" s="1972"/>
      <c r="AM41" s="1972"/>
      <c r="AN41" s="1972"/>
      <c r="AO41" s="1972"/>
      <c r="AP41" s="1972"/>
      <c r="AQ41" s="1972"/>
      <c r="AR41" s="1972"/>
      <c r="AS41" s="1972"/>
      <c r="AT41" s="1972"/>
      <c r="AU41" s="1972"/>
      <c r="AV41" s="1972"/>
      <c r="AW41" s="1972"/>
      <c r="AX41" s="1972"/>
      <c r="AY41" s="1972"/>
      <c r="AZ41" s="1972"/>
      <c r="BA41" s="1972"/>
      <c r="BB41" s="1972"/>
      <c r="BC41" s="1972"/>
      <c r="BD41" s="1972"/>
      <c r="BE41" s="1972"/>
      <c r="BF41" s="1972"/>
      <c r="BG41" s="1972"/>
      <c r="BH41" s="1972"/>
      <c r="BI41" s="1972"/>
      <c r="BJ41" s="1972"/>
      <c r="BK41" s="192"/>
      <c r="BL41" s="1971"/>
      <c r="BM41" s="1971"/>
      <c r="BN41" s="1971"/>
      <c r="BO41" s="1971"/>
      <c r="BP41" s="1971"/>
      <c r="BQ41" s="1971"/>
      <c r="BR41" s="1971"/>
      <c r="BS41" s="1971"/>
      <c r="BT41" s="1972"/>
      <c r="BU41" s="1972"/>
      <c r="BV41" s="1972"/>
      <c r="BW41" s="1972"/>
      <c r="BX41" s="1972"/>
      <c r="BY41" s="1972"/>
      <c r="BZ41" s="1972"/>
      <c r="CA41" s="1972"/>
      <c r="CB41" s="1972"/>
      <c r="CC41" s="1972"/>
      <c r="CD41" s="1972"/>
      <c r="CE41" s="1972"/>
      <c r="CF41" s="1972"/>
      <c r="CG41" s="1972"/>
      <c r="CH41" s="1972"/>
      <c r="CI41" s="1972"/>
      <c r="CJ41" s="1972"/>
      <c r="CK41" s="1972"/>
      <c r="CL41" s="1972"/>
      <c r="CM41" s="1972"/>
      <c r="CN41" s="1972"/>
      <c r="CO41" s="1972"/>
      <c r="CP41" s="1972"/>
      <c r="CQ41" s="1972"/>
      <c r="CR41" s="1972"/>
      <c r="CS41" s="1972"/>
      <c r="CT41" s="1972"/>
      <c r="CU41" s="1972"/>
      <c r="CV41" s="1972"/>
      <c r="CW41" s="1972"/>
      <c r="CX41" s="1972"/>
      <c r="CY41" s="1972"/>
      <c r="CZ41" s="1972"/>
      <c r="DA41" s="1972"/>
      <c r="DB41" s="1972"/>
      <c r="DC41" s="1972"/>
      <c r="DD41" s="1972"/>
      <c r="DE41" s="1972"/>
      <c r="DF41" s="1972"/>
      <c r="DG41" s="1972"/>
      <c r="DH41" s="1972"/>
      <c r="DI41" s="1972"/>
      <c r="DJ41" s="1972"/>
      <c r="DK41" s="1972"/>
      <c r="DL41" s="1972"/>
      <c r="DM41" s="1972"/>
      <c r="DN41" s="1972"/>
      <c r="DO41" s="1972"/>
      <c r="DP41" s="1972"/>
      <c r="DQ41" s="1972"/>
      <c r="DR41" s="1972"/>
      <c r="DS41" s="813"/>
      <c r="DT41" s="238"/>
      <c r="DU41" s="129"/>
      <c r="DV41" s="129"/>
      <c r="DW41" s="126"/>
      <c r="DX41" s="126"/>
      <c r="DY41" s="126"/>
      <c r="DZ41" s="126"/>
      <c r="EA41" s="126"/>
      <c r="EB41" s="126"/>
      <c r="EC41" s="126"/>
      <c r="ED41" s="126"/>
      <c r="EE41" s="126"/>
      <c r="EF41" s="127"/>
    </row>
    <row r="42" spans="2:136" ht="38.25" customHeight="1">
      <c r="B42" s="312"/>
      <c r="C42" s="313"/>
      <c r="D42" s="1959"/>
      <c r="E42" s="1959"/>
      <c r="F42" s="1959"/>
      <c r="G42" s="1959"/>
      <c r="H42" s="1959"/>
      <c r="I42" s="1959"/>
      <c r="J42" s="1959"/>
      <c r="K42" s="1959"/>
      <c r="L42" s="1972"/>
      <c r="M42" s="1972"/>
      <c r="N42" s="1972"/>
      <c r="O42" s="1972"/>
      <c r="P42" s="1972"/>
      <c r="Q42" s="1972"/>
      <c r="R42" s="1972"/>
      <c r="S42" s="1972"/>
      <c r="T42" s="1972"/>
      <c r="U42" s="1972"/>
      <c r="V42" s="1972"/>
      <c r="W42" s="1972"/>
      <c r="X42" s="1972"/>
      <c r="Y42" s="1972"/>
      <c r="Z42" s="1972"/>
      <c r="AA42" s="1972"/>
      <c r="AB42" s="1972"/>
      <c r="AC42" s="1972"/>
      <c r="AD42" s="1972"/>
      <c r="AE42" s="1972"/>
      <c r="AF42" s="1972"/>
      <c r="AG42" s="1972"/>
      <c r="AH42" s="1972"/>
      <c r="AI42" s="1972"/>
      <c r="AJ42" s="1972"/>
      <c r="AK42" s="1972"/>
      <c r="AL42" s="1972"/>
      <c r="AM42" s="1972"/>
      <c r="AN42" s="1972"/>
      <c r="AO42" s="1972"/>
      <c r="AP42" s="1972"/>
      <c r="AQ42" s="1972"/>
      <c r="AR42" s="1972"/>
      <c r="AS42" s="1972"/>
      <c r="AT42" s="1972"/>
      <c r="AU42" s="1972"/>
      <c r="AV42" s="1972"/>
      <c r="AW42" s="1972"/>
      <c r="AX42" s="1972"/>
      <c r="AY42" s="1972"/>
      <c r="AZ42" s="1972"/>
      <c r="BA42" s="1972"/>
      <c r="BB42" s="1972"/>
      <c r="BC42" s="1972"/>
      <c r="BD42" s="1972"/>
      <c r="BE42" s="1972"/>
      <c r="BF42" s="1972"/>
      <c r="BG42" s="1972"/>
      <c r="BH42" s="1972"/>
      <c r="BI42" s="1972"/>
      <c r="BJ42" s="1972"/>
      <c r="BK42" s="192"/>
      <c r="BL42" s="1971"/>
      <c r="BM42" s="1971"/>
      <c r="BN42" s="1971"/>
      <c r="BO42" s="1971"/>
      <c r="BP42" s="1971"/>
      <c r="BQ42" s="1971"/>
      <c r="BR42" s="1971"/>
      <c r="BS42" s="1971"/>
      <c r="BT42" s="1972"/>
      <c r="BU42" s="1972"/>
      <c r="BV42" s="1972"/>
      <c r="BW42" s="1972"/>
      <c r="BX42" s="1972"/>
      <c r="BY42" s="1972"/>
      <c r="BZ42" s="1972"/>
      <c r="CA42" s="1972"/>
      <c r="CB42" s="1972"/>
      <c r="CC42" s="1972"/>
      <c r="CD42" s="1972"/>
      <c r="CE42" s="1972"/>
      <c r="CF42" s="1972"/>
      <c r="CG42" s="1972"/>
      <c r="CH42" s="1972"/>
      <c r="CI42" s="1972"/>
      <c r="CJ42" s="1972"/>
      <c r="CK42" s="1972"/>
      <c r="CL42" s="1972"/>
      <c r="CM42" s="1972"/>
      <c r="CN42" s="1972"/>
      <c r="CO42" s="1972"/>
      <c r="CP42" s="1972"/>
      <c r="CQ42" s="1972"/>
      <c r="CR42" s="1972"/>
      <c r="CS42" s="1972"/>
      <c r="CT42" s="1972"/>
      <c r="CU42" s="1972"/>
      <c r="CV42" s="1972"/>
      <c r="CW42" s="1972"/>
      <c r="CX42" s="1972"/>
      <c r="CY42" s="1972"/>
      <c r="CZ42" s="1972"/>
      <c r="DA42" s="1972"/>
      <c r="DB42" s="1972"/>
      <c r="DC42" s="1972"/>
      <c r="DD42" s="1972"/>
      <c r="DE42" s="1972"/>
      <c r="DF42" s="1972"/>
      <c r="DG42" s="1972"/>
      <c r="DH42" s="1972"/>
      <c r="DI42" s="1972"/>
      <c r="DJ42" s="1972"/>
      <c r="DK42" s="1972"/>
      <c r="DL42" s="1972"/>
      <c r="DM42" s="1972"/>
      <c r="DN42" s="1972"/>
      <c r="DO42" s="1972"/>
      <c r="DP42" s="1972"/>
      <c r="DQ42" s="1972"/>
      <c r="DR42" s="1972"/>
      <c r="DS42" s="813"/>
      <c r="DT42" s="238"/>
      <c r="DU42" s="129"/>
      <c r="DV42" s="129"/>
      <c r="DW42" s="126"/>
      <c r="DX42" s="126"/>
      <c r="DY42" s="126"/>
      <c r="DZ42" s="126"/>
      <c r="EA42" s="126"/>
      <c r="EB42" s="126"/>
      <c r="EC42" s="126"/>
      <c r="ED42" s="126"/>
      <c r="EE42" s="126"/>
      <c r="EF42" s="127"/>
    </row>
    <row r="43" spans="2:136" ht="38.25" customHeight="1">
      <c r="B43" s="312"/>
      <c r="C43" s="313"/>
      <c r="D43" s="1959"/>
      <c r="E43" s="1959"/>
      <c r="F43" s="1959"/>
      <c r="G43" s="1959"/>
      <c r="H43" s="1959"/>
      <c r="I43" s="1959"/>
      <c r="J43" s="1959"/>
      <c r="K43" s="1959"/>
      <c r="L43" s="1972"/>
      <c r="M43" s="1972"/>
      <c r="N43" s="1972"/>
      <c r="O43" s="1972"/>
      <c r="P43" s="1972"/>
      <c r="Q43" s="1972"/>
      <c r="R43" s="1972"/>
      <c r="S43" s="1972"/>
      <c r="T43" s="1972"/>
      <c r="U43" s="1972"/>
      <c r="V43" s="1972"/>
      <c r="W43" s="1972"/>
      <c r="X43" s="1972"/>
      <c r="Y43" s="1972"/>
      <c r="Z43" s="1972"/>
      <c r="AA43" s="1972"/>
      <c r="AB43" s="1972"/>
      <c r="AC43" s="1972"/>
      <c r="AD43" s="1972"/>
      <c r="AE43" s="1972"/>
      <c r="AF43" s="1972"/>
      <c r="AG43" s="1972"/>
      <c r="AH43" s="1972"/>
      <c r="AI43" s="1972"/>
      <c r="AJ43" s="1972"/>
      <c r="AK43" s="1972"/>
      <c r="AL43" s="1972"/>
      <c r="AM43" s="1972"/>
      <c r="AN43" s="1972"/>
      <c r="AO43" s="1972"/>
      <c r="AP43" s="1972"/>
      <c r="AQ43" s="1972"/>
      <c r="AR43" s="1972"/>
      <c r="AS43" s="1972"/>
      <c r="AT43" s="1972"/>
      <c r="AU43" s="1972"/>
      <c r="AV43" s="1972"/>
      <c r="AW43" s="1972"/>
      <c r="AX43" s="1972"/>
      <c r="AY43" s="1972"/>
      <c r="AZ43" s="1972"/>
      <c r="BA43" s="1972"/>
      <c r="BB43" s="1972"/>
      <c r="BC43" s="1972"/>
      <c r="BD43" s="1972"/>
      <c r="BE43" s="1972"/>
      <c r="BF43" s="1972"/>
      <c r="BG43" s="1972"/>
      <c r="BH43" s="1972"/>
      <c r="BI43" s="1972"/>
      <c r="BJ43" s="1972"/>
      <c r="BK43" s="192"/>
      <c r="BL43" s="1971"/>
      <c r="BM43" s="1971"/>
      <c r="BN43" s="1971"/>
      <c r="BO43" s="1971"/>
      <c r="BP43" s="1971"/>
      <c r="BQ43" s="1971"/>
      <c r="BR43" s="1971"/>
      <c r="BS43" s="1971"/>
      <c r="BT43" s="1972"/>
      <c r="BU43" s="1972"/>
      <c r="BV43" s="1972"/>
      <c r="BW43" s="1972"/>
      <c r="BX43" s="1972"/>
      <c r="BY43" s="1972"/>
      <c r="BZ43" s="1972"/>
      <c r="CA43" s="1972"/>
      <c r="CB43" s="1972"/>
      <c r="CC43" s="1972"/>
      <c r="CD43" s="1972"/>
      <c r="CE43" s="1972"/>
      <c r="CF43" s="1972"/>
      <c r="CG43" s="1972"/>
      <c r="CH43" s="1972"/>
      <c r="CI43" s="1972"/>
      <c r="CJ43" s="1972"/>
      <c r="CK43" s="1972"/>
      <c r="CL43" s="1972"/>
      <c r="CM43" s="1972"/>
      <c r="CN43" s="1972"/>
      <c r="CO43" s="1972"/>
      <c r="CP43" s="1972"/>
      <c r="CQ43" s="1972"/>
      <c r="CR43" s="1972"/>
      <c r="CS43" s="1972"/>
      <c r="CT43" s="1972"/>
      <c r="CU43" s="1972"/>
      <c r="CV43" s="1972"/>
      <c r="CW43" s="1972"/>
      <c r="CX43" s="1972"/>
      <c r="CY43" s="1972"/>
      <c r="CZ43" s="1972"/>
      <c r="DA43" s="1972"/>
      <c r="DB43" s="1972"/>
      <c r="DC43" s="1972"/>
      <c r="DD43" s="1972"/>
      <c r="DE43" s="1972"/>
      <c r="DF43" s="1972"/>
      <c r="DG43" s="1972"/>
      <c r="DH43" s="1972"/>
      <c r="DI43" s="1972"/>
      <c r="DJ43" s="1972"/>
      <c r="DK43" s="1972"/>
      <c r="DL43" s="1972"/>
      <c r="DM43" s="1972"/>
      <c r="DN43" s="1972"/>
      <c r="DO43" s="1972"/>
      <c r="DP43" s="1972"/>
      <c r="DQ43" s="1972"/>
      <c r="DR43" s="1972"/>
      <c r="DS43" s="813"/>
      <c r="DT43" s="238"/>
      <c r="DU43" s="129"/>
      <c r="DV43" s="129"/>
      <c r="DW43" s="126"/>
      <c r="DX43" s="126"/>
      <c r="DY43" s="126"/>
      <c r="DZ43" s="126"/>
      <c r="EA43" s="126"/>
      <c r="EB43" s="126"/>
      <c r="EC43" s="126"/>
      <c r="ED43" s="126"/>
      <c r="EE43" s="126"/>
      <c r="EF43" s="127"/>
    </row>
    <row r="44" spans="2:136" ht="6" customHeight="1">
      <c r="B44" s="312"/>
      <c r="C44" s="313"/>
      <c r="D44" s="313"/>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313"/>
      <c r="BB44" s="313"/>
      <c r="BC44" s="313"/>
      <c r="BD44" s="313"/>
      <c r="BE44" s="313"/>
      <c r="BF44" s="313"/>
      <c r="BG44" s="313"/>
      <c r="BH44" s="313"/>
      <c r="BI44" s="313"/>
      <c r="BJ44" s="313"/>
      <c r="BK44" s="313"/>
      <c r="BL44" s="313"/>
      <c r="BM44" s="313"/>
      <c r="BN44" s="313"/>
      <c r="BO44" s="313"/>
      <c r="BP44" s="313"/>
      <c r="BQ44" s="313"/>
      <c r="BR44" s="313"/>
      <c r="BS44" s="313"/>
      <c r="BT44" s="313"/>
      <c r="BU44" s="313"/>
      <c r="BV44" s="313"/>
      <c r="BW44" s="313"/>
      <c r="BX44" s="313"/>
      <c r="BY44" s="313"/>
      <c r="BZ44" s="313"/>
      <c r="CA44" s="313"/>
      <c r="CB44" s="313"/>
      <c r="CC44" s="313"/>
      <c r="CD44" s="313"/>
      <c r="CE44" s="313"/>
      <c r="CF44" s="313"/>
      <c r="CG44" s="313"/>
      <c r="CH44" s="313"/>
      <c r="CI44" s="313"/>
      <c r="CJ44" s="313"/>
      <c r="CK44" s="313"/>
      <c r="CL44" s="313"/>
      <c r="CM44" s="313"/>
      <c r="CN44" s="313"/>
      <c r="CO44" s="313"/>
      <c r="CP44" s="313"/>
      <c r="CQ44" s="313"/>
      <c r="CR44" s="313"/>
      <c r="CS44" s="313"/>
      <c r="CT44" s="313"/>
      <c r="CU44" s="313"/>
      <c r="CV44" s="313"/>
      <c r="CW44" s="313"/>
      <c r="CX44" s="313"/>
      <c r="CY44" s="313"/>
      <c r="CZ44" s="313"/>
      <c r="DA44" s="313"/>
      <c r="DB44" s="313"/>
      <c r="DC44" s="313"/>
      <c r="DD44" s="313"/>
      <c r="DE44" s="313"/>
      <c r="DF44" s="313"/>
      <c r="DG44" s="313"/>
      <c r="DH44" s="313"/>
      <c r="DI44" s="313"/>
      <c r="DJ44" s="313"/>
      <c r="DK44" s="313"/>
      <c r="DL44" s="313"/>
      <c r="DM44" s="313"/>
      <c r="DN44" s="313"/>
      <c r="DO44" s="313"/>
      <c r="DP44" s="313"/>
      <c r="DQ44" s="313"/>
      <c r="DR44" s="313"/>
      <c r="DS44" s="313"/>
      <c r="DT44" s="311"/>
      <c r="DU44" s="305"/>
      <c r="DV44" s="305"/>
      <c r="DW44" s="126"/>
      <c r="DX44" s="126"/>
      <c r="DY44" s="126"/>
      <c r="DZ44" s="126"/>
      <c r="EA44" s="126"/>
      <c r="EB44" s="126"/>
      <c r="EC44" s="126"/>
      <c r="ED44" s="126"/>
      <c r="EE44" s="126"/>
      <c r="EF44" s="127"/>
    </row>
    <row r="45" spans="2:136" ht="42" customHeight="1">
      <c r="B45" s="312"/>
      <c r="C45" s="313"/>
      <c r="D45" s="1069" t="str">
        <f ca="1">'D1-D2-D3'!D46</f>
        <v>Symptom description</v>
      </c>
      <c r="E45" s="1069"/>
      <c r="F45" s="1069"/>
      <c r="G45" s="1069"/>
      <c r="H45" s="1069"/>
      <c r="I45" s="1069"/>
      <c r="J45" s="1069"/>
      <c r="K45" s="1069"/>
      <c r="L45" s="1069"/>
      <c r="M45" s="1069"/>
      <c r="N45" s="1069"/>
      <c r="O45" s="1069"/>
      <c r="P45" s="1069"/>
      <c r="Q45" s="1069"/>
      <c r="R45" s="1069"/>
      <c r="S45" s="1069"/>
      <c r="T45" s="1069"/>
      <c r="U45" s="1069"/>
      <c r="V45" s="1973" t="str">
        <f>IF('D1-D2-D3'!V46="","",'D1-D2-D3'!V46)</f>
        <v/>
      </c>
      <c r="W45" s="1974"/>
      <c r="X45" s="1974"/>
      <c r="Y45" s="1974"/>
      <c r="Z45" s="1974"/>
      <c r="AA45" s="1974"/>
      <c r="AB45" s="1974"/>
      <c r="AC45" s="1974"/>
      <c r="AD45" s="1974"/>
      <c r="AE45" s="1974"/>
      <c r="AF45" s="1974"/>
      <c r="AG45" s="1974"/>
      <c r="AH45" s="1974"/>
      <c r="AI45" s="1974"/>
      <c r="AJ45" s="1974"/>
      <c r="AK45" s="1974"/>
      <c r="AL45" s="1974"/>
      <c r="AM45" s="1974"/>
      <c r="AN45" s="1974"/>
      <c r="AO45" s="1975"/>
      <c r="AP45" s="193"/>
      <c r="AQ45" s="55"/>
      <c r="AR45" s="55"/>
      <c r="AS45" s="67"/>
      <c r="AT45" s="68"/>
      <c r="AU45" s="69"/>
      <c r="AV45" s="1167" t="str">
        <f ca="1">'D1-D2-D3'!AU46</f>
        <v>IS</v>
      </c>
      <c r="AW45" s="1168"/>
      <c r="AX45" s="1168"/>
      <c r="AY45" s="1168"/>
      <c r="AZ45" s="1168"/>
      <c r="BA45" s="1168"/>
      <c r="BB45" s="1168"/>
      <c r="BC45" s="1168"/>
      <c r="BD45" s="1168"/>
      <c r="BE45" s="1168"/>
      <c r="BF45" s="1168"/>
      <c r="BG45" s="1168"/>
      <c r="BH45" s="1168"/>
      <c r="BI45" s="1168"/>
      <c r="BJ45" s="1168"/>
      <c r="BK45" s="1168"/>
      <c r="BL45" s="1168"/>
      <c r="BM45" s="1168"/>
      <c r="BN45" s="1168"/>
      <c r="BO45" s="1168"/>
      <c r="BP45" s="1168"/>
      <c r="BQ45" s="1168"/>
      <c r="BR45" s="1168"/>
      <c r="BS45" s="1168"/>
      <c r="BT45" s="1168"/>
      <c r="BU45" s="1168"/>
      <c r="BV45" s="1168"/>
      <c r="BW45" s="1168"/>
      <c r="BX45" s="1168"/>
      <c r="BY45" s="1168"/>
      <c r="BZ45" s="1168"/>
      <c r="CA45" s="1168"/>
      <c r="CB45" s="1168"/>
      <c r="CC45" s="1168"/>
      <c r="CD45" s="1168"/>
      <c r="CE45" s="1168"/>
      <c r="CF45" s="1168"/>
      <c r="CG45" s="1142"/>
      <c r="CH45" s="1935" t="str">
        <f ca="1">'D1-D2-D3'!CG46</f>
        <v>IS NOT</v>
      </c>
      <c r="CI45" s="1935"/>
      <c r="CJ45" s="1935"/>
      <c r="CK45" s="1935"/>
      <c r="CL45" s="1935"/>
      <c r="CM45" s="1935"/>
      <c r="CN45" s="1935"/>
      <c r="CO45" s="1935"/>
      <c r="CP45" s="1935"/>
      <c r="CQ45" s="1935"/>
      <c r="CR45" s="1935"/>
      <c r="CS45" s="1935"/>
      <c r="CT45" s="1935"/>
      <c r="CU45" s="1935"/>
      <c r="CV45" s="1935"/>
      <c r="CW45" s="1935"/>
      <c r="CX45" s="1935"/>
      <c r="CY45" s="1935"/>
      <c r="CZ45" s="1935"/>
      <c r="DA45" s="1935"/>
      <c r="DB45" s="1935"/>
      <c r="DC45" s="1935"/>
      <c r="DD45" s="1935"/>
      <c r="DE45" s="1935"/>
      <c r="DF45" s="1935"/>
      <c r="DG45" s="1935"/>
      <c r="DH45" s="1935"/>
      <c r="DI45" s="1935"/>
      <c r="DJ45" s="1935"/>
      <c r="DK45" s="1935"/>
      <c r="DL45" s="1935"/>
      <c r="DM45" s="1935"/>
      <c r="DN45" s="1935"/>
      <c r="DO45" s="1935"/>
      <c r="DP45" s="1935"/>
      <c r="DQ45" s="1935"/>
      <c r="DR45" s="1935"/>
      <c r="DS45" s="806"/>
      <c r="DT45" s="311"/>
      <c r="DU45" s="305"/>
      <c r="DV45" s="305"/>
      <c r="DW45" s="126"/>
      <c r="DX45" s="126"/>
      <c r="DY45" s="126"/>
      <c r="DZ45" s="126"/>
      <c r="EA45" s="126"/>
      <c r="EB45" s="126"/>
      <c r="EC45" s="126"/>
      <c r="ED45" s="126"/>
      <c r="EE45" s="126"/>
      <c r="EF45" s="127"/>
    </row>
    <row r="46" spans="2:136" ht="42" customHeight="1">
      <c r="B46" s="312"/>
      <c r="C46" s="313"/>
      <c r="D46" s="313"/>
      <c r="E46" s="313"/>
      <c r="F46" s="313"/>
      <c r="G46" s="313"/>
      <c r="H46" s="313"/>
      <c r="I46" s="313"/>
      <c r="J46" s="313"/>
      <c r="K46" s="313"/>
      <c r="L46" s="313"/>
      <c r="M46" s="313"/>
      <c r="N46" s="313"/>
      <c r="O46" s="313"/>
      <c r="P46" s="313"/>
      <c r="Q46" s="313"/>
      <c r="R46" s="313"/>
      <c r="S46" s="313"/>
      <c r="T46" s="313"/>
      <c r="U46" s="313"/>
      <c r="V46" s="1976"/>
      <c r="W46" s="1977"/>
      <c r="X46" s="1977"/>
      <c r="Y46" s="1977"/>
      <c r="Z46" s="1977"/>
      <c r="AA46" s="1977"/>
      <c r="AB46" s="1977"/>
      <c r="AC46" s="1977"/>
      <c r="AD46" s="1977"/>
      <c r="AE46" s="1977"/>
      <c r="AF46" s="1977"/>
      <c r="AG46" s="1977"/>
      <c r="AH46" s="1977"/>
      <c r="AI46" s="1977"/>
      <c r="AJ46" s="1977"/>
      <c r="AK46" s="1977"/>
      <c r="AL46" s="1977"/>
      <c r="AM46" s="1977"/>
      <c r="AN46" s="1977"/>
      <c r="AO46" s="1978"/>
      <c r="AP46" s="812"/>
      <c r="AQ46" s="357"/>
      <c r="AR46" s="357"/>
      <c r="AS46" s="1170" t="str">
        <f ca="1">'D1-D2-D3'!AR47</f>
        <v>What</v>
      </c>
      <c r="AT46" s="1170"/>
      <c r="AU46" s="1170"/>
      <c r="AV46" s="1936" t="str">
        <f ca="1">'D1-D2-D3'!AU47</f>
        <v xml:space="preserve">Which product/process does the problem concern ? </v>
      </c>
      <c r="AW46" s="1936"/>
      <c r="AX46" s="1936"/>
      <c r="AY46" s="1936"/>
      <c r="AZ46" s="1936"/>
      <c r="BA46" s="1936"/>
      <c r="BB46" s="1936"/>
      <c r="BC46" s="1936"/>
      <c r="BD46" s="1936"/>
      <c r="BE46" s="1936"/>
      <c r="BF46" s="1936"/>
      <c r="BG46" s="1936"/>
      <c r="BH46" s="1936"/>
      <c r="BI46" s="1936"/>
      <c r="BJ46" s="1936"/>
      <c r="BK46" s="1936"/>
      <c r="BL46" s="1936"/>
      <c r="BM46" s="1936"/>
      <c r="BN46" s="1936"/>
      <c r="BO46" s="1936"/>
      <c r="BP46" s="1936"/>
      <c r="BQ46" s="1936"/>
      <c r="BR46" s="1936"/>
      <c r="BS46" s="1936"/>
      <c r="BT46" s="1936"/>
      <c r="BU46" s="1936"/>
      <c r="BV46" s="1936"/>
      <c r="BW46" s="1936"/>
      <c r="BX46" s="1936"/>
      <c r="BY46" s="1936"/>
      <c r="BZ46" s="1936"/>
      <c r="CA46" s="1936"/>
      <c r="CB46" s="1936"/>
      <c r="CC46" s="1936"/>
      <c r="CD46" s="1936"/>
      <c r="CE46" s="1936"/>
      <c r="CF46" s="1936"/>
      <c r="CG46" s="1936"/>
      <c r="CH46" s="1871" t="str">
        <f ca="1">'D1-D2-D3'!CG47</f>
        <v>Are there comparable products/processes where the problem did not occur ?</v>
      </c>
      <c r="CI46" s="1871"/>
      <c r="CJ46" s="1871"/>
      <c r="CK46" s="1871"/>
      <c r="CL46" s="1871"/>
      <c r="CM46" s="1871"/>
      <c r="CN46" s="1871"/>
      <c r="CO46" s="1871"/>
      <c r="CP46" s="1871"/>
      <c r="CQ46" s="1871"/>
      <c r="CR46" s="1871"/>
      <c r="CS46" s="1871"/>
      <c r="CT46" s="1871"/>
      <c r="CU46" s="1871"/>
      <c r="CV46" s="1871"/>
      <c r="CW46" s="1871"/>
      <c r="CX46" s="1871"/>
      <c r="CY46" s="1871"/>
      <c r="CZ46" s="1871"/>
      <c r="DA46" s="1871"/>
      <c r="DB46" s="1871"/>
      <c r="DC46" s="1871"/>
      <c r="DD46" s="1871"/>
      <c r="DE46" s="1871"/>
      <c r="DF46" s="1871"/>
      <c r="DG46" s="1871"/>
      <c r="DH46" s="1871"/>
      <c r="DI46" s="1871"/>
      <c r="DJ46" s="1871"/>
      <c r="DK46" s="1871"/>
      <c r="DL46" s="1871"/>
      <c r="DM46" s="1871"/>
      <c r="DN46" s="1871"/>
      <c r="DO46" s="1871"/>
      <c r="DP46" s="1871"/>
      <c r="DQ46" s="1871"/>
      <c r="DR46" s="1871"/>
      <c r="DS46" s="337"/>
      <c r="DT46" s="311"/>
      <c r="DU46" s="305"/>
      <c r="DV46" s="305"/>
      <c r="DW46" s="126"/>
      <c r="DX46" s="126"/>
      <c r="DY46" s="126"/>
      <c r="DZ46" s="126"/>
      <c r="EA46" s="126"/>
      <c r="EB46" s="126"/>
      <c r="EC46" s="126"/>
      <c r="ED46" s="126"/>
      <c r="EE46" s="126"/>
      <c r="EF46" s="127"/>
    </row>
    <row r="47" spans="2:136" ht="42" customHeight="1">
      <c r="B47" s="312"/>
      <c r="C47" s="313"/>
      <c r="D47" s="1069" t="str">
        <f ca="1">'D1-D2-D3'!D48</f>
        <v>Problem description</v>
      </c>
      <c r="E47" s="1069"/>
      <c r="F47" s="1069"/>
      <c r="G47" s="1069"/>
      <c r="H47" s="1069"/>
      <c r="I47" s="1069"/>
      <c r="J47" s="1069"/>
      <c r="K47" s="1069"/>
      <c r="L47" s="1069"/>
      <c r="M47" s="1069"/>
      <c r="N47" s="1069"/>
      <c r="O47" s="1069"/>
      <c r="P47" s="1069"/>
      <c r="Q47" s="1069"/>
      <c r="R47" s="1069"/>
      <c r="S47" s="1069"/>
      <c r="T47" s="1069"/>
      <c r="U47" s="1069"/>
      <c r="V47" s="1973" t="str">
        <f>IF('D1-D2-D3'!V48="","",'D1-D2-D3'!V48)</f>
        <v/>
      </c>
      <c r="W47" s="1974"/>
      <c r="X47" s="1974"/>
      <c r="Y47" s="1974"/>
      <c r="Z47" s="1974"/>
      <c r="AA47" s="1974"/>
      <c r="AB47" s="1974"/>
      <c r="AC47" s="1974"/>
      <c r="AD47" s="1974"/>
      <c r="AE47" s="1974"/>
      <c r="AF47" s="1974"/>
      <c r="AG47" s="1974"/>
      <c r="AH47" s="1974"/>
      <c r="AI47" s="1974"/>
      <c r="AJ47" s="1974"/>
      <c r="AK47" s="1974"/>
      <c r="AL47" s="1974"/>
      <c r="AM47" s="1974"/>
      <c r="AN47" s="1974"/>
      <c r="AO47" s="1975"/>
      <c r="AP47" s="26"/>
      <c r="AQ47" s="357"/>
      <c r="AR47" s="70"/>
      <c r="AS47" s="1129"/>
      <c r="AT47" s="1129"/>
      <c r="AU47" s="1129"/>
      <c r="AV47" s="1921" t="str">
        <f>IF('D1-D2-D3'!AU48="","",'D1-D2-D3'!AU48)</f>
        <v/>
      </c>
      <c r="AW47" s="1921"/>
      <c r="AX47" s="1921"/>
      <c r="AY47" s="1921"/>
      <c r="AZ47" s="1921"/>
      <c r="BA47" s="1921"/>
      <c r="BB47" s="1921"/>
      <c r="BC47" s="1921"/>
      <c r="BD47" s="1921"/>
      <c r="BE47" s="1921"/>
      <c r="BF47" s="1921"/>
      <c r="BG47" s="1921"/>
      <c r="BH47" s="1921"/>
      <c r="BI47" s="1921"/>
      <c r="BJ47" s="1921"/>
      <c r="BK47" s="1921"/>
      <c r="BL47" s="1921"/>
      <c r="BM47" s="1921"/>
      <c r="BN47" s="1921"/>
      <c r="BO47" s="1921"/>
      <c r="BP47" s="1921"/>
      <c r="BQ47" s="1921"/>
      <c r="BR47" s="1921"/>
      <c r="BS47" s="1921"/>
      <c r="BT47" s="1921"/>
      <c r="BU47" s="1921"/>
      <c r="BV47" s="1921"/>
      <c r="BW47" s="1921"/>
      <c r="BX47" s="1921"/>
      <c r="BY47" s="1921"/>
      <c r="BZ47" s="1921"/>
      <c r="CA47" s="1921"/>
      <c r="CB47" s="1921"/>
      <c r="CC47" s="1921"/>
      <c r="CD47" s="1921"/>
      <c r="CE47" s="1921"/>
      <c r="CF47" s="1921"/>
      <c r="CG47" s="1921"/>
      <c r="CH47" s="1860" t="str">
        <f>IF('D1-D2-D3'!CG48="","",'D1-D2-D3'!CG48)</f>
        <v/>
      </c>
      <c r="CI47" s="1860"/>
      <c r="CJ47" s="1860"/>
      <c r="CK47" s="1860"/>
      <c r="CL47" s="1860"/>
      <c r="CM47" s="1860"/>
      <c r="CN47" s="1860"/>
      <c r="CO47" s="1860"/>
      <c r="CP47" s="1860"/>
      <c r="CQ47" s="1860"/>
      <c r="CR47" s="1860"/>
      <c r="CS47" s="1860"/>
      <c r="CT47" s="1860"/>
      <c r="CU47" s="1860"/>
      <c r="CV47" s="1860"/>
      <c r="CW47" s="1860"/>
      <c r="CX47" s="1860"/>
      <c r="CY47" s="1860"/>
      <c r="CZ47" s="1860"/>
      <c r="DA47" s="1860"/>
      <c r="DB47" s="1860"/>
      <c r="DC47" s="1860"/>
      <c r="DD47" s="1860"/>
      <c r="DE47" s="1860"/>
      <c r="DF47" s="1860"/>
      <c r="DG47" s="1860"/>
      <c r="DH47" s="1860"/>
      <c r="DI47" s="1860"/>
      <c r="DJ47" s="1860"/>
      <c r="DK47" s="1860"/>
      <c r="DL47" s="1860"/>
      <c r="DM47" s="1860"/>
      <c r="DN47" s="1860"/>
      <c r="DO47" s="1860"/>
      <c r="DP47" s="1860"/>
      <c r="DQ47" s="1860"/>
      <c r="DR47" s="1860"/>
      <c r="DS47" s="338"/>
      <c r="DT47" s="311"/>
      <c r="DU47" s="305"/>
      <c r="DV47" s="305"/>
      <c r="DW47" s="126"/>
      <c r="DX47" s="126"/>
      <c r="DY47" s="126"/>
      <c r="DZ47" s="126"/>
      <c r="EA47" s="126"/>
      <c r="EB47" s="126"/>
      <c r="EC47" s="126"/>
      <c r="ED47" s="126"/>
      <c r="EE47" s="126"/>
      <c r="EF47" s="127"/>
    </row>
    <row r="48" spans="2:136" ht="42" customHeight="1">
      <c r="B48" s="312"/>
      <c r="C48" s="313"/>
      <c r="D48" s="313"/>
      <c r="E48" s="313"/>
      <c r="F48" s="313"/>
      <c r="G48" s="313"/>
      <c r="H48" s="313"/>
      <c r="I48" s="313"/>
      <c r="J48" s="313"/>
      <c r="K48" s="313"/>
      <c r="L48" s="313"/>
      <c r="M48" s="313"/>
      <c r="N48" s="313"/>
      <c r="O48" s="313"/>
      <c r="P48" s="313"/>
      <c r="Q48" s="313"/>
      <c r="R48" s="313"/>
      <c r="S48" s="313"/>
      <c r="T48" s="313"/>
      <c r="U48" s="313"/>
      <c r="V48" s="1976"/>
      <c r="W48" s="1977"/>
      <c r="X48" s="1977"/>
      <c r="Y48" s="1977"/>
      <c r="Z48" s="1977"/>
      <c r="AA48" s="1977"/>
      <c r="AB48" s="1977"/>
      <c r="AC48" s="1977"/>
      <c r="AD48" s="1977"/>
      <c r="AE48" s="1977"/>
      <c r="AF48" s="1977"/>
      <c r="AG48" s="1977"/>
      <c r="AH48" s="1977"/>
      <c r="AI48" s="1977"/>
      <c r="AJ48" s="1977"/>
      <c r="AK48" s="1977"/>
      <c r="AL48" s="1977"/>
      <c r="AM48" s="1977"/>
      <c r="AN48" s="1977"/>
      <c r="AO48" s="1978"/>
      <c r="AP48" s="82"/>
      <c r="AQ48" s="58"/>
      <c r="AR48" s="58"/>
      <c r="AS48" s="1129"/>
      <c r="AT48" s="1129"/>
      <c r="AU48" s="1129"/>
      <c r="AV48" s="1870" t="str">
        <f ca="1">'D1-D2-D3'!AU49</f>
        <v>What is the deviation ?</v>
      </c>
      <c r="AW48" s="1870"/>
      <c r="AX48" s="1870"/>
      <c r="AY48" s="1870"/>
      <c r="AZ48" s="1870"/>
      <c r="BA48" s="1870"/>
      <c r="BB48" s="1870"/>
      <c r="BC48" s="1870"/>
      <c r="BD48" s="1870"/>
      <c r="BE48" s="1870"/>
      <c r="BF48" s="1870"/>
      <c r="BG48" s="1870"/>
      <c r="BH48" s="1870"/>
      <c r="BI48" s="1870"/>
      <c r="BJ48" s="1870"/>
      <c r="BK48" s="1870"/>
      <c r="BL48" s="1870"/>
      <c r="BM48" s="1870"/>
      <c r="BN48" s="1870"/>
      <c r="BO48" s="1870"/>
      <c r="BP48" s="1870"/>
      <c r="BQ48" s="1870"/>
      <c r="BR48" s="1870"/>
      <c r="BS48" s="1870"/>
      <c r="BT48" s="1870"/>
      <c r="BU48" s="1870"/>
      <c r="BV48" s="1870"/>
      <c r="BW48" s="1870"/>
      <c r="BX48" s="1870"/>
      <c r="BY48" s="1870"/>
      <c r="BZ48" s="1870"/>
      <c r="CA48" s="1870"/>
      <c r="CB48" s="1870"/>
      <c r="CC48" s="1870"/>
      <c r="CD48" s="1870"/>
      <c r="CE48" s="1870"/>
      <c r="CF48" s="1870"/>
      <c r="CG48" s="1870"/>
      <c r="CH48" s="1871" t="str">
        <f ca="1">'D1-D2-D3'!CG49</f>
        <v>Are additional deviations of the affected product/process expected ?</v>
      </c>
      <c r="CI48" s="1871"/>
      <c r="CJ48" s="1871"/>
      <c r="CK48" s="1871"/>
      <c r="CL48" s="1871"/>
      <c r="CM48" s="1871"/>
      <c r="CN48" s="1871"/>
      <c r="CO48" s="1871"/>
      <c r="CP48" s="1871"/>
      <c r="CQ48" s="1871"/>
      <c r="CR48" s="1871"/>
      <c r="CS48" s="1871"/>
      <c r="CT48" s="1871"/>
      <c r="CU48" s="1871"/>
      <c r="CV48" s="1871"/>
      <c r="CW48" s="1871"/>
      <c r="CX48" s="1871"/>
      <c r="CY48" s="1871"/>
      <c r="CZ48" s="1871"/>
      <c r="DA48" s="1871"/>
      <c r="DB48" s="1871"/>
      <c r="DC48" s="1871"/>
      <c r="DD48" s="1871"/>
      <c r="DE48" s="1871"/>
      <c r="DF48" s="1871"/>
      <c r="DG48" s="1871"/>
      <c r="DH48" s="1871"/>
      <c r="DI48" s="1871"/>
      <c r="DJ48" s="1871"/>
      <c r="DK48" s="1871"/>
      <c r="DL48" s="1871"/>
      <c r="DM48" s="1871"/>
      <c r="DN48" s="1871"/>
      <c r="DO48" s="1871"/>
      <c r="DP48" s="1871"/>
      <c r="DQ48" s="1871"/>
      <c r="DR48" s="1871"/>
      <c r="DS48" s="337"/>
      <c r="DT48" s="311"/>
      <c r="DU48" s="305"/>
      <c r="DV48" s="305"/>
      <c r="DW48" s="126"/>
      <c r="DX48" s="126"/>
      <c r="DY48" s="126"/>
      <c r="DZ48" s="126"/>
      <c r="EA48" s="126"/>
      <c r="EB48" s="126"/>
      <c r="EC48" s="126"/>
      <c r="ED48" s="126"/>
      <c r="EE48" s="126"/>
      <c r="EF48" s="127"/>
    </row>
    <row r="49" spans="2:136" ht="42" customHeight="1">
      <c r="B49" s="312"/>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58"/>
      <c r="AQ49" s="26"/>
      <c r="AR49" s="55"/>
      <c r="AS49" s="1129"/>
      <c r="AT49" s="1129"/>
      <c r="AU49" s="1129"/>
      <c r="AV49" s="1921" t="str">
        <f>IF('D1-D2-D3'!AU50="","",'D1-D2-D3'!AU50)</f>
        <v/>
      </c>
      <c r="AW49" s="1921"/>
      <c r="AX49" s="1921"/>
      <c r="AY49" s="1921"/>
      <c r="AZ49" s="1921"/>
      <c r="BA49" s="1921"/>
      <c r="BB49" s="1921"/>
      <c r="BC49" s="1921"/>
      <c r="BD49" s="1921"/>
      <c r="BE49" s="1921"/>
      <c r="BF49" s="1921"/>
      <c r="BG49" s="1921"/>
      <c r="BH49" s="1921"/>
      <c r="BI49" s="1921"/>
      <c r="BJ49" s="1921"/>
      <c r="BK49" s="1921"/>
      <c r="BL49" s="1921"/>
      <c r="BM49" s="1921"/>
      <c r="BN49" s="1921"/>
      <c r="BO49" s="1921"/>
      <c r="BP49" s="1921"/>
      <c r="BQ49" s="1921"/>
      <c r="BR49" s="1921"/>
      <c r="BS49" s="1921"/>
      <c r="BT49" s="1921"/>
      <c r="BU49" s="1921"/>
      <c r="BV49" s="1921"/>
      <c r="BW49" s="1921"/>
      <c r="BX49" s="1921"/>
      <c r="BY49" s="1921"/>
      <c r="BZ49" s="1921"/>
      <c r="CA49" s="1921"/>
      <c r="CB49" s="1921"/>
      <c r="CC49" s="1921"/>
      <c r="CD49" s="1921"/>
      <c r="CE49" s="1921"/>
      <c r="CF49" s="1921"/>
      <c r="CG49" s="1921"/>
      <c r="CH49" s="1860" t="str">
        <f>IF('D1-D2-D3'!CG50="","",'D1-D2-D3'!CG50)</f>
        <v/>
      </c>
      <c r="CI49" s="1860"/>
      <c r="CJ49" s="1860"/>
      <c r="CK49" s="1860"/>
      <c r="CL49" s="1860"/>
      <c r="CM49" s="1860"/>
      <c r="CN49" s="1860"/>
      <c r="CO49" s="1860"/>
      <c r="CP49" s="1860"/>
      <c r="CQ49" s="1860"/>
      <c r="CR49" s="1860"/>
      <c r="CS49" s="1860"/>
      <c r="CT49" s="1860"/>
      <c r="CU49" s="1860"/>
      <c r="CV49" s="1860"/>
      <c r="CW49" s="1860"/>
      <c r="CX49" s="1860"/>
      <c r="CY49" s="1860"/>
      <c r="CZ49" s="1860"/>
      <c r="DA49" s="1860"/>
      <c r="DB49" s="1860"/>
      <c r="DC49" s="1860"/>
      <c r="DD49" s="1860"/>
      <c r="DE49" s="1860"/>
      <c r="DF49" s="1860"/>
      <c r="DG49" s="1860"/>
      <c r="DH49" s="1860"/>
      <c r="DI49" s="1860"/>
      <c r="DJ49" s="1860"/>
      <c r="DK49" s="1860"/>
      <c r="DL49" s="1860"/>
      <c r="DM49" s="1860"/>
      <c r="DN49" s="1860"/>
      <c r="DO49" s="1860"/>
      <c r="DP49" s="1860"/>
      <c r="DQ49" s="1860"/>
      <c r="DR49" s="1860"/>
      <c r="DS49" s="338"/>
      <c r="DT49" s="311"/>
      <c r="DU49" s="305"/>
      <c r="DV49" s="305"/>
      <c r="DW49" s="126"/>
      <c r="DX49" s="126"/>
      <c r="DY49" s="126"/>
      <c r="DZ49" s="126"/>
      <c r="EA49" s="126"/>
      <c r="EB49" s="126"/>
      <c r="EC49" s="126"/>
      <c r="ED49" s="126"/>
      <c r="EE49" s="126"/>
      <c r="EF49" s="127"/>
    </row>
    <row r="50" spans="2:136" ht="42" customHeight="1">
      <c r="B50" s="312"/>
      <c r="C50" s="313"/>
      <c r="D50" s="1280" t="str">
        <f ca="1">INDIRECT($J$4&amp;"!C31")&amp;" &amp; "&amp;INDIRECT($J$4&amp;"!C32")</f>
        <v>Fault code &amp; Fault description</v>
      </c>
      <c r="E50" s="1280"/>
      <c r="F50" s="1280"/>
      <c r="G50" s="1280"/>
      <c r="H50" s="1280"/>
      <c r="I50" s="1280"/>
      <c r="J50" s="1280"/>
      <c r="K50" s="1280"/>
      <c r="L50" s="1280"/>
      <c r="M50" s="1280"/>
      <c r="N50" s="1280"/>
      <c r="O50" s="1280"/>
      <c r="P50" s="1280"/>
      <c r="Q50" s="1280"/>
      <c r="R50" s="1280"/>
      <c r="S50" s="1280"/>
      <c r="T50" s="1280"/>
      <c r="U50" s="1280"/>
      <c r="V50" s="1280"/>
      <c r="W50" s="1280"/>
      <c r="X50" s="190"/>
      <c r="Y50" s="190"/>
      <c r="Z50" s="190"/>
      <c r="AA50" s="190"/>
      <c r="AB50" s="190"/>
      <c r="AC50" s="190"/>
      <c r="AD50" s="190"/>
      <c r="AE50" s="190"/>
      <c r="AF50" s="190"/>
      <c r="AG50" s="190"/>
      <c r="AH50" s="2014" t="str">
        <f>IF('D1-D2-D3'!AH51="","",'D1-D2-D3'!AH51)</f>
        <v/>
      </c>
      <c r="AI50" s="2014"/>
      <c r="AJ50" s="2014"/>
      <c r="AK50" s="2014"/>
      <c r="AL50" s="2014"/>
      <c r="AM50" s="2014"/>
      <c r="AN50" s="2014"/>
      <c r="AO50" s="2014"/>
      <c r="AP50" s="194"/>
      <c r="AQ50" s="71"/>
      <c r="AR50" s="71"/>
      <c r="AS50" s="1129" t="str">
        <f ca="1">'D1-D2-D3'!AR51</f>
        <v>Where</v>
      </c>
      <c r="AT50" s="1129"/>
      <c r="AU50" s="1129"/>
      <c r="AV50" s="1870" t="str">
        <f ca="1">'D1-D2-D3'!AU51</f>
        <v>Where was the product/process when the deviation first occurred ?</v>
      </c>
      <c r="AW50" s="1870"/>
      <c r="AX50" s="1870"/>
      <c r="AY50" s="1870"/>
      <c r="AZ50" s="1870"/>
      <c r="BA50" s="1870"/>
      <c r="BB50" s="1870"/>
      <c r="BC50" s="1870"/>
      <c r="BD50" s="1870"/>
      <c r="BE50" s="1870"/>
      <c r="BF50" s="1870"/>
      <c r="BG50" s="1870"/>
      <c r="BH50" s="1870"/>
      <c r="BI50" s="1870"/>
      <c r="BJ50" s="1870"/>
      <c r="BK50" s="1870"/>
      <c r="BL50" s="1870"/>
      <c r="BM50" s="1870"/>
      <c r="BN50" s="1870"/>
      <c r="BO50" s="1870"/>
      <c r="BP50" s="1870"/>
      <c r="BQ50" s="1870"/>
      <c r="BR50" s="1870"/>
      <c r="BS50" s="1870"/>
      <c r="BT50" s="1870"/>
      <c r="BU50" s="1870"/>
      <c r="BV50" s="1870"/>
      <c r="BW50" s="1870"/>
      <c r="BX50" s="1870"/>
      <c r="BY50" s="1870"/>
      <c r="BZ50" s="1870"/>
      <c r="CA50" s="1870"/>
      <c r="CB50" s="1870"/>
      <c r="CC50" s="1870"/>
      <c r="CD50" s="1870"/>
      <c r="CE50" s="1870"/>
      <c r="CF50" s="1870"/>
      <c r="CG50" s="1870"/>
      <c r="CH50" s="1871" t="str">
        <f ca="1">'D1-D2-D3'!CG51</f>
        <v>Where else could the deviation occur ?</v>
      </c>
      <c r="CI50" s="1871"/>
      <c r="CJ50" s="1871"/>
      <c r="CK50" s="1871"/>
      <c r="CL50" s="1871"/>
      <c r="CM50" s="1871"/>
      <c r="CN50" s="1871"/>
      <c r="CO50" s="1871"/>
      <c r="CP50" s="1871"/>
      <c r="CQ50" s="1871"/>
      <c r="CR50" s="1871"/>
      <c r="CS50" s="1871"/>
      <c r="CT50" s="1871"/>
      <c r="CU50" s="1871"/>
      <c r="CV50" s="1871"/>
      <c r="CW50" s="1871"/>
      <c r="CX50" s="1871"/>
      <c r="CY50" s="1871"/>
      <c r="CZ50" s="1871"/>
      <c r="DA50" s="1871"/>
      <c r="DB50" s="1871"/>
      <c r="DC50" s="1871"/>
      <c r="DD50" s="1871"/>
      <c r="DE50" s="1871"/>
      <c r="DF50" s="1871"/>
      <c r="DG50" s="1871"/>
      <c r="DH50" s="1871"/>
      <c r="DI50" s="1871"/>
      <c r="DJ50" s="1871"/>
      <c r="DK50" s="1871"/>
      <c r="DL50" s="1871"/>
      <c r="DM50" s="1871"/>
      <c r="DN50" s="1871"/>
      <c r="DO50" s="1871"/>
      <c r="DP50" s="1871"/>
      <c r="DQ50" s="1871"/>
      <c r="DR50" s="1871"/>
      <c r="DS50" s="337"/>
      <c r="DT50" s="311"/>
      <c r="DU50" s="305"/>
      <c r="DV50" s="305"/>
      <c r="DW50" s="126"/>
      <c r="DX50" s="126"/>
      <c r="DY50" s="126"/>
      <c r="DZ50" s="126"/>
      <c r="EA50" s="126"/>
      <c r="EB50" s="126"/>
      <c r="EC50" s="126"/>
      <c r="ED50" s="126"/>
      <c r="EE50" s="126"/>
      <c r="EF50" s="127"/>
    </row>
    <row r="51" spans="2:136" ht="42" customHeight="1">
      <c r="B51" s="312"/>
      <c r="C51" s="313"/>
      <c r="D51" s="1172" t="e">
        <f>IF('D1-D2-D3'!D52="","",'D1-D2-D3'!D52)</f>
        <v>#N/A</v>
      </c>
      <c r="E51" s="1173"/>
      <c r="F51" s="1173"/>
      <c r="G51" s="1173"/>
      <c r="H51" s="1173"/>
      <c r="I51" s="1173"/>
      <c r="J51" s="1173"/>
      <c r="K51" s="1173"/>
      <c r="L51" s="1173"/>
      <c r="M51" s="1173"/>
      <c r="N51" s="1173"/>
      <c r="O51" s="1173"/>
      <c r="P51" s="1173"/>
      <c r="Q51" s="1173"/>
      <c r="R51" s="1173"/>
      <c r="S51" s="1173"/>
      <c r="T51" s="1173"/>
      <c r="U51" s="1173"/>
      <c r="V51" s="1173"/>
      <c r="W51" s="1173"/>
      <c r="X51" s="1173"/>
      <c r="Y51" s="1173"/>
      <c r="Z51" s="1173"/>
      <c r="AA51" s="1173"/>
      <c r="AB51" s="1173"/>
      <c r="AC51" s="1173"/>
      <c r="AD51" s="1173"/>
      <c r="AE51" s="1173"/>
      <c r="AF51" s="1173"/>
      <c r="AG51" s="1173"/>
      <c r="AH51" s="1173"/>
      <c r="AI51" s="1173"/>
      <c r="AJ51" s="1173"/>
      <c r="AK51" s="1173"/>
      <c r="AL51" s="1173"/>
      <c r="AM51" s="1173"/>
      <c r="AN51" s="1173"/>
      <c r="AO51" s="1174"/>
      <c r="AP51" s="194"/>
      <c r="AQ51" s="36"/>
      <c r="AR51" s="55"/>
      <c r="AS51" s="1129"/>
      <c r="AT51" s="1129"/>
      <c r="AU51" s="1129"/>
      <c r="AV51" s="1921" t="str">
        <f>IF('D1-D2-D3'!AU52="","",'D1-D2-D3'!AU52)</f>
        <v/>
      </c>
      <c r="AW51" s="1921"/>
      <c r="AX51" s="1921"/>
      <c r="AY51" s="1921"/>
      <c r="AZ51" s="1921"/>
      <c r="BA51" s="1921"/>
      <c r="BB51" s="1921"/>
      <c r="BC51" s="1921"/>
      <c r="BD51" s="1921"/>
      <c r="BE51" s="1921"/>
      <c r="BF51" s="1921"/>
      <c r="BG51" s="1921"/>
      <c r="BH51" s="1921"/>
      <c r="BI51" s="1921"/>
      <c r="BJ51" s="1921"/>
      <c r="BK51" s="1921"/>
      <c r="BL51" s="1921"/>
      <c r="BM51" s="1921"/>
      <c r="BN51" s="1921"/>
      <c r="BO51" s="1921"/>
      <c r="BP51" s="1921"/>
      <c r="BQ51" s="1921"/>
      <c r="BR51" s="1921"/>
      <c r="BS51" s="1921"/>
      <c r="BT51" s="1921"/>
      <c r="BU51" s="1921"/>
      <c r="BV51" s="1921"/>
      <c r="BW51" s="1921"/>
      <c r="BX51" s="1921"/>
      <c r="BY51" s="1921"/>
      <c r="BZ51" s="1921"/>
      <c r="CA51" s="1921"/>
      <c r="CB51" s="1921"/>
      <c r="CC51" s="1921"/>
      <c r="CD51" s="1921"/>
      <c r="CE51" s="1921"/>
      <c r="CF51" s="1921"/>
      <c r="CG51" s="1921"/>
      <c r="CH51" s="1860" t="str">
        <f>IF('D1-D2-D3'!CG52="","",'D1-D2-D3'!CG52)</f>
        <v/>
      </c>
      <c r="CI51" s="1860"/>
      <c r="CJ51" s="1860"/>
      <c r="CK51" s="1860"/>
      <c r="CL51" s="1860"/>
      <c r="CM51" s="1860"/>
      <c r="CN51" s="1860"/>
      <c r="CO51" s="1860"/>
      <c r="CP51" s="1860"/>
      <c r="CQ51" s="1860"/>
      <c r="CR51" s="1860"/>
      <c r="CS51" s="1860"/>
      <c r="CT51" s="1860"/>
      <c r="CU51" s="1860"/>
      <c r="CV51" s="1860"/>
      <c r="CW51" s="1860"/>
      <c r="CX51" s="1860"/>
      <c r="CY51" s="1860"/>
      <c r="CZ51" s="1860"/>
      <c r="DA51" s="1860"/>
      <c r="DB51" s="1860"/>
      <c r="DC51" s="1860"/>
      <c r="DD51" s="1860"/>
      <c r="DE51" s="1860"/>
      <c r="DF51" s="1860"/>
      <c r="DG51" s="1860"/>
      <c r="DH51" s="1860"/>
      <c r="DI51" s="1860"/>
      <c r="DJ51" s="1860"/>
      <c r="DK51" s="1860"/>
      <c r="DL51" s="1860"/>
      <c r="DM51" s="1860"/>
      <c r="DN51" s="1860"/>
      <c r="DO51" s="1860"/>
      <c r="DP51" s="1860"/>
      <c r="DQ51" s="1860"/>
      <c r="DR51" s="1860"/>
      <c r="DS51" s="338"/>
      <c r="DT51" s="332"/>
      <c r="DU51" s="305"/>
      <c r="DV51" s="305"/>
      <c r="DW51" s="126"/>
      <c r="DX51" s="126"/>
      <c r="DY51" s="126"/>
      <c r="DZ51" s="126"/>
      <c r="EA51" s="126"/>
      <c r="EB51" s="126"/>
      <c r="EC51" s="126"/>
      <c r="ED51" s="126"/>
      <c r="EE51" s="126"/>
      <c r="EF51" s="127"/>
    </row>
    <row r="52" spans="2:136" ht="42" customHeight="1">
      <c r="B52" s="312"/>
      <c r="C52" s="313"/>
      <c r="D52" s="365"/>
      <c r="E52" s="365"/>
      <c r="F52" s="365"/>
      <c r="G52" s="365"/>
      <c r="H52" s="365"/>
      <c r="I52" s="365"/>
      <c r="J52" s="365"/>
      <c r="K52" s="365"/>
      <c r="L52" s="365"/>
      <c r="M52" s="365"/>
      <c r="N52" s="365"/>
      <c r="O52" s="365"/>
      <c r="P52" s="365"/>
      <c r="Q52" s="365"/>
      <c r="R52" s="365"/>
      <c r="S52" s="365"/>
      <c r="T52" s="365"/>
      <c r="U52" s="365"/>
      <c r="V52" s="365"/>
      <c r="W52" s="365"/>
      <c r="X52" s="365"/>
      <c r="Y52" s="365"/>
      <c r="Z52" s="365"/>
      <c r="AA52" s="365"/>
      <c r="AB52" s="365"/>
      <c r="AC52" s="365"/>
      <c r="AD52" s="365"/>
      <c r="AE52" s="365"/>
      <c r="AF52" s="365"/>
      <c r="AG52" s="365"/>
      <c r="AH52" s="365"/>
      <c r="AI52" s="365"/>
      <c r="AJ52" s="365"/>
      <c r="AK52" s="365"/>
      <c r="AL52" s="365"/>
      <c r="AM52" s="365"/>
      <c r="AN52" s="365"/>
      <c r="AO52" s="365"/>
      <c r="AP52" s="195"/>
      <c r="AQ52" s="26"/>
      <c r="AR52" s="55"/>
      <c r="AS52" s="1129"/>
      <c r="AT52" s="1129"/>
      <c r="AU52" s="1129"/>
      <c r="AV52" s="1870" t="str">
        <f ca="1">'D1-D2-D3'!AU53</f>
        <v>Where in the product/process did the deviation occur ?</v>
      </c>
      <c r="AW52" s="1870"/>
      <c r="AX52" s="1870"/>
      <c r="AY52" s="1870"/>
      <c r="AZ52" s="1870"/>
      <c r="BA52" s="1870"/>
      <c r="BB52" s="1870"/>
      <c r="BC52" s="1870"/>
      <c r="BD52" s="1870"/>
      <c r="BE52" s="1870"/>
      <c r="BF52" s="1870"/>
      <c r="BG52" s="1870"/>
      <c r="BH52" s="1870"/>
      <c r="BI52" s="1870"/>
      <c r="BJ52" s="1870"/>
      <c r="BK52" s="1870"/>
      <c r="BL52" s="1870"/>
      <c r="BM52" s="1870"/>
      <c r="BN52" s="1870"/>
      <c r="BO52" s="1870"/>
      <c r="BP52" s="1870"/>
      <c r="BQ52" s="1870"/>
      <c r="BR52" s="1870"/>
      <c r="BS52" s="1870"/>
      <c r="BT52" s="1870"/>
      <c r="BU52" s="1870"/>
      <c r="BV52" s="1870"/>
      <c r="BW52" s="1870"/>
      <c r="BX52" s="1870"/>
      <c r="BY52" s="1870"/>
      <c r="BZ52" s="1870"/>
      <c r="CA52" s="1870"/>
      <c r="CB52" s="1870"/>
      <c r="CC52" s="1870"/>
      <c r="CD52" s="1870"/>
      <c r="CE52" s="1870"/>
      <c r="CF52" s="1870"/>
      <c r="CG52" s="1870"/>
      <c r="CH52" s="1871" t="str">
        <f ca="1">'D1-D2-D3'!CG53</f>
        <v>What are the names of the neighbouring products/processes and which of them are not affected by the deviation ?</v>
      </c>
      <c r="CI52" s="1871"/>
      <c r="CJ52" s="1871"/>
      <c r="CK52" s="1871"/>
      <c r="CL52" s="1871"/>
      <c r="CM52" s="1871"/>
      <c r="CN52" s="1871"/>
      <c r="CO52" s="1871"/>
      <c r="CP52" s="1871"/>
      <c r="CQ52" s="1871"/>
      <c r="CR52" s="1871"/>
      <c r="CS52" s="1871"/>
      <c r="CT52" s="1871"/>
      <c r="CU52" s="1871"/>
      <c r="CV52" s="1871"/>
      <c r="CW52" s="1871"/>
      <c r="CX52" s="1871"/>
      <c r="CY52" s="1871"/>
      <c r="CZ52" s="1871"/>
      <c r="DA52" s="1871"/>
      <c r="DB52" s="1871"/>
      <c r="DC52" s="1871"/>
      <c r="DD52" s="1871"/>
      <c r="DE52" s="1871"/>
      <c r="DF52" s="1871"/>
      <c r="DG52" s="1871"/>
      <c r="DH52" s="1871"/>
      <c r="DI52" s="1871"/>
      <c r="DJ52" s="1871"/>
      <c r="DK52" s="1871"/>
      <c r="DL52" s="1871"/>
      <c r="DM52" s="1871"/>
      <c r="DN52" s="1871"/>
      <c r="DO52" s="1871"/>
      <c r="DP52" s="1871"/>
      <c r="DQ52" s="1871"/>
      <c r="DR52" s="1871"/>
      <c r="DS52" s="337"/>
      <c r="DT52" s="333"/>
      <c r="DU52" s="305"/>
      <c r="DV52" s="305"/>
      <c r="DW52" s="126"/>
      <c r="DX52" s="126"/>
      <c r="DY52" s="126"/>
      <c r="DZ52" s="126"/>
      <c r="EA52" s="126"/>
      <c r="EB52" s="126"/>
      <c r="EC52" s="126"/>
      <c r="ED52" s="126"/>
      <c r="EE52" s="126"/>
      <c r="EF52" s="127"/>
    </row>
    <row r="53" spans="2:136" ht="42" customHeight="1">
      <c r="B53" s="312"/>
      <c r="C53" s="313"/>
      <c r="D53" s="805" t="str">
        <f ca="1">INDIRECT($J$4&amp;"!C33")</f>
        <v>Fault location</v>
      </c>
      <c r="E53" s="805"/>
      <c r="F53" s="805"/>
      <c r="G53" s="805"/>
      <c r="H53" s="805"/>
      <c r="I53" s="805"/>
      <c r="J53" s="805"/>
      <c r="K53" s="805"/>
      <c r="L53" s="805"/>
      <c r="M53" s="2053" t="str">
        <f>IF('D1-D2-D3'!M54="","",'D1-D2-D3'!M54)</f>
        <v/>
      </c>
      <c r="N53" s="2053"/>
      <c r="O53" s="2053"/>
      <c r="P53" s="2053"/>
      <c r="Q53" s="2053"/>
      <c r="R53" s="2053"/>
      <c r="S53" s="2053"/>
      <c r="T53" s="2053"/>
      <c r="U53" s="2053"/>
      <c r="V53" s="2053"/>
      <c r="W53" s="2053"/>
      <c r="X53" s="2053"/>
      <c r="Y53" s="2053"/>
      <c r="Z53" s="2053"/>
      <c r="AA53" s="2053"/>
      <c r="AB53" s="2053"/>
      <c r="AC53" s="2053"/>
      <c r="AD53" s="2053"/>
      <c r="AE53" s="2053"/>
      <c r="AF53" s="2053"/>
      <c r="AG53" s="2053"/>
      <c r="AH53" s="2053"/>
      <c r="AI53" s="2053"/>
      <c r="AJ53" s="2053"/>
      <c r="AK53" s="2053"/>
      <c r="AL53" s="2053"/>
      <c r="AM53" s="2053"/>
      <c r="AN53" s="2053"/>
      <c r="AO53" s="2053"/>
      <c r="AP53" s="194"/>
      <c r="AQ53" s="26"/>
      <c r="AR53" s="37"/>
      <c r="AS53" s="1129"/>
      <c r="AT53" s="1129"/>
      <c r="AU53" s="1129"/>
      <c r="AV53" s="1921" t="str">
        <f>IF('D1-D2-D3'!AU54="","",'D1-D2-D3'!AU54)</f>
        <v/>
      </c>
      <c r="AW53" s="1921"/>
      <c r="AX53" s="1921"/>
      <c r="AY53" s="1921"/>
      <c r="AZ53" s="1921"/>
      <c r="BA53" s="1921"/>
      <c r="BB53" s="1921"/>
      <c r="BC53" s="1921"/>
      <c r="BD53" s="1921"/>
      <c r="BE53" s="1921"/>
      <c r="BF53" s="1921"/>
      <c r="BG53" s="1921"/>
      <c r="BH53" s="1921"/>
      <c r="BI53" s="1921"/>
      <c r="BJ53" s="1921"/>
      <c r="BK53" s="1921"/>
      <c r="BL53" s="1921"/>
      <c r="BM53" s="1921"/>
      <c r="BN53" s="1921"/>
      <c r="BO53" s="1921"/>
      <c r="BP53" s="1921"/>
      <c r="BQ53" s="1921"/>
      <c r="BR53" s="1921"/>
      <c r="BS53" s="1921"/>
      <c r="BT53" s="1921"/>
      <c r="BU53" s="1921"/>
      <c r="BV53" s="1921"/>
      <c r="BW53" s="1921"/>
      <c r="BX53" s="1921"/>
      <c r="BY53" s="1921"/>
      <c r="BZ53" s="1921"/>
      <c r="CA53" s="1921"/>
      <c r="CB53" s="1921"/>
      <c r="CC53" s="1921"/>
      <c r="CD53" s="1921"/>
      <c r="CE53" s="1921"/>
      <c r="CF53" s="1921"/>
      <c r="CG53" s="1921"/>
      <c r="CH53" s="1860" t="str">
        <f>IF('D1-D2-D3'!CG54="","",'D1-D2-D3'!CG54)</f>
        <v/>
      </c>
      <c r="CI53" s="1860"/>
      <c r="CJ53" s="1860"/>
      <c r="CK53" s="1860"/>
      <c r="CL53" s="1860"/>
      <c r="CM53" s="1860"/>
      <c r="CN53" s="1860"/>
      <c r="CO53" s="1860"/>
      <c r="CP53" s="1860"/>
      <c r="CQ53" s="1860"/>
      <c r="CR53" s="1860"/>
      <c r="CS53" s="1860"/>
      <c r="CT53" s="1860"/>
      <c r="CU53" s="1860"/>
      <c r="CV53" s="1860"/>
      <c r="CW53" s="1860"/>
      <c r="CX53" s="1860"/>
      <c r="CY53" s="1860"/>
      <c r="CZ53" s="1860"/>
      <c r="DA53" s="1860"/>
      <c r="DB53" s="1860"/>
      <c r="DC53" s="1860"/>
      <c r="DD53" s="1860"/>
      <c r="DE53" s="1860"/>
      <c r="DF53" s="1860"/>
      <c r="DG53" s="1860"/>
      <c r="DH53" s="1860"/>
      <c r="DI53" s="1860"/>
      <c r="DJ53" s="1860"/>
      <c r="DK53" s="1860"/>
      <c r="DL53" s="1860"/>
      <c r="DM53" s="1860"/>
      <c r="DN53" s="1860"/>
      <c r="DO53" s="1860"/>
      <c r="DP53" s="1860"/>
      <c r="DQ53" s="1860"/>
      <c r="DR53" s="1860"/>
      <c r="DS53" s="338"/>
      <c r="DT53" s="50"/>
      <c r="DU53" s="305"/>
      <c r="DV53" s="305"/>
      <c r="DW53" s="126"/>
      <c r="DX53" s="126"/>
      <c r="DY53" s="126"/>
      <c r="DZ53" s="126"/>
      <c r="EA53" s="126"/>
      <c r="EB53" s="126"/>
      <c r="EC53" s="126"/>
      <c r="ED53" s="126"/>
      <c r="EE53" s="126"/>
      <c r="EF53" s="127"/>
    </row>
    <row r="54" spans="2:136" ht="42" customHeight="1">
      <c r="B54" s="312"/>
      <c r="C54" s="313"/>
      <c r="D54" s="365"/>
      <c r="E54" s="365"/>
      <c r="F54" s="365"/>
      <c r="G54" s="365"/>
      <c r="H54" s="365"/>
      <c r="I54" s="365"/>
      <c r="J54" s="365"/>
      <c r="K54" s="365"/>
      <c r="L54" s="365"/>
      <c r="M54" s="365"/>
      <c r="N54" s="365"/>
      <c r="O54" s="365"/>
      <c r="P54" s="365"/>
      <c r="Q54" s="365"/>
      <c r="R54" s="365"/>
      <c r="S54" s="365"/>
      <c r="T54" s="365"/>
      <c r="U54" s="365"/>
      <c r="V54" s="365"/>
      <c r="W54" s="365"/>
      <c r="X54" s="378"/>
      <c r="Y54" s="378"/>
      <c r="Z54" s="378"/>
      <c r="AA54" s="378"/>
      <c r="AB54" s="365"/>
      <c r="AC54" s="365"/>
      <c r="AD54" s="365"/>
      <c r="AE54" s="365"/>
      <c r="AF54" s="365"/>
      <c r="AG54" s="365"/>
      <c r="AH54" s="365"/>
      <c r="AI54" s="365"/>
      <c r="AJ54" s="365"/>
      <c r="AK54" s="365"/>
      <c r="AL54" s="365"/>
      <c r="AM54" s="365"/>
      <c r="AN54" s="365"/>
      <c r="AO54" s="191"/>
      <c r="AP54" s="196"/>
      <c r="AQ54" s="37"/>
      <c r="AR54" s="55"/>
      <c r="AS54" s="1129" t="str">
        <f ca="1">'D1-D2-D3'!AR55</f>
        <v>When</v>
      </c>
      <c r="AT54" s="1129"/>
      <c r="AU54" s="1129"/>
      <c r="AV54" s="1870" t="str">
        <f ca="1">'D1-D2-D3'!AU55</f>
        <v>When was the deviation first detected ? (Date of occurrence &amp; life cycle)</v>
      </c>
      <c r="AW54" s="1870"/>
      <c r="AX54" s="1870"/>
      <c r="AY54" s="1870"/>
      <c r="AZ54" s="1870"/>
      <c r="BA54" s="1870"/>
      <c r="BB54" s="1870"/>
      <c r="BC54" s="1870"/>
      <c r="BD54" s="1870"/>
      <c r="BE54" s="1870"/>
      <c r="BF54" s="1870"/>
      <c r="BG54" s="1870"/>
      <c r="BH54" s="1870"/>
      <c r="BI54" s="1870"/>
      <c r="BJ54" s="1870"/>
      <c r="BK54" s="1870"/>
      <c r="BL54" s="1870"/>
      <c r="BM54" s="1870"/>
      <c r="BN54" s="1870"/>
      <c r="BO54" s="1870"/>
      <c r="BP54" s="1870"/>
      <c r="BQ54" s="1870"/>
      <c r="BR54" s="1870"/>
      <c r="BS54" s="1870"/>
      <c r="BT54" s="1870"/>
      <c r="BU54" s="1870"/>
      <c r="BV54" s="1870"/>
      <c r="BW54" s="1870"/>
      <c r="BX54" s="1870"/>
      <c r="BY54" s="1870"/>
      <c r="BZ54" s="1870"/>
      <c r="CA54" s="1870"/>
      <c r="CB54" s="1870"/>
      <c r="CC54" s="1870"/>
      <c r="CD54" s="1870"/>
      <c r="CE54" s="1870"/>
      <c r="CF54" s="1870"/>
      <c r="CG54" s="1870"/>
      <c r="CH54" s="1871" t="str">
        <f ca="1">'D1-D2-D3'!CG55</f>
        <v>Can the problem have occurred in an earlier phase/time ?</v>
      </c>
      <c r="CI54" s="1871"/>
      <c r="CJ54" s="1871"/>
      <c r="CK54" s="1871"/>
      <c r="CL54" s="1871"/>
      <c r="CM54" s="1871"/>
      <c r="CN54" s="1871"/>
      <c r="CO54" s="1871"/>
      <c r="CP54" s="1871"/>
      <c r="CQ54" s="1871"/>
      <c r="CR54" s="1871"/>
      <c r="CS54" s="1871"/>
      <c r="CT54" s="1871"/>
      <c r="CU54" s="1871"/>
      <c r="CV54" s="1871"/>
      <c r="CW54" s="1871"/>
      <c r="CX54" s="1871"/>
      <c r="CY54" s="1871"/>
      <c r="CZ54" s="1871"/>
      <c r="DA54" s="1871"/>
      <c r="DB54" s="1871"/>
      <c r="DC54" s="1871"/>
      <c r="DD54" s="1871"/>
      <c r="DE54" s="1871"/>
      <c r="DF54" s="1871"/>
      <c r="DG54" s="1871"/>
      <c r="DH54" s="1871"/>
      <c r="DI54" s="1871"/>
      <c r="DJ54" s="1871"/>
      <c r="DK54" s="1871"/>
      <c r="DL54" s="1871"/>
      <c r="DM54" s="1871"/>
      <c r="DN54" s="1871"/>
      <c r="DO54" s="1871"/>
      <c r="DP54" s="1871"/>
      <c r="DQ54" s="1871"/>
      <c r="DR54" s="1871"/>
      <c r="DS54" s="337"/>
      <c r="DT54" s="50"/>
      <c r="DU54" s="305"/>
      <c r="DV54" s="305"/>
      <c r="DW54" s="126"/>
      <c r="DX54" s="126"/>
      <c r="DY54" s="126"/>
      <c r="DZ54" s="126"/>
      <c r="EA54" s="126"/>
      <c r="EB54" s="126"/>
      <c r="EC54" s="126"/>
      <c r="ED54" s="126"/>
      <c r="EE54" s="126"/>
      <c r="EF54" s="127"/>
    </row>
    <row r="55" spans="2:136" ht="42" customHeight="1">
      <c r="B55" s="312"/>
      <c r="C55" s="313"/>
      <c r="D55" s="1175" t="str">
        <f ca="1">INDIRECT($J$4&amp;"!C34")</f>
        <v>Workplace</v>
      </c>
      <c r="E55" s="1175"/>
      <c r="F55" s="1175"/>
      <c r="G55" s="1175"/>
      <c r="H55" s="1175"/>
      <c r="I55" s="1175"/>
      <c r="J55" s="1175"/>
      <c r="K55" s="1175"/>
      <c r="L55" s="1175"/>
      <c r="M55" s="1881" t="str">
        <f>IF('D1-D2-D3'!M56="","",'D1-D2-D3'!M56)</f>
        <v/>
      </c>
      <c r="N55" s="1882"/>
      <c r="O55" s="1882"/>
      <c r="P55" s="1882"/>
      <c r="Q55" s="1882"/>
      <c r="R55" s="1882"/>
      <c r="S55" s="1882"/>
      <c r="T55" s="1882"/>
      <c r="U55" s="1882"/>
      <c r="V55" s="1882"/>
      <c r="W55" s="1882"/>
      <c r="X55" s="1882"/>
      <c r="Y55" s="1882"/>
      <c r="Z55" s="1882"/>
      <c r="AA55" s="1882"/>
      <c r="AB55" s="1882"/>
      <c r="AC55" s="1882"/>
      <c r="AD55" s="1882"/>
      <c r="AE55" s="1882"/>
      <c r="AF55" s="1882"/>
      <c r="AG55" s="1882"/>
      <c r="AH55" s="1882"/>
      <c r="AI55" s="1882"/>
      <c r="AJ55" s="1882"/>
      <c r="AK55" s="1882"/>
      <c r="AL55" s="1882"/>
      <c r="AM55" s="1882"/>
      <c r="AN55" s="1882"/>
      <c r="AO55" s="1883"/>
      <c r="AP55" s="26"/>
      <c r="AQ55" s="26"/>
      <c r="AR55" s="75"/>
      <c r="AS55" s="1129"/>
      <c r="AT55" s="1129"/>
      <c r="AU55" s="1129"/>
      <c r="AV55" s="1873" t="str">
        <f>IF('D1-D2-D3'!AU56="","",'D1-D2-D3'!AU56)</f>
        <v/>
      </c>
      <c r="AW55" s="1873"/>
      <c r="AX55" s="1873"/>
      <c r="AY55" s="1873"/>
      <c r="AZ55" s="1873"/>
      <c r="BA55" s="1873"/>
      <c r="BB55" s="1873"/>
      <c r="BC55" s="1873"/>
      <c r="BD55" s="1873"/>
      <c r="BE55" s="1873"/>
      <c r="BF55" s="1873"/>
      <c r="BG55" s="1873"/>
      <c r="BH55" s="1873"/>
      <c r="BI55" s="1873"/>
      <c r="BJ55" s="1873"/>
      <c r="BK55" s="1873"/>
      <c r="BL55" s="1873"/>
      <c r="BM55" s="1873"/>
      <c r="BN55" s="1873"/>
      <c r="BO55" s="1873"/>
      <c r="BP55" s="1873"/>
      <c r="BQ55" s="1873"/>
      <c r="BR55" s="1873"/>
      <c r="BS55" s="1873"/>
      <c r="BT55" s="1873"/>
      <c r="BU55" s="1873"/>
      <c r="BV55" s="1873"/>
      <c r="BW55" s="1873"/>
      <c r="BX55" s="1873"/>
      <c r="BY55" s="1873"/>
      <c r="BZ55" s="1873"/>
      <c r="CA55" s="1873"/>
      <c r="CB55" s="1873"/>
      <c r="CC55" s="1873"/>
      <c r="CD55" s="1873"/>
      <c r="CE55" s="1873"/>
      <c r="CF55" s="1873"/>
      <c r="CG55" s="1873"/>
      <c r="CH55" s="1860" t="str">
        <f>IF('D1-D2-D3'!CG56="","",'D1-D2-D3'!CG56)</f>
        <v/>
      </c>
      <c r="CI55" s="1860"/>
      <c r="CJ55" s="1860"/>
      <c r="CK55" s="1860"/>
      <c r="CL55" s="1860"/>
      <c r="CM55" s="1860"/>
      <c r="CN55" s="1860"/>
      <c r="CO55" s="1860"/>
      <c r="CP55" s="1860"/>
      <c r="CQ55" s="1860"/>
      <c r="CR55" s="1860"/>
      <c r="CS55" s="1860"/>
      <c r="CT55" s="1860"/>
      <c r="CU55" s="1860"/>
      <c r="CV55" s="1860"/>
      <c r="CW55" s="1860"/>
      <c r="CX55" s="1860"/>
      <c r="CY55" s="1860"/>
      <c r="CZ55" s="1860"/>
      <c r="DA55" s="1860"/>
      <c r="DB55" s="1860"/>
      <c r="DC55" s="1860"/>
      <c r="DD55" s="1860"/>
      <c r="DE55" s="1860"/>
      <c r="DF55" s="1860"/>
      <c r="DG55" s="1860"/>
      <c r="DH55" s="1860"/>
      <c r="DI55" s="1860"/>
      <c r="DJ55" s="1860"/>
      <c r="DK55" s="1860"/>
      <c r="DL55" s="1860"/>
      <c r="DM55" s="1860"/>
      <c r="DN55" s="1860"/>
      <c r="DO55" s="1860"/>
      <c r="DP55" s="1860"/>
      <c r="DQ55" s="1860"/>
      <c r="DR55" s="1860"/>
      <c r="DS55" s="338"/>
      <c r="DT55" s="334"/>
      <c r="DU55" s="305"/>
      <c r="DV55" s="305"/>
      <c r="DW55" s="126"/>
      <c r="DX55" s="126"/>
      <c r="DY55" s="126"/>
      <c r="DZ55" s="126"/>
      <c r="EA55" s="126"/>
      <c r="EB55" s="126"/>
      <c r="EC55" s="126"/>
      <c r="ED55" s="126"/>
      <c r="EE55" s="126"/>
      <c r="EF55" s="127"/>
    </row>
    <row r="56" spans="2:136" ht="42" customHeight="1">
      <c r="B56" s="312"/>
      <c r="C56" s="313"/>
      <c r="D56" s="805" t="str">
        <f ca="1">INDIRECT($J$4&amp;"!C35")</f>
        <v>Qualification</v>
      </c>
      <c r="E56" s="805"/>
      <c r="F56" s="805"/>
      <c r="G56" s="805"/>
      <c r="H56" s="805"/>
      <c r="I56" s="805"/>
      <c r="J56" s="805"/>
      <c r="K56" s="805"/>
      <c r="L56" s="400"/>
      <c r="M56" s="1881" t="str">
        <f>IF('D1-D2-D3'!M57="","",'D1-D2-D3'!M57)</f>
        <v/>
      </c>
      <c r="N56" s="1882"/>
      <c r="O56" s="1882"/>
      <c r="P56" s="1882"/>
      <c r="Q56" s="1882"/>
      <c r="R56" s="1882"/>
      <c r="S56" s="1882"/>
      <c r="T56" s="1882"/>
      <c r="U56" s="1882"/>
      <c r="V56" s="1882"/>
      <c r="W56" s="1882"/>
      <c r="X56" s="1882"/>
      <c r="Y56" s="1882"/>
      <c r="Z56" s="1882"/>
      <c r="AA56" s="1882"/>
      <c r="AB56" s="1882"/>
      <c r="AC56" s="1882"/>
      <c r="AD56" s="1882"/>
      <c r="AE56" s="1882"/>
      <c r="AF56" s="1882"/>
      <c r="AG56" s="1882"/>
      <c r="AH56" s="1882"/>
      <c r="AI56" s="1882"/>
      <c r="AJ56" s="1882"/>
      <c r="AK56" s="1882"/>
      <c r="AL56" s="1882"/>
      <c r="AM56" s="1882"/>
      <c r="AN56" s="1882"/>
      <c r="AO56" s="1883"/>
      <c r="AP56" s="26"/>
      <c r="AQ56" s="26"/>
      <c r="AR56" s="26"/>
      <c r="AS56" s="1129"/>
      <c r="AT56" s="1129"/>
      <c r="AU56" s="1129"/>
      <c r="AV56" s="1874" t="str">
        <f ca="1">'D1-D2-D3'!AU57</f>
        <v>Is there a recognisable systematic of failures ? (single failure, continuous increase/fall, random or cyclical) ?</v>
      </c>
      <c r="AW56" s="1874"/>
      <c r="AX56" s="1874"/>
      <c r="AY56" s="1874"/>
      <c r="AZ56" s="1874"/>
      <c r="BA56" s="1874"/>
      <c r="BB56" s="1874"/>
      <c r="BC56" s="1874"/>
      <c r="BD56" s="1874"/>
      <c r="BE56" s="1874"/>
      <c r="BF56" s="1874"/>
      <c r="BG56" s="1874"/>
      <c r="BH56" s="1874"/>
      <c r="BI56" s="1874"/>
      <c r="BJ56" s="1874"/>
      <c r="BK56" s="1874"/>
      <c r="BL56" s="1874"/>
      <c r="BM56" s="1874"/>
      <c r="BN56" s="1874"/>
      <c r="BO56" s="1874"/>
      <c r="BP56" s="1874"/>
      <c r="BQ56" s="1874"/>
      <c r="BR56" s="1874"/>
      <c r="BS56" s="1874"/>
      <c r="BT56" s="1874"/>
      <c r="BU56" s="1874"/>
      <c r="BV56" s="1874"/>
      <c r="BW56" s="1874"/>
      <c r="BX56" s="1874"/>
      <c r="BY56" s="1874"/>
      <c r="BZ56" s="1874"/>
      <c r="CA56" s="1874"/>
      <c r="CB56" s="1874"/>
      <c r="CC56" s="1874"/>
      <c r="CD56" s="1874"/>
      <c r="CE56" s="1874"/>
      <c r="CF56" s="1874"/>
      <c r="CG56" s="1874"/>
      <c r="CH56" s="1871" t="str">
        <f ca="1">'D1-D2-D3'!CG57</f>
        <v>Can additional failures be expected since the discovery ?</v>
      </c>
      <c r="CI56" s="1871"/>
      <c r="CJ56" s="1871"/>
      <c r="CK56" s="1871"/>
      <c r="CL56" s="1871"/>
      <c r="CM56" s="1871"/>
      <c r="CN56" s="1871"/>
      <c r="CO56" s="1871"/>
      <c r="CP56" s="1871"/>
      <c r="CQ56" s="1871"/>
      <c r="CR56" s="1871"/>
      <c r="CS56" s="1871"/>
      <c r="CT56" s="1871"/>
      <c r="CU56" s="1871"/>
      <c r="CV56" s="1871"/>
      <c r="CW56" s="1871"/>
      <c r="CX56" s="1871"/>
      <c r="CY56" s="1871"/>
      <c r="CZ56" s="1871"/>
      <c r="DA56" s="1871"/>
      <c r="DB56" s="1871"/>
      <c r="DC56" s="1871"/>
      <c r="DD56" s="1871"/>
      <c r="DE56" s="1871"/>
      <c r="DF56" s="1871"/>
      <c r="DG56" s="1871"/>
      <c r="DH56" s="1871"/>
      <c r="DI56" s="1871"/>
      <c r="DJ56" s="1871"/>
      <c r="DK56" s="1871"/>
      <c r="DL56" s="1871"/>
      <c r="DM56" s="1871"/>
      <c r="DN56" s="1871"/>
      <c r="DO56" s="1871"/>
      <c r="DP56" s="1871"/>
      <c r="DQ56" s="1871"/>
      <c r="DR56" s="1871"/>
      <c r="DS56" s="337"/>
      <c r="DT56" s="50"/>
      <c r="DU56" s="305"/>
      <c r="DV56" s="305"/>
      <c r="DW56" s="126"/>
      <c r="DX56" s="126"/>
      <c r="DY56" s="126"/>
      <c r="DZ56" s="126"/>
      <c r="EA56" s="126"/>
      <c r="EB56" s="126"/>
      <c r="EC56" s="126"/>
      <c r="ED56" s="126"/>
      <c r="EE56" s="126"/>
      <c r="EF56" s="127"/>
    </row>
    <row r="57" spans="2:136" ht="42" customHeight="1">
      <c r="B57" s="312"/>
      <c r="C57" s="313"/>
      <c r="D57" s="1175" t="str">
        <f ca="1">INDIRECT($J$4&amp;"!C36")</f>
        <v>Line</v>
      </c>
      <c r="E57" s="1175"/>
      <c r="F57" s="1175"/>
      <c r="G57" s="1175"/>
      <c r="H57" s="1175"/>
      <c r="I57" s="1175"/>
      <c r="J57" s="1175"/>
      <c r="K57" s="1175"/>
      <c r="L57" s="1175"/>
      <c r="M57" s="1881" t="str">
        <f>IF('D1-D2-D3'!M58="","",'D1-D2-D3'!M58)</f>
        <v/>
      </c>
      <c r="N57" s="1882"/>
      <c r="O57" s="1882"/>
      <c r="P57" s="1882"/>
      <c r="Q57" s="1882"/>
      <c r="R57" s="1882"/>
      <c r="S57" s="1882"/>
      <c r="T57" s="1882"/>
      <c r="U57" s="1882"/>
      <c r="V57" s="1882"/>
      <c r="W57" s="1882"/>
      <c r="X57" s="1882"/>
      <c r="Y57" s="1882"/>
      <c r="Z57" s="1882"/>
      <c r="AA57" s="1882"/>
      <c r="AB57" s="1882"/>
      <c r="AC57" s="1882"/>
      <c r="AD57" s="1882"/>
      <c r="AE57" s="1882"/>
      <c r="AF57" s="1882"/>
      <c r="AG57" s="1882"/>
      <c r="AH57" s="1882"/>
      <c r="AI57" s="1882"/>
      <c r="AJ57" s="1882"/>
      <c r="AK57" s="1882"/>
      <c r="AL57" s="1882"/>
      <c r="AM57" s="1882"/>
      <c r="AN57" s="1882"/>
      <c r="AO57" s="1883"/>
      <c r="AP57" s="197"/>
      <c r="AQ57" s="26"/>
      <c r="AR57" s="26"/>
      <c r="AS57" s="1129"/>
      <c r="AT57" s="1129"/>
      <c r="AU57" s="1129"/>
      <c r="AV57" s="1921" t="str">
        <f>IF('D1-D2-D3'!AU58="","",'D1-D2-D3'!AU58)</f>
        <v/>
      </c>
      <c r="AW57" s="1921"/>
      <c r="AX57" s="1921"/>
      <c r="AY57" s="1921"/>
      <c r="AZ57" s="1921"/>
      <c r="BA57" s="1921"/>
      <c r="BB57" s="1921"/>
      <c r="BC57" s="1921"/>
      <c r="BD57" s="1921"/>
      <c r="BE57" s="1921"/>
      <c r="BF57" s="1921"/>
      <c r="BG57" s="1921"/>
      <c r="BH57" s="1921"/>
      <c r="BI57" s="1921"/>
      <c r="BJ57" s="1921"/>
      <c r="BK57" s="1921"/>
      <c r="BL57" s="1921"/>
      <c r="BM57" s="1921"/>
      <c r="BN57" s="1921"/>
      <c r="BO57" s="1921"/>
      <c r="BP57" s="1921"/>
      <c r="BQ57" s="1921"/>
      <c r="BR57" s="1921"/>
      <c r="BS57" s="1921"/>
      <c r="BT57" s="1921"/>
      <c r="BU57" s="1921"/>
      <c r="BV57" s="1921"/>
      <c r="BW57" s="1921"/>
      <c r="BX57" s="1921"/>
      <c r="BY57" s="1921"/>
      <c r="BZ57" s="1921"/>
      <c r="CA57" s="1921"/>
      <c r="CB57" s="1921"/>
      <c r="CC57" s="1921"/>
      <c r="CD57" s="1921"/>
      <c r="CE57" s="1921"/>
      <c r="CF57" s="1921"/>
      <c r="CG57" s="1921"/>
      <c r="CH57" s="1860" t="str">
        <f>IF('D1-D2-D3'!CG58="","",'D1-D2-D3'!CG58)</f>
        <v/>
      </c>
      <c r="CI57" s="1860"/>
      <c r="CJ57" s="1860"/>
      <c r="CK57" s="1860"/>
      <c r="CL57" s="1860"/>
      <c r="CM57" s="1860"/>
      <c r="CN57" s="1860"/>
      <c r="CO57" s="1860"/>
      <c r="CP57" s="1860"/>
      <c r="CQ57" s="1860"/>
      <c r="CR57" s="1860"/>
      <c r="CS57" s="1860"/>
      <c r="CT57" s="1860"/>
      <c r="CU57" s="1860"/>
      <c r="CV57" s="1860"/>
      <c r="CW57" s="1860"/>
      <c r="CX57" s="1860"/>
      <c r="CY57" s="1860"/>
      <c r="CZ57" s="1860"/>
      <c r="DA57" s="1860"/>
      <c r="DB57" s="1860"/>
      <c r="DC57" s="1860"/>
      <c r="DD57" s="1860"/>
      <c r="DE57" s="1860"/>
      <c r="DF57" s="1860"/>
      <c r="DG57" s="1860"/>
      <c r="DH57" s="1860"/>
      <c r="DI57" s="1860"/>
      <c r="DJ57" s="1860"/>
      <c r="DK57" s="1860"/>
      <c r="DL57" s="1860"/>
      <c r="DM57" s="1860"/>
      <c r="DN57" s="1860"/>
      <c r="DO57" s="1860"/>
      <c r="DP57" s="1860"/>
      <c r="DQ57" s="1860"/>
      <c r="DR57" s="1860"/>
      <c r="DS57" s="338"/>
      <c r="DT57" s="50"/>
      <c r="DU57" s="305"/>
      <c r="DV57" s="305"/>
      <c r="DW57" s="126"/>
      <c r="DX57" s="126"/>
      <c r="DY57" s="126"/>
      <c r="DZ57" s="126"/>
      <c r="EA57" s="126"/>
      <c r="EB57" s="126"/>
      <c r="EC57" s="126"/>
      <c r="ED57" s="126"/>
      <c r="EE57" s="126"/>
      <c r="EF57" s="187"/>
    </row>
    <row r="58" spans="2:136" ht="42" customHeight="1">
      <c r="B58" s="312"/>
      <c r="C58" s="313"/>
      <c r="D58" s="1175" t="str">
        <f ca="1">INDIRECT($J$4&amp;"!C37")</f>
        <v>Team</v>
      </c>
      <c r="E58" s="1175"/>
      <c r="F58" s="1175"/>
      <c r="G58" s="1175"/>
      <c r="H58" s="1175"/>
      <c r="I58" s="1175"/>
      <c r="J58" s="1175"/>
      <c r="K58" s="1175"/>
      <c r="L58" s="1175"/>
      <c r="M58" s="1881" t="str">
        <f>IF('D1-D2-D3'!M59="","",'D1-D2-D3'!M59)</f>
        <v/>
      </c>
      <c r="N58" s="1882"/>
      <c r="O58" s="1882"/>
      <c r="P58" s="1882"/>
      <c r="Q58" s="1882"/>
      <c r="R58" s="1882"/>
      <c r="S58" s="1882"/>
      <c r="T58" s="1882"/>
      <c r="U58" s="1882"/>
      <c r="V58" s="1882"/>
      <c r="W58" s="1882"/>
      <c r="X58" s="1882"/>
      <c r="Y58" s="1882"/>
      <c r="Z58" s="1882"/>
      <c r="AA58" s="1882"/>
      <c r="AB58" s="1882"/>
      <c r="AC58" s="1882"/>
      <c r="AD58" s="1882"/>
      <c r="AE58" s="1882"/>
      <c r="AF58" s="1882"/>
      <c r="AG58" s="1882"/>
      <c r="AH58" s="1882"/>
      <c r="AI58" s="1882"/>
      <c r="AJ58" s="1882"/>
      <c r="AK58" s="1882"/>
      <c r="AL58" s="1882"/>
      <c r="AM58" s="1882"/>
      <c r="AN58" s="1882"/>
      <c r="AO58" s="1883"/>
      <c r="AP58" s="26"/>
      <c r="AQ58" s="26"/>
      <c r="AR58" s="26"/>
      <c r="AS58" s="1129" t="str">
        <f ca="1">'D1-D2-D3'!AR59</f>
        <v>How many</v>
      </c>
      <c r="AT58" s="1129"/>
      <c r="AU58" s="1129"/>
      <c r="AV58" s="1870" t="str">
        <f ca="1">'D1-D2-D3'!AU59</f>
        <v>How many failures ? (number &amp; PPM's)</v>
      </c>
      <c r="AW58" s="1870"/>
      <c r="AX58" s="1870"/>
      <c r="AY58" s="1870"/>
      <c r="AZ58" s="1870"/>
      <c r="BA58" s="1870"/>
      <c r="BB58" s="1870"/>
      <c r="BC58" s="1870"/>
      <c r="BD58" s="1870"/>
      <c r="BE58" s="1870"/>
      <c r="BF58" s="1870"/>
      <c r="BG58" s="1870"/>
      <c r="BH58" s="1870"/>
      <c r="BI58" s="1870"/>
      <c r="BJ58" s="1870"/>
      <c r="BK58" s="1870"/>
      <c r="BL58" s="1870"/>
      <c r="BM58" s="1870"/>
      <c r="BN58" s="1870"/>
      <c r="BO58" s="1870"/>
      <c r="BP58" s="1870"/>
      <c r="BQ58" s="1870"/>
      <c r="BR58" s="1870"/>
      <c r="BS58" s="1870"/>
      <c r="BT58" s="1870"/>
      <c r="BU58" s="1870"/>
      <c r="BV58" s="1870"/>
      <c r="BW58" s="1870"/>
      <c r="BX58" s="1870"/>
      <c r="BY58" s="1870"/>
      <c r="BZ58" s="1870"/>
      <c r="CA58" s="1870"/>
      <c r="CB58" s="1870"/>
      <c r="CC58" s="1870"/>
      <c r="CD58" s="1870"/>
      <c r="CE58" s="1870"/>
      <c r="CF58" s="1870"/>
      <c r="CG58" s="1870"/>
      <c r="CH58" s="1871" t="str">
        <f ca="1">'D1-D2-D3'!CG59</f>
        <v>How many more can be expected in the future ?</v>
      </c>
      <c r="CI58" s="1871"/>
      <c r="CJ58" s="1871"/>
      <c r="CK58" s="1871"/>
      <c r="CL58" s="1871"/>
      <c r="CM58" s="1871"/>
      <c r="CN58" s="1871"/>
      <c r="CO58" s="1871"/>
      <c r="CP58" s="1871"/>
      <c r="CQ58" s="1871"/>
      <c r="CR58" s="1871"/>
      <c r="CS58" s="1871"/>
      <c r="CT58" s="1871"/>
      <c r="CU58" s="1871"/>
      <c r="CV58" s="1871"/>
      <c r="CW58" s="1871"/>
      <c r="CX58" s="1871"/>
      <c r="CY58" s="1871"/>
      <c r="CZ58" s="1871"/>
      <c r="DA58" s="1871"/>
      <c r="DB58" s="1871"/>
      <c r="DC58" s="1871"/>
      <c r="DD58" s="1871"/>
      <c r="DE58" s="1871"/>
      <c r="DF58" s="1871"/>
      <c r="DG58" s="1871"/>
      <c r="DH58" s="1871"/>
      <c r="DI58" s="1871"/>
      <c r="DJ58" s="1871"/>
      <c r="DK58" s="1871"/>
      <c r="DL58" s="1871"/>
      <c r="DM58" s="1871"/>
      <c r="DN58" s="1871"/>
      <c r="DO58" s="1871"/>
      <c r="DP58" s="1871"/>
      <c r="DQ58" s="1871"/>
      <c r="DR58" s="1871"/>
      <c r="DS58" s="337"/>
      <c r="DT58" s="50"/>
      <c r="DU58" s="305"/>
      <c r="DV58" s="305"/>
      <c r="DW58" s="126"/>
      <c r="DX58" s="126"/>
      <c r="DY58" s="126"/>
      <c r="DZ58" s="126"/>
      <c r="EA58" s="126"/>
      <c r="EB58" s="126"/>
      <c r="EC58" s="126"/>
      <c r="ED58" s="126"/>
      <c r="EE58" s="126"/>
      <c r="EF58" s="187"/>
    </row>
    <row r="59" spans="2:136" ht="42" customHeight="1">
      <c r="B59" s="312"/>
      <c r="C59" s="313"/>
      <c r="D59" s="1081" t="str">
        <f ca="1">INDIRECT($J$4&amp;"!C38")</f>
        <v>Equipment</v>
      </c>
      <c r="E59" s="1081"/>
      <c r="F59" s="1081"/>
      <c r="G59" s="1081"/>
      <c r="H59" s="1081"/>
      <c r="I59" s="1081"/>
      <c r="J59" s="1081"/>
      <c r="K59" s="1081"/>
      <c r="L59" s="1081"/>
      <c r="M59" s="1881" t="str">
        <f>IF('D1-D2-D3'!M60="","",'D1-D2-D3'!M60)</f>
        <v/>
      </c>
      <c r="N59" s="1882"/>
      <c r="O59" s="1882"/>
      <c r="P59" s="1882"/>
      <c r="Q59" s="1882"/>
      <c r="R59" s="1882"/>
      <c r="S59" s="1882"/>
      <c r="T59" s="1882"/>
      <c r="U59" s="1882"/>
      <c r="V59" s="1882"/>
      <c r="W59" s="1882"/>
      <c r="X59" s="1882"/>
      <c r="Y59" s="1882"/>
      <c r="Z59" s="1882"/>
      <c r="AA59" s="1882"/>
      <c r="AB59" s="1882"/>
      <c r="AC59" s="1882"/>
      <c r="AD59" s="1882"/>
      <c r="AE59" s="1882"/>
      <c r="AF59" s="1882"/>
      <c r="AG59" s="1882"/>
      <c r="AH59" s="1882"/>
      <c r="AI59" s="1882"/>
      <c r="AJ59" s="1882"/>
      <c r="AK59" s="1882"/>
      <c r="AL59" s="1882"/>
      <c r="AM59" s="1882"/>
      <c r="AN59" s="1882"/>
      <c r="AO59" s="1883"/>
      <c r="AP59" s="26"/>
      <c r="AQ59" s="26"/>
      <c r="AR59" s="26"/>
      <c r="AS59" s="1129"/>
      <c r="AT59" s="1129"/>
      <c r="AU59" s="1129"/>
      <c r="AV59" s="1921" t="str">
        <f>IF('D1-D2-D3'!AU60="","",'D1-D2-D3'!AU60)</f>
        <v/>
      </c>
      <c r="AW59" s="1921"/>
      <c r="AX59" s="1921"/>
      <c r="AY59" s="1921"/>
      <c r="AZ59" s="1921"/>
      <c r="BA59" s="1921"/>
      <c r="BB59" s="1921"/>
      <c r="BC59" s="1921"/>
      <c r="BD59" s="1921"/>
      <c r="BE59" s="1921"/>
      <c r="BF59" s="1921"/>
      <c r="BG59" s="1921"/>
      <c r="BH59" s="1921"/>
      <c r="BI59" s="1921"/>
      <c r="BJ59" s="1921"/>
      <c r="BK59" s="1921"/>
      <c r="BL59" s="1921"/>
      <c r="BM59" s="1921"/>
      <c r="BN59" s="1921"/>
      <c r="BO59" s="1921"/>
      <c r="BP59" s="1921"/>
      <c r="BQ59" s="1921"/>
      <c r="BR59" s="1921"/>
      <c r="BS59" s="1921"/>
      <c r="BT59" s="1921"/>
      <c r="BU59" s="1921"/>
      <c r="BV59" s="1921"/>
      <c r="BW59" s="1921"/>
      <c r="BX59" s="1921"/>
      <c r="BY59" s="1921"/>
      <c r="BZ59" s="1921"/>
      <c r="CA59" s="1921"/>
      <c r="CB59" s="1921"/>
      <c r="CC59" s="1921"/>
      <c r="CD59" s="1921"/>
      <c r="CE59" s="1921"/>
      <c r="CF59" s="1921"/>
      <c r="CG59" s="1921"/>
      <c r="CH59" s="1860" t="str">
        <f>IF('D1-D2-D3'!CG60="","",'D1-D2-D3'!CG60)</f>
        <v/>
      </c>
      <c r="CI59" s="1860"/>
      <c r="CJ59" s="1860"/>
      <c r="CK59" s="1860"/>
      <c r="CL59" s="1860"/>
      <c r="CM59" s="1860"/>
      <c r="CN59" s="1860"/>
      <c r="CO59" s="1860"/>
      <c r="CP59" s="1860"/>
      <c r="CQ59" s="1860"/>
      <c r="CR59" s="1860"/>
      <c r="CS59" s="1860"/>
      <c r="CT59" s="1860"/>
      <c r="CU59" s="1860"/>
      <c r="CV59" s="1860"/>
      <c r="CW59" s="1860"/>
      <c r="CX59" s="1860"/>
      <c r="CY59" s="1860"/>
      <c r="CZ59" s="1860"/>
      <c r="DA59" s="1860"/>
      <c r="DB59" s="1860"/>
      <c r="DC59" s="1860"/>
      <c r="DD59" s="1860"/>
      <c r="DE59" s="1860"/>
      <c r="DF59" s="1860"/>
      <c r="DG59" s="1860"/>
      <c r="DH59" s="1860"/>
      <c r="DI59" s="1860"/>
      <c r="DJ59" s="1860"/>
      <c r="DK59" s="1860"/>
      <c r="DL59" s="1860"/>
      <c r="DM59" s="1860"/>
      <c r="DN59" s="1860"/>
      <c r="DO59" s="1860"/>
      <c r="DP59" s="1860"/>
      <c r="DQ59" s="1860"/>
      <c r="DR59" s="1860"/>
      <c r="DS59" s="338"/>
      <c r="DT59" s="50"/>
      <c r="DU59" s="305"/>
      <c r="DV59" s="305"/>
      <c r="DW59" s="126"/>
      <c r="DX59" s="126"/>
      <c r="DY59" s="126"/>
      <c r="DZ59" s="126"/>
      <c r="EA59" s="126"/>
      <c r="EB59" s="126"/>
      <c r="EC59" s="126"/>
      <c r="ED59" s="126"/>
      <c r="EE59" s="126"/>
      <c r="EF59" s="187"/>
    </row>
    <row r="60" spans="2:136" ht="42" customHeight="1">
      <c r="B60" s="312"/>
      <c r="C60" s="313"/>
      <c r="D60" s="1081" t="str">
        <f ca="1">INDIRECT($J$4&amp;"!C39")&amp;":"</f>
        <v>Repetitive fault:</v>
      </c>
      <c r="E60" s="1081"/>
      <c r="F60" s="1081"/>
      <c r="G60" s="1081"/>
      <c r="H60" s="1081"/>
      <c r="I60" s="1081"/>
      <c r="J60" s="1081"/>
      <c r="K60" s="1081"/>
      <c r="L60" s="1081"/>
      <c r="M60" s="1081"/>
      <c r="N60" s="1081"/>
      <c r="O60" s="1081"/>
      <c r="P60" s="1081"/>
      <c r="Q60" s="805"/>
      <c r="R60" s="2054" t="str">
        <f ca="1">INDIRECT($J$4&amp;"!C40")&amp;":"</f>
        <v>If yes, PSS No./ 8D No.:</v>
      </c>
      <c r="S60" s="2054"/>
      <c r="T60" s="2054"/>
      <c r="U60" s="2054"/>
      <c r="V60" s="2054"/>
      <c r="W60" s="2054"/>
      <c r="X60" s="2054"/>
      <c r="Y60" s="2054"/>
      <c r="Z60" s="2054"/>
      <c r="AA60" s="2054"/>
      <c r="AB60" s="2054"/>
      <c r="AC60" s="2054"/>
      <c r="AD60" s="2054"/>
      <c r="AE60" s="2054"/>
      <c r="AF60" s="2054"/>
      <c r="AG60" s="2054"/>
      <c r="AH60" s="2054"/>
      <c r="AI60" s="2054"/>
      <c r="AJ60" s="2054"/>
      <c r="AK60" s="2054"/>
      <c r="AL60" s="2054"/>
      <c r="AM60" s="2054"/>
      <c r="AN60" s="2054"/>
      <c r="AO60" s="2054"/>
      <c r="AP60" s="26"/>
      <c r="AQ60" s="26"/>
      <c r="AR60" s="26"/>
      <c r="AS60" s="1129"/>
      <c r="AT60" s="1129"/>
      <c r="AU60" s="1129"/>
      <c r="AV60" s="1870" t="str">
        <f ca="1">'D1-D2-D3'!AU61</f>
        <v>Which persons are affected ? What costs have been incurred so far ? Will these rise, fall or remain stable ?</v>
      </c>
      <c r="AW60" s="1870"/>
      <c r="AX60" s="1870"/>
      <c r="AY60" s="1870"/>
      <c r="AZ60" s="1870"/>
      <c r="BA60" s="1870"/>
      <c r="BB60" s="1870"/>
      <c r="BC60" s="1870"/>
      <c r="BD60" s="1870"/>
      <c r="BE60" s="1870"/>
      <c r="BF60" s="1870"/>
      <c r="BG60" s="1870"/>
      <c r="BH60" s="1870"/>
      <c r="BI60" s="1870"/>
      <c r="BJ60" s="1870"/>
      <c r="BK60" s="1870"/>
      <c r="BL60" s="1870"/>
      <c r="BM60" s="1870"/>
      <c r="BN60" s="1870"/>
      <c r="BO60" s="1870"/>
      <c r="BP60" s="1870"/>
      <c r="BQ60" s="1870"/>
      <c r="BR60" s="1870"/>
      <c r="BS60" s="1870"/>
      <c r="BT60" s="1870"/>
      <c r="BU60" s="1870"/>
      <c r="BV60" s="1870"/>
      <c r="BW60" s="1870"/>
      <c r="BX60" s="1870"/>
      <c r="BY60" s="1870"/>
      <c r="BZ60" s="1870"/>
      <c r="CA60" s="1870"/>
      <c r="CB60" s="1870"/>
      <c r="CC60" s="1870"/>
      <c r="CD60" s="1870"/>
      <c r="CE60" s="1870"/>
      <c r="CF60" s="1870"/>
      <c r="CG60" s="1870"/>
      <c r="CH60" s="1871" t="str">
        <f ca="1">'D1-D2-D3'!CG61</f>
        <v>What can lead to worse/better circumstances ?</v>
      </c>
      <c r="CI60" s="1871"/>
      <c r="CJ60" s="1871"/>
      <c r="CK60" s="1871"/>
      <c r="CL60" s="1871"/>
      <c r="CM60" s="1871"/>
      <c r="CN60" s="1871"/>
      <c r="CO60" s="1871"/>
      <c r="CP60" s="1871"/>
      <c r="CQ60" s="1871"/>
      <c r="CR60" s="1871"/>
      <c r="CS60" s="1871"/>
      <c r="CT60" s="1871"/>
      <c r="CU60" s="1871"/>
      <c r="CV60" s="1871"/>
      <c r="CW60" s="1871"/>
      <c r="CX60" s="1871"/>
      <c r="CY60" s="1871"/>
      <c r="CZ60" s="1871"/>
      <c r="DA60" s="1871"/>
      <c r="DB60" s="1871"/>
      <c r="DC60" s="1871"/>
      <c r="DD60" s="1871"/>
      <c r="DE60" s="1871"/>
      <c r="DF60" s="1871"/>
      <c r="DG60" s="1871"/>
      <c r="DH60" s="1871"/>
      <c r="DI60" s="1871"/>
      <c r="DJ60" s="1871"/>
      <c r="DK60" s="1871"/>
      <c r="DL60" s="1871"/>
      <c r="DM60" s="1871"/>
      <c r="DN60" s="1871"/>
      <c r="DO60" s="1871"/>
      <c r="DP60" s="1871"/>
      <c r="DQ60" s="1871"/>
      <c r="DR60" s="1871"/>
      <c r="DS60" s="337"/>
      <c r="DT60" s="311"/>
      <c r="DU60" s="305"/>
      <c r="DV60" s="305"/>
      <c r="DW60" s="126"/>
      <c r="DX60" s="126"/>
      <c r="DY60" s="126"/>
      <c r="DZ60" s="126"/>
      <c r="EA60" s="126"/>
      <c r="EB60" s="126"/>
      <c r="EC60" s="126"/>
      <c r="ED60" s="126"/>
      <c r="EE60" s="126"/>
      <c r="EF60" s="187"/>
    </row>
    <row r="61" spans="2:136" ht="42" customHeight="1">
      <c r="B61" s="312"/>
      <c r="C61" s="313"/>
      <c r="D61" s="366"/>
      <c r="E61" s="805"/>
      <c r="F61" s="805"/>
      <c r="G61" s="805"/>
      <c r="H61" s="805"/>
      <c r="I61" s="805"/>
      <c r="J61" s="805"/>
      <c r="K61" s="805"/>
      <c r="L61" s="365"/>
      <c r="M61" s="1884" t="str">
        <f>IF('D1-D2-D3'!M62="","",'D1-D2-D3'!M62)</f>
        <v/>
      </c>
      <c r="N61" s="1884"/>
      <c r="O61" s="1884"/>
      <c r="P61" s="1884"/>
      <c r="Q61" s="365"/>
      <c r="R61" s="1840" t="str">
        <f>IF('D1-D2-D3'!R62="","",'D1-D2-D3'!R62)</f>
        <v/>
      </c>
      <c r="S61" s="1841"/>
      <c r="T61" s="1841"/>
      <c r="U61" s="1841"/>
      <c r="V61" s="1841"/>
      <c r="W61" s="1841"/>
      <c r="X61" s="1841"/>
      <c r="Y61" s="1841"/>
      <c r="Z61" s="1841"/>
      <c r="AA61" s="1841"/>
      <c r="AB61" s="1841"/>
      <c r="AC61" s="1841"/>
      <c r="AD61" s="1841"/>
      <c r="AE61" s="1841"/>
      <c r="AF61" s="1841"/>
      <c r="AG61" s="1841"/>
      <c r="AH61" s="1841"/>
      <c r="AI61" s="1841"/>
      <c r="AJ61" s="1841"/>
      <c r="AK61" s="1841"/>
      <c r="AL61" s="1841"/>
      <c r="AM61" s="1841"/>
      <c r="AN61" s="1841"/>
      <c r="AO61" s="1842"/>
      <c r="AP61" s="26"/>
      <c r="AQ61" s="26"/>
      <c r="AR61" s="26"/>
      <c r="AS61" s="1129"/>
      <c r="AT61" s="1129"/>
      <c r="AU61" s="1129"/>
      <c r="AV61" s="1921" t="str">
        <f>IF('D1-D2-D3'!AU62="","",'D1-D2-D3'!AU62)</f>
        <v/>
      </c>
      <c r="AW61" s="1921"/>
      <c r="AX61" s="1921"/>
      <c r="AY61" s="1921"/>
      <c r="AZ61" s="1921"/>
      <c r="BA61" s="1921"/>
      <c r="BB61" s="1921"/>
      <c r="BC61" s="1921"/>
      <c r="BD61" s="1921"/>
      <c r="BE61" s="1921"/>
      <c r="BF61" s="1921"/>
      <c r="BG61" s="1921"/>
      <c r="BH61" s="1921"/>
      <c r="BI61" s="1921"/>
      <c r="BJ61" s="1921"/>
      <c r="BK61" s="1921"/>
      <c r="BL61" s="1921"/>
      <c r="BM61" s="1921"/>
      <c r="BN61" s="1921"/>
      <c r="BO61" s="1921"/>
      <c r="BP61" s="1921"/>
      <c r="BQ61" s="1921"/>
      <c r="BR61" s="1921"/>
      <c r="BS61" s="1921"/>
      <c r="BT61" s="1921"/>
      <c r="BU61" s="1921"/>
      <c r="BV61" s="1921"/>
      <c r="BW61" s="1921"/>
      <c r="BX61" s="1921"/>
      <c r="BY61" s="1921"/>
      <c r="BZ61" s="1921"/>
      <c r="CA61" s="1921"/>
      <c r="CB61" s="1921"/>
      <c r="CC61" s="1921"/>
      <c r="CD61" s="1921"/>
      <c r="CE61" s="1921"/>
      <c r="CF61" s="1921"/>
      <c r="CG61" s="1921"/>
      <c r="CH61" s="1860" t="str">
        <f>IF('D1-D2-D3'!CG62="","",'D1-D2-D3'!CG62)</f>
        <v/>
      </c>
      <c r="CI61" s="1860"/>
      <c r="CJ61" s="1860"/>
      <c r="CK61" s="1860"/>
      <c r="CL61" s="1860"/>
      <c r="CM61" s="1860"/>
      <c r="CN61" s="1860"/>
      <c r="CO61" s="1860"/>
      <c r="CP61" s="1860"/>
      <c r="CQ61" s="1860"/>
      <c r="CR61" s="1860"/>
      <c r="CS61" s="1860"/>
      <c r="CT61" s="1860"/>
      <c r="CU61" s="1860"/>
      <c r="CV61" s="1860"/>
      <c r="CW61" s="1860"/>
      <c r="CX61" s="1860"/>
      <c r="CY61" s="1860"/>
      <c r="CZ61" s="1860"/>
      <c r="DA61" s="1860"/>
      <c r="DB61" s="1860"/>
      <c r="DC61" s="1860"/>
      <c r="DD61" s="1860"/>
      <c r="DE61" s="1860"/>
      <c r="DF61" s="1860"/>
      <c r="DG61" s="1860"/>
      <c r="DH61" s="1860"/>
      <c r="DI61" s="1860"/>
      <c r="DJ61" s="1860"/>
      <c r="DK61" s="1860"/>
      <c r="DL61" s="1860"/>
      <c r="DM61" s="1860"/>
      <c r="DN61" s="1860"/>
      <c r="DO61" s="1860"/>
      <c r="DP61" s="1860"/>
      <c r="DQ61" s="1860"/>
      <c r="DR61" s="1860"/>
      <c r="DS61" s="338"/>
      <c r="DT61" s="311"/>
      <c r="DU61" s="305"/>
      <c r="DV61" s="305"/>
      <c r="DW61" s="126"/>
      <c r="DX61" s="126"/>
      <c r="DY61" s="126"/>
      <c r="DZ61" s="126"/>
      <c r="EA61" s="126"/>
      <c r="EB61" s="126"/>
      <c r="EC61" s="126"/>
      <c r="ED61" s="126"/>
      <c r="EE61" s="126"/>
      <c r="EF61" s="187"/>
    </row>
    <row r="62" spans="2:136" ht="6" customHeight="1">
      <c r="B62" s="312"/>
      <c r="C62" s="313"/>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311"/>
      <c r="DU62" s="305"/>
      <c r="DV62" s="305"/>
      <c r="DW62" s="126"/>
      <c r="DX62" s="126"/>
      <c r="DY62" s="126"/>
      <c r="DZ62" s="126"/>
      <c r="EA62" s="126"/>
      <c r="EB62" s="126"/>
      <c r="EC62" s="126"/>
      <c r="ED62" s="126"/>
      <c r="EE62" s="126"/>
      <c r="EF62" s="187"/>
    </row>
    <row r="63" spans="2:136" ht="6" customHeight="1" thickBot="1">
      <c r="B63" s="314"/>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326"/>
      <c r="AH63" s="326"/>
      <c r="AI63" s="326"/>
      <c r="AJ63" s="326"/>
      <c r="AK63" s="326"/>
      <c r="AL63" s="326"/>
      <c r="AM63" s="326"/>
      <c r="AN63" s="326"/>
      <c r="AO63" s="326"/>
      <c r="AP63" s="326"/>
      <c r="AQ63" s="326"/>
      <c r="AR63" s="326"/>
      <c r="AS63" s="326"/>
      <c r="AT63" s="326"/>
      <c r="AU63" s="326"/>
      <c r="AV63" s="326"/>
      <c r="AW63" s="326"/>
      <c r="AX63" s="326"/>
      <c r="AY63" s="326"/>
      <c r="AZ63" s="326"/>
      <c r="BA63" s="326"/>
      <c r="BB63" s="326"/>
      <c r="BC63" s="326"/>
      <c r="BD63" s="326"/>
      <c r="BE63" s="326"/>
      <c r="BF63" s="326"/>
      <c r="BG63" s="326"/>
      <c r="BH63" s="326"/>
      <c r="BI63" s="326"/>
      <c r="BJ63" s="326"/>
      <c r="BK63" s="326"/>
      <c r="BL63" s="326"/>
      <c r="BM63" s="326"/>
      <c r="BN63" s="326"/>
      <c r="BO63" s="326"/>
      <c r="BP63" s="326"/>
      <c r="BQ63" s="326"/>
      <c r="BR63" s="326"/>
      <c r="BS63" s="326"/>
      <c r="BT63" s="326"/>
      <c r="BU63" s="326"/>
      <c r="BV63" s="326"/>
      <c r="BW63" s="326"/>
      <c r="BX63" s="326"/>
      <c r="BY63" s="326"/>
      <c r="BZ63" s="326"/>
      <c r="CA63" s="326"/>
      <c r="CB63" s="326"/>
      <c r="CC63" s="326"/>
      <c r="CD63" s="326"/>
      <c r="CE63" s="326"/>
      <c r="CF63" s="326"/>
      <c r="CG63" s="326"/>
      <c r="CH63" s="326"/>
      <c r="CI63" s="326"/>
      <c r="CJ63" s="326"/>
      <c r="CK63" s="326"/>
      <c r="CL63" s="326"/>
      <c r="CM63" s="326"/>
      <c r="CN63" s="326"/>
      <c r="CO63" s="326"/>
      <c r="CP63" s="326"/>
      <c r="CQ63" s="326"/>
      <c r="CR63" s="326"/>
      <c r="CS63" s="326"/>
      <c r="CT63" s="326"/>
      <c r="CU63" s="326"/>
      <c r="CV63" s="326"/>
      <c r="CW63" s="326"/>
      <c r="CX63" s="326"/>
      <c r="CY63" s="326"/>
      <c r="CZ63" s="326"/>
      <c r="DA63" s="326"/>
      <c r="DB63" s="326"/>
      <c r="DC63" s="326"/>
      <c r="DD63" s="326"/>
      <c r="DE63" s="326"/>
      <c r="DF63" s="326"/>
      <c r="DG63" s="326"/>
      <c r="DH63" s="326"/>
      <c r="DI63" s="326"/>
      <c r="DJ63" s="326"/>
      <c r="DK63" s="326"/>
      <c r="DL63" s="326"/>
      <c r="DM63" s="326"/>
      <c r="DN63" s="326"/>
      <c r="DO63" s="326"/>
      <c r="DP63" s="326"/>
      <c r="DQ63" s="326"/>
      <c r="DR63" s="326"/>
      <c r="DS63" s="326"/>
      <c r="DT63" s="327"/>
      <c r="DU63" s="305"/>
      <c r="DV63" s="305"/>
      <c r="DW63" s="126"/>
      <c r="DX63" s="126"/>
      <c r="DY63" s="126"/>
      <c r="DZ63" s="126"/>
      <c r="EA63" s="126"/>
      <c r="EB63" s="126"/>
      <c r="EC63" s="126"/>
      <c r="ED63" s="126"/>
      <c r="EE63" s="126"/>
      <c r="EF63" s="187"/>
    </row>
    <row r="64" spans="2:136" ht="6" customHeight="1">
      <c r="B64" s="1968" t="str">
        <f ca="1">'D1-D2-D3'!B65</f>
        <v>D3 - Immediate action(s)</v>
      </c>
      <c r="C64" s="1969"/>
      <c r="D64" s="1969"/>
      <c r="E64" s="1969"/>
      <c r="F64" s="1969"/>
      <c r="G64" s="1969"/>
      <c r="H64" s="1969"/>
      <c r="I64" s="1969"/>
      <c r="J64" s="1969"/>
      <c r="K64" s="1969"/>
      <c r="L64" s="1969"/>
      <c r="M64" s="1969"/>
      <c r="N64" s="1969"/>
      <c r="O64" s="1969"/>
      <c r="P64" s="1969"/>
      <c r="Q64" s="1969"/>
      <c r="R64" s="1969"/>
      <c r="S64" s="1969"/>
      <c r="T64" s="1969"/>
      <c r="U64" s="1969"/>
      <c r="V64" s="1969"/>
      <c r="W64" s="1969"/>
      <c r="X64" s="1969"/>
      <c r="Y64" s="1969"/>
      <c r="Z64" s="1969"/>
      <c r="AA64" s="1969"/>
      <c r="AB64" s="1969"/>
      <c r="AC64" s="1969"/>
      <c r="AD64" s="1969"/>
      <c r="AE64" s="1969"/>
      <c r="AF64" s="1969"/>
      <c r="AG64" s="1969"/>
      <c r="AH64" s="1969"/>
      <c r="AI64" s="1969"/>
      <c r="AJ64" s="1969"/>
      <c r="AK64" s="1969"/>
      <c r="AL64" s="1969"/>
      <c r="AM64" s="1969"/>
      <c r="AN64" s="1969"/>
      <c r="AO64" s="1969"/>
      <c r="AP64" s="309"/>
      <c r="AQ64" s="309"/>
      <c r="AR64" s="309"/>
      <c r="AS64" s="309"/>
      <c r="AT64" s="309"/>
      <c r="AU64" s="309"/>
      <c r="AV64" s="309"/>
      <c r="AW64" s="309"/>
      <c r="AX64" s="309"/>
      <c r="AY64" s="309"/>
      <c r="AZ64" s="309"/>
      <c r="BA64" s="309"/>
      <c r="BB64" s="309"/>
      <c r="BC64" s="309"/>
      <c r="BD64" s="309"/>
      <c r="BE64" s="309"/>
      <c r="BF64" s="309"/>
      <c r="BG64" s="309"/>
      <c r="BH64" s="309"/>
      <c r="BI64" s="309"/>
      <c r="BJ64" s="309"/>
      <c r="BK64" s="309"/>
      <c r="BL64" s="309"/>
      <c r="BM64" s="309"/>
      <c r="BN64" s="309"/>
      <c r="BO64" s="309"/>
      <c r="BP64" s="309"/>
      <c r="BQ64" s="309"/>
      <c r="BR64" s="309"/>
      <c r="BS64" s="309"/>
      <c r="BT64" s="309"/>
      <c r="BU64" s="309"/>
      <c r="BV64" s="309"/>
      <c r="BW64" s="309"/>
      <c r="BX64" s="309"/>
      <c r="BY64" s="309"/>
      <c r="BZ64" s="309"/>
      <c r="CA64" s="309"/>
      <c r="CB64" s="309"/>
      <c r="CC64" s="309"/>
      <c r="CD64" s="309"/>
      <c r="CE64" s="309"/>
      <c r="CF64" s="309"/>
      <c r="CG64" s="309"/>
      <c r="CH64" s="309"/>
      <c r="CI64" s="309"/>
      <c r="CJ64" s="309"/>
      <c r="CK64" s="309"/>
      <c r="CL64" s="309"/>
      <c r="CM64" s="309"/>
      <c r="CN64" s="309"/>
      <c r="CO64" s="309"/>
      <c r="CP64" s="309"/>
      <c r="CQ64" s="309"/>
      <c r="CR64" s="309"/>
      <c r="CS64" s="309"/>
      <c r="CT64" s="309"/>
      <c r="CU64" s="309"/>
      <c r="CV64" s="309"/>
      <c r="CW64" s="309"/>
      <c r="CX64" s="309"/>
      <c r="CY64" s="309"/>
      <c r="CZ64" s="309"/>
      <c r="DA64" s="309"/>
      <c r="DB64" s="309"/>
      <c r="DC64" s="309"/>
      <c r="DD64" s="309"/>
      <c r="DE64" s="309"/>
      <c r="DF64" s="309"/>
      <c r="DG64" s="309"/>
      <c r="DH64" s="309"/>
      <c r="DI64" s="309"/>
      <c r="DJ64" s="309"/>
      <c r="DK64" s="309"/>
      <c r="DL64" s="309"/>
      <c r="DM64" s="309"/>
      <c r="DN64" s="309"/>
      <c r="DO64" s="309"/>
      <c r="DP64" s="309"/>
      <c r="DQ64" s="309"/>
      <c r="DR64" s="309"/>
      <c r="DS64" s="309"/>
      <c r="DT64" s="315"/>
      <c r="DW64" s="104"/>
      <c r="DX64" s="498"/>
      <c r="DY64" s="498"/>
      <c r="DZ64" s="498"/>
      <c r="EA64" s="498"/>
      <c r="EB64" s="498"/>
      <c r="EC64" s="498"/>
      <c r="ED64" s="498"/>
      <c r="EE64" s="498"/>
      <c r="EF64" s="32"/>
    </row>
    <row r="65" spans="1:136" ht="30" customHeight="1">
      <c r="B65" s="1968"/>
      <c r="C65" s="1969"/>
      <c r="D65" s="1969"/>
      <c r="E65" s="1969"/>
      <c r="F65" s="1969"/>
      <c r="G65" s="1969"/>
      <c r="H65" s="1969"/>
      <c r="I65" s="1969"/>
      <c r="J65" s="1969"/>
      <c r="K65" s="1969"/>
      <c r="L65" s="1969"/>
      <c r="M65" s="1969"/>
      <c r="N65" s="1969"/>
      <c r="O65" s="1969"/>
      <c r="P65" s="1969"/>
      <c r="Q65" s="1969"/>
      <c r="R65" s="1969"/>
      <c r="S65" s="1969"/>
      <c r="T65" s="1969"/>
      <c r="U65" s="1969"/>
      <c r="V65" s="1969"/>
      <c r="W65" s="1969"/>
      <c r="X65" s="1969"/>
      <c r="Y65" s="1969"/>
      <c r="Z65" s="1969"/>
      <c r="AA65" s="1969"/>
      <c r="AB65" s="1969"/>
      <c r="AC65" s="1969"/>
      <c r="AD65" s="1969"/>
      <c r="AE65" s="1969"/>
      <c r="AF65" s="1969"/>
      <c r="AG65" s="1969"/>
      <c r="AH65" s="1969"/>
      <c r="AI65" s="1969"/>
      <c r="AJ65" s="1969"/>
      <c r="AK65" s="1969"/>
      <c r="AL65" s="1969"/>
      <c r="AM65" s="1969"/>
      <c r="AN65" s="1969"/>
      <c r="AO65" s="1969"/>
      <c r="AP65" s="310"/>
      <c r="AQ65" s="310"/>
      <c r="AR65" s="310"/>
      <c r="AS65" s="310"/>
      <c r="AT65" s="310"/>
      <c r="AU65" s="310"/>
      <c r="AV65" s="310"/>
      <c r="AW65" s="310"/>
      <c r="AX65" s="310"/>
      <c r="AY65" s="310"/>
      <c r="AZ65" s="310"/>
      <c r="BA65" s="310"/>
      <c r="BB65" s="310"/>
      <c r="BC65" s="310"/>
      <c r="BD65" s="310"/>
      <c r="BE65" s="310"/>
      <c r="BF65" s="310"/>
      <c r="BG65" s="310"/>
      <c r="BH65" s="310"/>
      <c r="BI65" s="310"/>
      <c r="BJ65" s="310"/>
      <c r="BK65" s="310"/>
      <c r="BL65" s="310"/>
      <c r="BM65" s="310"/>
      <c r="BN65" s="310"/>
      <c r="BO65" s="310"/>
      <c r="BP65" s="310"/>
      <c r="BQ65" s="310"/>
      <c r="BR65" s="77" t="str">
        <f ca="1">'D1-D2-D3'!BR66</f>
        <v>Status:</v>
      </c>
      <c r="BS65" s="310"/>
      <c r="BT65" s="309"/>
      <c r="BU65" s="310"/>
      <c r="BV65" s="310"/>
      <c r="BW65" s="310"/>
      <c r="BX65" s="310"/>
      <c r="BY65" s="1872" t="str">
        <f>IF('D1-D2-D3'!BY66:CK66="","",'D1-D2-D3'!BY66:CK66)</f>
        <v/>
      </c>
      <c r="BZ65" s="1872"/>
      <c r="CA65" s="1872"/>
      <c r="CB65" s="1872"/>
      <c r="CC65" s="1872"/>
      <c r="CD65" s="1872"/>
      <c r="CE65" s="1872"/>
      <c r="CF65" s="1872"/>
      <c r="CG65" s="1872"/>
      <c r="CH65" s="1872"/>
      <c r="CI65" s="1872"/>
      <c r="CJ65" s="1872"/>
      <c r="CK65" s="1872"/>
      <c r="CL65" s="309"/>
      <c r="CM65" s="199"/>
      <c r="CN65" s="309"/>
      <c r="CO65" s="309"/>
      <c r="CP65" s="309"/>
      <c r="CQ65" s="309"/>
      <c r="CR65" s="309"/>
      <c r="CS65" s="310"/>
      <c r="CT65" s="310"/>
      <c r="CU65" s="310"/>
      <c r="CV65" s="310"/>
      <c r="CW65" s="310"/>
      <c r="CX65" s="310"/>
      <c r="CY65" s="310"/>
      <c r="CZ65" s="310"/>
      <c r="DA65" s="522"/>
      <c r="DB65" s="522"/>
      <c r="DC65" s="522"/>
      <c r="DD65" s="309"/>
      <c r="DE65" s="537"/>
      <c r="DF65" s="537"/>
      <c r="DG65" s="537"/>
      <c r="DH65" s="537"/>
      <c r="DI65" s="521" t="str">
        <f ca="1">'D1-D2-D3'!CZ66</f>
        <v>Date</v>
      </c>
      <c r="DJ65" s="2019" t="str">
        <f>IF('D1-D2-D3'!DE66="","",'D1-D2-D3'!DE66)</f>
        <v/>
      </c>
      <c r="DK65" s="2019"/>
      <c r="DL65" s="2019"/>
      <c r="DM65" s="2019"/>
      <c r="DN65" s="2019"/>
      <c r="DO65" s="2019"/>
      <c r="DP65" s="2019"/>
      <c r="DQ65" s="2019"/>
      <c r="DR65" s="2019"/>
      <c r="DS65" s="336"/>
      <c r="DT65" s="311"/>
      <c r="DU65" s="305"/>
      <c r="DV65" s="305"/>
      <c r="DW65" s="126"/>
      <c r="DX65" s="126"/>
      <c r="DY65" s="126"/>
      <c r="DZ65" s="126"/>
      <c r="EA65" s="126"/>
      <c r="EB65" s="126"/>
      <c r="EC65" s="126"/>
      <c r="ED65" s="126"/>
      <c r="EE65" s="126"/>
      <c r="EF65" s="187"/>
    </row>
    <row r="66" spans="1:136" ht="6" customHeight="1">
      <c r="B66" s="312"/>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c r="AA66" s="310"/>
      <c r="AB66" s="310"/>
      <c r="AC66" s="310"/>
      <c r="AD66" s="310"/>
      <c r="AE66" s="310"/>
      <c r="AF66" s="310"/>
      <c r="AG66" s="310"/>
      <c r="AH66" s="310"/>
      <c r="AI66" s="310"/>
      <c r="AJ66" s="310"/>
      <c r="AK66" s="310"/>
      <c r="AL66" s="310"/>
      <c r="AM66" s="310"/>
      <c r="AN66" s="310"/>
      <c r="AO66" s="310"/>
      <c r="AP66" s="310"/>
      <c r="AQ66" s="310"/>
      <c r="AR66" s="310"/>
      <c r="AS66" s="310"/>
      <c r="AT66" s="310"/>
      <c r="AU66" s="310"/>
      <c r="AV66" s="310"/>
      <c r="AW66" s="310"/>
      <c r="AX66" s="310"/>
      <c r="AY66" s="310"/>
      <c r="AZ66" s="310"/>
      <c r="BA66" s="310"/>
      <c r="BB66" s="310"/>
      <c r="BC66" s="310"/>
      <c r="BD66" s="310"/>
      <c r="BE66" s="310"/>
      <c r="BF66" s="310"/>
      <c r="BG66" s="310"/>
      <c r="BH66" s="310"/>
      <c r="BI66" s="310"/>
      <c r="BJ66" s="310"/>
      <c r="BK66" s="310"/>
      <c r="BL66" s="310"/>
      <c r="BM66" s="310"/>
      <c r="BN66" s="310"/>
      <c r="BO66" s="310"/>
      <c r="BP66" s="310"/>
      <c r="BQ66" s="310"/>
      <c r="BR66" s="310"/>
      <c r="BS66" s="310"/>
      <c r="BT66" s="310"/>
      <c r="BU66" s="310"/>
      <c r="BV66" s="310"/>
      <c r="BW66" s="310"/>
      <c r="BX66" s="310"/>
      <c r="BY66" s="310"/>
      <c r="BZ66" s="310"/>
      <c r="CA66" s="310"/>
      <c r="CB66" s="310"/>
      <c r="CC66" s="310"/>
      <c r="CD66" s="310"/>
      <c r="CE66" s="310"/>
      <c r="CF66" s="310"/>
      <c r="CG66" s="310"/>
      <c r="CH66" s="310"/>
      <c r="CI66" s="310"/>
      <c r="CJ66" s="310"/>
      <c r="CK66" s="310"/>
      <c r="CL66" s="310"/>
      <c r="CM66" s="310"/>
      <c r="CN66" s="310"/>
      <c r="CO66" s="310"/>
      <c r="CP66" s="310"/>
      <c r="CQ66" s="310"/>
      <c r="CR66" s="310"/>
      <c r="CS66" s="310"/>
      <c r="CT66" s="310"/>
      <c r="CU66" s="310"/>
      <c r="CV66" s="310"/>
      <c r="CW66" s="310"/>
      <c r="CX66" s="310"/>
      <c r="CY66" s="310"/>
      <c r="CZ66" s="310"/>
      <c r="DA66" s="310"/>
      <c r="DB66" s="310"/>
      <c r="DC66" s="310"/>
      <c r="DD66" s="310"/>
      <c r="DE66" s="310"/>
      <c r="DF66" s="310"/>
      <c r="DG66" s="310"/>
      <c r="DH66" s="310"/>
      <c r="DI66" s="310"/>
      <c r="DJ66" s="310"/>
      <c r="DK66" s="310"/>
      <c r="DL66" s="310"/>
      <c r="DM66" s="310"/>
      <c r="DN66" s="310"/>
      <c r="DO66" s="310"/>
      <c r="DP66" s="310"/>
      <c r="DQ66" s="310"/>
      <c r="DR66" s="310"/>
      <c r="DS66" s="310"/>
      <c r="DT66" s="311"/>
      <c r="DU66" s="305"/>
      <c r="DV66" s="305"/>
      <c r="DW66" s="126"/>
      <c r="DX66" s="126"/>
      <c r="DY66" s="126"/>
      <c r="DZ66" s="126"/>
      <c r="EA66" s="126"/>
      <c r="EB66" s="126"/>
      <c r="EC66" s="126"/>
      <c r="ED66" s="126"/>
      <c r="EE66" s="126"/>
      <c r="EF66" s="187"/>
    </row>
    <row r="67" spans="1:136" ht="6" customHeight="1">
      <c r="B67" s="312"/>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c r="AH67" s="313"/>
      <c r="AI67" s="313"/>
      <c r="AJ67" s="313"/>
      <c r="AK67" s="313"/>
      <c r="AL67" s="313"/>
      <c r="AM67" s="313"/>
      <c r="AN67" s="313"/>
      <c r="AO67" s="313"/>
      <c r="AP67" s="313"/>
      <c r="AQ67" s="313"/>
      <c r="AR67" s="313"/>
      <c r="AS67" s="313"/>
      <c r="AT67" s="313"/>
      <c r="AU67" s="313"/>
      <c r="AV67" s="313"/>
      <c r="AW67" s="313"/>
      <c r="AX67" s="313"/>
      <c r="AY67" s="313"/>
      <c r="AZ67" s="313"/>
      <c r="BA67" s="313"/>
      <c r="BB67" s="313"/>
      <c r="BC67" s="313"/>
      <c r="BD67" s="313"/>
      <c r="BE67" s="313"/>
      <c r="BF67" s="313"/>
      <c r="BG67" s="313"/>
      <c r="BH67" s="313"/>
      <c r="BI67" s="313"/>
      <c r="BJ67" s="313"/>
      <c r="BK67" s="313"/>
      <c r="BL67" s="313"/>
      <c r="BM67" s="313"/>
      <c r="BN67" s="313"/>
      <c r="BO67" s="313"/>
      <c r="BP67" s="313"/>
      <c r="BQ67" s="313"/>
      <c r="BR67" s="313"/>
      <c r="BS67" s="313"/>
      <c r="BT67" s="313"/>
      <c r="BU67" s="313"/>
      <c r="BV67" s="313"/>
      <c r="BW67" s="313"/>
      <c r="BX67" s="313"/>
      <c r="BY67" s="313"/>
      <c r="BZ67" s="313"/>
      <c r="CA67" s="313"/>
      <c r="CB67" s="313"/>
      <c r="CC67" s="313"/>
      <c r="CD67" s="313"/>
      <c r="CE67" s="313"/>
      <c r="CF67" s="313"/>
      <c r="CG67" s="313"/>
      <c r="CH67" s="313"/>
      <c r="CI67" s="313"/>
      <c r="CJ67" s="313"/>
      <c r="CK67" s="313"/>
      <c r="CL67" s="313"/>
      <c r="CM67" s="313"/>
      <c r="CN67" s="313"/>
      <c r="CO67" s="313"/>
      <c r="CP67" s="313"/>
      <c r="CQ67" s="313"/>
      <c r="CR67" s="313"/>
      <c r="CS67" s="313"/>
      <c r="CT67" s="313"/>
      <c r="CU67" s="313"/>
      <c r="CV67" s="313"/>
      <c r="CW67" s="313"/>
      <c r="CX67" s="313"/>
      <c r="CY67" s="313"/>
      <c r="CZ67" s="313"/>
      <c r="DA67" s="313"/>
      <c r="DB67" s="313"/>
      <c r="DC67" s="313"/>
      <c r="DD67" s="313"/>
      <c r="DE67" s="313"/>
      <c r="DF67" s="313"/>
      <c r="DG67" s="313"/>
      <c r="DH67" s="313"/>
      <c r="DI67" s="313"/>
      <c r="DJ67" s="313"/>
      <c r="DK67" s="313"/>
      <c r="DL67" s="313"/>
      <c r="DM67" s="313"/>
      <c r="DN67" s="313"/>
      <c r="DO67" s="313"/>
      <c r="DP67" s="313"/>
      <c r="DQ67" s="313"/>
      <c r="DR67" s="313"/>
      <c r="DS67" s="313"/>
      <c r="DT67" s="311"/>
      <c r="DU67" s="305"/>
      <c r="DV67" s="305"/>
      <c r="DW67" s="126"/>
      <c r="DX67" s="126"/>
      <c r="DY67" s="126"/>
      <c r="DZ67" s="126"/>
      <c r="EA67" s="126"/>
      <c r="EB67" s="126"/>
      <c r="EC67" s="126"/>
      <c r="ED67" s="126"/>
      <c r="EE67" s="126"/>
      <c r="EF67" s="127"/>
    </row>
    <row r="68" spans="1:136" ht="30" customHeight="1">
      <c r="B68" s="312"/>
      <c r="C68" s="313"/>
      <c r="D68" s="523" t="str">
        <f ca="1">'D1-D2-D3'!D69</f>
        <v>Were the relevant emloyees informed ?</v>
      </c>
      <c r="E68" s="313"/>
      <c r="F68" s="313"/>
      <c r="G68" s="313"/>
      <c r="H68" s="313"/>
      <c r="I68" s="313"/>
      <c r="J68" s="313"/>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c r="AH68" s="65"/>
      <c r="AI68" s="65"/>
      <c r="AJ68" s="1809" t="str">
        <f>IF('D1-D2-D3'!AH69="","",'D1-D2-D3'!AH69)</f>
        <v/>
      </c>
      <c r="AK68" s="1810"/>
      <c r="AL68" s="1810"/>
      <c r="AM68" s="1810"/>
      <c r="AN68" s="1810"/>
      <c r="AO68" s="1810"/>
      <c r="AP68" s="1811"/>
      <c r="AQ68" s="313"/>
      <c r="AR68" s="1908" t="str">
        <f ca="1">'D1-D2-D3'!AR69</f>
        <v>Date</v>
      </c>
      <c r="AS68" s="1908"/>
      <c r="AT68" s="1908"/>
      <c r="AU68" s="1908"/>
      <c r="AV68" s="1908"/>
      <c r="AW68" s="1908"/>
      <c r="AX68" s="1908"/>
      <c r="AY68" s="1908"/>
      <c r="AZ68" s="1909"/>
      <c r="BA68" s="1812" t="str">
        <f>IF('D1-D2-D3'!BA69="","",'D1-D2-D3'!BA69)</f>
        <v/>
      </c>
      <c r="BB68" s="1813"/>
      <c r="BC68" s="1813"/>
      <c r="BD68" s="1813"/>
      <c r="BE68" s="1813"/>
      <c r="BF68" s="1813"/>
      <c r="BG68" s="1813"/>
      <c r="BH68" s="1813"/>
      <c r="BI68" s="1813"/>
      <c r="BJ68" s="1814"/>
      <c r="BK68" s="872"/>
      <c r="BL68" s="872"/>
      <c r="BM68" s="872"/>
      <c r="BN68" s="872"/>
      <c r="BO68" s="200"/>
      <c r="BP68" s="200"/>
      <c r="BQ68" s="200"/>
      <c r="BR68" s="200"/>
      <c r="BS68" s="200"/>
      <c r="BT68" s="200"/>
      <c r="BU68" s="200"/>
      <c r="BV68" s="200"/>
      <c r="BW68" s="200"/>
      <c r="BX68" s="870" t="str">
        <f ca="1">'D1-D2-D3'!BW69</f>
        <v>Responsible</v>
      </c>
      <c r="BY68" s="1806" t="str">
        <f>IF('D1-D2-D3'!BY69="","",'D1-D2-D3'!BY69)</f>
        <v/>
      </c>
      <c r="BZ68" s="1807"/>
      <c r="CA68" s="1807"/>
      <c r="CB68" s="1807"/>
      <c r="CC68" s="1807"/>
      <c r="CD68" s="1807"/>
      <c r="CE68" s="1807"/>
      <c r="CF68" s="1807"/>
      <c r="CG68" s="1807"/>
      <c r="CH68" s="1807"/>
      <c r="CI68" s="1807"/>
      <c r="CJ68" s="1807"/>
      <c r="CK68" s="1808"/>
      <c r="CL68" s="200"/>
      <c r="CM68" s="200"/>
      <c r="CN68" s="200"/>
      <c r="CO68" s="200"/>
      <c r="CP68" s="200"/>
      <c r="CQ68" s="200"/>
      <c r="CR68" s="200"/>
      <c r="CS68" s="200"/>
      <c r="CT68" s="200"/>
      <c r="CU68" s="200"/>
      <c r="CV68" s="200"/>
      <c r="CW68" s="200"/>
      <c r="CX68" s="200"/>
      <c r="CY68" s="200"/>
      <c r="CZ68" s="200"/>
      <c r="DA68" s="200"/>
      <c r="DB68" s="200"/>
      <c r="DC68" s="200"/>
      <c r="DD68" s="200"/>
      <c r="DE68" s="200"/>
      <c r="DF68" s="200"/>
      <c r="DG68" s="200"/>
      <c r="DH68" s="200"/>
      <c r="DI68" s="200"/>
      <c r="DJ68" s="200"/>
      <c r="DK68" s="200"/>
      <c r="DL68" s="200"/>
      <c r="DM68" s="200"/>
      <c r="DN68" s="200"/>
      <c r="DO68" s="200"/>
      <c r="DP68" s="200"/>
      <c r="DQ68" s="200"/>
      <c r="DR68" s="200"/>
      <c r="DS68" s="200"/>
      <c r="DT68" s="311"/>
      <c r="DU68" s="305"/>
      <c r="DV68" s="305"/>
      <c r="DW68" s="126"/>
      <c r="DX68" s="126"/>
      <c r="DY68" s="126"/>
      <c r="DZ68" s="126"/>
      <c r="EA68" s="126"/>
      <c r="EB68" s="126"/>
      <c r="EC68" s="126"/>
      <c r="ED68" s="126"/>
      <c r="EE68" s="126"/>
      <c r="EF68" s="127"/>
    </row>
    <row r="69" spans="1:136" ht="6" customHeight="1">
      <c r="B69" s="312"/>
      <c r="C69" s="313"/>
      <c r="D69" s="313"/>
      <c r="E69" s="313"/>
      <c r="F69" s="313"/>
      <c r="G69" s="313"/>
      <c r="H69" s="313"/>
      <c r="I69" s="313"/>
      <c r="J69" s="313"/>
      <c r="K69" s="313"/>
      <c r="L69" s="313"/>
      <c r="M69" s="313"/>
      <c r="N69" s="313"/>
      <c r="O69" s="313"/>
      <c r="P69" s="313"/>
      <c r="Q69" s="313"/>
      <c r="R69" s="313"/>
      <c r="S69" s="313"/>
      <c r="T69" s="313"/>
      <c r="U69" s="313"/>
      <c r="V69" s="313"/>
      <c r="W69" s="313"/>
      <c r="X69" s="313"/>
      <c r="Y69" s="313"/>
      <c r="Z69" s="313"/>
      <c r="AA69" s="313"/>
      <c r="AB69" s="313"/>
      <c r="AC69" s="313"/>
      <c r="AD69" s="313"/>
      <c r="AE69" s="313"/>
      <c r="AF69" s="313"/>
      <c r="AG69" s="313"/>
      <c r="AH69" s="313"/>
      <c r="AI69" s="313"/>
      <c r="AJ69" s="313"/>
      <c r="AK69" s="313"/>
      <c r="AL69" s="313"/>
      <c r="AM69" s="313"/>
      <c r="AN69" s="313"/>
      <c r="AO69" s="313"/>
      <c r="AP69" s="313"/>
      <c r="AQ69" s="313"/>
      <c r="AR69" s="313"/>
      <c r="AS69" s="313"/>
      <c r="AT69" s="313"/>
      <c r="AU69" s="313"/>
      <c r="AV69" s="313"/>
      <c r="AW69" s="313"/>
      <c r="AX69" s="313"/>
      <c r="AY69" s="313"/>
      <c r="AZ69" s="313"/>
      <c r="BA69" s="313"/>
      <c r="BB69" s="313"/>
      <c r="BC69" s="313"/>
      <c r="BD69" s="313"/>
      <c r="BE69" s="313"/>
      <c r="BF69" s="313"/>
      <c r="BG69" s="313"/>
      <c r="BH69" s="313"/>
      <c r="BI69" s="313"/>
      <c r="BJ69" s="313"/>
      <c r="BK69" s="313"/>
      <c r="BL69" s="313"/>
      <c r="BM69" s="313"/>
      <c r="BN69" s="313"/>
      <c r="BO69" s="313"/>
      <c r="BP69" s="313"/>
      <c r="BQ69" s="313"/>
      <c r="BR69" s="313"/>
      <c r="BS69" s="313"/>
      <c r="BT69" s="313"/>
      <c r="BU69" s="313"/>
      <c r="BV69" s="313"/>
      <c r="BW69" s="313"/>
      <c r="BX69" s="313"/>
      <c r="BY69" s="313"/>
      <c r="BZ69" s="313"/>
      <c r="CA69" s="313"/>
      <c r="CB69" s="313"/>
      <c r="CC69" s="313"/>
      <c r="CD69" s="313"/>
      <c r="CE69" s="313"/>
      <c r="CF69" s="313"/>
      <c r="CG69" s="313"/>
      <c r="CH69" s="313"/>
      <c r="CI69" s="313"/>
      <c r="CJ69" s="313"/>
      <c r="CK69" s="313"/>
      <c r="CL69" s="313"/>
      <c r="CM69" s="313"/>
      <c r="CN69" s="313"/>
      <c r="CO69" s="313"/>
      <c r="CP69" s="313"/>
      <c r="CQ69" s="313"/>
      <c r="CR69" s="313"/>
      <c r="CS69" s="313"/>
      <c r="CT69" s="313"/>
      <c r="CU69" s="313"/>
      <c r="CV69" s="313"/>
      <c r="CW69" s="313"/>
      <c r="CX69" s="313"/>
      <c r="CY69" s="313"/>
      <c r="CZ69" s="313"/>
      <c r="DA69" s="313"/>
      <c r="DB69" s="313"/>
      <c r="DC69" s="313"/>
      <c r="DD69" s="313"/>
      <c r="DE69" s="313"/>
      <c r="DF69" s="313"/>
      <c r="DG69" s="313"/>
      <c r="DH69" s="313"/>
      <c r="DI69" s="313"/>
      <c r="DJ69" s="313"/>
      <c r="DK69" s="313"/>
      <c r="DL69" s="313"/>
      <c r="DM69" s="313"/>
      <c r="DN69" s="313"/>
      <c r="DO69" s="313"/>
      <c r="DP69" s="313"/>
      <c r="DQ69" s="313"/>
      <c r="DR69" s="313"/>
      <c r="DS69" s="313"/>
      <c r="DT69" s="311"/>
      <c r="DU69" s="305"/>
      <c r="DV69" s="305"/>
      <c r="DW69" s="126"/>
      <c r="DX69" s="126"/>
      <c r="DY69" s="126"/>
      <c r="DZ69" s="126"/>
      <c r="EA69" s="126"/>
      <c r="EB69" s="126"/>
      <c r="EC69" s="126"/>
      <c r="ED69" s="126"/>
      <c r="EE69" s="126"/>
      <c r="EF69" s="127"/>
    </row>
    <row r="70" spans="1:136" ht="30" customHeight="1">
      <c r="B70" s="312"/>
      <c r="C70" s="310"/>
      <c r="D70" s="1907" t="str">
        <f ca="1">'D1-D2-D3'!D71:DR71</f>
        <v>Limitation of affected products</v>
      </c>
      <c r="E70" s="1907"/>
      <c r="F70" s="1907"/>
      <c r="G70" s="1907"/>
      <c r="H70" s="1907"/>
      <c r="I70" s="1907"/>
      <c r="J70" s="1907"/>
      <c r="K70" s="1907"/>
      <c r="L70" s="1907"/>
      <c r="M70" s="1907"/>
      <c r="N70" s="1907"/>
      <c r="O70" s="1907"/>
      <c r="P70" s="1907"/>
      <c r="Q70" s="1907"/>
      <c r="R70" s="1907"/>
      <c r="S70" s="1907"/>
      <c r="T70" s="1907"/>
      <c r="U70" s="1907"/>
      <c r="V70" s="1907"/>
      <c r="W70" s="1907"/>
      <c r="X70" s="1907"/>
      <c r="Y70" s="1907"/>
      <c r="Z70" s="1907"/>
      <c r="AA70" s="1907"/>
      <c r="AB70" s="1907"/>
      <c r="AC70" s="1907"/>
      <c r="AD70" s="1907"/>
      <c r="AE70" s="1907"/>
      <c r="AF70" s="1907"/>
      <c r="AG70" s="1907"/>
      <c r="AH70" s="1907"/>
      <c r="AI70" s="1907"/>
      <c r="AJ70" s="1907"/>
      <c r="AK70" s="1907"/>
      <c r="AL70" s="1907"/>
      <c r="AM70" s="1907"/>
      <c r="AN70" s="1907"/>
      <c r="AO70" s="1907"/>
      <c r="AP70" s="1907"/>
      <c r="AQ70" s="1907"/>
      <c r="AR70" s="1907"/>
      <c r="AS70" s="1907"/>
      <c r="AT70" s="1907"/>
      <c r="AU70" s="1907"/>
      <c r="AV70" s="1907"/>
      <c r="AW70" s="1907"/>
      <c r="AX70" s="1907"/>
      <c r="AY70" s="1907"/>
      <c r="AZ70" s="1907"/>
      <c r="BA70" s="1907"/>
      <c r="BB70" s="1907"/>
      <c r="BC70" s="1907"/>
      <c r="BD70" s="1907"/>
      <c r="BE70" s="1907"/>
      <c r="BF70" s="1907"/>
      <c r="BG70" s="1907"/>
      <c r="BH70" s="1907"/>
      <c r="BI70" s="1907"/>
      <c r="BJ70" s="1907"/>
      <c r="BK70" s="1907"/>
      <c r="BL70" s="1907"/>
      <c r="BM70" s="1907"/>
      <c r="BN70" s="1907"/>
      <c r="BO70" s="1907"/>
      <c r="BP70" s="1907"/>
      <c r="BQ70" s="1907"/>
      <c r="BR70" s="1907"/>
      <c r="BS70" s="1907"/>
      <c r="BT70" s="1907"/>
      <c r="BU70" s="1907"/>
      <c r="BV70" s="1907"/>
      <c r="BW70" s="1907"/>
      <c r="BX70" s="1907"/>
      <c r="BY70" s="1907"/>
      <c r="BZ70" s="1907"/>
      <c r="CA70" s="1907"/>
      <c r="CB70" s="1907"/>
      <c r="CC70" s="1907"/>
      <c r="CD70" s="1907"/>
      <c r="CE70" s="1907"/>
      <c r="CF70" s="1907"/>
      <c r="CG70" s="1907"/>
      <c r="CH70" s="1907"/>
      <c r="CI70" s="1907"/>
      <c r="CJ70" s="1907"/>
      <c r="CK70" s="1907"/>
      <c r="CL70" s="1907"/>
      <c r="CM70" s="1907"/>
      <c r="CN70" s="1907"/>
      <c r="CO70" s="1907"/>
      <c r="CP70" s="1907"/>
      <c r="CQ70" s="1907"/>
      <c r="CR70" s="1907"/>
      <c r="CS70" s="1907"/>
      <c r="CT70" s="1907"/>
      <c r="CU70" s="1907"/>
      <c r="CV70" s="1907"/>
      <c r="CW70" s="1907"/>
      <c r="CX70" s="1907"/>
      <c r="CY70" s="1907"/>
      <c r="CZ70" s="1907"/>
      <c r="DA70" s="1907"/>
      <c r="DB70" s="1907"/>
      <c r="DC70" s="1907"/>
      <c r="DD70" s="1907"/>
      <c r="DE70" s="1907"/>
      <c r="DF70" s="1907"/>
      <c r="DG70" s="1907"/>
      <c r="DH70" s="1907"/>
      <c r="DI70" s="1907"/>
      <c r="DJ70" s="1907"/>
      <c r="DK70" s="1907"/>
      <c r="DL70" s="1907"/>
      <c r="DM70" s="1907"/>
      <c r="DN70" s="1907"/>
      <c r="DO70" s="1907"/>
      <c r="DP70" s="1907"/>
      <c r="DQ70" s="1907"/>
      <c r="DR70" s="1907"/>
      <c r="DS70" s="502"/>
      <c r="DT70" s="311"/>
      <c r="DU70" s="305"/>
      <c r="DV70" s="305"/>
      <c r="DW70" s="129"/>
      <c r="DX70" s="129"/>
      <c r="DY70" s="129"/>
      <c r="DZ70" s="129"/>
      <c r="EA70" s="129"/>
      <c r="EB70" s="129"/>
      <c r="EC70" s="129"/>
      <c r="ED70" s="126"/>
      <c r="EE70" s="126"/>
      <c r="EF70" s="127"/>
    </row>
    <row r="71" spans="1:136" ht="6" customHeight="1">
      <c r="B71" s="312"/>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c r="AI71" s="313"/>
      <c r="AJ71" s="313"/>
      <c r="AK71" s="313"/>
      <c r="AL71" s="313"/>
      <c r="AM71" s="313"/>
      <c r="AN71" s="313"/>
      <c r="AO71" s="313"/>
      <c r="AP71" s="313"/>
      <c r="AQ71" s="201"/>
      <c r="AR71" s="201"/>
      <c r="AS71" s="201"/>
      <c r="AT71" s="293"/>
      <c r="AU71" s="293"/>
      <c r="AV71" s="305"/>
      <c r="AW71" s="305"/>
      <c r="AX71" s="305"/>
      <c r="AY71" s="305"/>
      <c r="AZ71" s="305"/>
      <c r="BA71" s="305"/>
      <c r="BB71" s="305"/>
      <c r="BC71" s="305"/>
      <c r="BD71" s="305"/>
      <c r="BE71" s="305"/>
      <c r="BF71" s="305"/>
      <c r="BG71" s="305"/>
      <c r="BH71" s="305"/>
      <c r="BI71" s="305"/>
      <c r="BJ71" s="305"/>
      <c r="BK71" s="305"/>
      <c r="BL71" s="305"/>
      <c r="BM71" s="305"/>
      <c r="BN71" s="305"/>
      <c r="BO71" s="305"/>
      <c r="BP71" s="305"/>
      <c r="BQ71" s="305"/>
      <c r="BR71" s="305"/>
      <c r="BS71" s="305"/>
      <c r="BT71" s="305"/>
      <c r="BU71" s="305"/>
      <c r="BV71" s="305"/>
      <c r="BW71" s="305"/>
      <c r="BX71" s="305"/>
      <c r="BY71" s="305"/>
      <c r="BZ71" s="305"/>
      <c r="CA71" s="305"/>
      <c r="CB71" s="305"/>
      <c r="CC71" s="305"/>
      <c r="CD71" s="305"/>
      <c r="CE71" s="305"/>
      <c r="CF71" s="313"/>
      <c r="CG71" s="293"/>
      <c r="CH71" s="313"/>
      <c r="CI71" s="313"/>
      <c r="CJ71" s="313"/>
      <c r="CK71" s="313"/>
      <c r="CL71" s="313"/>
      <c r="CM71" s="313"/>
      <c r="CN71" s="313"/>
      <c r="CO71" s="313"/>
      <c r="CP71" s="313"/>
      <c r="CQ71" s="313"/>
      <c r="CR71" s="313"/>
      <c r="CS71" s="313"/>
      <c r="CT71" s="313"/>
      <c r="CU71" s="313"/>
      <c r="CV71" s="313"/>
      <c r="CW71" s="313"/>
      <c r="CX71" s="313"/>
      <c r="CY71" s="313"/>
      <c r="CZ71" s="313"/>
      <c r="DA71" s="313"/>
      <c r="DB71" s="313"/>
      <c r="DC71" s="313"/>
      <c r="DD71" s="313"/>
      <c r="DE71" s="313"/>
      <c r="DF71" s="313"/>
      <c r="DG71" s="313"/>
      <c r="DH71" s="313"/>
      <c r="DI71" s="313"/>
      <c r="DJ71" s="313"/>
      <c r="DK71" s="313"/>
      <c r="DL71" s="313"/>
      <c r="DM71" s="313"/>
      <c r="DN71" s="313"/>
      <c r="DO71" s="313"/>
      <c r="DP71" s="313"/>
      <c r="DQ71" s="313"/>
      <c r="DR71" s="313"/>
      <c r="DS71" s="313"/>
      <c r="DT71" s="311"/>
      <c r="DU71" s="305"/>
      <c r="DV71" s="305"/>
      <c r="DW71" s="202"/>
      <c r="DX71" s="202"/>
      <c r="DY71" s="202"/>
      <c r="DZ71" s="202"/>
      <c r="EA71" s="202"/>
      <c r="EB71" s="202"/>
      <c r="EC71" s="202"/>
      <c r="ED71" s="126"/>
      <c r="EE71" s="126"/>
      <c r="EF71" s="127"/>
    </row>
    <row r="72" spans="1:136" ht="30" customHeight="1">
      <c r="B72" s="312"/>
      <c r="C72" s="313"/>
      <c r="D72" s="871" t="str">
        <f ca="1">'D1-D2-D3'!D73</f>
        <v>Is it possible to do a limitation of the affected products ?</v>
      </c>
      <c r="E72" s="316"/>
      <c r="F72" s="316"/>
      <c r="G72" s="316"/>
      <c r="H72" s="316"/>
      <c r="I72" s="316"/>
      <c r="J72" s="316"/>
      <c r="K72" s="316"/>
      <c r="L72" s="316"/>
      <c r="M72" s="316"/>
      <c r="N72" s="313"/>
      <c r="O72" s="313"/>
      <c r="P72" s="313"/>
      <c r="Q72" s="313"/>
      <c r="R72" s="313"/>
      <c r="S72" s="313"/>
      <c r="T72" s="862"/>
      <c r="U72" s="862"/>
      <c r="V72" s="862"/>
      <c r="W72" s="862"/>
      <c r="X72" s="862"/>
      <c r="Y72" s="862"/>
      <c r="Z72" s="862"/>
      <c r="AA72" s="862"/>
      <c r="AB72" s="862"/>
      <c r="AC72" s="862"/>
      <c r="AD72" s="862"/>
      <c r="AE72" s="862"/>
      <c r="AF72" s="862"/>
      <c r="AG72" s="862"/>
      <c r="AH72" s="862"/>
      <c r="AI72" s="862"/>
      <c r="AJ72" s="1809" t="str">
        <f>IF('D1-D2-D3'!BA73="","",'D1-D2-D3'!BA73)</f>
        <v>Yes</v>
      </c>
      <c r="AK72" s="1810"/>
      <c r="AL72" s="1810"/>
      <c r="AM72" s="1810"/>
      <c r="AN72" s="1810"/>
      <c r="AO72" s="1810"/>
      <c r="AP72" s="1811"/>
      <c r="AQ72" s="862"/>
      <c r="AR72" s="1919"/>
      <c r="AS72" s="1919"/>
      <c r="AT72" s="1919"/>
      <c r="AU72" s="1919"/>
      <c r="AV72" s="1919"/>
      <c r="AW72" s="1919"/>
      <c r="AX72" s="1919"/>
      <c r="AY72" s="1919"/>
      <c r="AZ72" s="1919"/>
      <c r="BA72" s="1920"/>
      <c r="BB72" s="1809">
        <f>IF('D1-D2-D3'!BB77="","",'D1-D2-D3'!BB77)</f>
        <v>0</v>
      </c>
      <c r="BC72" s="1810"/>
      <c r="BD72" s="1810"/>
      <c r="BE72" s="1810"/>
      <c r="BF72" s="1810"/>
      <c r="BG72" s="1810"/>
      <c r="BH72" s="1810"/>
      <c r="BI72" s="1810"/>
      <c r="BJ72" s="1811"/>
      <c r="BK72" s="56"/>
      <c r="BL72" s="357" t="str">
        <f ca="1">'D1-D2-D3'!BL77</f>
        <v>total amount of affected products</v>
      </c>
      <c r="BM72" s="56"/>
      <c r="BN72" s="56"/>
      <c r="BO72" s="56"/>
      <c r="BP72" s="56"/>
      <c r="BQ72" s="56"/>
      <c r="BR72" s="56"/>
      <c r="BS72" s="56"/>
      <c r="BT72" s="56"/>
      <c r="BU72" s="56"/>
      <c r="BV72" s="65"/>
      <c r="BW72" s="65"/>
      <c r="BX72" s="65"/>
      <c r="BY72" s="65"/>
      <c r="BZ72" s="65"/>
      <c r="CA72" s="65"/>
      <c r="CB72" s="65"/>
      <c r="CC72" s="65"/>
      <c r="CD72" s="26"/>
      <c r="CE72" s="37"/>
      <c r="CF72" s="55"/>
      <c r="CG72" s="55"/>
      <c r="CH72" s="55"/>
      <c r="CI72" s="55"/>
      <c r="CJ72" s="55"/>
      <c r="CK72" s="55"/>
      <c r="CL72" s="55"/>
      <c r="CM72" s="55"/>
      <c r="CN72" s="55"/>
      <c r="CO72" s="55"/>
      <c r="CP72" s="55"/>
      <c r="CQ72" s="55"/>
      <c r="CR72" s="55"/>
      <c r="CS72" s="55"/>
      <c r="CT72" s="55"/>
      <c r="CU72" s="305"/>
      <c r="CV72" s="305"/>
      <c r="CW72" s="305"/>
      <c r="CX72" s="305"/>
      <c r="CY72" s="317"/>
      <c r="CZ72" s="317"/>
      <c r="DA72" s="317"/>
      <c r="DB72" s="317"/>
      <c r="DC72" s="317"/>
      <c r="DD72" s="317"/>
      <c r="DE72" s="317"/>
      <c r="DF72" s="317"/>
      <c r="DG72" s="317"/>
      <c r="DH72" s="317"/>
      <c r="DI72" s="317"/>
      <c r="DJ72" s="317"/>
      <c r="DK72" s="317"/>
      <c r="DL72" s="317"/>
      <c r="DM72" s="317"/>
      <c r="DN72" s="317"/>
      <c r="DO72" s="317"/>
      <c r="DP72" s="317"/>
      <c r="DQ72" s="317"/>
      <c r="DR72" s="317"/>
      <c r="DS72" s="317"/>
      <c r="DT72" s="311"/>
      <c r="DU72" s="305"/>
      <c r="DV72" s="305"/>
      <c r="DW72" s="203"/>
      <c r="DX72" s="203"/>
      <c r="DY72" s="203"/>
      <c r="DZ72" s="203"/>
      <c r="EA72" s="203"/>
      <c r="EB72" s="203"/>
      <c r="EC72" s="203"/>
      <c r="ED72" s="126"/>
      <c r="EE72" s="126"/>
      <c r="EF72" s="127"/>
    </row>
    <row r="73" spans="1:136" ht="6" customHeight="1">
      <c r="B73" s="312"/>
      <c r="C73" s="313"/>
      <c r="D73" s="524"/>
      <c r="E73" s="316"/>
      <c r="F73" s="316"/>
      <c r="G73" s="316"/>
      <c r="H73" s="316"/>
      <c r="I73" s="316"/>
      <c r="J73" s="316"/>
      <c r="K73" s="316"/>
      <c r="L73" s="316"/>
      <c r="M73" s="316"/>
      <c r="N73" s="313"/>
      <c r="O73" s="313"/>
      <c r="P73" s="313"/>
      <c r="Q73" s="313"/>
      <c r="R73" s="313"/>
      <c r="S73" s="313"/>
      <c r="T73" s="805"/>
      <c r="U73" s="805"/>
      <c r="V73" s="805"/>
      <c r="W73" s="805"/>
      <c r="X73" s="805"/>
      <c r="Y73" s="805"/>
      <c r="Z73" s="805"/>
      <c r="AA73" s="805"/>
      <c r="AB73" s="805"/>
      <c r="AC73" s="805"/>
      <c r="AD73" s="805"/>
      <c r="AE73" s="805"/>
      <c r="AF73" s="805"/>
      <c r="AG73" s="805"/>
      <c r="AH73" s="805"/>
      <c r="AI73" s="805"/>
      <c r="AJ73" s="805"/>
      <c r="AK73" s="805"/>
      <c r="AL73" s="805"/>
      <c r="AM73" s="805"/>
      <c r="AN73" s="805"/>
      <c r="AO73" s="805"/>
      <c r="AP73" s="805"/>
      <c r="AQ73" s="805"/>
      <c r="AR73" s="805"/>
      <c r="AS73" s="805"/>
      <c r="AT73" s="805"/>
      <c r="AU73" s="805"/>
      <c r="AV73" s="805"/>
      <c r="AW73" s="805"/>
      <c r="AX73" s="805"/>
      <c r="AY73" s="805"/>
      <c r="AZ73" s="805"/>
      <c r="BA73" s="805"/>
      <c r="BB73" s="804"/>
      <c r="BC73" s="804"/>
      <c r="BD73" s="804"/>
      <c r="BE73" s="804"/>
      <c r="BF73" s="804"/>
      <c r="BG73" s="804"/>
      <c r="BH73" s="804"/>
      <c r="BI73" s="804"/>
      <c r="BJ73" s="804"/>
      <c r="BK73" s="56"/>
      <c r="BL73" s="357"/>
      <c r="BM73" s="56"/>
      <c r="BN73" s="56"/>
      <c r="BO73" s="56"/>
      <c r="BP73" s="56"/>
      <c r="BQ73" s="56"/>
      <c r="BR73" s="56"/>
      <c r="BS73" s="56"/>
      <c r="BT73" s="56"/>
      <c r="BU73" s="56"/>
      <c r="BV73" s="65"/>
      <c r="BW73" s="65"/>
      <c r="BX73" s="65"/>
      <c r="BY73" s="65"/>
      <c r="BZ73" s="65"/>
      <c r="CA73" s="65"/>
      <c r="CB73" s="65"/>
      <c r="CC73" s="65"/>
      <c r="CD73" s="26"/>
      <c r="CE73" s="37"/>
      <c r="CF73" s="55"/>
      <c r="CG73" s="55"/>
      <c r="CH73" s="55"/>
      <c r="CI73" s="55"/>
      <c r="CJ73" s="55"/>
      <c r="CK73" s="55"/>
      <c r="CL73" s="55"/>
      <c r="CM73" s="55"/>
      <c r="CN73" s="55"/>
      <c r="CO73" s="55"/>
      <c r="CP73" s="55"/>
      <c r="CQ73" s="55"/>
      <c r="CR73" s="55"/>
      <c r="CS73" s="55"/>
      <c r="CT73" s="55"/>
      <c r="CU73" s="305"/>
      <c r="CV73" s="305"/>
      <c r="CW73" s="305"/>
      <c r="CX73" s="305"/>
      <c r="CY73" s="317"/>
      <c r="CZ73" s="317"/>
      <c r="DA73" s="317"/>
      <c r="DB73" s="317"/>
      <c r="DC73" s="317"/>
      <c r="DD73" s="317"/>
      <c r="DE73" s="317"/>
      <c r="DF73" s="317"/>
      <c r="DG73" s="317"/>
      <c r="DH73" s="317"/>
      <c r="DI73" s="317"/>
      <c r="DJ73" s="317"/>
      <c r="DK73" s="317"/>
      <c r="DL73" s="317"/>
      <c r="DM73" s="317"/>
      <c r="DN73" s="317"/>
      <c r="DO73" s="317"/>
      <c r="DP73" s="317"/>
      <c r="DQ73" s="317"/>
      <c r="DR73" s="317"/>
      <c r="DS73" s="317"/>
      <c r="DT73" s="311"/>
      <c r="DU73" s="305"/>
      <c r="DV73" s="305"/>
      <c r="DW73" s="203"/>
      <c r="DX73" s="203"/>
      <c r="DY73" s="203"/>
      <c r="DZ73" s="203"/>
      <c r="EA73" s="203"/>
      <c r="EB73" s="203"/>
      <c r="EC73" s="203"/>
      <c r="ED73" s="126"/>
      <c r="EE73" s="126"/>
      <c r="EF73" s="127"/>
    </row>
    <row r="74" spans="1:136" ht="30" customHeight="1">
      <c r="B74" s="312"/>
      <c r="C74" s="313"/>
      <c r="D74" s="310"/>
      <c r="E74" s="310"/>
      <c r="F74" s="310"/>
      <c r="G74" s="2045" t="str">
        <f ca="1">INDIRECT('D1-D2-D3'!$J$4&amp;"!C80")</f>
        <v>Action</v>
      </c>
      <c r="H74" s="2045"/>
      <c r="I74" s="2045"/>
      <c r="J74" s="2045"/>
      <c r="K74" s="2045"/>
      <c r="L74" s="2045"/>
      <c r="M74" s="2045"/>
      <c r="N74" s="2045"/>
      <c r="O74" s="2045"/>
      <c r="P74" s="2045"/>
      <c r="Q74" s="2045"/>
      <c r="R74" s="2045"/>
      <c r="S74" s="2045"/>
      <c r="T74" s="2045"/>
      <c r="U74" s="2045"/>
      <c r="V74" s="2045"/>
      <c r="W74" s="2045"/>
      <c r="X74" s="2045"/>
      <c r="Y74" s="2045"/>
      <c r="Z74" s="2045"/>
      <c r="AA74" s="2045"/>
      <c r="AB74" s="2045"/>
      <c r="AC74" s="2045"/>
      <c r="AD74" s="2045"/>
      <c r="AE74" s="2045"/>
      <c r="AF74" s="2045"/>
      <c r="AG74" s="2045"/>
      <c r="AH74" s="2045"/>
      <c r="AI74" s="2045"/>
      <c r="AJ74" s="2045"/>
      <c r="AK74" s="2045"/>
      <c r="AL74" s="2045"/>
      <c r="AM74" s="2045"/>
      <c r="AN74" s="2045"/>
      <c r="AO74" s="2045"/>
      <c r="AP74" s="2045"/>
      <c r="AQ74" s="2045"/>
      <c r="AR74" s="2045"/>
      <c r="AS74" s="2045"/>
      <c r="AT74" s="2045"/>
      <c r="AU74" s="2045"/>
      <c r="AV74" s="2045"/>
      <c r="AW74" s="2045"/>
      <c r="AX74" s="2045"/>
      <c r="AY74" s="2045"/>
      <c r="AZ74" s="2045"/>
      <c r="BA74" s="2045"/>
      <c r="BB74" s="2045"/>
      <c r="BC74" s="2045"/>
      <c r="BD74" s="2045"/>
      <c r="BE74" s="2045"/>
      <c r="BF74" s="2045"/>
      <c r="BG74" s="2045"/>
      <c r="BH74" s="2045"/>
      <c r="BI74" s="796"/>
      <c r="BJ74" s="796"/>
      <c r="BK74" s="796"/>
      <c r="BL74" s="797"/>
      <c r="BM74" s="2045" t="str">
        <f ca="1">INDIRECT('D1-D2-D3'!$J$4&amp;"!C233")</f>
        <v>Risk assessment</v>
      </c>
      <c r="BN74" s="2045"/>
      <c r="BO74" s="2045"/>
      <c r="BP74" s="2045"/>
      <c r="BQ74" s="2045"/>
      <c r="BR74" s="2045"/>
      <c r="BS74" s="2045"/>
      <c r="BT74" s="2045"/>
      <c r="BU74" s="2045"/>
      <c r="BV74" s="2045"/>
      <c r="BW74" s="2045"/>
      <c r="BX74" s="2045"/>
      <c r="BY74" s="2045"/>
      <c r="BZ74" s="2045"/>
      <c r="CA74" s="2045"/>
      <c r="CB74" s="2045"/>
      <c r="CC74" s="2045"/>
      <c r="CD74" s="2045"/>
      <c r="CE74" s="2045"/>
      <c r="CF74" s="2045"/>
      <c r="CG74" s="2045"/>
      <c r="CH74" s="2045"/>
      <c r="CI74" s="2045"/>
      <c r="CJ74" s="2045"/>
      <c r="CK74" s="2045"/>
      <c r="CL74" s="2045"/>
      <c r="CM74" s="2045"/>
      <c r="CN74" s="2045"/>
      <c r="CO74" s="2045"/>
      <c r="CP74" s="2045"/>
      <c r="CQ74" s="797"/>
      <c r="CR74" s="2045" t="str">
        <f ca="1">INDIRECT('D1-D2-D3'!$J$4&amp;"!C81")</f>
        <v>Effectiveness verification</v>
      </c>
      <c r="CS74" s="2045"/>
      <c r="CT74" s="2045"/>
      <c r="CU74" s="2045"/>
      <c r="CV74" s="2045"/>
      <c r="CW74" s="2045"/>
      <c r="CX74" s="2045"/>
      <c r="CY74" s="2045"/>
      <c r="CZ74" s="2045"/>
      <c r="DA74" s="2045"/>
      <c r="DB74" s="2045"/>
      <c r="DC74" s="2045"/>
      <c r="DD74" s="2045"/>
      <c r="DE74" s="2045"/>
      <c r="DF74" s="2045"/>
      <c r="DG74" s="2045"/>
      <c r="DH74" s="2045"/>
      <c r="DI74" s="2045"/>
      <c r="DJ74" s="2045"/>
      <c r="DK74" s="2045"/>
      <c r="DL74" s="2045"/>
      <c r="DM74" s="2045"/>
      <c r="DN74" s="2045"/>
      <c r="DO74" s="2045"/>
      <c r="DP74" s="2045"/>
      <c r="DQ74" s="2045"/>
      <c r="DR74" s="2045"/>
      <c r="DS74" s="313"/>
      <c r="DT74" s="311"/>
      <c r="DU74" s="305"/>
      <c r="DV74" s="305"/>
      <c r="DW74" s="203"/>
    </row>
    <row r="75" spans="1:136" s="320" customFormat="1" ht="30" customHeight="1">
      <c r="A75" s="318"/>
      <c r="B75" s="319"/>
      <c r="C75" s="316"/>
      <c r="D75" s="313"/>
      <c r="E75" s="313"/>
      <c r="F75" s="313"/>
      <c r="G75" s="313"/>
      <c r="H75" s="313"/>
      <c r="I75" s="313"/>
      <c r="J75" s="313"/>
      <c r="K75" s="313"/>
      <c r="L75" s="313"/>
      <c r="M75" s="313"/>
      <c r="N75" s="313"/>
      <c r="O75" s="313"/>
      <c r="P75" s="313"/>
      <c r="Q75" s="313"/>
      <c r="R75" s="313"/>
      <c r="S75" s="313"/>
      <c r="T75" s="2070" t="str">
        <f ca="1">INDIRECT('D1-D2-D3'!$J$4&amp;"!C80")</f>
        <v>Action</v>
      </c>
      <c r="U75" s="2070"/>
      <c r="V75" s="2070"/>
      <c r="W75" s="2070"/>
      <c r="X75" s="2070"/>
      <c r="Y75" s="2070"/>
      <c r="Z75" s="2070"/>
      <c r="AA75" s="2070"/>
      <c r="AB75" s="2070"/>
      <c r="AC75" s="2070"/>
      <c r="AD75" s="2070"/>
      <c r="AE75" s="2070"/>
      <c r="AF75" s="2070"/>
      <c r="AG75" s="2070"/>
      <c r="AH75" s="2070"/>
      <c r="AI75" s="2070"/>
      <c r="AJ75" s="2070"/>
      <c r="AK75" s="2070"/>
      <c r="AL75" s="2070"/>
      <c r="AM75" s="2070"/>
      <c r="AN75" s="2070"/>
      <c r="AO75" s="816" t="str">
        <f ca="1">'D1-D2-D3'!AZ80</f>
        <v>Start date</v>
      </c>
      <c r="AP75" s="816"/>
      <c r="AQ75" s="816"/>
      <c r="AR75" s="816"/>
      <c r="AS75" s="816"/>
      <c r="AT75" s="816"/>
      <c r="AU75" s="816"/>
      <c r="AV75" s="816" t="str">
        <f ca="1">'D1-D2-D3'!BG80</f>
        <v>Closing date</v>
      </c>
      <c r="AW75" s="816"/>
      <c r="AX75" s="816"/>
      <c r="AY75" s="816"/>
      <c r="AZ75" s="816"/>
      <c r="BA75" s="816"/>
      <c r="BB75" s="816"/>
      <c r="BC75" s="816" t="str">
        <f ca="1">INDIRECT('D1-D2-D3'!$J$4&amp;"!C83")</f>
        <v>Responsible</v>
      </c>
      <c r="BD75" s="816"/>
      <c r="BE75" s="816"/>
      <c r="BF75" s="816"/>
      <c r="BG75" s="816"/>
      <c r="BH75" s="817"/>
      <c r="BI75" s="816"/>
      <c r="BJ75" s="816"/>
      <c r="BK75" s="816"/>
      <c r="BL75" s="368"/>
      <c r="BM75" s="2071" t="str">
        <f ca="1">INDIRECT('D1-D2-D3'!$J$4&amp;"!C256")</f>
        <v>Hazard/ Risk</v>
      </c>
      <c r="BN75" s="2071"/>
      <c r="BO75" s="2071"/>
      <c r="BP75" s="2071"/>
      <c r="BQ75" s="2071"/>
      <c r="BR75" s="2071"/>
      <c r="BS75" s="2071"/>
      <c r="BT75" s="2071"/>
      <c r="BU75" s="2071"/>
      <c r="BV75" s="2071"/>
      <c r="BW75" s="2071"/>
      <c r="BX75" s="2071"/>
      <c r="BY75" s="2071"/>
      <c r="BZ75" s="2071"/>
      <c r="CA75" s="2071"/>
      <c r="CB75" s="2071" t="str">
        <f ca="1">'Risk assesment (for D3 &amp; D5)'!AO18</f>
        <v>Level</v>
      </c>
      <c r="CC75" s="2071"/>
      <c r="CD75" s="2071"/>
      <c r="CE75" s="2071"/>
      <c r="CF75" s="2071" t="str">
        <f ca="1">INDIRECT('D1-D2-D3'!$J$4&amp;"!C259")</f>
        <v>Measures</v>
      </c>
      <c r="CG75" s="2071"/>
      <c r="CH75" s="2071"/>
      <c r="CI75" s="2071"/>
      <c r="CJ75" s="2071"/>
      <c r="CK75" s="2071"/>
      <c r="CL75" s="2071"/>
      <c r="CM75" s="2071"/>
      <c r="CN75" s="2071"/>
      <c r="CO75" s="2071"/>
      <c r="CP75" s="2071"/>
      <c r="CQ75" s="368"/>
      <c r="CR75" s="2071" t="str">
        <f ca="1">INDIRECT($J$4&amp;"!C82")</f>
        <v>Method</v>
      </c>
      <c r="CS75" s="2071"/>
      <c r="CT75" s="2071"/>
      <c r="CU75" s="2071"/>
      <c r="CV75" s="2071"/>
      <c r="CW75" s="2071"/>
      <c r="CX75" s="2071"/>
      <c r="CY75" s="2071"/>
      <c r="CZ75" s="2071"/>
      <c r="DA75" s="2071"/>
      <c r="DB75" s="2071"/>
      <c r="DC75" s="2077" t="str">
        <f ca="1">INDIRECT($J$4&amp;"!C69")</f>
        <v>Date</v>
      </c>
      <c r="DD75" s="2077"/>
      <c r="DE75" s="2077"/>
      <c r="DF75" s="2077"/>
      <c r="DG75" s="2077"/>
      <c r="DH75" s="938" t="str">
        <f ca="1">INDIRECT($J$4&amp;"!C83")</f>
        <v>Responsible</v>
      </c>
      <c r="DI75" s="816"/>
      <c r="DJ75" s="818"/>
      <c r="DK75" s="818"/>
      <c r="DL75" s="818"/>
      <c r="DM75" s="818"/>
      <c r="DN75" s="2077" t="s">
        <v>1132</v>
      </c>
      <c r="DO75" s="2077"/>
      <c r="DP75" s="2077"/>
      <c r="DQ75" s="2077"/>
      <c r="DR75" s="2077"/>
      <c r="DS75" s="500"/>
      <c r="DT75" s="335"/>
      <c r="DW75" s="203"/>
    </row>
    <row r="76" spans="1:136" s="320" customFormat="1" ht="6" customHeight="1">
      <c r="A76" s="318"/>
      <c r="B76" s="319"/>
      <c r="C76" s="316"/>
      <c r="D76" s="316"/>
      <c r="E76" s="316"/>
      <c r="F76" s="316"/>
      <c r="G76" s="316"/>
      <c r="H76" s="316"/>
      <c r="I76" s="316"/>
      <c r="J76" s="316"/>
      <c r="K76" s="316"/>
      <c r="L76" s="316"/>
      <c r="M76" s="316"/>
      <c r="N76" s="316"/>
      <c r="O76" s="316"/>
      <c r="P76" s="316"/>
      <c r="Q76" s="316"/>
      <c r="R76" s="316"/>
      <c r="S76" s="316"/>
      <c r="T76" s="316"/>
      <c r="U76" s="316"/>
      <c r="V76" s="316"/>
      <c r="W76" s="316"/>
      <c r="X76" s="316"/>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2"/>
      <c r="BF76" s="82"/>
      <c r="BG76" s="82"/>
      <c r="BH76" s="82"/>
      <c r="BI76" s="82"/>
      <c r="BJ76" s="82"/>
      <c r="BK76" s="82"/>
      <c r="BL76" s="82"/>
      <c r="BM76" s="82"/>
      <c r="BN76" s="82"/>
      <c r="BO76" s="82"/>
      <c r="BP76" s="82"/>
      <c r="BQ76" s="82"/>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W76" s="82"/>
      <c r="CX76" s="82"/>
      <c r="CY76" s="82"/>
      <c r="CZ76" s="83"/>
      <c r="DA76" s="83"/>
      <c r="DB76" s="83"/>
      <c r="DC76" s="83"/>
      <c r="DD76" s="83"/>
      <c r="DE76" s="83"/>
      <c r="DF76" s="83"/>
      <c r="DG76" s="83"/>
      <c r="DH76" s="83"/>
      <c r="DI76" s="83"/>
      <c r="DJ76" s="83"/>
      <c r="DK76" s="83"/>
      <c r="DL76" s="83"/>
      <c r="DM76" s="83"/>
      <c r="DN76" s="83"/>
      <c r="DO76" s="83"/>
      <c r="DP76" s="83"/>
      <c r="DQ76" s="83"/>
      <c r="DR76" s="83"/>
      <c r="DS76" s="316"/>
      <c r="DT76" s="335"/>
      <c r="DW76" s="203"/>
    </row>
    <row r="77" spans="1:136" s="320" customFormat="1" ht="35.1" customHeight="1">
      <c r="A77" s="318"/>
      <c r="B77" s="319"/>
      <c r="C77" s="316"/>
      <c r="D77" s="1923" t="str">
        <f ca="1">'D1-D2-D3'!D81</f>
        <v>Measures for continuing secure production at customer</v>
      </c>
      <c r="E77" s="1924"/>
      <c r="F77" s="1924"/>
      <c r="G77" s="1924"/>
      <c r="H77" s="1924"/>
      <c r="I77" s="1924"/>
      <c r="J77" s="1925"/>
      <c r="K77" s="316"/>
      <c r="L77" s="1913" t="str">
        <f>IF('D1-D2-D3'!L81="","",'D1-D2-D3'!L81)</f>
        <v/>
      </c>
      <c r="M77" s="1914"/>
      <c r="N77" s="1914"/>
      <c r="O77" s="1914"/>
      <c r="P77" s="1914"/>
      <c r="Q77" s="1914"/>
      <c r="R77" s="1915"/>
      <c r="S77" s="313"/>
      <c r="T77" s="2069" t="str">
        <f>IF('D1-D2-D3'!T81="","",'D1-D2-D3'!T81)</f>
        <v/>
      </c>
      <c r="U77" s="2069"/>
      <c r="V77" s="2069"/>
      <c r="W77" s="2069"/>
      <c r="X77" s="2069"/>
      <c r="Y77" s="2069"/>
      <c r="Z77" s="2069"/>
      <c r="AA77" s="2069"/>
      <c r="AB77" s="2069"/>
      <c r="AC77" s="2069"/>
      <c r="AD77" s="2069"/>
      <c r="AE77" s="2069"/>
      <c r="AF77" s="2069"/>
      <c r="AG77" s="2069"/>
      <c r="AH77" s="2069"/>
      <c r="AI77" s="2069"/>
      <c r="AJ77" s="2069"/>
      <c r="AK77" s="2069"/>
      <c r="AL77" s="2069"/>
      <c r="AM77" s="2069"/>
      <c r="AN77" s="2069"/>
      <c r="AO77" s="1917" t="str">
        <f>IF('D1-D2-D3'!AZ81="","",'D1-D2-D3'!AZ81)</f>
        <v/>
      </c>
      <c r="AP77" s="1917"/>
      <c r="AQ77" s="1917"/>
      <c r="AR77" s="1917"/>
      <c r="AS77" s="1917"/>
      <c r="AT77" s="1917"/>
      <c r="AU77" s="1918"/>
      <c r="AV77" s="1917" t="str">
        <f>IF('D1-D2-D3'!BG81="","",'D1-D2-D3'!BG81)</f>
        <v/>
      </c>
      <c r="AW77" s="1917"/>
      <c r="AX77" s="1917"/>
      <c r="AY77" s="1917"/>
      <c r="AZ77" s="1917"/>
      <c r="BA77" s="1917"/>
      <c r="BB77" s="1918"/>
      <c r="BC77" s="1916" t="str">
        <f>IF('D1-D2-D3'!BN81="","",'D1-D2-D3'!BN81)</f>
        <v/>
      </c>
      <c r="BD77" s="1916"/>
      <c r="BE77" s="1916"/>
      <c r="BF77" s="1916"/>
      <c r="BG77" s="1916"/>
      <c r="BH77" s="1916"/>
      <c r="BI77" s="1916"/>
      <c r="BJ77" s="1916"/>
      <c r="BK77" s="1916"/>
      <c r="BL77" s="368"/>
      <c r="BM77" s="1910" t="str">
        <f>IF('Risk assesment (for D3 &amp; D5)'!U19="","",'Risk assesment (for D3 &amp; D5)'!U19)</f>
        <v/>
      </c>
      <c r="BN77" s="1911"/>
      <c r="BO77" s="1911"/>
      <c r="BP77" s="1911"/>
      <c r="BQ77" s="1911"/>
      <c r="BR77" s="1911"/>
      <c r="BS77" s="1911"/>
      <c r="BT77" s="1911"/>
      <c r="BU77" s="1911"/>
      <c r="BV77" s="1911"/>
      <c r="BW77" s="1911"/>
      <c r="BX77" s="1911"/>
      <c r="BY77" s="1911"/>
      <c r="BZ77" s="1911"/>
      <c r="CA77" s="1912"/>
      <c r="CB77" s="2008" t="str">
        <f>'Risk assesment (for D3 &amp; D5)'!AO19</f>
        <v/>
      </c>
      <c r="CC77" s="2008"/>
      <c r="CD77" s="2008"/>
      <c r="CE77" s="2008"/>
      <c r="CF77" s="2009" t="str">
        <f>IF('Risk assesment (for D3 &amp; D5)'!AS19="","",'Risk assesment (for D3 &amp; D5)'!AS19)</f>
        <v/>
      </c>
      <c r="CG77" s="2009"/>
      <c r="CH77" s="2009"/>
      <c r="CI77" s="2009"/>
      <c r="CJ77" s="2009"/>
      <c r="CK77" s="2009"/>
      <c r="CL77" s="2009"/>
      <c r="CM77" s="2009"/>
      <c r="CN77" s="2009"/>
      <c r="CO77" s="2009"/>
      <c r="CP77" s="2009"/>
      <c r="CQ77" s="798"/>
      <c r="CR77" s="2076" t="str">
        <f>IF('D1-D2-D3'!BX81="","",'D1-D2-D3'!BX81)</f>
        <v/>
      </c>
      <c r="CS77" s="2076"/>
      <c r="CT77" s="2076"/>
      <c r="CU77" s="2076"/>
      <c r="CV77" s="2076"/>
      <c r="CW77" s="2076"/>
      <c r="CX77" s="2076"/>
      <c r="CY77" s="2076"/>
      <c r="CZ77" s="2076"/>
      <c r="DA77" s="2076"/>
      <c r="DB77" s="2076"/>
      <c r="DC77" s="2075" t="str">
        <f>IF('D1-D2-D3'!CW81="","",'D1-D2-D3'!CW81)</f>
        <v/>
      </c>
      <c r="DD77" s="2075"/>
      <c r="DE77" s="2075"/>
      <c r="DF77" s="2075"/>
      <c r="DG77" s="2075"/>
      <c r="DH77" s="2072" t="str">
        <f>IF('D1-D2-D3'!DD81="","",'D1-D2-D3'!DD81)</f>
        <v/>
      </c>
      <c r="DI77" s="2073"/>
      <c r="DJ77" s="2073"/>
      <c r="DK77" s="2073"/>
      <c r="DL77" s="2073"/>
      <c r="DM77" s="2074"/>
      <c r="DN77" s="2072" t="str">
        <f>IF('D1-D2-D3'!DM81="","",'D1-D2-D3'!DM81)</f>
        <v/>
      </c>
      <c r="DO77" s="2073"/>
      <c r="DP77" s="2073"/>
      <c r="DQ77" s="2073"/>
      <c r="DR77" s="2074"/>
      <c r="DS77" s="500"/>
      <c r="DT77" s="335"/>
      <c r="DW77" s="203"/>
    </row>
    <row r="78" spans="1:136" s="320" customFormat="1" ht="35.1" customHeight="1">
      <c r="A78" s="318"/>
      <c r="B78" s="319"/>
      <c r="C78" s="316"/>
      <c r="D78" s="1926"/>
      <c r="E78" s="1927"/>
      <c r="F78" s="1927"/>
      <c r="G78" s="1927"/>
      <c r="H78" s="1927"/>
      <c r="I78" s="1927"/>
      <c r="J78" s="1928"/>
      <c r="K78" s="316"/>
      <c r="L78" s="1913" t="str">
        <f>IF('D1-D2-D3'!L82="","",'D1-D2-D3'!L82)</f>
        <v/>
      </c>
      <c r="M78" s="1914"/>
      <c r="N78" s="1914"/>
      <c r="O78" s="1914"/>
      <c r="P78" s="1914"/>
      <c r="Q78" s="1914"/>
      <c r="R78" s="1915"/>
      <c r="S78" s="313"/>
      <c r="T78" s="2069" t="str">
        <f>IF('D1-D2-D3'!T82="","",'D1-D2-D3'!T82)</f>
        <v/>
      </c>
      <c r="U78" s="2069"/>
      <c r="V78" s="2069"/>
      <c r="W78" s="2069"/>
      <c r="X78" s="2069"/>
      <c r="Y78" s="2069"/>
      <c r="Z78" s="2069"/>
      <c r="AA78" s="2069"/>
      <c r="AB78" s="2069"/>
      <c r="AC78" s="2069"/>
      <c r="AD78" s="2069"/>
      <c r="AE78" s="2069"/>
      <c r="AF78" s="2069"/>
      <c r="AG78" s="2069"/>
      <c r="AH78" s="2069"/>
      <c r="AI78" s="2069"/>
      <c r="AJ78" s="2069"/>
      <c r="AK78" s="2069"/>
      <c r="AL78" s="2069"/>
      <c r="AM78" s="2069"/>
      <c r="AN78" s="2069"/>
      <c r="AO78" s="1917" t="str">
        <f>IF('D1-D2-D3'!AZ82="","",'D1-D2-D3'!AZ82)</f>
        <v/>
      </c>
      <c r="AP78" s="1917"/>
      <c r="AQ78" s="1917"/>
      <c r="AR78" s="1917"/>
      <c r="AS78" s="1917"/>
      <c r="AT78" s="1917"/>
      <c r="AU78" s="1918"/>
      <c r="AV78" s="1917" t="str">
        <f>IF('D1-D2-D3'!BG82="","",'D1-D2-D3'!BG82)</f>
        <v/>
      </c>
      <c r="AW78" s="1917"/>
      <c r="AX78" s="1917"/>
      <c r="AY78" s="1917"/>
      <c r="AZ78" s="1917"/>
      <c r="BA78" s="1917"/>
      <c r="BB78" s="1918"/>
      <c r="BC78" s="1916" t="str">
        <f>IF('D1-D2-D3'!BN82="","",'D1-D2-D3'!BN82)</f>
        <v/>
      </c>
      <c r="BD78" s="1916"/>
      <c r="BE78" s="1916"/>
      <c r="BF78" s="1916"/>
      <c r="BG78" s="1916"/>
      <c r="BH78" s="1916"/>
      <c r="BI78" s="1916"/>
      <c r="BJ78" s="1916"/>
      <c r="BK78" s="1916"/>
      <c r="BL78" s="368"/>
      <c r="BM78" s="1910" t="str">
        <f>IF('Risk assesment (for D3 &amp; D5)'!U20="","",'Risk assesment (for D3 &amp; D5)'!U20)</f>
        <v/>
      </c>
      <c r="BN78" s="1911"/>
      <c r="BO78" s="1911"/>
      <c r="BP78" s="1911"/>
      <c r="BQ78" s="1911"/>
      <c r="BR78" s="1911"/>
      <c r="BS78" s="1911"/>
      <c r="BT78" s="1911"/>
      <c r="BU78" s="1911"/>
      <c r="BV78" s="1911"/>
      <c r="BW78" s="1911"/>
      <c r="BX78" s="1911"/>
      <c r="BY78" s="1911"/>
      <c r="BZ78" s="1911"/>
      <c r="CA78" s="1912"/>
      <c r="CB78" s="2008" t="str">
        <f>'Risk assesment (for D3 &amp; D5)'!AO20</f>
        <v/>
      </c>
      <c r="CC78" s="2008"/>
      <c r="CD78" s="2008"/>
      <c r="CE78" s="2008"/>
      <c r="CF78" s="2009" t="str">
        <f>IF('Risk assesment (for D3 &amp; D5)'!AS20="","",'Risk assesment (for D3 &amp; D5)'!AS20)</f>
        <v/>
      </c>
      <c r="CG78" s="2009"/>
      <c r="CH78" s="2009"/>
      <c r="CI78" s="2009"/>
      <c r="CJ78" s="2009"/>
      <c r="CK78" s="2009"/>
      <c r="CL78" s="2009"/>
      <c r="CM78" s="2009"/>
      <c r="CN78" s="2009"/>
      <c r="CO78" s="2009"/>
      <c r="CP78" s="2009"/>
      <c r="CQ78" s="798"/>
      <c r="CR78" s="2078" t="str">
        <f>IF('D1-D2-D3'!BX82="","",'D1-D2-D3'!BX82)</f>
        <v/>
      </c>
      <c r="CS78" s="2078"/>
      <c r="CT78" s="2078"/>
      <c r="CU78" s="2078"/>
      <c r="CV78" s="2078"/>
      <c r="CW78" s="2078"/>
      <c r="CX78" s="2078"/>
      <c r="CY78" s="2078"/>
      <c r="CZ78" s="2078"/>
      <c r="DA78" s="2078"/>
      <c r="DB78" s="2078"/>
      <c r="DC78" s="2075" t="str">
        <f>IF('D1-D2-D3'!CW82="","",'D1-D2-D3'!CW82)</f>
        <v/>
      </c>
      <c r="DD78" s="2075"/>
      <c r="DE78" s="2075"/>
      <c r="DF78" s="2075"/>
      <c r="DG78" s="2075"/>
      <c r="DH78" s="2072" t="str">
        <f>IF('D1-D2-D3'!DD82="","",'D1-D2-D3'!DD82)</f>
        <v/>
      </c>
      <c r="DI78" s="2073"/>
      <c r="DJ78" s="2073"/>
      <c r="DK78" s="2073"/>
      <c r="DL78" s="2073"/>
      <c r="DM78" s="2074"/>
      <c r="DN78" s="2072" t="str">
        <f>IF('D1-D2-D3'!DM82="","",'D1-D2-D3'!DM82)</f>
        <v/>
      </c>
      <c r="DO78" s="2073"/>
      <c r="DP78" s="2073"/>
      <c r="DQ78" s="2073"/>
      <c r="DR78" s="2074"/>
      <c r="DS78" s="500"/>
      <c r="DT78" s="335"/>
      <c r="DW78" s="203"/>
    </row>
    <row r="79" spans="1:136" s="320" customFormat="1" ht="35.1" customHeight="1">
      <c r="A79" s="318"/>
      <c r="B79" s="319"/>
      <c r="C79" s="316"/>
      <c r="D79" s="1929"/>
      <c r="E79" s="1930"/>
      <c r="F79" s="1930"/>
      <c r="G79" s="1930"/>
      <c r="H79" s="1930"/>
      <c r="I79" s="1930"/>
      <c r="J79" s="1931"/>
      <c r="K79" s="316"/>
      <c r="L79" s="1913" t="str">
        <f>IF('D1-D2-D3'!L83="","",'D1-D2-D3'!L83)</f>
        <v/>
      </c>
      <c r="M79" s="1914"/>
      <c r="N79" s="1914"/>
      <c r="O79" s="1914"/>
      <c r="P79" s="1914"/>
      <c r="Q79" s="1914"/>
      <c r="R79" s="1915"/>
      <c r="S79" s="313"/>
      <c r="T79" s="2069" t="str">
        <f>IF('D1-D2-D3'!T83="","",'D1-D2-D3'!T83)</f>
        <v/>
      </c>
      <c r="U79" s="2069"/>
      <c r="V79" s="2069"/>
      <c r="W79" s="2069"/>
      <c r="X79" s="2069"/>
      <c r="Y79" s="2069"/>
      <c r="Z79" s="2069"/>
      <c r="AA79" s="2069"/>
      <c r="AB79" s="2069"/>
      <c r="AC79" s="2069"/>
      <c r="AD79" s="2069"/>
      <c r="AE79" s="2069"/>
      <c r="AF79" s="2069"/>
      <c r="AG79" s="2069"/>
      <c r="AH79" s="2069"/>
      <c r="AI79" s="2069"/>
      <c r="AJ79" s="2069"/>
      <c r="AK79" s="2069"/>
      <c r="AL79" s="2069"/>
      <c r="AM79" s="2069"/>
      <c r="AN79" s="2069"/>
      <c r="AO79" s="1917" t="str">
        <f>IF('D1-D2-D3'!AZ83="","",'D1-D2-D3'!AZ83)</f>
        <v/>
      </c>
      <c r="AP79" s="1917"/>
      <c r="AQ79" s="1917"/>
      <c r="AR79" s="1917"/>
      <c r="AS79" s="1917"/>
      <c r="AT79" s="1917"/>
      <c r="AU79" s="1918"/>
      <c r="AV79" s="1917" t="str">
        <f>IF('D1-D2-D3'!BG83="","",'D1-D2-D3'!BG83)</f>
        <v/>
      </c>
      <c r="AW79" s="1917"/>
      <c r="AX79" s="1917"/>
      <c r="AY79" s="1917"/>
      <c r="AZ79" s="1917"/>
      <c r="BA79" s="1917"/>
      <c r="BB79" s="1918"/>
      <c r="BC79" s="1916" t="str">
        <f>IF('D1-D2-D3'!BN83="","",'D1-D2-D3'!BN83)</f>
        <v/>
      </c>
      <c r="BD79" s="1916"/>
      <c r="BE79" s="1916"/>
      <c r="BF79" s="1916"/>
      <c r="BG79" s="1916"/>
      <c r="BH79" s="1916"/>
      <c r="BI79" s="1916"/>
      <c r="BJ79" s="1916"/>
      <c r="BK79" s="1916"/>
      <c r="BL79" s="368"/>
      <c r="BM79" s="1910" t="str">
        <f>IF('Risk assesment (for D3 &amp; D5)'!U21="","",'Risk assesment (for D3 &amp; D5)'!U21)</f>
        <v/>
      </c>
      <c r="BN79" s="1911"/>
      <c r="BO79" s="1911"/>
      <c r="BP79" s="1911"/>
      <c r="BQ79" s="1911"/>
      <c r="BR79" s="1911"/>
      <c r="BS79" s="1911"/>
      <c r="BT79" s="1911"/>
      <c r="BU79" s="1911"/>
      <c r="BV79" s="1911"/>
      <c r="BW79" s="1911"/>
      <c r="BX79" s="1911"/>
      <c r="BY79" s="1911"/>
      <c r="BZ79" s="1911"/>
      <c r="CA79" s="1912"/>
      <c r="CB79" s="2008" t="str">
        <f>'Risk assesment (for D3 &amp; D5)'!AO21</f>
        <v/>
      </c>
      <c r="CC79" s="2008"/>
      <c r="CD79" s="2008"/>
      <c r="CE79" s="2008"/>
      <c r="CF79" s="2009" t="str">
        <f>IF('Risk assesment (for D3 &amp; D5)'!AS21="","",'Risk assesment (for D3 &amp; D5)'!AS21)</f>
        <v/>
      </c>
      <c r="CG79" s="2009"/>
      <c r="CH79" s="2009"/>
      <c r="CI79" s="2009"/>
      <c r="CJ79" s="2009"/>
      <c r="CK79" s="2009"/>
      <c r="CL79" s="2009"/>
      <c r="CM79" s="2009"/>
      <c r="CN79" s="2009"/>
      <c r="CO79" s="2009"/>
      <c r="CP79" s="2009"/>
      <c r="CQ79" s="798"/>
      <c r="CR79" s="2078" t="str">
        <f>IF('D1-D2-D3'!BX83="","",'D1-D2-D3'!BX83)</f>
        <v/>
      </c>
      <c r="CS79" s="2078"/>
      <c r="CT79" s="2078"/>
      <c r="CU79" s="2078"/>
      <c r="CV79" s="2078"/>
      <c r="CW79" s="2078"/>
      <c r="CX79" s="2078"/>
      <c r="CY79" s="2078"/>
      <c r="CZ79" s="2078"/>
      <c r="DA79" s="2078"/>
      <c r="DB79" s="2078"/>
      <c r="DC79" s="2075" t="str">
        <f>IF('D1-D2-D3'!CW83="","",'D1-D2-D3'!CW83)</f>
        <v/>
      </c>
      <c r="DD79" s="2075"/>
      <c r="DE79" s="2075"/>
      <c r="DF79" s="2075"/>
      <c r="DG79" s="2075"/>
      <c r="DH79" s="2072" t="str">
        <f>IF('D1-D2-D3'!DD83="","",'D1-D2-D3'!DD83)</f>
        <v/>
      </c>
      <c r="DI79" s="2073"/>
      <c r="DJ79" s="2073"/>
      <c r="DK79" s="2073"/>
      <c r="DL79" s="2073"/>
      <c r="DM79" s="2074"/>
      <c r="DN79" s="2072" t="str">
        <f>IF('D1-D2-D3'!DM83="","",'D1-D2-D3'!DM83)</f>
        <v/>
      </c>
      <c r="DO79" s="2073"/>
      <c r="DP79" s="2073"/>
      <c r="DQ79" s="2073"/>
      <c r="DR79" s="2074"/>
      <c r="DS79" s="500"/>
      <c r="DT79" s="335"/>
      <c r="DW79" s="203"/>
    </row>
    <row r="80" spans="1:136" s="320" customFormat="1" ht="35.1" customHeight="1">
      <c r="A80" s="318"/>
      <c r="B80" s="319"/>
      <c r="C80" s="316"/>
      <c r="D80" s="1923" t="str">
        <f ca="1">'D1-D2-D3'!D84</f>
        <v>Measures for continuing delivery</v>
      </c>
      <c r="E80" s="1924"/>
      <c r="F80" s="1924"/>
      <c r="G80" s="1924"/>
      <c r="H80" s="1924"/>
      <c r="I80" s="1924"/>
      <c r="J80" s="1925"/>
      <c r="K80" s="316"/>
      <c r="L80" s="1913" t="str">
        <f>IF('D1-D2-D3'!L84="","",'D1-D2-D3'!L84)</f>
        <v/>
      </c>
      <c r="M80" s="1914"/>
      <c r="N80" s="1914"/>
      <c r="O80" s="1914"/>
      <c r="P80" s="1914"/>
      <c r="Q80" s="1914"/>
      <c r="R80" s="1915"/>
      <c r="S80" s="313"/>
      <c r="T80" s="2069" t="str">
        <f>IF('D1-D2-D3'!T84="","",'D1-D2-D3'!T84)</f>
        <v/>
      </c>
      <c r="U80" s="2069"/>
      <c r="V80" s="2069"/>
      <c r="W80" s="2069"/>
      <c r="X80" s="2069"/>
      <c r="Y80" s="2069"/>
      <c r="Z80" s="2069"/>
      <c r="AA80" s="2069"/>
      <c r="AB80" s="2069"/>
      <c r="AC80" s="2069"/>
      <c r="AD80" s="2069"/>
      <c r="AE80" s="2069"/>
      <c r="AF80" s="2069"/>
      <c r="AG80" s="2069"/>
      <c r="AH80" s="2069"/>
      <c r="AI80" s="2069"/>
      <c r="AJ80" s="2069"/>
      <c r="AK80" s="2069"/>
      <c r="AL80" s="2069"/>
      <c r="AM80" s="2069"/>
      <c r="AN80" s="2069"/>
      <c r="AO80" s="1917" t="str">
        <f>IF('D1-D2-D3'!AZ84="","",'D1-D2-D3'!AZ84)</f>
        <v/>
      </c>
      <c r="AP80" s="1917"/>
      <c r="AQ80" s="1917"/>
      <c r="AR80" s="1917"/>
      <c r="AS80" s="1917"/>
      <c r="AT80" s="1917"/>
      <c r="AU80" s="1918"/>
      <c r="AV80" s="1917" t="str">
        <f>IF('D1-D2-D3'!BG84="","",'D1-D2-D3'!BG84)</f>
        <v/>
      </c>
      <c r="AW80" s="1917"/>
      <c r="AX80" s="1917"/>
      <c r="AY80" s="1917"/>
      <c r="AZ80" s="1917"/>
      <c r="BA80" s="1917"/>
      <c r="BB80" s="1918"/>
      <c r="BC80" s="1916" t="str">
        <f>IF('D1-D2-D3'!BN84="","",'D1-D2-D3'!BN84)</f>
        <v/>
      </c>
      <c r="BD80" s="1916"/>
      <c r="BE80" s="1916"/>
      <c r="BF80" s="1916"/>
      <c r="BG80" s="1916"/>
      <c r="BH80" s="1916"/>
      <c r="BI80" s="1916"/>
      <c r="BJ80" s="1916"/>
      <c r="BK80" s="1916"/>
      <c r="BL80" s="368"/>
      <c r="BM80" s="1910" t="str">
        <f>IF('Risk assesment (for D3 &amp; D5)'!U22="","",'Risk assesment (for D3 &amp; D5)'!U22)</f>
        <v/>
      </c>
      <c r="BN80" s="1911"/>
      <c r="BO80" s="1911"/>
      <c r="BP80" s="1911"/>
      <c r="BQ80" s="1911"/>
      <c r="BR80" s="1911"/>
      <c r="BS80" s="1911"/>
      <c r="BT80" s="1911"/>
      <c r="BU80" s="1911"/>
      <c r="BV80" s="1911"/>
      <c r="BW80" s="1911"/>
      <c r="BX80" s="1911"/>
      <c r="BY80" s="1911"/>
      <c r="BZ80" s="1911"/>
      <c r="CA80" s="1912"/>
      <c r="CB80" s="2008" t="str">
        <f>'Risk assesment (for D3 &amp; D5)'!AO22</f>
        <v/>
      </c>
      <c r="CC80" s="2008"/>
      <c r="CD80" s="2008"/>
      <c r="CE80" s="2008"/>
      <c r="CF80" s="2009" t="str">
        <f>IF('Risk assesment (for D3 &amp; D5)'!AS22="","",'Risk assesment (for D3 &amp; D5)'!AS22)</f>
        <v/>
      </c>
      <c r="CG80" s="2009"/>
      <c r="CH80" s="2009"/>
      <c r="CI80" s="2009"/>
      <c r="CJ80" s="2009"/>
      <c r="CK80" s="2009"/>
      <c r="CL80" s="2009"/>
      <c r="CM80" s="2009"/>
      <c r="CN80" s="2009"/>
      <c r="CO80" s="2009"/>
      <c r="CP80" s="2009"/>
      <c r="CQ80" s="798"/>
      <c r="CR80" s="2078" t="str">
        <f>IF('D1-D2-D3'!BX84="","",'D1-D2-D3'!BX84)</f>
        <v/>
      </c>
      <c r="CS80" s="2078"/>
      <c r="CT80" s="2078"/>
      <c r="CU80" s="2078"/>
      <c r="CV80" s="2078"/>
      <c r="CW80" s="2078"/>
      <c r="CX80" s="2078"/>
      <c r="CY80" s="2078"/>
      <c r="CZ80" s="2078"/>
      <c r="DA80" s="2078"/>
      <c r="DB80" s="2078"/>
      <c r="DC80" s="2075" t="str">
        <f>IF('D1-D2-D3'!CW84="","",'D1-D2-D3'!CW84)</f>
        <v/>
      </c>
      <c r="DD80" s="2075"/>
      <c r="DE80" s="2075"/>
      <c r="DF80" s="2075"/>
      <c r="DG80" s="2075"/>
      <c r="DH80" s="2072" t="str">
        <f>IF('D1-D2-D3'!DD84="","",'D1-D2-D3'!DD84)</f>
        <v/>
      </c>
      <c r="DI80" s="2073"/>
      <c r="DJ80" s="2073"/>
      <c r="DK80" s="2073"/>
      <c r="DL80" s="2073"/>
      <c r="DM80" s="2074"/>
      <c r="DN80" s="2072" t="str">
        <f>IF('D1-D2-D3'!DM84="","",'D1-D2-D3'!DM84)</f>
        <v/>
      </c>
      <c r="DO80" s="2073"/>
      <c r="DP80" s="2073"/>
      <c r="DQ80" s="2073"/>
      <c r="DR80" s="2074"/>
      <c r="DS80" s="500"/>
      <c r="DT80" s="335"/>
      <c r="DW80" s="203"/>
    </row>
    <row r="81" spans="1:136" s="320" customFormat="1" ht="35.1" customHeight="1">
      <c r="A81" s="318"/>
      <c r="B81" s="319"/>
      <c r="C81" s="316"/>
      <c r="D81" s="1926"/>
      <c r="E81" s="1927"/>
      <c r="F81" s="1927"/>
      <c r="G81" s="1927"/>
      <c r="H81" s="1927"/>
      <c r="I81" s="1927"/>
      <c r="J81" s="1928"/>
      <c r="K81" s="316"/>
      <c r="L81" s="1913" t="str">
        <f>IF('D1-D2-D3'!L85="","",'D1-D2-D3'!L85)</f>
        <v/>
      </c>
      <c r="M81" s="1914"/>
      <c r="N81" s="1914"/>
      <c r="O81" s="1914"/>
      <c r="P81" s="1914"/>
      <c r="Q81" s="1914"/>
      <c r="R81" s="1915"/>
      <c r="S81" s="313"/>
      <c r="T81" s="2069" t="str">
        <f>IF('D1-D2-D3'!T85="","",'D1-D2-D3'!T85)</f>
        <v/>
      </c>
      <c r="U81" s="2069"/>
      <c r="V81" s="2069"/>
      <c r="W81" s="2069"/>
      <c r="X81" s="2069"/>
      <c r="Y81" s="2069"/>
      <c r="Z81" s="2069"/>
      <c r="AA81" s="2069"/>
      <c r="AB81" s="2069"/>
      <c r="AC81" s="2069"/>
      <c r="AD81" s="2069"/>
      <c r="AE81" s="2069"/>
      <c r="AF81" s="2069"/>
      <c r="AG81" s="2069"/>
      <c r="AH81" s="2069"/>
      <c r="AI81" s="2069"/>
      <c r="AJ81" s="2069"/>
      <c r="AK81" s="2069"/>
      <c r="AL81" s="2069"/>
      <c r="AM81" s="2069"/>
      <c r="AN81" s="2069"/>
      <c r="AO81" s="1917" t="str">
        <f>IF('D1-D2-D3'!AZ85="","",'D1-D2-D3'!AZ85)</f>
        <v/>
      </c>
      <c r="AP81" s="1917"/>
      <c r="AQ81" s="1917"/>
      <c r="AR81" s="1917"/>
      <c r="AS81" s="1917"/>
      <c r="AT81" s="1917"/>
      <c r="AU81" s="1918"/>
      <c r="AV81" s="1917" t="str">
        <f>IF('D1-D2-D3'!BG85="","",'D1-D2-D3'!BG85)</f>
        <v/>
      </c>
      <c r="AW81" s="1917"/>
      <c r="AX81" s="1917"/>
      <c r="AY81" s="1917"/>
      <c r="AZ81" s="1917"/>
      <c r="BA81" s="1917"/>
      <c r="BB81" s="1918"/>
      <c r="BC81" s="1916" t="str">
        <f>IF('D1-D2-D3'!BN85="","",'D1-D2-D3'!BN85)</f>
        <v/>
      </c>
      <c r="BD81" s="1916"/>
      <c r="BE81" s="1916"/>
      <c r="BF81" s="1916"/>
      <c r="BG81" s="1916"/>
      <c r="BH81" s="1916"/>
      <c r="BI81" s="1916"/>
      <c r="BJ81" s="1916"/>
      <c r="BK81" s="1916"/>
      <c r="BL81" s="368"/>
      <c r="BM81" s="1910" t="str">
        <f>IF('Risk assesment (for D3 &amp; D5)'!U23="","",'Risk assesment (for D3 &amp; D5)'!U23)</f>
        <v/>
      </c>
      <c r="BN81" s="1911"/>
      <c r="BO81" s="1911"/>
      <c r="BP81" s="1911"/>
      <c r="BQ81" s="1911"/>
      <c r="BR81" s="1911"/>
      <c r="BS81" s="1911"/>
      <c r="BT81" s="1911"/>
      <c r="BU81" s="1911"/>
      <c r="BV81" s="1911"/>
      <c r="BW81" s="1911"/>
      <c r="BX81" s="1911"/>
      <c r="BY81" s="1911"/>
      <c r="BZ81" s="1911"/>
      <c r="CA81" s="1912"/>
      <c r="CB81" s="2008" t="str">
        <f>'Risk assesment (for D3 &amp; D5)'!AO23</f>
        <v/>
      </c>
      <c r="CC81" s="2008"/>
      <c r="CD81" s="2008"/>
      <c r="CE81" s="2008"/>
      <c r="CF81" s="2009" t="str">
        <f>IF('Risk assesment (for D3 &amp; D5)'!AS23="","",'Risk assesment (for D3 &amp; D5)'!AS23)</f>
        <v/>
      </c>
      <c r="CG81" s="2009"/>
      <c r="CH81" s="2009"/>
      <c r="CI81" s="2009"/>
      <c r="CJ81" s="2009"/>
      <c r="CK81" s="2009"/>
      <c r="CL81" s="2009"/>
      <c r="CM81" s="2009"/>
      <c r="CN81" s="2009"/>
      <c r="CO81" s="2009"/>
      <c r="CP81" s="2009"/>
      <c r="CQ81" s="798"/>
      <c r="CR81" s="2078" t="str">
        <f>IF('D1-D2-D3'!BX85="","",'D1-D2-D3'!BX85)</f>
        <v/>
      </c>
      <c r="CS81" s="2078"/>
      <c r="CT81" s="2078"/>
      <c r="CU81" s="2078"/>
      <c r="CV81" s="2078"/>
      <c r="CW81" s="2078"/>
      <c r="CX81" s="2078"/>
      <c r="CY81" s="2078"/>
      <c r="CZ81" s="2078"/>
      <c r="DA81" s="2078"/>
      <c r="DB81" s="2078"/>
      <c r="DC81" s="2075" t="str">
        <f>IF('D1-D2-D3'!CW85="","",'D1-D2-D3'!CW85)</f>
        <v/>
      </c>
      <c r="DD81" s="2075"/>
      <c r="DE81" s="2075"/>
      <c r="DF81" s="2075"/>
      <c r="DG81" s="2075"/>
      <c r="DH81" s="2072" t="str">
        <f>IF('D1-D2-D3'!DD85="","",'D1-D2-D3'!DD85)</f>
        <v/>
      </c>
      <c r="DI81" s="2073"/>
      <c r="DJ81" s="2073"/>
      <c r="DK81" s="2073"/>
      <c r="DL81" s="2073"/>
      <c r="DM81" s="2074"/>
      <c r="DN81" s="2072" t="str">
        <f>IF('D1-D2-D3'!DM85="","",'D1-D2-D3'!DM85)</f>
        <v/>
      </c>
      <c r="DO81" s="2073"/>
      <c r="DP81" s="2073"/>
      <c r="DQ81" s="2073"/>
      <c r="DR81" s="2074"/>
      <c r="DS81" s="500"/>
      <c r="DT81" s="335"/>
      <c r="DW81" s="203"/>
    </row>
    <row r="82" spans="1:136" s="320" customFormat="1" ht="35.1" customHeight="1">
      <c r="A82" s="318"/>
      <c r="B82" s="319"/>
      <c r="C82" s="316"/>
      <c r="D82" s="1929"/>
      <c r="E82" s="1930"/>
      <c r="F82" s="1930"/>
      <c r="G82" s="1930"/>
      <c r="H82" s="1930"/>
      <c r="I82" s="1930"/>
      <c r="J82" s="1931"/>
      <c r="K82" s="316"/>
      <c r="L82" s="1913" t="str">
        <f>IF('D1-D2-D3'!L86="","",'D1-D2-D3'!L86)</f>
        <v/>
      </c>
      <c r="M82" s="1914"/>
      <c r="N82" s="1914"/>
      <c r="O82" s="1914"/>
      <c r="P82" s="1914"/>
      <c r="Q82" s="1914"/>
      <c r="R82" s="1915"/>
      <c r="S82" s="313"/>
      <c r="T82" s="2069" t="str">
        <f>IF('D1-D2-D3'!T86="","",'D1-D2-D3'!T86)</f>
        <v/>
      </c>
      <c r="U82" s="2069"/>
      <c r="V82" s="2069"/>
      <c r="W82" s="2069"/>
      <c r="X82" s="2069"/>
      <c r="Y82" s="2069"/>
      <c r="Z82" s="2069"/>
      <c r="AA82" s="2069"/>
      <c r="AB82" s="2069"/>
      <c r="AC82" s="2069"/>
      <c r="AD82" s="2069"/>
      <c r="AE82" s="2069"/>
      <c r="AF82" s="2069"/>
      <c r="AG82" s="2069"/>
      <c r="AH82" s="2069"/>
      <c r="AI82" s="2069"/>
      <c r="AJ82" s="2069"/>
      <c r="AK82" s="2069"/>
      <c r="AL82" s="2069"/>
      <c r="AM82" s="2069"/>
      <c r="AN82" s="2069"/>
      <c r="AO82" s="1917" t="str">
        <f>IF('D1-D2-D3'!AZ86="","",'D1-D2-D3'!AZ86)</f>
        <v/>
      </c>
      <c r="AP82" s="1917"/>
      <c r="AQ82" s="1917"/>
      <c r="AR82" s="1917"/>
      <c r="AS82" s="1917"/>
      <c r="AT82" s="1917"/>
      <c r="AU82" s="1918"/>
      <c r="AV82" s="1917" t="str">
        <f>IF('D1-D2-D3'!BG86="","",'D1-D2-D3'!BG86)</f>
        <v/>
      </c>
      <c r="AW82" s="1917"/>
      <c r="AX82" s="1917"/>
      <c r="AY82" s="1917"/>
      <c r="AZ82" s="1917"/>
      <c r="BA82" s="1917"/>
      <c r="BB82" s="1918"/>
      <c r="BC82" s="1916" t="str">
        <f>IF('D1-D2-D3'!BN86="","",'D1-D2-D3'!BN86)</f>
        <v/>
      </c>
      <c r="BD82" s="1916"/>
      <c r="BE82" s="1916"/>
      <c r="BF82" s="1916"/>
      <c r="BG82" s="1916"/>
      <c r="BH82" s="1916"/>
      <c r="BI82" s="1916"/>
      <c r="BJ82" s="1916"/>
      <c r="BK82" s="1916"/>
      <c r="BL82" s="368"/>
      <c r="BM82" s="1910" t="str">
        <f>IF('Risk assesment (for D3 &amp; D5)'!U24="","",'Risk assesment (for D3 &amp; D5)'!U24)</f>
        <v/>
      </c>
      <c r="BN82" s="1911"/>
      <c r="BO82" s="1911"/>
      <c r="BP82" s="1911"/>
      <c r="BQ82" s="1911"/>
      <c r="BR82" s="1911"/>
      <c r="BS82" s="1911"/>
      <c r="BT82" s="1911"/>
      <c r="BU82" s="1911"/>
      <c r="BV82" s="1911"/>
      <c r="BW82" s="1911"/>
      <c r="BX82" s="1911"/>
      <c r="BY82" s="1911"/>
      <c r="BZ82" s="1911"/>
      <c r="CA82" s="1912"/>
      <c r="CB82" s="2008" t="str">
        <f>'Risk assesment (for D3 &amp; D5)'!AO24</f>
        <v/>
      </c>
      <c r="CC82" s="2008"/>
      <c r="CD82" s="2008"/>
      <c r="CE82" s="2008"/>
      <c r="CF82" s="2009" t="str">
        <f>IF('Risk assesment (for D3 &amp; D5)'!AS24="","",'Risk assesment (for D3 &amp; D5)'!AS24)</f>
        <v/>
      </c>
      <c r="CG82" s="2009"/>
      <c r="CH82" s="2009"/>
      <c r="CI82" s="2009"/>
      <c r="CJ82" s="2009"/>
      <c r="CK82" s="2009"/>
      <c r="CL82" s="2009"/>
      <c r="CM82" s="2009"/>
      <c r="CN82" s="2009"/>
      <c r="CO82" s="2009"/>
      <c r="CP82" s="2009"/>
      <c r="CQ82" s="798"/>
      <c r="CR82" s="2078" t="str">
        <f>IF('D1-D2-D3'!BX86="","",'D1-D2-D3'!BX86)</f>
        <v/>
      </c>
      <c r="CS82" s="2078"/>
      <c r="CT82" s="2078"/>
      <c r="CU82" s="2078"/>
      <c r="CV82" s="2078"/>
      <c r="CW82" s="2078"/>
      <c r="CX82" s="2078"/>
      <c r="CY82" s="2078"/>
      <c r="CZ82" s="2078"/>
      <c r="DA82" s="2078"/>
      <c r="DB82" s="2078"/>
      <c r="DC82" s="2075" t="str">
        <f>IF('D1-D2-D3'!CW86="","",'D1-D2-D3'!CW86)</f>
        <v/>
      </c>
      <c r="DD82" s="2075"/>
      <c r="DE82" s="2075"/>
      <c r="DF82" s="2075"/>
      <c r="DG82" s="2075"/>
      <c r="DH82" s="2072" t="str">
        <f>IF('D1-D2-D3'!DD86="","",'D1-D2-D3'!DD86)</f>
        <v/>
      </c>
      <c r="DI82" s="2073"/>
      <c r="DJ82" s="2073"/>
      <c r="DK82" s="2073"/>
      <c r="DL82" s="2073"/>
      <c r="DM82" s="2074"/>
      <c r="DN82" s="2072" t="str">
        <f>IF('D1-D2-D3'!DM86="","",'D1-D2-D3'!DM86)</f>
        <v/>
      </c>
      <c r="DO82" s="2073"/>
      <c r="DP82" s="2073"/>
      <c r="DQ82" s="2073"/>
      <c r="DR82" s="2074"/>
      <c r="DS82" s="500"/>
      <c r="DT82" s="335"/>
      <c r="DW82" s="203"/>
    </row>
    <row r="83" spans="1:136" s="320" customFormat="1" ht="35.1" customHeight="1">
      <c r="A83" s="318"/>
      <c r="B83" s="319"/>
      <c r="C83" s="316"/>
      <c r="D83" s="1923" t="str">
        <f ca="1">'D1-D2-D3'!D87</f>
        <v>Measures for continuing Kroschu-production</v>
      </c>
      <c r="E83" s="1924"/>
      <c r="F83" s="1924"/>
      <c r="G83" s="1924"/>
      <c r="H83" s="1924"/>
      <c r="I83" s="1924"/>
      <c r="J83" s="1925"/>
      <c r="K83" s="316"/>
      <c r="L83" s="1913" t="str">
        <f>IF('D1-D2-D3'!L87="","",'D1-D2-D3'!L87)</f>
        <v/>
      </c>
      <c r="M83" s="1914"/>
      <c r="N83" s="1914"/>
      <c r="O83" s="1914"/>
      <c r="P83" s="1914"/>
      <c r="Q83" s="1914"/>
      <c r="R83" s="1915"/>
      <c r="S83" s="313"/>
      <c r="T83" s="2069" t="str">
        <f>IF('D1-D2-D3'!T87="","",'D1-D2-D3'!T87)</f>
        <v/>
      </c>
      <c r="U83" s="2069"/>
      <c r="V83" s="2069"/>
      <c r="W83" s="2069"/>
      <c r="X83" s="2069"/>
      <c r="Y83" s="2069"/>
      <c r="Z83" s="2069"/>
      <c r="AA83" s="2069"/>
      <c r="AB83" s="2069"/>
      <c r="AC83" s="2069"/>
      <c r="AD83" s="2069"/>
      <c r="AE83" s="2069"/>
      <c r="AF83" s="2069"/>
      <c r="AG83" s="2069"/>
      <c r="AH83" s="2069"/>
      <c r="AI83" s="2069"/>
      <c r="AJ83" s="2069"/>
      <c r="AK83" s="2069"/>
      <c r="AL83" s="2069"/>
      <c r="AM83" s="2069"/>
      <c r="AN83" s="2069"/>
      <c r="AO83" s="1917" t="str">
        <f>IF('D1-D2-D3'!AZ87="","",'D1-D2-D3'!AZ87)</f>
        <v/>
      </c>
      <c r="AP83" s="1917"/>
      <c r="AQ83" s="1917"/>
      <c r="AR83" s="1917"/>
      <c r="AS83" s="1917"/>
      <c r="AT83" s="1917"/>
      <c r="AU83" s="1918"/>
      <c r="AV83" s="1917" t="str">
        <f>IF('D1-D2-D3'!BG87="","",'D1-D2-D3'!BG87)</f>
        <v/>
      </c>
      <c r="AW83" s="1917"/>
      <c r="AX83" s="1917"/>
      <c r="AY83" s="1917"/>
      <c r="AZ83" s="1917"/>
      <c r="BA83" s="1917"/>
      <c r="BB83" s="1918"/>
      <c r="BC83" s="1916" t="str">
        <f>IF('D1-D2-D3'!BN87="","",'D1-D2-D3'!BN87)</f>
        <v/>
      </c>
      <c r="BD83" s="1916"/>
      <c r="BE83" s="1916"/>
      <c r="BF83" s="1916"/>
      <c r="BG83" s="1916"/>
      <c r="BH83" s="1916"/>
      <c r="BI83" s="1916"/>
      <c r="BJ83" s="1916"/>
      <c r="BK83" s="1916"/>
      <c r="BL83" s="368"/>
      <c r="BM83" s="1910" t="str">
        <f>IF('Risk assesment (for D3 &amp; D5)'!U25="","",'Risk assesment (for D3 &amp; D5)'!U25)</f>
        <v/>
      </c>
      <c r="BN83" s="1911"/>
      <c r="BO83" s="1911"/>
      <c r="BP83" s="1911"/>
      <c r="BQ83" s="1911"/>
      <c r="BR83" s="1911"/>
      <c r="BS83" s="1911"/>
      <c r="BT83" s="1911"/>
      <c r="BU83" s="1911"/>
      <c r="BV83" s="1911"/>
      <c r="BW83" s="1911"/>
      <c r="BX83" s="1911"/>
      <c r="BY83" s="1911"/>
      <c r="BZ83" s="1911"/>
      <c r="CA83" s="1912"/>
      <c r="CB83" s="2008" t="str">
        <f>'Risk assesment (for D3 &amp; D5)'!AO25</f>
        <v/>
      </c>
      <c r="CC83" s="2008"/>
      <c r="CD83" s="2008"/>
      <c r="CE83" s="2008"/>
      <c r="CF83" s="2009" t="str">
        <f>IF('Risk assesment (for D3 &amp; D5)'!AS25="","",'Risk assesment (for D3 &amp; D5)'!AS25)</f>
        <v/>
      </c>
      <c r="CG83" s="2009"/>
      <c r="CH83" s="2009"/>
      <c r="CI83" s="2009"/>
      <c r="CJ83" s="2009"/>
      <c r="CK83" s="2009"/>
      <c r="CL83" s="2009"/>
      <c r="CM83" s="2009"/>
      <c r="CN83" s="2009"/>
      <c r="CO83" s="2009"/>
      <c r="CP83" s="2009"/>
      <c r="CQ83" s="798"/>
      <c r="CR83" s="2078" t="str">
        <f>IF('D1-D2-D3'!BX87="","",'D1-D2-D3'!BX87)</f>
        <v/>
      </c>
      <c r="CS83" s="2078"/>
      <c r="CT83" s="2078"/>
      <c r="CU83" s="2078"/>
      <c r="CV83" s="2078"/>
      <c r="CW83" s="2078"/>
      <c r="CX83" s="2078"/>
      <c r="CY83" s="2078"/>
      <c r="CZ83" s="2078"/>
      <c r="DA83" s="2078"/>
      <c r="DB83" s="2078"/>
      <c r="DC83" s="2075" t="str">
        <f>IF('D1-D2-D3'!CW87="","",'D1-D2-D3'!CW87)</f>
        <v/>
      </c>
      <c r="DD83" s="2075"/>
      <c r="DE83" s="2075"/>
      <c r="DF83" s="2075"/>
      <c r="DG83" s="2075"/>
      <c r="DH83" s="2072" t="str">
        <f>IF('D1-D2-D3'!DD87="","",'D1-D2-D3'!DD87)</f>
        <v/>
      </c>
      <c r="DI83" s="2073"/>
      <c r="DJ83" s="2073"/>
      <c r="DK83" s="2073"/>
      <c r="DL83" s="2073"/>
      <c r="DM83" s="2074"/>
      <c r="DN83" s="2072" t="str">
        <f>IF('D1-D2-D3'!DM87="","",'D1-D2-D3'!DM87)</f>
        <v/>
      </c>
      <c r="DO83" s="2073"/>
      <c r="DP83" s="2073"/>
      <c r="DQ83" s="2073"/>
      <c r="DR83" s="2074"/>
      <c r="DS83" s="500"/>
      <c r="DT83" s="335"/>
      <c r="DW83" s="203"/>
    </row>
    <row r="84" spans="1:136" s="320" customFormat="1" ht="35.1" customHeight="1">
      <c r="A84" s="318"/>
      <c r="B84" s="319"/>
      <c r="C84" s="316"/>
      <c r="D84" s="1926"/>
      <c r="E84" s="1927"/>
      <c r="F84" s="1927"/>
      <c r="G84" s="1927"/>
      <c r="H84" s="1927"/>
      <c r="I84" s="1927"/>
      <c r="J84" s="1928"/>
      <c r="K84" s="316"/>
      <c r="L84" s="1913" t="str">
        <f>IF('D1-D2-D3'!L88="","",'D1-D2-D3'!L88)</f>
        <v/>
      </c>
      <c r="M84" s="1914"/>
      <c r="N84" s="1914"/>
      <c r="O84" s="1914"/>
      <c r="P84" s="1914"/>
      <c r="Q84" s="1914"/>
      <c r="R84" s="1915"/>
      <c r="S84" s="313"/>
      <c r="T84" s="2069" t="str">
        <f>IF('D1-D2-D3'!T88="","",'D1-D2-D3'!T88)</f>
        <v/>
      </c>
      <c r="U84" s="2069"/>
      <c r="V84" s="2069"/>
      <c r="W84" s="2069"/>
      <c r="X84" s="2069"/>
      <c r="Y84" s="2069"/>
      <c r="Z84" s="2069"/>
      <c r="AA84" s="2069"/>
      <c r="AB84" s="2069"/>
      <c r="AC84" s="2069"/>
      <c r="AD84" s="2069"/>
      <c r="AE84" s="2069"/>
      <c r="AF84" s="2069"/>
      <c r="AG84" s="2069"/>
      <c r="AH84" s="2069"/>
      <c r="AI84" s="2069"/>
      <c r="AJ84" s="2069"/>
      <c r="AK84" s="2069"/>
      <c r="AL84" s="2069"/>
      <c r="AM84" s="2069"/>
      <c r="AN84" s="2069"/>
      <c r="AO84" s="1917" t="str">
        <f>IF('D1-D2-D3'!AZ88="","",'D1-D2-D3'!AZ88)</f>
        <v/>
      </c>
      <c r="AP84" s="1917"/>
      <c r="AQ84" s="1917"/>
      <c r="AR84" s="1917"/>
      <c r="AS84" s="1917"/>
      <c r="AT84" s="1917"/>
      <c r="AU84" s="1918"/>
      <c r="AV84" s="1917" t="str">
        <f>IF('D1-D2-D3'!BG88="","",'D1-D2-D3'!BG88)</f>
        <v/>
      </c>
      <c r="AW84" s="1917"/>
      <c r="AX84" s="1917"/>
      <c r="AY84" s="1917"/>
      <c r="AZ84" s="1917"/>
      <c r="BA84" s="1917"/>
      <c r="BB84" s="1918"/>
      <c r="BC84" s="1916" t="str">
        <f>IF('D1-D2-D3'!BN88="","",'D1-D2-D3'!BN88)</f>
        <v/>
      </c>
      <c r="BD84" s="1916"/>
      <c r="BE84" s="1916"/>
      <c r="BF84" s="1916"/>
      <c r="BG84" s="1916"/>
      <c r="BH84" s="1916"/>
      <c r="BI84" s="1916"/>
      <c r="BJ84" s="1916"/>
      <c r="BK84" s="1916"/>
      <c r="BL84" s="368"/>
      <c r="BM84" s="1910" t="str">
        <f>IF('Risk assesment (for D3 &amp; D5)'!U26="","",'Risk assesment (for D3 &amp; D5)'!U26)</f>
        <v/>
      </c>
      <c r="BN84" s="1911"/>
      <c r="BO84" s="1911"/>
      <c r="BP84" s="1911"/>
      <c r="BQ84" s="1911"/>
      <c r="BR84" s="1911"/>
      <c r="BS84" s="1911"/>
      <c r="BT84" s="1911"/>
      <c r="BU84" s="1911"/>
      <c r="BV84" s="1911"/>
      <c r="BW84" s="1911"/>
      <c r="BX84" s="1911"/>
      <c r="BY84" s="1911"/>
      <c r="BZ84" s="1911"/>
      <c r="CA84" s="1912"/>
      <c r="CB84" s="2008" t="str">
        <f>'Risk assesment (for D3 &amp; D5)'!AO26</f>
        <v/>
      </c>
      <c r="CC84" s="2008"/>
      <c r="CD84" s="2008"/>
      <c r="CE84" s="2008"/>
      <c r="CF84" s="2009" t="str">
        <f>IF('Risk assesment (for D3 &amp; D5)'!AS26="","",'Risk assesment (for D3 &amp; D5)'!AS26)</f>
        <v/>
      </c>
      <c r="CG84" s="2009"/>
      <c r="CH84" s="2009"/>
      <c r="CI84" s="2009"/>
      <c r="CJ84" s="2009"/>
      <c r="CK84" s="2009"/>
      <c r="CL84" s="2009"/>
      <c r="CM84" s="2009"/>
      <c r="CN84" s="2009"/>
      <c r="CO84" s="2009"/>
      <c r="CP84" s="2009"/>
      <c r="CQ84" s="798"/>
      <c r="CR84" s="2078" t="str">
        <f>IF('D1-D2-D3'!BX88="","",'D1-D2-D3'!BX88)</f>
        <v/>
      </c>
      <c r="CS84" s="2078"/>
      <c r="CT84" s="2078"/>
      <c r="CU84" s="2078"/>
      <c r="CV84" s="2078"/>
      <c r="CW84" s="2078"/>
      <c r="CX84" s="2078"/>
      <c r="CY84" s="2078"/>
      <c r="CZ84" s="2078"/>
      <c r="DA84" s="2078"/>
      <c r="DB84" s="2078"/>
      <c r="DC84" s="2075" t="str">
        <f>IF('D1-D2-D3'!CW88="","",'D1-D2-D3'!CW88)</f>
        <v/>
      </c>
      <c r="DD84" s="2075"/>
      <c r="DE84" s="2075"/>
      <c r="DF84" s="2075"/>
      <c r="DG84" s="2075"/>
      <c r="DH84" s="2072" t="str">
        <f>IF('D1-D2-D3'!DD88="","",'D1-D2-D3'!DD88)</f>
        <v/>
      </c>
      <c r="DI84" s="2073"/>
      <c r="DJ84" s="2073"/>
      <c r="DK84" s="2073"/>
      <c r="DL84" s="2073"/>
      <c r="DM84" s="2074"/>
      <c r="DN84" s="2072" t="str">
        <f>IF('D1-D2-D3'!DM88="","",'D1-D2-D3'!DM88)</f>
        <v/>
      </c>
      <c r="DO84" s="2073"/>
      <c r="DP84" s="2073"/>
      <c r="DQ84" s="2073"/>
      <c r="DR84" s="2074"/>
      <c r="DS84" s="500"/>
      <c r="DT84" s="335"/>
      <c r="DW84" s="203"/>
    </row>
    <row r="85" spans="1:136" s="320" customFormat="1" ht="35.1" customHeight="1">
      <c r="A85" s="318"/>
      <c r="B85" s="319"/>
      <c r="C85" s="316"/>
      <c r="D85" s="1929"/>
      <c r="E85" s="1930"/>
      <c r="F85" s="1930"/>
      <c r="G85" s="1930"/>
      <c r="H85" s="1930"/>
      <c r="I85" s="1930"/>
      <c r="J85" s="1931"/>
      <c r="K85" s="316"/>
      <c r="L85" s="1913" t="str">
        <f>IF('D1-D2-D3'!L89="","",'D1-D2-D3'!L89)</f>
        <v/>
      </c>
      <c r="M85" s="1914"/>
      <c r="N85" s="1914"/>
      <c r="O85" s="1914"/>
      <c r="P85" s="1914"/>
      <c r="Q85" s="1914"/>
      <c r="R85" s="1915"/>
      <c r="S85" s="313"/>
      <c r="T85" s="2069" t="str">
        <f>IF('D1-D2-D3'!T89="","",'D1-D2-D3'!T89)</f>
        <v/>
      </c>
      <c r="U85" s="2069"/>
      <c r="V85" s="2069"/>
      <c r="W85" s="2069"/>
      <c r="X85" s="2069"/>
      <c r="Y85" s="2069"/>
      <c r="Z85" s="2069"/>
      <c r="AA85" s="2069"/>
      <c r="AB85" s="2069"/>
      <c r="AC85" s="2069"/>
      <c r="AD85" s="2069"/>
      <c r="AE85" s="2069"/>
      <c r="AF85" s="2069"/>
      <c r="AG85" s="2069"/>
      <c r="AH85" s="2069"/>
      <c r="AI85" s="2069"/>
      <c r="AJ85" s="2069"/>
      <c r="AK85" s="2069"/>
      <c r="AL85" s="2069"/>
      <c r="AM85" s="2069"/>
      <c r="AN85" s="2069"/>
      <c r="AO85" s="1917" t="str">
        <f>IF('D1-D2-D3'!AZ89="","",'D1-D2-D3'!AZ89)</f>
        <v/>
      </c>
      <c r="AP85" s="1917"/>
      <c r="AQ85" s="1917"/>
      <c r="AR85" s="1917"/>
      <c r="AS85" s="1917"/>
      <c r="AT85" s="1917"/>
      <c r="AU85" s="1918"/>
      <c r="AV85" s="1917" t="str">
        <f>IF('D1-D2-D3'!BG89="","",'D1-D2-D3'!BG89)</f>
        <v/>
      </c>
      <c r="AW85" s="1917"/>
      <c r="AX85" s="1917"/>
      <c r="AY85" s="1917"/>
      <c r="AZ85" s="1917"/>
      <c r="BA85" s="1917"/>
      <c r="BB85" s="1918"/>
      <c r="BC85" s="1916" t="str">
        <f>IF('D1-D2-D3'!BN89="","",'D1-D2-D3'!BN89)</f>
        <v/>
      </c>
      <c r="BD85" s="1916"/>
      <c r="BE85" s="1916"/>
      <c r="BF85" s="1916"/>
      <c r="BG85" s="1916"/>
      <c r="BH85" s="1916"/>
      <c r="BI85" s="1916"/>
      <c r="BJ85" s="1916"/>
      <c r="BK85" s="1916"/>
      <c r="BL85" s="368"/>
      <c r="BM85" s="1910" t="str">
        <f>IF('Risk assesment (for D3 &amp; D5)'!U27="","",'Risk assesment (for D3 &amp; D5)'!U27)</f>
        <v/>
      </c>
      <c r="BN85" s="1911"/>
      <c r="BO85" s="1911"/>
      <c r="BP85" s="1911"/>
      <c r="BQ85" s="1911"/>
      <c r="BR85" s="1911"/>
      <c r="BS85" s="1911"/>
      <c r="BT85" s="1911"/>
      <c r="BU85" s="1911"/>
      <c r="BV85" s="1911"/>
      <c r="BW85" s="1911"/>
      <c r="BX85" s="1911"/>
      <c r="BY85" s="1911"/>
      <c r="BZ85" s="1911"/>
      <c r="CA85" s="1912"/>
      <c r="CB85" s="2008" t="str">
        <f>'Risk assesment (for D3 &amp; D5)'!AO27</f>
        <v/>
      </c>
      <c r="CC85" s="2008"/>
      <c r="CD85" s="2008"/>
      <c r="CE85" s="2008"/>
      <c r="CF85" s="2009" t="str">
        <f>IF('Risk assesment (for D3 &amp; D5)'!AS27="","",'Risk assesment (for D3 &amp; D5)'!AS27)</f>
        <v/>
      </c>
      <c r="CG85" s="2009"/>
      <c r="CH85" s="2009"/>
      <c r="CI85" s="2009"/>
      <c r="CJ85" s="2009"/>
      <c r="CK85" s="2009"/>
      <c r="CL85" s="2009"/>
      <c r="CM85" s="2009"/>
      <c r="CN85" s="2009"/>
      <c r="CO85" s="2009"/>
      <c r="CP85" s="2009"/>
      <c r="CQ85" s="798"/>
      <c r="CR85" s="2078" t="str">
        <f>IF('D1-D2-D3'!BX89="","",'D1-D2-D3'!BX89)</f>
        <v/>
      </c>
      <c r="CS85" s="2078"/>
      <c r="CT85" s="2078"/>
      <c r="CU85" s="2078"/>
      <c r="CV85" s="2078"/>
      <c r="CW85" s="2078"/>
      <c r="CX85" s="2078"/>
      <c r="CY85" s="2078"/>
      <c r="CZ85" s="2078"/>
      <c r="DA85" s="2078"/>
      <c r="DB85" s="2078"/>
      <c r="DC85" s="2075" t="str">
        <f>IF('D1-D2-D3'!CW89="","",'D1-D2-D3'!CW89)</f>
        <v/>
      </c>
      <c r="DD85" s="2075"/>
      <c r="DE85" s="2075"/>
      <c r="DF85" s="2075"/>
      <c r="DG85" s="2075"/>
      <c r="DH85" s="2072" t="str">
        <f>IF('D1-D2-D3'!DD89="","",'D1-D2-D3'!DD89)</f>
        <v/>
      </c>
      <c r="DI85" s="2073"/>
      <c r="DJ85" s="2073"/>
      <c r="DK85" s="2073"/>
      <c r="DL85" s="2073"/>
      <c r="DM85" s="2074"/>
      <c r="DN85" s="2072" t="str">
        <f>IF('D1-D2-D3'!DM89="","",'D1-D2-D3'!DM89)</f>
        <v/>
      </c>
      <c r="DO85" s="2073"/>
      <c r="DP85" s="2073"/>
      <c r="DQ85" s="2073"/>
      <c r="DR85" s="2074"/>
      <c r="DS85" s="500"/>
      <c r="DT85" s="335"/>
      <c r="DW85" s="203"/>
    </row>
    <row r="86" spans="1:136" s="320" customFormat="1" ht="6" customHeight="1">
      <c r="A86" s="318"/>
      <c r="B86" s="319"/>
      <c r="C86" s="316"/>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55"/>
      <c r="BR86" s="55"/>
      <c r="BS86" s="55"/>
      <c r="BT86" s="55"/>
      <c r="BU86" s="55"/>
      <c r="BV86" s="55"/>
      <c r="BW86" s="55"/>
      <c r="BX86" s="55"/>
      <c r="BY86" s="55"/>
      <c r="BZ86" s="55"/>
      <c r="CA86" s="55"/>
      <c r="CB86" s="55"/>
      <c r="CC86" s="55"/>
      <c r="CD86" s="55"/>
      <c r="CE86" s="55"/>
      <c r="CF86" s="55"/>
      <c r="CG86" s="55"/>
      <c r="CH86" s="55"/>
      <c r="CI86" s="55"/>
      <c r="CJ86" s="55"/>
      <c r="CK86" s="55"/>
      <c r="CL86" s="55"/>
      <c r="CM86" s="55"/>
      <c r="CN86" s="55"/>
      <c r="CO86" s="55"/>
      <c r="CP86" s="55"/>
      <c r="CQ86" s="55"/>
      <c r="CR86" s="55"/>
      <c r="CS86" s="55"/>
      <c r="CT86" s="55"/>
      <c r="CU86" s="55"/>
      <c r="CV86" s="55"/>
      <c r="CW86" s="55"/>
      <c r="CX86" s="55"/>
      <c r="CY86" s="55"/>
      <c r="CZ86" s="55"/>
      <c r="DA86" s="55"/>
      <c r="DB86" s="55"/>
      <c r="DC86" s="55"/>
      <c r="DD86" s="55"/>
      <c r="DE86" s="55"/>
      <c r="DF86" s="55"/>
      <c r="DG86" s="55"/>
      <c r="DH86" s="55"/>
      <c r="DI86" s="55"/>
      <c r="DJ86" s="55"/>
      <c r="DK86" s="55"/>
      <c r="DL86" s="55"/>
      <c r="DM86" s="55"/>
      <c r="DN86" s="55"/>
      <c r="DO86" s="55"/>
      <c r="DP86" s="55"/>
      <c r="DQ86" s="55"/>
      <c r="DR86" s="55"/>
      <c r="DS86" s="500"/>
      <c r="DT86" s="335"/>
      <c r="DW86" s="203"/>
      <c r="DX86" s="203"/>
      <c r="DY86" s="203"/>
      <c r="DZ86" s="203"/>
      <c r="EA86" s="203"/>
      <c r="EB86" s="203"/>
      <c r="EC86" s="203"/>
      <c r="ED86" s="202"/>
      <c r="EE86" s="202"/>
      <c r="EF86" s="204"/>
    </row>
    <row r="87" spans="1:136" s="320" customFormat="1" ht="30" customHeight="1">
      <c r="A87" s="318"/>
      <c r="B87" s="319"/>
      <c r="C87" s="316"/>
      <c r="D87" s="1289" t="str">
        <f ca="1">INDIRECT($J$4&amp;"!C85")</f>
        <v>Sorting actions</v>
      </c>
      <c r="E87" s="1289"/>
      <c r="F87" s="408"/>
      <c r="G87" s="408"/>
      <c r="H87" s="1105" t="str">
        <f ca="1">INDIRECT($J$4&amp;"!C73")</f>
        <v>delivered to the customer</v>
      </c>
      <c r="I87" s="1105"/>
      <c r="J87" s="1105"/>
      <c r="K87" s="1105"/>
      <c r="L87" s="1105"/>
      <c r="M87" s="1105"/>
      <c r="N87" s="1105"/>
      <c r="O87" s="1105"/>
      <c r="P87" s="1105"/>
      <c r="Q87" s="1105"/>
      <c r="R87" s="1105"/>
      <c r="S87" s="1105"/>
      <c r="T87" s="1105"/>
      <c r="U87" s="1105"/>
      <c r="V87" s="1105"/>
      <c r="W87" s="1105"/>
      <c r="X87" s="1105"/>
      <c r="Y87" s="1105"/>
      <c r="Z87" s="1105"/>
      <c r="AA87" s="1105"/>
      <c r="AB87" s="1105"/>
      <c r="AC87" s="1105"/>
      <c r="AD87" s="1105"/>
      <c r="AE87" s="1105"/>
      <c r="AF87" s="1105"/>
      <c r="AG87" s="1105"/>
      <c r="AH87" s="1105"/>
      <c r="AI87" s="1105"/>
      <c r="AJ87" s="1105"/>
      <c r="AK87" s="1105"/>
      <c r="AL87" s="1105"/>
      <c r="AM87" s="1105"/>
      <c r="AN87" s="1105"/>
      <c r="AO87" s="1105"/>
      <c r="AP87" s="1105"/>
      <c r="AQ87" s="1105"/>
      <c r="AR87" s="1105"/>
      <c r="AS87" s="411"/>
      <c r="AT87" s="128"/>
      <c r="AU87" s="1105" t="str">
        <f ca="1">INDIRECT($J$4&amp;"!C74")</f>
        <v>on transit</v>
      </c>
      <c r="AV87" s="1105"/>
      <c r="AW87" s="1105"/>
      <c r="AX87" s="1105"/>
      <c r="AY87" s="1105"/>
      <c r="AZ87" s="1105"/>
      <c r="BA87" s="1105"/>
      <c r="BB87" s="1105"/>
      <c r="BC87" s="1105"/>
      <c r="BD87" s="1105"/>
      <c r="BE87" s="1105"/>
      <c r="BF87" s="1105"/>
      <c r="BG87" s="1105"/>
      <c r="BH87" s="1105"/>
      <c r="BI87" s="1105"/>
      <c r="BJ87" s="1105"/>
      <c r="BK87" s="1105"/>
      <c r="BL87" s="1105"/>
      <c r="BM87" s="1105"/>
      <c r="BN87" s="1105"/>
      <c r="BO87" s="1105"/>
      <c r="BP87" s="1105"/>
      <c r="BQ87" s="1105"/>
      <c r="BR87" s="1105"/>
      <c r="BS87" s="1105"/>
      <c r="BT87" s="1105"/>
      <c r="BU87" s="1105"/>
      <c r="BV87" s="1105"/>
      <c r="BW87" s="1105"/>
      <c r="BX87" s="1105"/>
      <c r="BY87" s="1105"/>
      <c r="BZ87" s="1105"/>
      <c r="CA87" s="1105"/>
      <c r="CB87" s="1105"/>
      <c r="CC87" s="1105"/>
      <c r="CD87" s="1105"/>
      <c r="CE87" s="1105"/>
      <c r="CF87" s="415"/>
      <c r="CG87" s="128"/>
      <c r="CH87" s="1105" t="str">
        <f ca="1">INDIRECT($J$4&amp;"!C75")</f>
        <v>at Kroschu</v>
      </c>
      <c r="CI87" s="1105"/>
      <c r="CJ87" s="1105"/>
      <c r="CK87" s="1105"/>
      <c r="CL87" s="1105"/>
      <c r="CM87" s="1105"/>
      <c r="CN87" s="1105"/>
      <c r="CO87" s="1105"/>
      <c r="CP87" s="1105"/>
      <c r="CQ87" s="1105"/>
      <c r="CR87" s="1105"/>
      <c r="CS87" s="1105"/>
      <c r="CT87" s="1105"/>
      <c r="CU87" s="1105"/>
      <c r="CV87" s="1105"/>
      <c r="CW87" s="1105"/>
      <c r="CX87" s="1105"/>
      <c r="CY87" s="1105"/>
      <c r="CZ87" s="1105"/>
      <c r="DA87" s="1105"/>
      <c r="DB87" s="1105"/>
      <c r="DC87" s="1105"/>
      <c r="DD87" s="1105"/>
      <c r="DE87" s="1105"/>
      <c r="DF87" s="1105"/>
      <c r="DG87" s="1105"/>
      <c r="DH87" s="1105"/>
      <c r="DI87" s="1105"/>
      <c r="DJ87" s="1105"/>
      <c r="DK87" s="1105"/>
      <c r="DL87" s="1105"/>
      <c r="DM87" s="1105"/>
      <c r="DN87" s="1105"/>
      <c r="DO87" s="1105"/>
      <c r="DP87" s="1105"/>
      <c r="DQ87" s="1105"/>
      <c r="DR87" s="1105"/>
      <c r="DS87" s="55"/>
      <c r="DT87" s="335"/>
      <c r="DW87" s="203"/>
    </row>
    <row r="88" spans="1:136" s="320" customFormat="1" ht="6" customHeight="1">
      <c r="A88" s="318"/>
      <c r="B88" s="319"/>
      <c r="C88" s="316"/>
      <c r="D88" s="1289"/>
      <c r="E88" s="1289"/>
      <c r="F88" s="365"/>
      <c r="G88" s="365"/>
      <c r="H88" s="365"/>
      <c r="I88" s="378"/>
      <c r="J88" s="378"/>
      <c r="K88" s="378"/>
      <c r="L88" s="378"/>
      <c r="M88" s="190"/>
      <c r="N88" s="190"/>
      <c r="O88" s="190"/>
      <c r="P88" s="190"/>
      <c r="Q88" s="190"/>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378"/>
      <c r="AR88" s="378"/>
      <c r="AS88" s="411"/>
      <c r="AT88" s="365"/>
      <c r="AU88" s="365"/>
      <c r="AV88" s="378"/>
      <c r="AW88" s="378"/>
      <c r="AX88" s="378"/>
      <c r="AY88" s="378"/>
      <c r="AZ88" s="190"/>
      <c r="BA88" s="190"/>
      <c r="BB88" s="190"/>
      <c r="BC88" s="190"/>
      <c r="BD88" s="190"/>
      <c r="BE88" s="190"/>
      <c r="BF88" s="190"/>
      <c r="BG88" s="190"/>
      <c r="BH88" s="190"/>
      <c r="BI88" s="190"/>
      <c r="BJ88" s="190"/>
      <c r="BK88" s="190"/>
      <c r="BL88" s="190"/>
      <c r="BM88" s="190"/>
      <c r="BN88" s="190"/>
      <c r="BO88" s="190"/>
      <c r="BP88" s="190"/>
      <c r="BQ88" s="190"/>
      <c r="BR88" s="190"/>
      <c r="BS88" s="190"/>
      <c r="BT88" s="190"/>
      <c r="BU88" s="190"/>
      <c r="BV88" s="190"/>
      <c r="BW88" s="190"/>
      <c r="BX88" s="190"/>
      <c r="BY88" s="190"/>
      <c r="BZ88" s="190"/>
      <c r="CA88" s="190"/>
      <c r="CB88" s="190"/>
      <c r="CC88" s="190"/>
      <c r="CD88" s="190"/>
      <c r="CE88" s="190"/>
      <c r="CF88" s="190"/>
      <c r="CG88" s="365"/>
      <c r="CH88" s="365"/>
      <c r="CI88" s="378"/>
      <c r="CJ88" s="378"/>
      <c r="CK88" s="378"/>
      <c r="CL88" s="378"/>
      <c r="CM88" s="190"/>
      <c r="CN88" s="190"/>
      <c r="CO88" s="190"/>
      <c r="CP88" s="190"/>
      <c r="CQ88" s="190"/>
      <c r="CR88" s="190"/>
      <c r="CS88" s="190"/>
      <c r="CT88" s="190"/>
      <c r="CU88" s="190"/>
      <c r="CV88" s="190"/>
      <c r="CW88" s="190"/>
      <c r="CX88" s="190"/>
      <c r="CY88" s="190"/>
      <c r="CZ88" s="190"/>
      <c r="DA88" s="190"/>
      <c r="DB88" s="190"/>
      <c r="DC88" s="190"/>
      <c r="DD88" s="190"/>
      <c r="DE88" s="190"/>
      <c r="DF88" s="190"/>
      <c r="DG88" s="190"/>
      <c r="DH88" s="190"/>
      <c r="DI88" s="190"/>
      <c r="DJ88" s="190"/>
      <c r="DK88" s="190"/>
      <c r="DL88" s="190"/>
      <c r="DM88" s="190"/>
      <c r="DN88" s="190"/>
      <c r="DO88" s="190"/>
      <c r="DP88" s="190"/>
      <c r="DQ88" s="190"/>
      <c r="DR88" s="190"/>
      <c r="DS88" s="55"/>
      <c r="DT88" s="335"/>
      <c r="DW88" s="203"/>
    </row>
    <row r="89" spans="1:136" s="320" customFormat="1" ht="30" customHeight="1">
      <c r="A89" s="318"/>
      <c r="B89" s="319"/>
      <c r="C89" s="316"/>
      <c r="D89" s="1289"/>
      <c r="E89" s="1289"/>
      <c r="F89" s="365"/>
      <c r="G89" s="365"/>
      <c r="H89" s="1069" t="str">
        <f ca="1">INDIRECT($J$4&amp;"!C85")</f>
        <v>Sorting actions</v>
      </c>
      <c r="I89" s="1069"/>
      <c r="J89" s="1069"/>
      <c r="K89" s="1069"/>
      <c r="L89" s="1069"/>
      <c r="M89" s="1069"/>
      <c r="N89" s="1069"/>
      <c r="O89" s="1069"/>
      <c r="P89" s="1069"/>
      <c r="Q89" s="1069"/>
      <c r="R89" s="1069"/>
      <c r="S89" s="1069"/>
      <c r="T89" s="1069"/>
      <c r="U89" s="1069"/>
      <c r="V89" s="1069"/>
      <c r="W89" s="1069"/>
      <c r="X89" s="1069"/>
      <c r="Y89" s="1069"/>
      <c r="Z89" s="1069"/>
      <c r="AA89" s="1069"/>
      <c r="AB89" s="365"/>
      <c r="AC89" s="365"/>
      <c r="AD89" s="1840" t="str">
        <f>IF('D1-D2-D3'!AD93="","",'D1-D2-D3'!AD93)</f>
        <v/>
      </c>
      <c r="AE89" s="1841"/>
      <c r="AF89" s="1841"/>
      <c r="AG89" s="1842"/>
      <c r="AH89" s="365"/>
      <c r="AI89" s="365"/>
      <c r="AJ89" s="365"/>
      <c r="AK89" s="365"/>
      <c r="AL89" s="365"/>
      <c r="AM89" s="365"/>
      <c r="AN89" s="365"/>
      <c r="AO89" s="365"/>
      <c r="AP89" s="365"/>
      <c r="AQ89" s="365"/>
      <c r="AR89" s="365"/>
      <c r="AS89" s="365"/>
      <c r="AT89" s="365"/>
      <c r="AU89" s="803" t="str">
        <f ca="1">INDIRECT($J$4&amp;"!C85")</f>
        <v>Sorting actions</v>
      </c>
      <c r="AV89" s="803"/>
      <c r="AW89" s="803"/>
      <c r="AX89" s="803"/>
      <c r="AY89" s="803"/>
      <c r="AZ89" s="365"/>
      <c r="BA89" s="365"/>
      <c r="BB89" s="365"/>
      <c r="BC89" s="365"/>
      <c r="BD89" s="365"/>
      <c r="BE89" s="365"/>
      <c r="BF89" s="365"/>
      <c r="BG89" s="365"/>
      <c r="BH89" s="365"/>
      <c r="BI89" s="365"/>
      <c r="BJ89" s="803"/>
      <c r="BK89" s="365"/>
      <c r="BL89" s="365"/>
      <c r="BM89" s="365"/>
      <c r="BN89" s="365"/>
      <c r="BO89" s="365"/>
      <c r="BP89" s="558"/>
      <c r="BQ89" s="1840" t="str">
        <f>IF('D1-D2-D3'!BQ93="","",'D1-D2-D3'!BQ93)</f>
        <v/>
      </c>
      <c r="BR89" s="1841"/>
      <c r="BS89" s="1841"/>
      <c r="BT89" s="1842"/>
      <c r="BU89" s="365"/>
      <c r="BV89" s="365"/>
      <c r="BW89" s="365"/>
      <c r="BX89" s="365"/>
      <c r="BY89" s="365"/>
      <c r="BZ89" s="365"/>
      <c r="CA89" s="365"/>
      <c r="CB89" s="365"/>
      <c r="CC89" s="365"/>
      <c r="CD89" s="365"/>
      <c r="CE89" s="365"/>
      <c r="CF89" s="365"/>
      <c r="CG89" s="365"/>
      <c r="CH89" s="805" t="str">
        <f ca="1">INDIRECT($J$4&amp;"!C85")</f>
        <v>Sorting actions</v>
      </c>
      <c r="CI89" s="365"/>
      <c r="CJ89" s="365"/>
      <c r="CK89" s="365"/>
      <c r="CL89" s="365"/>
      <c r="CM89" s="365"/>
      <c r="CN89" s="365"/>
      <c r="CO89" s="365"/>
      <c r="CP89" s="365"/>
      <c r="CQ89" s="365"/>
      <c r="CR89" s="365"/>
      <c r="CS89" s="365"/>
      <c r="CT89" s="365"/>
      <c r="CU89" s="365"/>
      <c r="CV89" s="365"/>
      <c r="CW89" s="365"/>
      <c r="CX89" s="365"/>
      <c r="CY89" s="365"/>
      <c r="CZ89" s="365"/>
      <c r="DA89" s="365"/>
      <c r="DB89" s="365"/>
      <c r="DC89" s="558"/>
      <c r="DD89" s="1840" t="str">
        <f>IF('D1-D2-D3'!DD93="","",'D1-D2-D3'!DD93)</f>
        <v/>
      </c>
      <c r="DE89" s="1841"/>
      <c r="DF89" s="1841"/>
      <c r="DG89" s="1842"/>
      <c r="DH89" s="365"/>
      <c r="DI89" s="365"/>
      <c r="DJ89" s="365"/>
      <c r="DK89" s="365"/>
      <c r="DL89" s="365"/>
      <c r="DM89" s="365"/>
      <c r="DN89" s="365"/>
      <c r="DO89" s="365"/>
      <c r="DP89" s="1897"/>
      <c r="DQ89" s="1897"/>
      <c r="DR89" s="1897"/>
      <c r="DS89" s="55"/>
      <c r="DT89" s="335"/>
      <c r="DW89" s="203"/>
    </row>
    <row r="90" spans="1:136" s="320" customFormat="1" ht="6" customHeight="1">
      <c r="A90" s="318"/>
      <c r="B90" s="319"/>
      <c r="C90" s="316"/>
      <c r="D90" s="1289"/>
      <c r="E90" s="1289"/>
      <c r="F90" s="365"/>
      <c r="G90" s="365"/>
      <c r="H90" s="365"/>
      <c r="I90" s="365"/>
      <c r="J90" s="365"/>
      <c r="K90" s="365"/>
      <c r="L90" s="365"/>
      <c r="M90" s="365"/>
      <c r="N90" s="365"/>
      <c r="O90" s="365"/>
      <c r="P90" s="365"/>
      <c r="Q90" s="365"/>
      <c r="R90" s="365"/>
      <c r="S90" s="365"/>
      <c r="T90" s="365"/>
      <c r="U90" s="365"/>
      <c r="V90" s="365"/>
      <c r="W90" s="365"/>
      <c r="X90" s="365"/>
      <c r="Y90" s="365"/>
      <c r="Z90" s="365"/>
      <c r="AA90" s="365"/>
      <c r="AB90" s="365"/>
      <c r="AC90" s="365"/>
      <c r="AD90" s="365"/>
      <c r="AE90" s="365"/>
      <c r="AF90" s="365"/>
      <c r="AG90" s="365"/>
      <c r="AH90" s="365"/>
      <c r="AI90" s="365"/>
      <c r="AJ90" s="365"/>
      <c r="AK90" s="365"/>
      <c r="AL90" s="365"/>
      <c r="AM90" s="365"/>
      <c r="AN90" s="365"/>
      <c r="AO90" s="365"/>
      <c r="AP90" s="365"/>
      <c r="AQ90" s="365"/>
      <c r="AR90" s="365"/>
      <c r="AS90" s="365"/>
      <c r="AT90" s="365"/>
      <c r="AU90" s="365"/>
      <c r="AV90" s="365"/>
      <c r="AW90" s="365"/>
      <c r="AX90" s="365"/>
      <c r="AY90" s="365"/>
      <c r="AZ90" s="365"/>
      <c r="BA90" s="365"/>
      <c r="BB90" s="365"/>
      <c r="BC90" s="365"/>
      <c r="BD90" s="365"/>
      <c r="BE90" s="365"/>
      <c r="BF90" s="365"/>
      <c r="BG90" s="365"/>
      <c r="BH90" s="365"/>
      <c r="BI90" s="365"/>
      <c r="BJ90" s="365"/>
      <c r="BK90" s="365"/>
      <c r="BL90" s="365"/>
      <c r="BM90" s="365"/>
      <c r="BN90" s="365"/>
      <c r="BO90" s="365"/>
      <c r="BP90" s="365"/>
      <c r="BQ90" s="365"/>
      <c r="BR90" s="365"/>
      <c r="BS90" s="365"/>
      <c r="BT90" s="365"/>
      <c r="BU90" s="365"/>
      <c r="BV90" s="365"/>
      <c r="BW90" s="365"/>
      <c r="BX90" s="365"/>
      <c r="BY90" s="365"/>
      <c r="BZ90" s="365"/>
      <c r="CA90" s="365"/>
      <c r="CB90" s="365"/>
      <c r="CC90" s="365"/>
      <c r="CD90" s="365"/>
      <c r="CE90" s="365"/>
      <c r="CF90" s="365"/>
      <c r="CG90" s="365"/>
      <c r="CH90" s="365"/>
      <c r="CI90" s="365"/>
      <c r="CJ90" s="365"/>
      <c r="CK90" s="365"/>
      <c r="CL90" s="365"/>
      <c r="CM90" s="365"/>
      <c r="CN90" s="365"/>
      <c r="CO90" s="365"/>
      <c r="CP90" s="365"/>
      <c r="CQ90" s="365"/>
      <c r="CR90" s="365"/>
      <c r="CS90" s="365"/>
      <c r="CT90" s="365"/>
      <c r="CU90" s="365"/>
      <c r="CV90" s="365"/>
      <c r="CW90" s="365"/>
      <c r="CX90" s="365"/>
      <c r="CY90" s="365"/>
      <c r="CZ90" s="365"/>
      <c r="DA90" s="365"/>
      <c r="DB90" s="365"/>
      <c r="DC90" s="365"/>
      <c r="DD90" s="365"/>
      <c r="DE90" s="365"/>
      <c r="DF90" s="365"/>
      <c r="DG90" s="365"/>
      <c r="DH90" s="365"/>
      <c r="DI90" s="365"/>
      <c r="DJ90" s="365"/>
      <c r="DK90" s="365"/>
      <c r="DL90" s="365"/>
      <c r="DM90" s="365"/>
      <c r="DN90" s="365"/>
      <c r="DO90" s="365"/>
      <c r="DP90" s="365"/>
      <c r="DQ90" s="365"/>
      <c r="DR90" s="365"/>
      <c r="DS90" s="55"/>
      <c r="DT90" s="335"/>
      <c r="DW90" s="203"/>
    </row>
    <row r="91" spans="1:136" s="320" customFormat="1" ht="15" customHeight="1">
      <c r="A91" s="318"/>
      <c r="B91" s="319"/>
      <c r="C91" s="316"/>
      <c r="D91" s="1289"/>
      <c r="E91" s="1289"/>
      <c r="F91" s="365"/>
      <c r="G91" s="365"/>
      <c r="H91" s="1922" t="str">
        <f ca="1">INDIRECT($J$4&amp;"!C86")</f>
        <v>Quantity sorted</v>
      </c>
      <c r="I91" s="1922"/>
      <c r="J91" s="1922"/>
      <c r="K91" s="1922"/>
      <c r="L91" s="1922"/>
      <c r="M91" s="1922"/>
      <c r="N91" s="1922"/>
      <c r="O91" s="1922"/>
      <c r="P91" s="1922"/>
      <c r="Q91" s="1922"/>
      <c r="R91" s="1922"/>
      <c r="S91" s="1922"/>
      <c r="T91" s="1922"/>
      <c r="U91" s="1922"/>
      <c r="V91" s="365"/>
      <c r="W91" s="365"/>
      <c r="X91" s="365"/>
      <c r="Y91" s="365"/>
      <c r="Z91" s="365"/>
      <c r="AA91" s="365"/>
      <c r="AB91" s="365"/>
      <c r="AC91" s="365"/>
      <c r="AD91" s="1861" t="str">
        <f>IF('D1-D2-D3'!AD95="","",'D1-D2-D3'!AD95)</f>
        <v/>
      </c>
      <c r="AE91" s="1862"/>
      <c r="AF91" s="1862"/>
      <c r="AG91" s="1862"/>
      <c r="AH91" s="1862"/>
      <c r="AI91" s="1862"/>
      <c r="AJ91" s="1862"/>
      <c r="AK91" s="1862"/>
      <c r="AL91" s="1862"/>
      <c r="AM91" s="1862"/>
      <c r="AN91" s="1862"/>
      <c r="AO91" s="1862"/>
      <c r="AP91" s="1862"/>
      <c r="AQ91" s="1862"/>
      <c r="AR91" s="1863"/>
      <c r="AS91" s="365"/>
      <c r="AT91" s="365"/>
      <c r="AU91" s="1069" t="str">
        <f ca="1">INDIRECT($J$4&amp;"!C86")</f>
        <v>Quantity sorted</v>
      </c>
      <c r="AV91" s="1069"/>
      <c r="AW91" s="1069"/>
      <c r="AX91" s="1069"/>
      <c r="AY91" s="1069"/>
      <c r="AZ91" s="1069"/>
      <c r="BA91" s="1069"/>
      <c r="BB91" s="1069"/>
      <c r="BC91" s="1069"/>
      <c r="BD91" s="1069"/>
      <c r="BE91" s="1069"/>
      <c r="BF91" s="1069"/>
      <c r="BG91" s="1069"/>
      <c r="BH91" s="365"/>
      <c r="BI91" s="365"/>
      <c r="BJ91" s="365"/>
      <c r="BK91" s="365"/>
      <c r="BL91" s="365"/>
      <c r="BM91" s="365"/>
      <c r="BN91" s="365"/>
      <c r="BO91" s="365"/>
      <c r="BP91" s="365"/>
      <c r="BQ91" s="1861" t="str">
        <f>IF('D1-D2-D3'!BQ95="","",'D1-D2-D3'!BQ95)</f>
        <v/>
      </c>
      <c r="BR91" s="1862"/>
      <c r="BS91" s="1862"/>
      <c r="BT91" s="1862"/>
      <c r="BU91" s="1862"/>
      <c r="BV91" s="1862"/>
      <c r="BW91" s="1862"/>
      <c r="BX91" s="1862"/>
      <c r="BY91" s="1862"/>
      <c r="BZ91" s="1862"/>
      <c r="CA91" s="1862"/>
      <c r="CB91" s="1862"/>
      <c r="CC91" s="1862"/>
      <c r="CD91" s="1862"/>
      <c r="CE91" s="1863"/>
      <c r="CF91" s="365"/>
      <c r="CG91" s="365"/>
      <c r="CH91" s="1069" t="str">
        <f ca="1">INDIRECT($J$4&amp;"!C86")</f>
        <v>Quantity sorted</v>
      </c>
      <c r="CI91" s="1069"/>
      <c r="CJ91" s="1069"/>
      <c r="CK91" s="1069"/>
      <c r="CL91" s="1069"/>
      <c r="CM91" s="1069"/>
      <c r="CN91" s="1069"/>
      <c r="CO91" s="1069"/>
      <c r="CP91" s="1069"/>
      <c r="CQ91" s="1069"/>
      <c r="CR91" s="1069"/>
      <c r="CS91" s="1069"/>
      <c r="CT91" s="1069"/>
      <c r="CU91" s="365"/>
      <c r="CV91" s="365"/>
      <c r="CW91" s="365"/>
      <c r="CX91" s="365"/>
      <c r="CY91" s="365"/>
      <c r="CZ91" s="365"/>
      <c r="DA91" s="365"/>
      <c r="DB91" s="365"/>
      <c r="DC91" s="365"/>
      <c r="DD91" s="1861" t="str">
        <f>IF('D1-D2-D3'!DD95="","",'D1-D2-D3'!DD95)</f>
        <v/>
      </c>
      <c r="DE91" s="1862"/>
      <c r="DF91" s="1862"/>
      <c r="DG91" s="1862"/>
      <c r="DH91" s="1862"/>
      <c r="DI91" s="1862"/>
      <c r="DJ91" s="1862"/>
      <c r="DK91" s="1862"/>
      <c r="DL91" s="1862"/>
      <c r="DM91" s="1862"/>
      <c r="DN91" s="1862"/>
      <c r="DO91" s="1862"/>
      <c r="DP91" s="1862"/>
      <c r="DQ91" s="1862"/>
      <c r="DR91" s="1863"/>
      <c r="DS91" s="55"/>
      <c r="DT91" s="335"/>
      <c r="DW91" s="203"/>
    </row>
    <row r="92" spans="1:136" s="320" customFormat="1" ht="15" customHeight="1">
      <c r="A92" s="318"/>
      <c r="B92" s="319"/>
      <c r="C92" s="316"/>
      <c r="D92" s="1289"/>
      <c r="E92" s="1289"/>
      <c r="F92" s="365"/>
      <c r="G92" s="365"/>
      <c r="H92" s="1922"/>
      <c r="I92" s="1922"/>
      <c r="J92" s="1922"/>
      <c r="K92" s="1922"/>
      <c r="L92" s="1922"/>
      <c r="M92" s="1922"/>
      <c r="N92" s="1922"/>
      <c r="O92" s="1922"/>
      <c r="P92" s="1922"/>
      <c r="Q92" s="1922"/>
      <c r="R92" s="1922"/>
      <c r="S92" s="1922"/>
      <c r="T92" s="1922"/>
      <c r="U92" s="1922"/>
      <c r="V92" s="365"/>
      <c r="W92" s="365"/>
      <c r="X92" s="365"/>
      <c r="Y92" s="365"/>
      <c r="Z92" s="365"/>
      <c r="AA92" s="365"/>
      <c r="AB92" s="365"/>
      <c r="AC92" s="365"/>
      <c r="AD92" s="1864"/>
      <c r="AE92" s="1865"/>
      <c r="AF92" s="1865"/>
      <c r="AG92" s="1865"/>
      <c r="AH92" s="1865"/>
      <c r="AI92" s="1865"/>
      <c r="AJ92" s="1865"/>
      <c r="AK92" s="1865"/>
      <c r="AL92" s="1865"/>
      <c r="AM92" s="1865"/>
      <c r="AN92" s="1865"/>
      <c r="AO92" s="1865"/>
      <c r="AP92" s="1865"/>
      <c r="AQ92" s="1865"/>
      <c r="AR92" s="1866"/>
      <c r="AS92" s="365"/>
      <c r="AT92" s="365"/>
      <c r="AU92" s="1069"/>
      <c r="AV92" s="1069"/>
      <c r="AW92" s="1069"/>
      <c r="AX92" s="1069"/>
      <c r="AY92" s="1069"/>
      <c r="AZ92" s="1069"/>
      <c r="BA92" s="1069"/>
      <c r="BB92" s="1069"/>
      <c r="BC92" s="1069"/>
      <c r="BD92" s="1069"/>
      <c r="BE92" s="1069"/>
      <c r="BF92" s="1069"/>
      <c r="BG92" s="1069"/>
      <c r="BH92" s="365"/>
      <c r="BI92" s="365"/>
      <c r="BJ92" s="365"/>
      <c r="BK92" s="365"/>
      <c r="BL92" s="365"/>
      <c r="BM92" s="365"/>
      <c r="BN92" s="365"/>
      <c r="BO92" s="365"/>
      <c r="BP92" s="365"/>
      <c r="BQ92" s="1864"/>
      <c r="BR92" s="1865"/>
      <c r="BS92" s="1865"/>
      <c r="BT92" s="1865"/>
      <c r="BU92" s="1865"/>
      <c r="BV92" s="1865"/>
      <c r="BW92" s="1865"/>
      <c r="BX92" s="1865"/>
      <c r="BY92" s="1865"/>
      <c r="BZ92" s="1865"/>
      <c r="CA92" s="1865"/>
      <c r="CB92" s="1865"/>
      <c r="CC92" s="1865"/>
      <c r="CD92" s="1865"/>
      <c r="CE92" s="1866"/>
      <c r="CF92" s="365"/>
      <c r="CG92" s="365"/>
      <c r="CH92" s="1069"/>
      <c r="CI92" s="1069"/>
      <c r="CJ92" s="1069"/>
      <c r="CK92" s="1069"/>
      <c r="CL92" s="1069"/>
      <c r="CM92" s="1069"/>
      <c r="CN92" s="1069"/>
      <c r="CO92" s="1069"/>
      <c r="CP92" s="1069"/>
      <c r="CQ92" s="1069"/>
      <c r="CR92" s="1069"/>
      <c r="CS92" s="1069"/>
      <c r="CT92" s="1069"/>
      <c r="CU92" s="365"/>
      <c r="CV92" s="365"/>
      <c r="CW92" s="365"/>
      <c r="CX92" s="365"/>
      <c r="CY92" s="365"/>
      <c r="CZ92" s="365"/>
      <c r="DA92" s="365"/>
      <c r="DB92" s="365"/>
      <c r="DC92" s="365"/>
      <c r="DD92" s="1864"/>
      <c r="DE92" s="1865"/>
      <c r="DF92" s="1865"/>
      <c r="DG92" s="1865"/>
      <c r="DH92" s="1865"/>
      <c r="DI92" s="1865"/>
      <c r="DJ92" s="1865"/>
      <c r="DK92" s="1865"/>
      <c r="DL92" s="1865"/>
      <c r="DM92" s="1865"/>
      <c r="DN92" s="1865"/>
      <c r="DO92" s="1865"/>
      <c r="DP92" s="1865"/>
      <c r="DQ92" s="1865"/>
      <c r="DR92" s="1866"/>
      <c r="DS92" s="55"/>
      <c r="DT92" s="335"/>
      <c r="DW92" s="203"/>
    </row>
    <row r="93" spans="1:136" s="320" customFormat="1" ht="6" customHeight="1">
      <c r="A93" s="318"/>
      <c r="B93" s="319"/>
      <c r="C93" s="316"/>
      <c r="D93" s="1289"/>
      <c r="E93" s="1289"/>
      <c r="F93" s="365"/>
      <c r="G93" s="365"/>
      <c r="H93" s="365"/>
      <c r="I93" s="365"/>
      <c r="J93" s="365"/>
      <c r="K93" s="365"/>
      <c r="L93" s="365"/>
      <c r="M93" s="365"/>
      <c r="N93" s="365"/>
      <c r="O93" s="365"/>
      <c r="P93" s="365"/>
      <c r="Q93" s="365"/>
      <c r="R93" s="365"/>
      <c r="S93" s="365"/>
      <c r="T93" s="365"/>
      <c r="U93" s="365"/>
      <c r="V93" s="365"/>
      <c r="W93" s="365"/>
      <c r="X93" s="365"/>
      <c r="Y93" s="365"/>
      <c r="Z93" s="365"/>
      <c r="AA93" s="365"/>
      <c r="AB93" s="365"/>
      <c r="AC93" s="365"/>
      <c r="AD93" s="365"/>
      <c r="AE93" s="365"/>
      <c r="AF93" s="365"/>
      <c r="AG93" s="365"/>
      <c r="AH93" s="365"/>
      <c r="AI93" s="365"/>
      <c r="AJ93" s="365"/>
      <c r="AK93" s="365"/>
      <c r="AL93" s="365"/>
      <c r="AM93" s="365"/>
      <c r="AN93" s="365"/>
      <c r="AO93" s="365"/>
      <c r="AP93" s="365"/>
      <c r="AQ93" s="365"/>
      <c r="AR93" s="365"/>
      <c r="AS93" s="365"/>
      <c r="AT93" s="365"/>
      <c r="AU93" s="365"/>
      <c r="AV93" s="365"/>
      <c r="AW93" s="365"/>
      <c r="AX93" s="365"/>
      <c r="AY93" s="365"/>
      <c r="AZ93" s="365"/>
      <c r="BA93" s="365"/>
      <c r="BB93" s="365"/>
      <c r="BC93" s="365"/>
      <c r="BD93" s="365"/>
      <c r="BE93" s="365"/>
      <c r="BF93" s="365"/>
      <c r="BG93" s="365"/>
      <c r="BH93" s="365"/>
      <c r="BI93" s="365"/>
      <c r="BJ93" s="365"/>
      <c r="BK93" s="365"/>
      <c r="BL93" s="365"/>
      <c r="BM93" s="365"/>
      <c r="BN93" s="365"/>
      <c r="BO93" s="365"/>
      <c r="BP93" s="365"/>
      <c r="BQ93" s="365"/>
      <c r="BR93" s="365"/>
      <c r="BS93" s="365"/>
      <c r="BT93" s="365"/>
      <c r="BU93" s="365"/>
      <c r="BV93" s="365"/>
      <c r="BW93" s="365"/>
      <c r="BX93" s="365"/>
      <c r="BY93" s="365"/>
      <c r="BZ93" s="365"/>
      <c r="CA93" s="365"/>
      <c r="CB93" s="365"/>
      <c r="CC93" s="365"/>
      <c r="CD93" s="365"/>
      <c r="CE93" s="365"/>
      <c r="CF93" s="365"/>
      <c r="CG93" s="365"/>
      <c r="CH93" s="365"/>
      <c r="CI93" s="365"/>
      <c r="CJ93" s="365"/>
      <c r="CK93" s="365"/>
      <c r="CL93" s="365"/>
      <c r="CM93" s="365"/>
      <c r="CN93" s="365"/>
      <c r="CO93" s="365"/>
      <c r="CP93" s="365"/>
      <c r="CQ93" s="365"/>
      <c r="CR93" s="365"/>
      <c r="CS93" s="365"/>
      <c r="CT93" s="365"/>
      <c r="CU93" s="365"/>
      <c r="CV93" s="365"/>
      <c r="CW93" s="365"/>
      <c r="CX93" s="365"/>
      <c r="CY93" s="365"/>
      <c r="CZ93" s="365"/>
      <c r="DA93" s="365"/>
      <c r="DB93" s="365"/>
      <c r="DC93" s="365"/>
      <c r="DD93" s="365"/>
      <c r="DE93" s="365"/>
      <c r="DF93" s="365"/>
      <c r="DG93" s="365"/>
      <c r="DH93" s="365"/>
      <c r="DI93" s="365"/>
      <c r="DJ93" s="365"/>
      <c r="DK93" s="365"/>
      <c r="DL93" s="365"/>
      <c r="DM93" s="365"/>
      <c r="DN93" s="365"/>
      <c r="DO93" s="365"/>
      <c r="DP93" s="365"/>
      <c r="DQ93" s="365"/>
      <c r="DR93" s="365"/>
      <c r="DS93" s="55"/>
      <c r="DT93" s="335"/>
      <c r="DW93" s="203"/>
    </row>
    <row r="94" spans="1:136" s="320" customFormat="1" ht="15" customHeight="1">
      <c r="A94" s="318"/>
      <c r="B94" s="319"/>
      <c r="C94" s="316"/>
      <c r="D94" s="1289"/>
      <c r="E94" s="1289"/>
      <c r="F94" s="365"/>
      <c r="G94" s="365"/>
      <c r="H94" s="1069" t="str">
        <f ca="1">INDIRECT($J$4&amp;"!C87")</f>
        <v>No. NOK parts found</v>
      </c>
      <c r="I94" s="1069"/>
      <c r="J94" s="1069"/>
      <c r="K94" s="1069"/>
      <c r="L94" s="1069"/>
      <c r="M94" s="1069"/>
      <c r="N94" s="1069"/>
      <c r="O94" s="1069"/>
      <c r="P94" s="1069"/>
      <c r="Q94" s="1069"/>
      <c r="R94" s="1069"/>
      <c r="S94" s="1069"/>
      <c r="T94" s="1069"/>
      <c r="U94" s="1069"/>
      <c r="V94" s="1069"/>
      <c r="W94" s="365"/>
      <c r="X94" s="365"/>
      <c r="Y94" s="365"/>
      <c r="Z94" s="365"/>
      <c r="AA94" s="365"/>
      <c r="AB94" s="365"/>
      <c r="AC94" s="365"/>
      <c r="AD94" s="1861" t="str">
        <f>IF('D1-D2-D3'!AD98="","",'D1-D2-D3'!AD98)</f>
        <v/>
      </c>
      <c r="AE94" s="1862"/>
      <c r="AF94" s="1862"/>
      <c r="AG94" s="1862"/>
      <c r="AH94" s="1862"/>
      <c r="AI94" s="1862"/>
      <c r="AJ94" s="1862"/>
      <c r="AK94" s="1862"/>
      <c r="AL94" s="1862"/>
      <c r="AM94" s="1862"/>
      <c r="AN94" s="1862"/>
      <c r="AO94" s="1862"/>
      <c r="AP94" s="1862"/>
      <c r="AQ94" s="1862"/>
      <c r="AR94" s="1863"/>
      <c r="AS94" s="365"/>
      <c r="AT94" s="365"/>
      <c r="AU94" s="1069" t="str">
        <f ca="1">INDIRECT($J$4&amp;"!C87")</f>
        <v>No. NOK parts found</v>
      </c>
      <c r="AV94" s="1069"/>
      <c r="AW94" s="1069"/>
      <c r="AX94" s="1069"/>
      <c r="AY94" s="1069"/>
      <c r="AZ94" s="1069"/>
      <c r="BA94" s="1069"/>
      <c r="BB94" s="1069"/>
      <c r="BC94" s="1069"/>
      <c r="BD94" s="1069"/>
      <c r="BE94" s="1069"/>
      <c r="BF94" s="1069"/>
      <c r="BG94" s="1069"/>
      <c r="BH94" s="1069"/>
      <c r="BI94" s="1069"/>
      <c r="BJ94" s="1069"/>
      <c r="BK94" s="1069"/>
      <c r="BL94" s="365"/>
      <c r="BM94" s="365"/>
      <c r="BN94" s="365"/>
      <c r="BO94" s="365"/>
      <c r="BP94" s="365"/>
      <c r="BQ94" s="1861" t="str">
        <f>IF('D1-D2-D3'!BQ98="","",'D1-D2-D3'!BQ98)</f>
        <v/>
      </c>
      <c r="BR94" s="1862"/>
      <c r="BS94" s="1862"/>
      <c r="BT94" s="1862"/>
      <c r="BU94" s="1862"/>
      <c r="BV94" s="1862"/>
      <c r="BW94" s="1862"/>
      <c r="BX94" s="1862"/>
      <c r="BY94" s="1862"/>
      <c r="BZ94" s="1862"/>
      <c r="CA94" s="1862"/>
      <c r="CB94" s="1862"/>
      <c r="CC94" s="1862"/>
      <c r="CD94" s="1862"/>
      <c r="CE94" s="1863"/>
      <c r="CF94" s="365"/>
      <c r="CG94" s="365"/>
      <c r="CH94" s="1069" t="str">
        <f ca="1">INDIRECT($J$4&amp;"!C87")</f>
        <v>No. NOK parts found</v>
      </c>
      <c r="CI94" s="1069"/>
      <c r="CJ94" s="1069"/>
      <c r="CK94" s="1069"/>
      <c r="CL94" s="1069"/>
      <c r="CM94" s="1069"/>
      <c r="CN94" s="1069"/>
      <c r="CO94" s="1069"/>
      <c r="CP94" s="1069"/>
      <c r="CQ94" s="1069"/>
      <c r="CR94" s="1069"/>
      <c r="CS94" s="1069"/>
      <c r="CT94" s="1069"/>
      <c r="CU94" s="1069"/>
      <c r="CV94" s="1069"/>
      <c r="CW94" s="1069"/>
      <c r="CX94" s="1069"/>
      <c r="CY94" s="1069"/>
      <c r="CZ94" s="1069"/>
      <c r="DA94" s="1069"/>
      <c r="DB94" s="1069"/>
      <c r="DC94" s="365"/>
      <c r="DD94" s="1861" t="str">
        <f>IF('D1-D2-D3'!DD98="","",'D1-D2-D3'!DD98)</f>
        <v/>
      </c>
      <c r="DE94" s="1862"/>
      <c r="DF94" s="1862"/>
      <c r="DG94" s="1862"/>
      <c r="DH94" s="1862"/>
      <c r="DI94" s="1862"/>
      <c r="DJ94" s="1862"/>
      <c r="DK94" s="1862"/>
      <c r="DL94" s="1862"/>
      <c r="DM94" s="1862"/>
      <c r="DN94" s="1862"/>
      <c r="DO94" s="1862"/>
      <c r="DP94" s="1862"/>
      <c r="DQ94" s="1862"/>
      <c r="DR94" s="1863"/>
      <c r="DS94" s="55"/>
      <c r="DT94" s="335"/>
      <c r="DW94" s="203"/>
    </row>
    <row r="95" spans="1:136" s="320" customFormat="1" ht="15" customHeight="1">
      <c r="A95" s="318"/>
      <c r="B95" s="319"/>
      <c r="C95" s="316"/>
      <c r="D95" s="1289"/>
      <c r="E95" s="1289"/>
      <c r="F95" s="365"/>
      <c r="G95" s="365"/>
      <c r="H95" s="1069"/>
      <c r="I95" s="1069"/>
      <c r="J95" s="1069"/>
      <c r="K95" s="1069"/>
      <c r="L95" s="1069"/>
      <c r="M95" s="1069"/>
      <c r="N95" s="1069"/>
      <c r="O95" s="1069"/>
      <c r="P95" s="1069"/>
      <c r="Q95" s="1069"/>
      <c r="R95" s="1069"/>
      <c r="S95" s="1069"/>
      <c r="T95" s="1069"/>
      <c r="U95" s="1069"/>
      <c r="V95" s="1069"/>
      <c r="W95" s="365"/>
      <c r="X95" s="365"/>
      <c r="Y95" s="365"/>
      <c r="Z95" s="365"/>
      <c r="AA95" s="365"/>
      <c r="AB95" s="365"/>
      <c r="AC95" s="365"/>
      <c r="AD95" s="1864"/>
      <c r="AE95" s="1865"/>
      <c r="AF95" s="1865"/>
      <c r="AG95" s="1865"/>
      <c r="AH95" s="1865"/>
      <c r="AI95" s="1865"/>
      <c r="AJ95" s="1865"/>
      <c r="AK95" s="1865"/>
      <c r="AL95" s="1865"/>
      <c r="AM95" s="1865"/>
      <c r="AN95" s="1865"/>
      <c r="AO95" s="1865"/>
      <c r="AP95" s="1865"/>
      <c r="AQ95" s="1865"/>
      <c r="AR95" s="1866"/>
      <c r="AS95" s="365"/>
      <c r="AT95" s="365"/>
      <c r="AU95" s="1069"/>
      <c r="AV95" s="1069"/>
      <c r="AW95" s="1069"/>
      <c r="AX95" s="1069"/>
      <c r="AY95" s="1069"/>
      <c r="AZ95" s="1069"/>
      <c r="BA95" s="1069"/>
      <c r="BB95" s="1069"/>
      <c r="BC95" s="1069"/>
      <c r="BD95" s="1069"/>
      <c r="BE95" s="1069"/>
      <c r="BF95" s="1069"/>
      <c r="BG95" s="1069"/>
      <c r="BH95" s="1069"/>
      <c r="BI95" s="1069"/>
      <c r="BJ95" s="1069"/>
      <c r="BK95" s="1069"/>
      <c r="BL95" s="365"/>
      <c r="BM95" s="365"/>
      <c r="BN95" s="365"/>
      <c r="BO95" s="365"/>
      <c r="BP95" s="365"/>
      <c r="BQ95" s="1864"/>
      <c r="BR95" s="1865"/>
      <c r="BS95" s="1865"/>
      <c r="BT95" s="1865"/>
      <c r="BU95" s="1865"/>
      <c r="BV95" s="1865"/>
      <c r="BW95" s="1865"/>
      <c r="BX95" s="1865"/>
      <c r="BY95" s="1865"/>
      <c r="BZ95" s="1865"/>
      <c r="CA95" s="1865"/>
      <c r="CB95" s="1865"/>
      <c r="CC95" s="1865"/>
      <c r="CD95" s="1865"/>
      <c r="CE95" s="1866"/>
      <c r="CF95" s="365"/>
      <c r="CG95" s="365"/>
      <c r="CH95" s="1069"/>
      <c r="CI95" s="1069"/>
      <c r="CJ95" s="1069"/>
      <c r="CK95" s="1069"/>
      <c r="CL95" s="1069"/>
      <c r="CM95" s="1069"/>
      <c r="CN95" s="1069"/>
      <c r="CO95" s="1069"/>
      <c r="CP95" s="1069"/>
      <c r="CQ95" s="1069"/>
      <c r="CR95" s="1069"/>
      <c r="CS95" s="1069"/>
      <c r="CT95" s="1069"/>
      <c r="CU95" s="1069"/>
      <c r="CV95" s="1069"/>
      <c r="CW95" s="1069"/>
      <c r="CX95" s="1069"/>
      <c r="CY95" s="1069"/>
      <c r="CZ95" s="1069"/>
      <c r="DA95" s="1069"/>
      <c r="DB95" s="1069"/>
      <c r="DC95" s="365"/>
      <c r="DD95" s="1864"/>
      <c r="DE95" s="1865"/>
      <c r="DF95" s="1865"/>
      <c r="DG95" s="1865"/>
      <c r="DH95" s="1865"/>
      <c r="DI95" s="1865"/>
      <c r="DJ95" s="1865"/>
      <c r="DK95" s="1865"/>
      <c r="DL95" s="1865"/>
      <c r="DM95" s="1865"/>
      <c r="DN95" s="1865"/>
      <c r="DO95" s="1865"/>
      <c r="DP95" s="1865"/>
      <c r="DQ95" s="1865"/>
      <c r="DR95" s="1866"/>
      <c r="DS95" s="55"/>
      <c r="DT95" s="335"/>
      <c r="DW95" s="203"/>
    </row>
    <row r="96" spans="1:136" s="320" customFormat="1" ht="6" customHeight="1">
      <c r="A96" s="318"/>
      <c r="B96" s="319"/>
      <c r="C96" s="316"/>
      <c r="D96" s="1289"/>
      <c r="E96" s="1289"/>
      <c r="F96" s="365"/>
      <c r="G96" s="365"/>
      <c r="H96" s="365"/>
      <c r="I96" s="365"/>
      <c r="J96" s="365"/>
      <c r="K96" s="365"/>
      <c r="L96" s="365"/>
      <c r="M96" s="365"/>
      <c r="N96" s="365"/>
      <c r="O96" s="365"/>
      <c r="P96" s="365"/>
      <c r="Q96" s="365"/>
      <c r="R96" s="365"/>
      <c r="S96" s="365"/>
      <c r="T96" s="365"/>
      <c r="U96" s="365"/>
      <c r="V96" s="365"/>
      <c r="W96" s="365"/>
      <c r="X96" s="365"/>
      <c r="Y96" s="365"/>
      <c r="Z96" s="365"/>
      <c r="AA96" s="365"/>
      <c r="AB96" s="365"/>
      <c r="AC96" s="365"/>
      <c r="AD96" s="365"/>
      <c r="AE96" s="365"/>
      <c r="AF96" s="365"/>
      <c r="AG96" s="365"/>
      <c r="AH96" s="365"/>
      <c r="AI96" s="365"/>
      <c r="AJ96" s="365"/>
      <c r="AK96" s="365"/>
      <c r="AL96" s="365"/>
      <c r="AM96" s="365"/>
      <c r="AN96" s="365"/>
      <c r="AO96" s="365"/>
      <c r="AP96" s="365"/>
      <c r="AQ96" s="365"/>
      <c r="AR96" s="365"/>
      <c r="AS96" s="365"/>
      <c r="AT96" s="365"/>
      <c r="AU96" s="365"/>
      <c r="AV96" s="365"/>
      <c r="AW96" s="365"/>
      <c r="AX96" s="365"/>
      <c r="AY96" s="365"/>
      <c r="AZ96" s="365"/>
      <c r="BA96" s="365"/>
      <c r="BB96" s="365"/>
      <c r="BC96" s="365"/>
      <c r="BD96" s="365"/>
      <c r="BE96" s="365"/>
      <c r="BF96" s="365"/>
      <c r="BG96" s="365"/>
      <c r="BH96" s="365"/>
      <c r="BI96" s="365"/>
      <c r="BJ96" s="365"/>
      <c r="BK96" s="365"/>
      <c r="BL96" s="365"/>
      <c r="BM96" s="365"/>
      <c r="BN96" s="365"/>
      <c r="BO96" s="365"/>
      <c r="BP96" s="365"/>
      <c r="BQ96" s="365"/>
      <c r="BR96" s="365"/>
      <c r="BS96" s="365"/>
      <c r="BT96" s="365"/>
      <c r="BU96" s="365"/>
      <c r="BV96" s="365"/>
      <c r="BW96" s="365"/>
      <c r="BX96" s="365"/>
      <c r="BY96" s="365"/>
      <c r="BZ96" s="365"/>
      <c r="CA96" s="365"/>
      <c r="CB96" s="365"/>
      <c r="CC96" s="365"/>
      <c r="CD96" s="365"/>
      <c r="CE96" s="365"/>
      <c r="CF96" s="365"/>
      <c r="CG96" s="365"/>
      <c r="CH96" s="365"/>
      <c r="CI96" s="365"/>
      <c r="CJ96" s="365"/>
      <c r="CK96" s="365"/>
      <c r="CL96" s="365"/>
      <c r="CM96" s="365"/>
      <c r="CN96" s="365"/>
      <c r="CO96" s="365"/>
      <c r="CP96" s="365"/>
      <c r="CQ96" s="365"/>
      <c r="CR96" s="365"/>
      <c r="CS96" s="365"/>
      <c r="CT96" s="365"/>
      <c r="CU96" s="365"/>
      <c r="CV96" s="365"/>
      <c r="CW96" s="365"/>
      <c r="CX96" s="365"/>
      <c r="CY96" s="365"/>
      <c r="CZ96" s="365"/>
      <c r="DA96" s="365"/>
      <c r="DB96" s="365"/>
      <c r="DC96" s="365"/>
      <c r="DD96" s="365"/>
      <c r="DE96" s="365"/>
      <c r="DF96" s="365"/>
      <c r="DG96" s="365"/>
      <c r="DH96" s="365"/>
      <c r="DI96" s="365"/>
      <c r="DJ96" s="365"/>
      <c r="DK96" s="365"/>
      <c r="DL96" s="365"/>
      <c r="DM96" s="365"/>
      <c r="DN96" s="365"/>
      <c r="DO96" s="365"/>
      <c r="DP96" s="365"/>
      <c r="DQ96" s="365"/>
      <c r="DR96" s="365"/>
      <c r="DS96" s="365"/>
      <c r="DT96" s="335"/>
      <c r="DW96" s="203"/>
    </row>
    <row r="97" spans="1:136" s="320" customFormat="1" ht="60" customHeight="1">
      <c r="A97" s="318"/>
      <c r="B97" s="319"/>
      <c r="C97" s="316"/>
      <c r="D97" s="1289"/>
      <c r="E97" s="1289"/>
      <c r="F97" s="365"/>
      <c r="G97" s="365"/>
      <c r="H97" s="1069" t="str">
        <f ca="1">INDIRECT($J$4&amp;"!C88")</f>
        <v>Identification OK Parts</v>
      </c>
      <c r="I97" s="1069"/>
      <c r="J97" s="1069"/>
      <c r="K97" s="1069"/>
      <c r="L97" s="1069"/>
      <c r="M97" s="1069"/>
      <c r="N97" s="1069"/>
      <c r="O97" s="1069"/>
      <c r="P97" s="1069"/>
      <c r="Q97" s="1069"/>
      <c r="R97" s="1069"/>
      <c r="S97" s="1069"/>
      <c r="T97" s="1069"/>
      <c r="U97" s="1069"/>
      <c r="V97" s="1069"/>
      <c r="W97" s="1069"/>
      <c r="X97" s="1069"/>
      <c r="Y97" s="1069"/>
      <c r="Z97" s="1069"/>
      <c r="AA97" s="365"/>
      <c r="AB97" s="365"/>
      <c r="AC97" s="365"/>
      <c r="AD97" s="1888" t="str">
        <f>IF('D1-D2-D3'!AD101="","",'D1-D2-D3'!AD101)</f>
        <v/>
      </c>
      <c r="AE97" s="1889"/>
      <c r="AF97" s="1889"/>
      <c r="AG97" s="1889"/>
      <c r="AH97" s="1889"/>
      <c r="AI97" s="1889"/>
      <c r="AJ97" s="1889"/>
      <c r="AK97" s="1889"/>
      <c r="AL97" s="1889"/>
      <c r="AM97" s="1889"/>
      <c r="AN97" s="1889"/>
      <c r="AO97" s="1889"/>
      <c r="AP97" s="1889"/>
      <c r="AQ97" s="1889"/>
      <c r="AR97" s="1890"/>
      <c r="AS97" s="365"/>
      <c r="AT97" s="365"/>
      <c r="AU97" s="803" t="str">
        <f ca="1">INDIRECT($J$4&amp;"!C88")</f>
        <v>Identification OK Parts</v>
      </c>
      <c r="AV97" s="803"/>
      <c r="AW97" s="803"/>
      <c r="AX97" s="803"/>
      <c r="AY97" s="803"/>
      <c r="AZ97" s="803"/>
      <c r="BA97" s="803"/>
      <c r="BB97" s="803"/>
      <c r="BC97" s="803"/>
      <c r="BD97" s="803"/>
      <c r="BE97" s="365"/>
      <c r="BF97" s="365"/>
      <c r="BG97" s="365"/>
      <c r="BH97" s="365"/>
      <c r="BI97" s="803"/>
      <c r="BJ97" s="365"/>
      <c r="BK97" s="365"/>
      <c r="BL97" s="365"/>
      <c r="BM97" s="365"/>
      <c r="BN97" s="365"/>
      <c r="BO97" s="365"/>
      <c r="BP97" s="365"/>
      <c r="BQ97" s="1898" t="str">
        <f>IF('D1-D2-D3'!BQ101="","",'D1-D2-D3'!BQ101)</f>
        <v/>
      </c>
      <c r="BR97" s="1899"/>
      <c r="BS97" s="1899"/>
      <c r="BT97" s="1899"/>
      <c r="BU97" s="1899"/>
      <c r="BV97" s="1899"/>
      <c r="BW97" s="1899"/>
      <c r="BX97" s="1899"/>
      <c r="BY97" s="1899"/>
      <c r="BZ97" s="1899"/>
      <c r="CA97" s="1899"/>
      <c r="CB97" s="1899"/>
      <c r="CC97" s="1899"/>
      <c r="CD97" s="1899"/>
      <c r="CE97" s="1900"/>
      <c r="CF97" s="365"/>
      <c r="CG97" s="365"/>
      <c r="CH97" s="1069" t="str">
        <f ca="1">INDIRECT($J$4&amp;"!C88")</f>
        <v>Identification OK Parts</v>
      </c>
      <c r="CI97" s="1069"/>
      <c r="CJ97" s="1069"/>
      <c r="CK97" s="1069"/>
      <c r="CL97" s="1069"/>
      <c r="CM97" s="1069"/>
      <c r="CN97" s="1069"/>
      <c r="CO97" s="1069"/>
      <c r="CP97" s="1069"/>
      <c r="CQ97" s="1069"/>
      <c r="CR97" s="1069"/>
      <c r="CS97" s="1069"/>
      <c r="CT97" s="1069"/>
      <c r="CU97" s="1069"/>
      <c r="CV97" s="1069"/>
      <c r="CW97" s="1069"/>
      <c r="CX97" s="1069"/>
      <c r="CY97" s="1069"/>
      <c r="CZ97" s="1069"/>
      <c r="DA97" s="365"/>
      <c r="DB97" s="558"/>
      <c r="DC97" s="365"/>
      <c r="DD97" s="1885" t="str">
        <f>IF('D1-D2-D3'!DD101="","",'D1-D2-D3'!DD101)</f>
        <v/>
      </c>
      <c r="DE97" s="1886"/>
      <c r="DF97" s="1886"/>
      <c r="DG97" s="1886"/>
      <c r="DH97" s="1886"/>
      <c r="DI97" s="1886"/>
      <c r="DJ97" s="1886"/>
      <c r="DK97" s="1886"/>
      <c r="DL97" s="1886"/>
      <c r="DM97" s="1886"/>
      <c r="DN97" s="1886"/>
      <c r="DO97" s="1886"/>
      <c r="DP97" s="1886"/>
      <c r="DQ97" s="1886"/>
      <c r="DR97" s="1887"/>
      <c r="DS97" s="55"/>
      <c r="DT97" s="335"/>
      <c r="DW97" s="203"/>
    </row>
    <row r="98" spans="1:136" s="320" customFormat="1" ht="9.9" customHeight="1">
      <c r="A98" s="318"/>
      <c r="B98" s="319"/>
      <c r="C98" s="316"/>
      <c r="D98" s="1289"/>
      <c r="E98" s="1289"/>
      <c r="F98" s="87"/>
      <c r="G98" s="26"/>
      <c r="H98" s="26"/>
      <c r="I98" s="26"/>
      <c r="J98" s="26"/>
      <c r="K98" s="26"/>
      <c r="L98" s="26"/>
      <c r="M98" s="26"/>
      <c r="N98" s="26"/>
      <c r="O98" s="26"/>
      <c r="P98" s="26"/>
      <c r="Q98" s="26"/>
      <c r="R98" s="26"/>
      <c r="S98" s="26"/>
      <c r="T98" s="26"/>
      <c r="U98" s="26"/>
      <c r="V98" s="26"/>
      <c r="W98" s="26"/>
      <c r="X98" s="26"/>
      <c r="Y98" s="26"/>
      <c r="Z98" s="26"/>
      <c r="AA98" s="26"/>
      <c r="AB98" s="26"/>
      <c r="AC98" s="26"/>
      <c r="AD98" s="1891"/>
      <c r="AE98" s="1892"/>
      <c r="AF98" s="1892"/>
      <c r="AG98" s="1892"/>
      <c r="AH98" s="1892"/>
      <c r="AI98" s="1892"/>
      <c r="AJ98" s="1892"/>
      <c r="AK98" s="1892"/>
      <c r="AL98" s="1892"/>
      <c r="AM98" s="1892"/>
      <c r="AN98" s="1892"/>
      <c r="AO98" s="1892"/>
      <c r="AP98" s="1892"/>
      <c r="AQ98" s="1892"/>
      <c r="AR98" s="1893"/>
      <c r="AS98" s="365"/>
      <c r="AT98" s="365"/>
      <c r="AU98" s="365"/>
      <c r="AV98" s="365"/>
      <c r="AW98" s="365"/>
      <c r="AX98" s="365"/>
      <c r="AY98" s="365"/>
      <c r="AZ98" s="365"/>
      <c r="BA98" s="365"/>
      <c r="BB98" s="365"/>
      <c r="BC98" s="365"/>
      <c r="BD98" s="365"/>
      <c r="BE98" s="365"/>
      <c r="BF98" s="365"/>
      <c r="BG98" s="365"/>
      <c r="BH98" s="365"/>
      <c r="BI98" s="365"/>
      <c r="BJ98" s="365"/>
      <c r="BK98" s="365"/>
      <c r="BL98" s="365"/>
      <c r="BM98" s="365"/>
      <c r="BN98" s="365"/>
      <c r="BO98" s="365"/>
      <c r="BP98" s="365"/>
      <c r="BQ98" s="1901"/>
      <c r="BR98" s="1902"/>
      <c r="BS98" s="1902"/>
      <c r="BT98" s="1902"/>
      <c r="BU98" s="1902"/>
      <c r="BV98" s="1902"/>
      <c r="BW98" s="1902"/>
      <c r="BX98" s="1902"/>
      <c r="BY98" s="1902"/>
      <c r="BZ98" s="1902"/>
      <c r="CA98" s="1902"/>
      <c r="CB98" s="1902"/>
      <c r="CC98" s="1902"/>
      <c r="CD98" s="1902"/>
      <c r="CE98" s="1903"/>
      <c r="CF98" s="365"/>
      <c r="CG98" s="803"/>
      <c r="CH98" s="365"/>
      <c r="CI98" s="365"/>
      <c r="CJ98" s="365"/>
      <c r="CK98" s="365"/>
      <c r="CL98" s="365"/>
      <c r="CM98" s="365"/>
      <c r="CN98" s="365"/>
      <c r="CO98" s="365"/>
      <c r="CP98" s="365"/>
      <c r="CQ98" s="365"/>
      <c r="CR98" s="365"/>
      <c r="CS98" s="365"/>
      <c r="CT98" s="365"/>
      <c r="CU98" s="365"/>
      <c r="CV98" s="365"/>
      <c r="CW98" s="365"/>
      <c r="CX98" s="365"/>
      <c r="CY98" s="365"/>
      <c r="CZ98" s="365"/>
      <c r="DA98" s="365"/>
      <c r="DB98" s="365"/>
      <c r="DC98" s="365"/>
      <c r="DD98" s="365"/>
      <c r="DE98" s="365"/>
      <c r="DF98" s="365"/>
      <c r="DG98" s="365"/>
      <c r="DH98" s="365"/>
      <c r="DI98" s="365"/>
      <c r="DJ98" s="365"/>
      <c r="DK98" s="365"/>
      <c r="DL98" s="365"/>
      <c r="DM98" s="365"/>
      <c r="DN98" s="365"/>
      <c r="DO98" s="365"/>
      <c r="DP98" s="365"/>
      <c r="DQ98" s="365"/>
      <c r="DR98" s="365"/>
      <c r="DS98" s="55"/>
      <c r="DT98" s="335"/>
      <c r="DW98" s="203"/>
    </row>
    <row r="99" spans="1:136" ht="30" customHeight="1">
      <c r="B99" s="312"/>
      <c r="C99" s="313"/>
      <c r="D99" s="1289"/>
      <c r="E99" s="1289"/>
      <c r="F99" s="420"/>
      <c r="G99" s="365"/>
      <c r="H99" s="420"/>
      <c r="I99" s="420"/>
      <c r="J99" s="420"/>
      <c r="K99" s="420"/>
      <c r="L99" s="420"/>
      <c r="M99" s="420"/>
      <c r="N99" s="420"/>
      <c r="O99" s="420"/>
      <c r="P99" s="420"/>
      <c r="Q99" s="420"/>
      <c r="R99" s="420"/>
      <c r="S99" s="420"/>
      <c r="T99" s="420"/>
      <c r="U99" s="420"/>
      <c r="V99" s="420"/>
      <c r="W99" s="420"/>
      <c r="X99" s="420"/>
      <c r="Y99" s="420"/>
      <c r="Z99" s="420"/>
      <c r="AA99" s="420"/>
      <c r="AB99" s="420"/>
      <c r="AC99" s="558"/>
      <c r="AD99" s="1894"/>
      <c r="AE99" s="1895"/>
      <c r="AF99" s="1895"/>
      <c r="AG99" s="1895"/>
      <c r="AH99" s="1895"/>
      <c r="AI99" s="1895"/>
      <c r="AJ99" s="1895"/>
      <c r="AK99" s="1895"/>
      <c r="AL99" s="1895"/>
      <c r="AM99" s="1895"/>
      <c r="AN99" s="1895"/>
      <c r="AO99" s="1895"/>
      <c r="AP99" s="1895"/>
      <c r="AQ99" s="1895"/>
      <c r="AR99" s="1896"/>
      <c r="AS99" s="365"/>
      <c r="AT99" s="365"/>
      <c r="AU99" s="365"/>
      <c r="AV99" s="365"/>
      <c r="AW99" s="365"/>
      <c r="AX99" s="365"/>
      <c r="AY99" s="365"/>
      <c r="AZ99" s="365"/>
      <c r="BA99" s="365"/>
      <c r="BB99" s="365"/>
      <c r="BC99" s="365"/>
      <c r="BD99" s="365"/>
      <c r="BE99" s="365"/>
      <c r="BF99" s="365"/>
      <c r="BG99" s="365"/>
      <c r="BH99" s="365"/>
      <c r="BI99" s="365"/>
      <c r="BJ99" s="365"/>
      <c r="BK99" s="365"/>
      <c r="BL99" s="365"/>
      <c r="BM99" s="365"/>
      <c r="BN99" s="365"/>
      <c r="BO99" s="365"/>
      <c r="BP99" s="365"/>
      <c r="BQ99" s="1904"/>
      <c r="BR99" s="1905"/>
      <c r="BS99" s="1905"/>
      <c r="BT99" s="1905"/>
      <c r="BU99" s="1905"/>
      <c r="BV99" s="1905"/>
      <c r="BW99" s="1905"/>
      <c r="BX99" s="1905"/>
      <c r="BY99" s="1905"/>
      <c r="BZ99" s="1905"/>
      <c r="CA99" s="1905"/>
      <c r="CB99" s="1905"/>
      <c r="CC99" s="1905"/>
      <c r="CD99" s="1905"/>
      <c r="CE99" s="1906"/>
      <c r="CF99" s="365"/>
      <c r="CG99" s="365"/>
      <c r="CH99" s="803" t="str">
        <f ca="1">INDIRECT($J$4&amp;"!C89")</f>
        <v>clean point</v>
      </c>
      <c r="CI99" s="803"/>
      <c r="CJ99" s="803"/>
      <c r="CK99" s="803"/>
      <c r="CL99" s="803"/>
      <c r="CM99" s="803"/>
      <c r="CN99" s="803"/>
      <c r="CO99" s="365"/>
      <c r="CP99" s="365"/>
      <c r="CQ99" s="365"/>
      <c r="CR99" s="365"/>
      <c r="CS99" s="365"/>
      <c r="CT99" s="365"/>
      <c r="CU99" s="365"/>
      <c r="CV99" s="365"/>
      <c r="CW99" s="365"/>
      <c r="CX99" s="803"/>
      <c r="CY99" s="365"/>
      <c r="CZ99" s="558"/>
      <c r="DA99" s="365"/>
      <c r="DB99" s="558"/>
      <c r="DC99" s="365"/>
      <c r="DD99" s="1867" t="str">
        <f>IF('D1-D2-D3'!DD103="","",'D1-D2-D3'!DD103)</f>
        <v/>
      </c>
      <c r="DE99" s="1868"/>
      <c r="DF99" s="1868"/>
      <c r="DG99" s="1868"/>
      <c r="DH99" s="1868"/>
      <c r="DI99" s="1868"/>
      <c r="DJ99" s="1868"/>
      <c r="DK99" s="1868"/>
      <c r="DL99" s="1868"/>
      <c r="DM99" s="1868"/>
      <c r="DN99" s="1868"/>
      <c r="DO99" s="1868"/>
      <c r="DP99" s="1868"/>
      <c r="DQ99" s="1868"/>
      <c r="DR99" s="1869"/>
      <c r="DS99" s="313"/>
      <c r="DT99" s="311"/>
      <c r="DU99" s="305"/>
      <c r="DV99" s="305"/>
      <c r="ED99" s="126"/>
      <c r="EE99" s="126"/>
      <c r="EF99" s="127"/>
    </row>
    <row r="100" spans="1:136" ht="6" customHeight="1">
      <c r="B100" s="312"/>
      <c r="C100" s="313"/>
      <c r="D100" s="420"/>
      <c r="E100" s="420"/>
      <c r="F100" s="420"/>
      <c r="G100" s="365"/>
      <c r="H100" s="800"/>
      <c r="I100" s="800"/>
      <c r="J100" s="800"/>
      <c r="K100" s="800"/>
      <c r="L100" s="800"/>
      <c r="M100" s="800"/>
      <c r="N100" s="800"/>
      <c r="O100" s="800"/>
      <c r="P100" s="800"/>
      <c r="Q100" s="800"/>
      <c r="R100" s="800"/>
      <c r="S100" s="800"/>
      <c r="T100" s="800"/>
      <c r="U100" s="800"/>
      <c r="V100" s="800"/>
      <c r="W100" s="800"/>
      <c r="X100" s="800"/>
      <c r="Y100" s="800"/>
      <c r="Z100" s="800"/>
      <c r="AA100" s="415"/>
      <c r="AB100" s="415"/>
      <c r="AC100" s="415"/>
      <c r="AD100" s="415"/>
      <c r="AE100" s="128"/>
      <c r="AF100" s="191"/>
      <c r="AG100" s="191"/>
      <c r="AH100" s="421"/>
      <c r="AI100" s="421"/>
      <c r="AJ100" s="421"/>
      <c r="AK100" s="421"/>
      <c r="AL100" s="421"/>
      <c r="AM100" s="421"/>
      <c r="AN100" s="421"/>
      <c r="AO100" s="421"/>
      <c r="AP100" s="421"/>
      <c r="AQ100" s="421"/>
      <c r="AR100" s="421"/>
      <c r="AS100" s="411"/>
      <c r="AT100" s="128"/>
      <c r="AU100" s="800"/>
      <c r="AV100" s="800"/>
      <c r="AW100" s="800"/>
      <c r="AX100" s="800"/>
      <c r="AY100" s="800"/>
      <c r="AZ100" s="800"/>
      <c r="BA100" s="800"/>
      <c r="BB100" s="800"/>
      <c r="BC100" s="800"/>
      <c r="BD100" s="800"/>
      <c r="BE100" s="800"/>
      <c r="BF100" s="800"/>
      <c r="BG100" s="800"/>
      <c r="BH100" s="800"/>
      <c r="BI100" s="800"/>
      <c r="BJ100" s="800"/>
      <c r="BK100" s="800"/>
      <c r="BL100" s="800"/>
      <c r="BM100" s="415"/>
      <c r="BN100" s="415"/>
      <c r="BO100" s="415"/>
      <c r="BP100" s="415"/>
      <c r="BQ100" s="415"/>
      <c r="BR100" s="191"/>
      <c r="BS100" s="191"/>
      <c r="BT100" s="191"/>
      <c r="BU100" s="421"/>
      <c r="BV100" s="421"/>
      <c r="BW100" s="421"/>
      <c r="BX100" s="421"/>
      <c r="BY100" s="421"/>
      <c r="BZ100" s="421"/>
      <c r="CA100" s="421"/>
      <c r="CB100" s="421"/>
      <c r="CC100" s="421"/>
      <c r="CD100" s="421"/>
      <c r="CE100" s="421"/>
      <c r="CF100" s="415"/>
      <c r="CG100" s="128"/>
      <c r="CH100" s="800"/>
      <c r="CI100" s="800"/>
      <c r="CJ100" s="800"/>
      <c r="CK100" s="800"/>
      <c r="CL100" s="800"/>
      <c r="CM100" s="800"/>
      <c r="CN100" s="800"/>
      <c r="CO100" s="800"/>
      <c r="CP100" s="800"/>
      <c r="CQ100" s="800"/>
      <c r="CR100" s="800"/>
      <c r="CS100" s="800"/>
      <c r="CT100" s="800"/>
      <c r="CU100" s="800"/>
      <c r="CV100" s="800"/>
      <c r="CW100" s="800"/>
      <c r="CX100" s="800"/>
      <c r="CY100" s="800"/>
      <c r="CZ100" s="800"/>
      <c r="DA100" s="415"/>
      <c r="DB100" s="415"/>
      <c r="DC100" s="415"/>
      <c r="DD100" s="760"/>
      <c r="DE100" s="760"/>
      <c r="DF100" s="760"/>
      <c r="DG100" s="760"/>
      <c r="DH100" s="760"/>
      <c r="DI100" s="760"/>
      <c r="DJ100" s="760"/>
      <c r="DK100" s="760"/>
      <c r="DL100" s="760"/>
      <c r="DM100" s="760"/>
      <c r="DN100" s="760"/>
      <c r="DO100" s="760"/>
      <c r="DP100" s="760"/>
      <c r="DQ100" s="760"/>
      <c r="DR100" s="760"/>
      <c r="DS100" s="313"/>
      <c r="DT100" s="311"/>
      <c r="DU100" s="305"/>
      <c r="DV100" s="305"/>
      <c r="ED100" s="126"/>
      <c r="EE100" s="126"/>
      <c r="EF100" s="127"/>
    </row>
    <row r="101" spans="1:136" ht="30" customHeight="1">
      <c r="B101" s="312"/>
      <c r="C101" s="313"/>
      <c r="D101" s="55"/>
      <c r="E101" s="55"/>
      <c r="F101" s="55"/>
      <c r="G101" s="55"/>
      <c r="H101" s="55"/>
      <c r="I101" s="55"/>
      <c r="J101" s="55"/>
      <c r="K101" s="36"/>
      <c r="L101" s="1083">
        <f>IF('D1-D2-D3'!L106:P106="","",'D1-D2-D3'!L106:P106)</f>
        <v>0</v>
      </c>
      <c r="M101" s="1084"/>
      <c r="N101" s="1084"/>
      <c r="O101" s="1084"/>
      <c r="P101" s="1085"/>
      <c r="Q101" s="56"/>
      <c r="R101" s="499" t="str">
        <f ca="1">'D1-D2-D3'!R106</f>
        <v>total amount of sorted parts</v>
      </c>
      <c r="S101" s="499"/>
      <c r="T101" s="499"/>
      <c r="U101" s="499"/>
      <c r="V101" s="499"/>
      <c r="W101" s="499"/>
      <c r="X101" s="499"/>
      <c r="Y101" s="499"/>
      <c r="Z101" s="499"/>
      <c r="AA101" s="499"/>
      <c r="AB101" s="499"/>
      <c r="AC101" s="499"/>
      <c r="AD101" s="499"/>
      <c r="AE101" s="499"/>
      <c r="AF101" s="499"/>
      <c r="AG101" s="499"/>
      <c r="AH101" s="499"/>
      <c r="AI101" s="499"/>
      <c r="AJ101" s="499"/>
      <c r="AK101" s="499"/>
      <c r="AL101" s="499"/>
      <c r="AM101" s="499"/>
      <c r="AN101" s="499"/>
      <c r="AO101" s="499"/>
      <c r="AP101" s="499"/>
      <c r="AQ101" s="36"/>
      <c r="AR101" s="1083">
        <f>IF('D1-D2-D3'!AR106:AV106="","",'D1-D2-D3'!AR106:AV106)</f>
        <v>0</v>
      </c>
      <c r="AS101" s="1084"/>
      <c r="AT101" s="1084"/>
      <c r="AU101" s="1084"/>
      <c r="AV101" s="1085"/>
      <c r="AW101" s="56"/>
      <c r="AX101" s="499" t="str">
        <f ca="1">'D1-D2-D3'!AX106</f>
        <v>total amount of NOK parts found</v>
      </c>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V101" s="499"/>
      <c r="BW101" s="499"/>
      <c r="BX101" s="499"/>
      <c r="BY101" s="499"/>
      <c r="BZ101" s="499"/>
      <c r="CA101" s="36"/>
      <c r="CB101" s="1083">
        <f>IF('D1-D2-D3'!CB106:CF106="","",'D1-D2-D3'!CB106:CF106)</f>
        <v>0</v>
      </c>
      <c r="CC101" s="1084"/>
      <c r="CD101" s="1084"/>
      <c r="CE101" s="1084"/>
      <c r="CF101" s="1085"/>
      <c r="CG101" s="56"/>
      <c r="CH101" s="357" t="str">
        <f ca="1">'D1-D2-D3'!CH106</f>
        <v>total amount of OK parts identified</v>
      </c>
      <c r="CI101" s="56"/>
      <c r="CJ101" s="56"/>
      <c r="CK101" s="56"/>
      <c r="CL101" s="56"/>
      <c r="CM101" s="56"/>
      <c r="CN101" s="56"/>
      <c r="CO101" s="56"/>
      <c r="CP101" s="56"/>
      <c r="CQ101" s="56"/>
      <c r="CR101" s="56"/>
      <c r="CS101" s="56"/>
      <c r="CT101" s="56"/>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313"/>
      <c r="DT101" s="311"/>
      <c r="DU101" s="305"/>
      <c r="DV101" s="305"/>
      <c r="ED101" s="126"/>
      <c r="EE101" s="126"/>
      <c r="EF101" s="127"/>
    </row>
    <row r="102" spans="1:136" ht="6" customHeight="1">
      <c r="B102" s="312"/>
      <c r="C102" s="313"/>
      <c r="D102" s="316"/>
      <c r="E102" s="316"/>
      <c r="F102" s="316"/>
      <c r="G102" s="316"/>
      <c r="H102" s="316"/>
      <c r="I102" s="316"/>
      <c r="J102" s="316"/>
      <c r="K102" s="316"/>
      <c r="L102" s="316"/>
      <c r="M102" s="316"/>
      <c r="N102" s="313"/>
      <c r="O102" s="313"/>
      <c r="P102" s="313"/>
      <c r="Q102" s="313"/>
      <c r="R102" s="313"/>
      <c r="S102" s="313"/>
      <c r="T102" s="313"/>
      <c r="U102" s="313"/>
      <c r="V102" s="313"/>
      <c r="W102" s="313"/>
      <c r="X102" s="313"/>
      <c r="Y102" s="313"/>
      <c r="Z102" s="313"/>
      <c r="AA102" s="313"/>
      <c r="AB102" s="313"/>
      <c r="AC102" s="313"/>
      <c r="AD102" s="313"/>
      <c r="AE102" s="313"/>
      <c r="AF102" s="313"/>
      <c r="AG102" s="313"/>
      <c r="AH102" s="188"/>
      <c r="AI102" s="188"/>
      <c r="AJ102" s="188"/>
      <c r="AK102" s="188"/>
      <c r="AL102" s="188"/>
      <c r="AM102" s="188"/>
      <c r="AN102" s="188"/>
      <c r="AO102" s="188"/>
      <c r="AP102" s="313"/>
      <c r="AQ102" s="201"/>
      <c r="AR102" s="201"/>
      <c r="AS102" s="201"/>
      <c r="AT102" s="293"/>
      <c r="AU102" s="293"/>
      <c r="AV102" s="305"/>
      <c r="AW102" s="305"/>
      <c r="AX102" s="305"/>
      <c r="AY102" s="305"/>
      <c r="AZ102" s="305"/>
      <c r="BA102" s="305"/>
      <c r="BB102" s="305"/>
      <c r="BC102" s="305"/>
      <c r="BD102" s="305"/>
      <c r="BE102" s="305"/>
      <c r="BF102" s="305"/>
      <c r="BG102" s="305"/>
      <c r="BH102" s="305"/>
      <c r="BI102" s="305"/>
      <c r="BJ102" s="305"/>
      <c r="BK102" s="305"/>
      <c r="BL102" s="305"/>
      <c r="BM102" s="305"/>
      <c r="BN102" s="305"/>
      <c r="BO102" s="305"/>
      <c r="BP102" s="305"/>
      <c r="BQ102" s="305"/>
      <c r="BR102" s="305"/>
      <c r="BS102" s="305"/>
      <c r="BT102" s="305"/>
      <c r="BU102" s="305"/>
      <c r="BV102" s="305"/>
      <c r="BW102" s="305"/>
      <c r="BX102" s="305"/>
      <c r="BY102" s="305"/>
      <c r="BZ102" s="305"/>
      <c r="CA102" s="305"/>
      <c r="CB102" s="305"/>
      <c r="CC102" s="305"/>
      <c r="CD102" s="305"/>
      <c r="CE102" s="305"/>
      <c r="CF102" s="313"/>
      <c r="CG102" s="313"/>
      <c r="CH102" s="313"/>
      <c r="CI102" s="313"/>
      <c r="CJ102" s="313"/>
      <c r="CK102" s="313"/>
      <c r="CL102" s="313"/>
      <c r="CM102" s="313"/>
      <c r="CN102" s="313"/>
      <c r="CO102" s="313"/>
      <c r="CP102" s="313"/>
      <c r="CQ102" s="313"/>
      <c r="CR102" s="313"/>
      <c r="CS102" s="313"/>
      <c r="CT102" s="313"/>
      <c r="CU102" s="313"/>
      <c r="CV102" s="313"/>
      <c r="CW102" s="313"/>
      <c r="CX102" s="313"/>
      <c r="CY102" s="313"/>
      <c r="CZ102" s="313"/>
      <c r="DA102" s="313"/>
      <c r="DB102" s="313"/>
      <c r="DC102" s="313"/>
      <c r="DD102" s="313"/>
      <c r="DE102" s="313"/>
      <c r="DF102" s="313"/>
      <c r="DG102" s="313"/>
      <c r="DH102" s="313"/>
      <c r="DI102" s="313"/>
      <c r="DJ102" s="313"/>
      <c r="DK102" s="313"/>
      <c r="DL102" s="313"/>
      <c r="DM102" s="313"/>
      <c r="DN102" s="313"/>
      <c r="DO102" s="313"/>
      <c r="DP102" s="313"/>
      <c r="DQ102" s="313"/>
      <c r="DR102" s="313"/>
      <c r="DS102" s="313"/>
      <c r="DT102" s="311"/>
      <c r="DU102" s="305"/>
      <c r="DV102" s="305"/>
      <c r="DW102" s="126"/>
      <c r="DX102" s="126"/>
      <c r="DY102" s="126"/>
      <c r="DZ102" s="126"/>
      <c r="EA102" s="126"/>
      <c r="EB102" s="126"/>
      <c r="EC102" s="126"/>
      <c r="ED102" s="126"/>
      <c r="EE102" s="126"/>
      <c r="EF102" s="127"/>
    </row>
    <row r="103" spans="1:136" ht="38.25" customHeight="1">
      <c r="B103" s="312"/>
      <c r="C103" s="313"/>
      <c r="D103" s="1082" t="str">
        <f ca="1">'D1-D2-D3'!D109</f>
        <v>Comments</v>
      </c>
      <c r="E103" s="1082"/>
      <c r="F103" s="1082"/>
      <c r="G103" s="316"/>
      <c r="H103" s="1950"/>
      <c r="I103" s="1951"/>
      <c r="J103" s="1951"/>
      <c r="K103" s="1951"/>
      <c r="L103" s="1951"/>
      <c r="M103" s="1951"/>
      <c r="N103" s="1951"/>
      <c r="O103" s="1951"/>
      <c r="P103" s="1951"/>
      <c r="Q103" s="1951"/>
      <c r="R103" s="1951"/>
      <c r="S103" s="1951"/>
      <c r="T103" s="1951"/>
      <c r="U103" s="1951"/>
      <c r="V103" s="1951"/>
      <c r="W103" s="1951"/>
      <c r="X103" s="1951"/>
      <c r="Y103" s="1951"/>
      <c r="Z103" s="1951"/>
      <c r="AA103" s="1951"/>
      <c r="AB103" s="1951"/>
      <c r="AC103" s="1951"/>
      <c r="AD103" s="1951"/>
      <c r="AE103" s="1951"/>
      <c r="AF103" s="1951"/>
      <c r="AG103" s="1951"/>
      <c r="AH103" s="1951"/>
      <c r="AI103" s="1951"/>
      <c r="AJ103" s="1951"/>
      <c r="AK103" s="1951"/>
      <c r="AL103" s="1951"/>
      <c r="AM103" s="1951"/>
      <c r="AN103" s="1951"/>
      <c r="AO103" s="1951"/>
      <c r="AP103" s="1951"/>
      <c r="AQ103" s="1951"/>
      <c r="AR103" s="1951"/>
      <c r="AS103" s="1951"/>
      <c r="AT103" s="1951"/>
      <c r="AU103" s="1951"/>
      <c r="AV103" s="1951"/>
      <c r="AW103" s="1951"/>
      <c r="AX103" s="1951"/>
      <c r="AY103" s="1951"/>
      <c r="AZ103" s="1951"/>
      <c r="BA103" s="1951"/>
      <c r="BB103" s="1951"/>
      <c r="BC103" s="1951"/>
      <c r="BD103" s="1951"/>
      <c r="BE103" s="1951"/>
      <c r="BF103" s="1951"/>
      <c r="BG103" s="1951"/>
      <c r="BH103" s="1951"/>
      <c r="BI103" s="1951"/>
      <c r="BJ103" s="1951"/>
      <c r="BK103" s="1951"/>
      <c r="BL103" s="1951"/>
      <c r="BM103" s="1951"/>
      <c r="BN103" s="1951"/>
      <c r="BO103" s="1951"/>
      <c r="BP103" s="1951"/>
      <c r="BQ103" s="1951"/>
      <c r="BR103" s="1951"/>
      <c r="BS103" s="1951"/>
      <c r="BT103" s="1951"/>
      <c r="BU103" s="1951"/>
      <c r="BV103" s="1951"/>
      <c r="BW103" s="1951"/>
      <c r="BX103" s="1951"/>
      <c r="BY103" s="1951"/>
      <c r="BZ103" s="1951"/>
      <c r="CA103" s="1951"/>
      <c r="CB103" s="1951"/>
      <c r="CC103" s="1951"/>
      <c r="CD103" s="1951"/>
      <c r="CE103" s="1951"/>
      <c r="CF103" s="1951"/>
      <c r="CG103" s="1951"/>
      <c r="CH103" s="1951"/>
      <c r="CI103" s="1951"/>
      <c r="CJ103" s="1951"/>
      <c r="CK103" s="1951"/>
      <c r="CL103" s="1951"/>
      <c r="CM103" s="1951"/>
      <c r="CN103" s="1951"/>
      <c r="CO103" s="1951"/>
      <c r="CP103" s="1951"/>
      <c r="CQ103" s="1951"/>
      <c r="CR103" s="1951"/>
      <c r="CS103" s="1951"/>
      <c r="CT103" s="1951"/>
      <c r="CU103" s="1951"/>
      <c r="CV103" s="1951"/>
      <c r="CW103" s="1951"/>
      <c r="CX103" s="1951"/>
      <c r="CY103" s="1951"/>
      <c r="CZ103" s="1951"/>
      <c r="DA103" s="1951"/>
      <c r="DB103" s="1951"/>
      <c r="DC103" s="1951"/>
      <c r="DD103" s="1951"/>
      <c r="DE103" s="1951"/>
      <c r="DF103" s="1951"/>
      <c r="DG103" s="1951"/>
      <c r="DH103" s="1951"/>
      <c r="DI103" s="1951"/>
      <c r="DJ103" s="1951"/>
      <c r="DK103" s="1951"/>
      <c r="DL103" s="1951"/>
      <c r="DM103" s="1951"/>
      <c r="DN103" s="1951"/>
      <c r="DO103" s="1951"/>
      <c r="DP103" s="1951"/>
      <c r="DQ103" s="1951"/>
      <c r="DR103" s="1952"/>
      <c r="DS103" s="313"/>
      <c r="DT103" s="311"/>
      <c r="DU103" s="305"/>
      <c r="DV103" s="305"/>
      <c r="DW103" s="126"/>
      <c r="DX103" s="126"/>
      <c r="DY103" s="126"/>
      <c r="DZ103" s="126"/>
      <c r="EA103" s="126"/>
      <c r="EB103" s="126"/>
      <c r="EC103" s="126"/>
      <c r="ED103" s="126"/>
      <c r="EE103" s="126"/>
      <c r="EF103" s="127"/>
    </row>
    <row r="104" spans="1:136" ht="30" customHeight="1">
      <c r="B104" s="312"/>
      <c r="C104" s="313"/>
      <c r="D104" s="1082"/>
      <c r="E104" s="1082"/>
      <c r="F104" s="1082"/>
      <c r="G104" s="316"/>
      <c r="H104" s="1953"/>
      <c r="I104" s="1954"/>
      <c r="J104" s="1954"/>
      <c r="K104" s="1954"/>
      <c r="L104" s="1954"/>
      <c r="M104" s="1954"/>
      <c r="N104" s="1954"/>
      <c r="O104" s="1954"/>
      <c r="P104" s="1954"/>
      <c r="Q104" s="1954"/>
      <c r="R104" s="1954"/>
      <c r="S104" s="1954"/>
      <c r="T104" s="1954"/>
      <c r="U104" s="1954"/>
      <c r="V104" s="1954"/>
      <c r="W104" s="1954"/>
      <c r="X104" s="1954"/>
      <c r="Y104" s="1954"/>
      <c r="Z104" s="1954"/>
      <c r="AA104" s="1954"/>
      <c r="AB104" s="1954"/>
      <c r="AC104" s="1954"/>
      <c r="AD104" s="1954"/>
      <c r="AE104" s="1954"/>
      <c r="AF104" s="1954"/>
      <c r="AG104" s="1954"/>
      <c r="AH104" s="1954"/>
      <c r="AI104" s="1954"/>
      <c r="AJ104" s="1954"/>
      <c r="AK104" s="1954"/>
      <c r="AL104" s="1954"/>
      <c r="AM104" s="1954"/>
      <c r="AN104" s="1954"/>
      <c r="AO104" s="1954"/>
      <c r="AP104" s="1954"/>
      <c r="AQ104" s="1954"/>
      <c r="AR104" s="1954"/>
      <c r="AS104" s="1954"/>
      <c r="AT104" s="1954"/>
      <c r="AU104" s="1954"/>
      <c r="AV104" s="1954"/>
      <c r="AW104" s="1954"/>
      <c r="AX104" s="1954"/>
      <c r="AY104" s="1954"/>
      <c r="AZ104" s="1954"/>
      <c r="BA104" s="1954"/>
      <c r="BB104" s="1954"/>
      <c r="BC104" s="1954"/>
      <c r="BD104" s="1954"/>
      <c r="BE104" s="1954"/>
      <c r="BF104" s="1954"/>
      <c r="BG104" s="1954"/>
      <c r="BH104" s="1954"/>
      <c r="BI104" s="1954"/>
      <c r="BJ104" s="1954"/>
      <c r="BK104" s="1954"/>
      <c r="BL104" s="1954"/>
      <c r="BM104" s="1954"/>
      <c r="BN104" s="1954"/>
      <c r="BO104" s="1954"/>
      <c r="BP104" s="1954"/>
      <c r="BQ104" s="1954"/>
      <c r="BR104" s="1954"/>
      <c r="BS104" s="1954"/>
      <c r="BT104" s="1954"/>
      <c r="BU104" s="1954"/>
      <c r="BV104" s="1954"/>
      <c r="BW104" s="1954"/>
      <c r="BX104" s="1954"/>
      <c r="BY104" s="1954"/>
      <c r="BZ104" s="1954"/>
      <c r="CA104" s="1954"/>
      <c r="CB104" s="1954"/>
      <c r="CC104" s="1954"/>
      <c r="CD104" s="1954"/>
      <c r="CE104" s="1954"/>
      <c r="CF104" s="1954"/>
      <c r="CG104" s="1954"/>
      <c r="CH104" s="1954"/>
      <c r="CI104" s="1954"/>
      <c r="CJ104" s="1954"/>
      <c r="CK104" s="1954"/>
      <c r="CL104" s="1954"/>
      <c r="CM104" s="1954"/>
      <c r="CN104" s="1954"/>
      <c r="CO104" s="1954"/>
      <c r="CP104" s="1954"/>
      <c r="CQ104" s="1954"/>
      <c r="CR104" s="1954"/>
      <c r="CS104" s="1954"/>
      <c r="CT104" s="1954"/>
      <c r="CU104" s="1954"/>
      <c r="CV104" s="1954"/>
      <c r="CW104" s="1954"/>
      <c r="CX104" s="1954"/>
      <c r="CY104" s="1954"/>
      <c r="CZ104" s="1954"/>
      <c r="DA104" s="1954"/>
      <c r="DB104" s="1954"/>
      <c r="DC104" s="1954"/>
      <c r="DD104" s="1954"/>
      <c r="DE104" s="1954"/>
      <c r="DF104" s="1954"/>
      <c r="DG104" s="1954"/>
      <c r="DH104" s="1954"/>
      <c r="DI104" s="1954"/>
      <c r="DJ104" s="1954"/>
      <c r="DK104" s="1954"/>
      <c r="DL104" s="1954"/>
      <c r="DM104" s="1954"/>
      <c r="DN104" s="1954"/>
      <c r="DO104" s="1954"/>
      <c r="DP104" s="1954"/>
      <c r="DQ104" s="1954"/>
      <c r="DR104" s="1955"/>
      <c r="DS104" s="313"/>
      <c r="DT104" s="311"/>
      <c r="DU104" s="305"/>
      <c r="DV104" s="305"/>
      <c r="DW104" s="126"/>
      <c r="DX104" s="126"/>
      <c r="DY104" s="126"/>
      <c r="DZ104" s="126"/>
      <c r="EA104" s="126"/>
      <c r="EB104" s="126"/>
      <c r="EC104" s="126"/>
      <c r="ED104" s="126"/>
      <c r="EE104" s="126"/>
      <c r="EF104" s="127"/>
    </row>
    <row r="105" spans="1:136" ht="30" customHeight="1">
      <c r="B105" s="312"/>
      <c r="C105" s="313"/>
      <c r="D105" s="1082"/>
      <c r="E105" s="1082"/>
      <c r="F105" s="1082"/>
      <c r="G105" s="316"/>
      <c r="H105" s="1953"/>
      <c r="I105" s="1954"/>
      <c r="J105" s="1954"/>
      <c r="K105" s="1954"/>
      <c r="L105" s="1954"/>
      <c r="M105" s="1954"/>
      <c r="N105" s="1954"/>
      <c r="O105" s="1954"/>
      <c r="P105" s="1954"/>
      <c r="Q105" s="1954"/>
      <c r="R105" s="1954"/>
      <c r="S105" s="1954"/>
      <c r="T105" s="1954"/>
      <c r="U105" s="1954"/>
      <c r="V105" s="1954"/>
      <c r="W105" s="1954"/>
      <c r="X105" s="1954"/>
      <c r="Y105" s="1954"/>
      <c r="Z105" s="1954"/>
      <c r="AA105" s="1954"/>
      <c r="AB105" s="1954"/>
      <c r="AC105" s="1954"/>
      <c r="AD105" s="1954"/>
      <c r="AE105" s="1954"/>
      <c r="AF105" s="1954"/>
      <c r="AG105" s="1954"/>
      <c r="AH105" s="1954"/>
      <c r="AI105" s="1954"/>
      <c r="AJ105" s="1954"/>
      <c r="AK105" s="1954"/>
      <c r="AL105" s="1954"/>
      <c r="AM105" s="1954"/>
      <c r="AN105" s="1954"/>
      <c r="AO105" s="1954"/>
      <c r="AP105" s="1954"/>
      <c r="AQ105" s="1954"/>
      <c r="AR105" s="1954"/>
      <c r="AS105" s="1954"/>
      <c r="AT105" s="1954"/>
      <c r="AU105" s="1954"/>
      <c r="AV105" s="1954"/>
      <c r="AW105" s="1954"/>
      <c r="AX105" s="1954"/>
      <c r="AY105" s="1954"/>
      <c r="AZ105" s="1954"/>
      <c r="BA105" s="1954"/>
      <c r="BB105" s="1954"/>
      <c r="BC105" s="1954"/>
      <c r="BD105" s="1954"/>
      <c r="BE105" s="1954"/>
      <c r="BF105" s="1954"/>
      <c r="BG105" s="1954"/>
      <c r="BH105" s="1954"/>
      <c r="BI105" s="1954"/>
      <c r="BJ105" s="1954"/>
      <c r="BK105" s="1954"/>
      <c r="BL105" s="1954"/>
      <c r="BM105" s="1954"/>
      <c r="BN105" s="1954"/>
      <c r="BO105" s="1954"/>
      <c r="BP105" s="1954"/>
      <c r="BQ105" s="1954"/>
      <c r="BR105" s="1954"/>
      <c r="BS105" s="1954"/>
      <c r="BT105" s="1954"/>
      <c r="BU105" s="1954"/>
      <c r="BV105" s="1954"/>
      <c r="BW105" s="1954"/>
      <c r="BX105" s="1954"/>
      <c r="BY105" s="1954"/>
      <c r="BZ105" s="1954"/>
      <c r="CA105" s="1954"/>
      <c r="CB105" s="1954"/>
      <c r="CC105" s="1954"/>
      <c r="CD105" s="1954"/>
      <c r="CE105" s="1954"/>
      <c r="CF105" s="1954"/>
      <c r="CG105" s="1954"/>
      <c r="CH105" s="1954"/>
      <c r="CI105" s="1954"/>
      <c r="CJ105" s="1954"/>
      <c r="CK105" s="1954"/>
      <c r="CL105" s="1954"/>
      <c r="CM105" s="1954"/>
      <c r="CN105" s="1954"/>
      <c r="CO105" s="1954"/>
      <c r="CP105" s="1954"/>
      <c r="CQ105" s="1954"/>
      <c r="CR105" s="1954"/>
      <c r="CS105" s="1954"/>
      <c r="CT105" s="1954"/>
      <c r="CU105" s="1954"/>
      <c r="CV105" s="1954"/>
      <c r="CW105" s="1954"/>
      <c r="CX105" s="1954"/>
      <c r="CY105" s="1954"/>
      <c r="CZ105" s="1954"/>
      <c r="DA105" s="1954"/>
      <c r="DB105" s="1954"/>
      <c r="DC105" s="1954"/>
      <c r="DD105" s="1954"/>
      <c r="DE105" s="1954"/>
      <c r="DF105" s="1954"/>
      <c r="DG105" s="1954"/>
      <c r="DH105" s="1954"/>
      <c r="DI105" s="1954"/>
      <c r="DJ105" s="1954"/>
      <c r="DK105" s="1954"/>
      <c r="DL105" s="1954"/>
      <c r="DM105" s="1954"/>
      <c r="DN105" s="1954"/>
      <c r="DO105" s="1954"/>
      <c r="DP105" s="1954"/>
      <c r="DQ105" s="1954"/>
      <c r="DR105" s="1955"/>
      <c r="DS105" s="313"/>
      <c r="DT105" s="311"/>
      <c r="DU105" s="305"/>
      <c r="DV105" s="305"/>
      <c r="DW105" s="126"/>
      <c r="DX105" s="126"/>
      <c r="DY105" s="126"/>
      <c r="DZ105" s="126"/>
      <c r="EA105" s="126"/>
      <c r="EB105" s="126"/>
      <c r="EC105" s="126"/>
      <c r="ED105" s="126"/>
      <c r="EE105" s="126"/>
      <c r="EF105" s="187"/>
    </row>
    <row r="106" spans="1:136" s="320" customFormat="1" ht="30" customHeight="1">
      <c r="A106" s="318"/>
      <c r="B106" s="312"/>
      <c r="C106" s="313"/>
      <c r="D106" s="1082"/>
      <c r="E106" s="1082"/>
      <c r="F106" s="1082"/>
      <c r="G106" s="316"/>
      <c r="H106" s="1956"/>
      <c r="I106" s="1957"/>
      <c r="J106" s="1957"/>
      <c r="K106" s="1957"/>
      <c r="L106" s="1957"/>
      <c r="M106" s="1957"/>
      <c r="N106" s="1957"/>
      <c r="O106" s="1957"/>
      <c r="P106" s="1957"/>
      <c r="Q106" s="1957"/>
      <c r="R106" s="1957"/>
      <c r="S106" s="1957"/>
      <c r="T106" s="1957"/>
      <c r="U106" s="1957"/>
      <c r="V106" s="1957"/>
      <c r="W106" s="1957"/>
      <c r="X106" s="1957"/>
      <c r="Y106" s="1957"/>
      <c r="Z106" s="1957"/>
      <c r="AA106" s="1957"/>
      <c r="AB106" s="1957"/>
      <c r="AC106" s="1957"/>
      <c r="AD106" s="1957"/>
      <c r="AE106" s="1957"/>
      <c r="AF106" s="1957"/>
      <c r="AG106" s="1957"/>
      <c r="AH106" s="1957"/>
      <c r="AI106" s="1957"/>
      <c r="AJ106" s="1957"/>
      <c r="AK106" s="1957"/>
      <c r="AL106" s="1957"/>
      <c r="AM106" s="1957"/>
      <c r="AN106" s="1957"/>
      <c r="AO106" s="1957"/>
      <c r="AP106" s="1957"/>
      <c r="AQ106" s="1957"/>
      <c r="AR106" s="1957"/>
      <c r="AS106" s="1957"/>
      <c r="AT106" s="1957"/>
      <c r="AU106" s="1957"/>
      <c r="AV106" s="1957"/>
      <c r="AW106" s="1957"/>
      <c r="AX106" s="1957"/>
      <c r="AY106" s="1957"/>
      <c r="AZ106" s="1957"/>
      <c r="BA106" s="1957"/>
      <c r="BB106" s="1957"/>
      <c r="BC106" s="1957"/>
      <c r="BD106" s="1957"/>
      <c r="BE106" s="1957"/>
      <c r="BF106" s="1957"/>
      <c r="BG106" s="1957"/>
      <c r="BH106" s="1957"/>
      <c r="BI106" s="1957"/>
      <c r="BJ106" s="1957"/>
      <c r="BK106" s="1957"/>
      <c r="BL106" s="1957"/>
      <c r="BM106" s="1957"/>
      <c r="BN106" s="1957"/>
      <c r="BO106" s="1957"/>
      <c r="BP106" s="1957"/>
      <c r="BQ106" s="1957"/>
      <c r="BR106" s="1957"/>
      <c r="BS106" s="1957"/>
      <c r="BT106" s="1957"/>
      <c r="BU106" s="1957"/>
      <c r="BV106" s="1957"/>
      <c r="BW106" s="1957"/>
      <c r="BX106" s="1957"/>
      <c r="BY106" s="1957"/>
      <c r="BZ106" s="1957"/>
      <c r="CA106" s="1957"/>
      <c r="CB106" s="1957"/>
      <c r="CC106" s="1957"/>
      <c r="CD106" s="1957"/>
      <c r="CE106" s="1957"/>
      <c r="CF106" s="1957"/>
      <c r="CG106" s="1957"/>
      <c r="CH106" s="1957"/>
      <c r="CI106" s="1957"/>
      <c r="CJ106" s="1957"/>
      <c r="CK106" s="1957"/>
      <c r="CL106" s="1957"/>
      <c r="CM106" s="1957"/>
      <c r="CN106" s="1957"/>
      <c r="CO106" s="1957"/>
      <c r="CP106" s="1957"/>
      <c r="CQ106" s="1957"/>
      <c r="CR106" s="1957"/>
      <c r="CS106" s="1957"/>
      <c r="CT106" s="1957"/>
      <c r="CU106" s="1957"/>
      <c r="CV106" s="1957"/>
      <c r="CW106" s="1957"/>
      <c r="CX106" s="1957"/>
      <c r="CY106" s="1957"/>
      <c r="CZ106" s="1957"/>
      <c r="DA106" s="1957"/>
      <c r="DB106" s="1957"/>
      <c r="DC106" s="1957"/>
      <c r="DD106" s="1957"/>
      <c r="DE106" s="1957"/>
      <c r="DF106" s="1957"/>
      <c r="DG106" s="1957"/>
      <c r="DH106" s="1957"/>
      <c r="DI106" s="1957"/>
      <c r="DJ106" s="1957"/>
      <c r="DK106" s="1957"/>
      <c r="DL106" s="1957"/>
      <c r="DM106" s="1957"/>
      <c r="DN106" s="1957"/>
      <c r="DO106" s="1957"/>
      <c r="DP106" s="1957"/>
      <c r="DQ106" s="1957"/>
      <c r="DR106" s="1958"/>
      <c r="DS106" s="313"/>
      <c r="DT106" s="311"/>
      <c r="DW106" s="202"/>
      <c r="DX106" s="202"/>
      <c r="DY106" s="202"/>
      <c r="DZ106" s="202"/>
      <c r="EA106" s="202"/>
      <c r="EB106" s="202"/>
      <c r="EC106" s="202"/>
      <c r="ED106" s="202"/>
      <c r="EE106" s="202"/>
      <c r="EF106" s="204"/>
    </row>
    <row r="107" spans="1:136" s="320" customFormat="1" ht="6" customHeight="1">
      <c r="A107" s="318"/>
      <c r="B107" s="312"/>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c r="BH107" s="313"/>
      <c r="BI107" s="313"/>
      <c r="BJ107" s="313"/>
      <c r="BK107" s="313"/>
      <c r="BL107" s="313"/>
      <c r="BM107" s="313"/>
      <c r="BN107" s="313"/>
      <c r="BO107" s="313"/>
      <c r="BP107" s="313"/>
      <c r="BQ107" s="313"/>
      <c r="BR107" s="313"/>
      <c r="BS107" s="313"/>
      <c r="BT107" s="313"/>
      <c r="BU107" s="313"/>
      <c r="BV107" s="313"/>
      <c r="BW107" s="313"/>
      <c r="BX107" s="313"/>
      <c r="BY107" s="313"/>
      <c r="BZ107" s="313"/>
      <c r="CA107" s="313"/>
      <c r="CB107" s="313"/>
      <c r="CC107" s="313"/>
      <c r="CD107" s="313"/>
      <c r="CE107" s="313"/>
      <c r="CF107" s="313"/>
      <c r="CG107" s="313"/>
      <c r="CH107" s="313"/>
      <c r="CI107" s="313"/>
      <c r="CJ107" s="313"/>
      <c r="CK107" s="313"/>
      <c r="CL107" s="313"/>
      <c r="CM107" s="313"/>
      <c r="CN107" s="313"/>
      <c r="CO107" s="313"/>
      <c r="CP107" s="313"/>
      <c r="CQ107" s="313"/>
      <c r="CR107" s="313"/>
      <c r="CS107" s="313"/>
      <c r="CT107" s="313"/>
      <c r="CU107" s="313"/>
      <c r="CV107" s="313"/>
      <c r="CW107" s="313"/>
      <c r="CX107" s="313"/>
      <c r="CY107" s="313"/>
      <c r="CZ107" s="313"/>
      <c r="DA107" s="313"/>
      <c r="DB107" s="313"/>
      <c r="DC107" s="313"/>
      <c r="DD107" s="313"/>
      <c r="DE107" s="313"/>
      <c r="DF107" s="313"/>
      <c r="DG107" s="313"/>
      <c r="DH107" s="313"/>
      <c r="DI107" s="313"/>
      <c r="DJ107" s="313"/>
      <c r="DK107" s="313"/>
      <c r="DL107" s="313"/>
      <c r="DM107" s="313"/>
      <c r="DN107" s="313"/>
      <c r="DO107" s="313"/>
      <c r="DP107" s="313"/>
      <c r="DQ107" s="313"/>
      <c r="DR107" s="313"/>
      <c r="DS107" s="313"/>
      <c r="DT107" s="311"/>
      <c r="DW107" s="202"/>
      <c r="DX107" s="202"/>
      <c r="DY107" s="202"/>
      <c r="DZ107" s="202"/>
      <c r="EA107" s="202"/>
      <c r="EB107" s="202"/>
      <c r="EC107" s="202"/>
      <c r="ED107" s="202"/>
      <c r="EE107" s="202"/>
      <c r="EF107" s="204"/>
    </row>
    <row r="108" spans="1:136" s="320" customFormat="1" ht="6" customHeight="1" thickBot="1">
      <c r="A108" s="316"/>
      <c r="B108" s="314"/>
      <c r="C108" s="342"/>
      <c r="D108" s="342"/>
      <c r="E108" s="342"/>
      <c r="F108" s="342"/>
      <c r="G108" s="342"/>
      <c r="H108" s="342"/>
      <c r="I108" s="342"/>
      <c r="J108" s="342"/>
      <c r="K108" s="342"/>
      <c r="L108" s="342"/>
      <c r="M108" s="342"/>
      <c r="N108" s="326"/>
      <c r="O108" s="326"/>
      <c r="P108" s="326"/>
      <c r="Q108" s="326"/>
      <c r="R108" s="326"/>
      <c r="S108" s="326"/>
      <c r="T108" s="342"/>
      <c r="U108" s="342"/>
      <c r="V108" s="342"/>
      <c r="W108" s="342"/>
      <c r="X108" s="342"/>
      <c r="Y108" s="326"/>
      <c r="Z108" s="326"/>
      <c r="AA108" s="326"/>
      <c r="AB108" s="326"/>
      <c r="AC108" s="326"/>
      <c r="AD108" s="326"/>
      <c r="AE108" s="326"/>
      <c r="AF108" s="326"/>
      <c r="AG108" s="326"/>
      <c r="AH108" s="343"/>
      <c r="AI108" s="343"/>
      <c r="AJ108" s="343"/>
      <c r="AK108" s="343"/>
      <c r="AL108" s="343"/>
      <c r="AM108" s="343"/>
      <c r="AN108" s="343"/>
      <c r="AO108" s="343"/>
      <c r="AP108" s="326"/>
      <c r="AQ108" s="344"/>
      <c r="AR108" s="344"/>
      <c r="AS108" s="344"/>
      <c r="AT108" s="323"/>
      <c r="AU108" s="326"/>
      <c r="AV108" s="326"/>
      <c r="AW108" s="326"/>
      <c r="AX108" s="326"/>
      <c r="AY108" s="343"/>
      <c r="AZ108" s="343"/>
      <c r="BA108" s="343"/>
      <c r="BB108" s="343"/>
      <c r="BC108" s="343"/>
      <c r="BD108" s="326"/>
      <c r="BE108" s="326"/>
      <c r="BF108" s="326"/>
      <c r="BG108" s="326"/>
      <c r="BH108" s="343"/>
      <c r="BI108" s="343"/>
      <c r="BJ108" s="343"/>
      <c r="BK108" s="343"/>
      <c r="BL108" s="343"/>
      <c r="BM108" s="326"/>
      <c r="BN108" s="326"/>
      <c r="BO108" s="326"/>
      <c r="BP108" s="326"/>
      <c r="BQ108" s="343"/>
      <c r="BR108" s="343"/>
      <c r="BS108" s="343"/>
      <c r="BT108" s="343"/>
      <c r="BU108" s="343"/>
      <c r="BV108" s="326"/>
      <c r="BW108" s="326"/>
      <c r="BX108" s="326"/>
      <c r="BY108" s="326"/>
      <c r="BZ108" s="343"/>
      <c r="CA108" s="343"/>
      <c r="CB108" s="343"/>
      <c r="CC108" s="345"/>
      <c r="CD108" s="345"/>
      <c r="CE108" s="345"/>
      <c r="CF108" s="342"/>
      <c r="CG108" s="323"/>
      <c r="CH108" s="326"/>
      <c r="CI108" s="326"/>
      <c r="CJ108" s="326"/>
      <c r="CK108" s="326"/>
      <c r="CL108" s="326"/>
      <c r="CM108" s="326"/>
      <c r="CN108" s="326"/>
      <c r="CO108" s="326"/>
      <c r="CP108" s="326"/>
      <c r="CQ108" s="326"/>
      <c r="CR108" s="326"/>
      <c r="CS108" s="326"/>
      <c r="CT108" s="326"/>
      <c r="CU108" s="326"/>
      <c r="CV108" s="326"/>
      <c r="CW108" s="326"/>
      <c r="CX108" s="326"/>
      <c r="CY108" s="345"/>
      <c r="CZ108" s="345"/>
      <c r="DA108" s="345"/>
      <c r="DB108" s="345"/>
      <c r="DC108" s="345"/>
      <c r="DD108" s="345"/>
      <c r="DE108" s="345"/>
      <c r="DF108" s="345"/>
      <c r="DG108" s="345"/>
      <c r="DH108" s="345"/>
      <c r="DI108" s="345"/>
      <c r="DJ108" s="345"/>
      <c r="DK108" s="345"/>
      <c r="DL108" s="345"/>
      <c r="DM108" s="345"/>
      <c r="DN108" s="345"/>
      <c r="DO108" s="345"/>
      <c r="DP108" s="345"/>
      <c r="DQ108" s="345"/>
      <c r="DR108" s="345"/>
      <c r="DS108" s="345"/>
      <c r="DT108" s="327"/>
      <c r="DW108" s="202"/>
      <c r="DX108" s="202"/>
      <c r="DY108" s="202"/>
      <c r="DZ108" s="202"/>
      <c r="EA108" s="202"/>
      <c r="EB108" s="202"/>
      <c r="EC108" s="202"/>
      <c r="ED108" s="202"/>
      <c r="EE108" s="202"/>
      <c r="EF108" s="204"/>
    </row>
    <row r="109" spans="1:136" ht="6" customHeight="1">
      <c r="B109" s="312"/>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310"/>
      <c r="AF109" s="310"/>
      <c r="AG109" s="310"/>
      <c r="AH109" s="310"/>
      <c r="AI109" s="310"/>
      <c r="AJ109" s="310"/>
      <c r="AK109" s="310"/>
      <c r="AL109" s="310"/>
      <c r="AM109" s="310"/>
      <c r="AN109" s="310"/>
      <c r="AO109" s="310"/>
      <c r="AP109" s="310"/>
      <c r="AQ109" s="310"/>
      <c r="AR109" s="310"/>
      <c r="AS109" s="310"/>
      <c r="AT109" s="310"/>
      <c r="AU109" s="310"/>
      <c r="AV109" s="310"/>
      <c r="AW109" s="310"/>
      <c r="AX109" s="310"/>
      <c r="AY109" s="310"/>
      <c r="AZ109" s="310"/>
      <c r="BA109" s="310"/>
      <c r="BB109" s="310"/>
      <c r="BC109" s="310"/>
      <c r="BD109" s="310"/>
      <c r="BE109" s="310"/>
      <c r="BF109" s="310"/>
      <c r="BG109" s="310"/>
      <c r="BH109" s="310"/>
      <c r="BI109" s="310"/>
      <c r="BJ109" s="310"/>
      <c r="BK109" s="310"/>
      <c r="BL109" s="310"/>
      <c r="BM109" s="310"/>
      <c r="BN109" s="310"/>
      <c r="BO109" s="310"/>
      <c r="BP109" s="310"/>
      <c r="BQ109" s="199"/>
      <c r="BR109" s="310"/>
      <c r="BS109" s="309"/>
      <c r="BT109" s="310"/>
      <c r="BU109" s="310"/>
      <c r="BV109" s="310"/>
      <c r="BW109" s="310"/>
      <c r="BX109" s="209"/>
      <c r="BY109" s="209"/>
      <c r="BZ109" s="310"/>
      <c r="CA109" s="310"/>
      <c r="CB109" s="310"/>
      <c r="CC109" s="310"/>
      <c r="CD109" s="310"/>
      <c r="CE109" s="310"/>
      <c r="CF109" s="310"/>
      <c r="CG109" s="309"/>
      <c r="CH109" s="1839"/>
      <c r="CI109" s="1839"/>
      <c r="CJ109" s="1839"/>
      <c r="CK109" s="309"/>
      <c r="CL109" s="199"/>
      <c r="CM109" s="309"/>
      <c r="CN109" s="309"/>
      <c r="CO109" s="309"/>
      <c r="CP109" s="309"/>
      <c r="CQ109" s="309"/>
      <c r="CR109" s="310"/>
      <c r="CS109" s="310"/>
      <c r="CT109" s="310"/>
      <c r="CU109" s="310"/>
      <c r="CV109" s="310"/>
      <c r="CW109" s="310"/>
      <c r="CX109" s="310"/>
      <c r="CY109" s="310"/>
      <c r="CZ109" s="1839"/>
      <c r="DA109" s="1839"/>
      <c r="DB109" s="1839"/>
      <c r="DC109" s="309"/>
      <c r="DD109" s="209"/>
      <c r="DE109" s="309"/>
      <c r="DF109" s="310"/>
      <c r="DG109" s="310"/>
      <c r="DH109" s="310"/>
      <c r="DI109" s="310"/>
      <c r="DJ109" s="309"/>
      <c r="DK109" s="309"/>
      <c r="DL109" s="309"/>
      <c r="DM109" s="309"/>
      <c r="DN109" s="309"/>
      <c r="DO109" s="309"/>
      <c r="DP109" s="309"/>
      <c r="DQ109" s="309"/>
      <c r="DR109" s="310"/>
      <c r="DS109" s="310"/>
      <c r="DT109" s="311"/>
    </row>
    <row r="110" spans="1:136" ht="30" customHeight="1">
      <c r="B110" s="536" t="str">
        <f ca="1">'D4.5Why''s-D5-D6'!B6</f>
        <v>D4 - Root cause analysis</v>
      </c>
      <c r="C110" s="309"/>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309"/>
      <c r="AF110" s="309"/>
      <c r="AG110" s="309"/>
      <c r="AH110" s="309"/>
      <c r="AI110" s="309"/>
      <c r="AJ110" s="309"/>
      <c r="AK110" s="309"/>
      <c r="AL110" s="309"/>
      <c r="AM110" s="309"/>
      <c r="AN110" s="309"/>
      <c r="AO110" s="309"/>
      <c r="AP110" s="309"/>
      <c r="AQ110" s="309"/>
      <c r="AR110" s="309"/>
      <c r="AS110" s="309"/>
      <c r="AT110" s="309"/>
      <c r="AU110" s="309"/>
      <c r="AV110" s="309"/>
      <c r="AW110" s="309"/>
      <c r="AX110" s="309"/>
      <c r="AY110" s="309"/>
      <c r="AZ110" s="309"/>
      <c r="BA110" s="309"/>
      <c r="BB110" s="309"/>
      <c r="BC110" s="309"/>
      <c r="BD110" s="309"/>
      <c r="BE110" s="309"/>
      <c r="BF110" s="309"/>
      <c r="BG110" s="309"/>
      <c r="BH110" s="309"/>
      <c r="BI110" s="309"/>
      <c r="BJ110" s="309"/>
      <c r="BK110" s="309"/>
      <c r="BL110" s="309"/>
      <c r="BM110" s="309"/>
      <c r="BN110" s="309"/>
      <c r="BO110" s="309"/>
      <c r="BP110" s="309"/>
      <c r="BQ110" s="309"/>
      <c r="BR110" s="309"/>
      <c r="BS110" s="309"/>
      <c r="BT110" s="309"/>
      <c r="BU110" s="309"/>
      <c r="BV110" s="309"/>
      <c r="BW110" s="309"/>
      <c r="BX110" s="309"/>
      <c r="BY110" s="309"/>
      <c r="BZ110" s="309"/>
      <c r="CA110" s="309"/>
      <c r="CB110" s="309"/>
      <c r="CC110" s="309"/>
      <c r="CD110" s="309"/>
      <c r="CE110" s="309"/>
      <c r="CF110" s="309"/>
      <c r="CG110" s="309"/>
      <c r="CH110" s="309"/>
      <c r="CI110" s="309"/>
      <c r="CJ110" s="309"/>
      <c r="CK110" s="309"/>
      <c r="CL110" s="309"/>
      <c r="CM110" s="309"/>
      <c r="CN110" s="309"/>
      <c r="CO110" s="309"/>
      <c r="CP110" s="309"/>
      <c r="CQ110" s="309"/>
      <c r="CR110" s="309"/>
      <c r="CS110" s="309"/>
      <c r="CT110" s="309"/>
      <c r="CU110" s="309"/>
      <c r="CV110" s="309"/>
      <c r="CW110" s="309"/>
      <c r="CX110" s="309"/>
      <c r="CY110" s="309"/>
      <c r="CZ110" s="309"/>
      <c r="DA110" s="309"/>
      <c r="DB110" s="309"/>
      <c r="DC110" s="309"/>
      <c r="DD110" s="309"/>
      <c r="DE110" s="309"/>
      <c r="DF110" s="309"/>
      <c r="DG110" s="309"/>
      <c r="DH110" s="309"/>
      <c r="DI110" s="309"/>
      <c r="DJ110" s="309"/>
      <c r="DK110" s="309"/>
      <c r="DL110" s="309"/>
      <c r="DM110" s="309"/>
      <c r="DN110" s="309"/>
      <c r="DO110" s="309"/>
      <c r="DP110" s="309"/>
      <c r="DQ110" s="309"/>
      <c r="DR110" s="309"/>
      <c r="DS110" s="309"/>
      <c r="DT110" s="315"/>
    </row>
    <row r="111" spans="1:136" ht="6" customHeight="1">
      <c r="B111" s="312"/>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c r="AA111" s="310"/>
      <c r="AB111" s="310"/>
      <c r="AC111" s="310"/>
      <c r="AD111" s="310"/>
      <c r="AE111" s="310"/>
      <c r="AF111" s="310"/>
      <c r="AG111" s="310"/>
      <c r="AH111" s="310"/>
      <c r="AI111" s="310"/>
      <c r="AJ111" s="310"/>
      <c r="AK111" s="310"/>
      <c r="AL111" s="310"/>
      <c r="AM111" s="310"/>
      <c r="AN111" s="310"/>
      <c r="AO111" s="310"/>
      <c r="AP111" s="310"/>
      <c r="AQ111" s="310"/>
      <c r="AR111" s="310"/>
      <c r="AS111" s="310"/>
      <c r="AT111" s="310"/>
      <c r="AU111" s="310"/>
      <c r="AV111" s="310"/>
      <c r="AW111" s="310"/>
      <c r="AX111" s="310"/>
      <c r="AY111" s="310"/>
      <c r="AZ111" s="310"/>
      <c r="BA111" s="310"/>
      <c r="BB111" s="310"/>
      <c r="BC111" s="310"/>
      <c r="BD111" s="310"/>
      <c r="BE111" s="310"/>
      <c r="BF111" s="310"/>
      <c r="BG111" s="310"/>
      <c r="BH111" s="310"/>
      <c r="BI111" s="310"/>
      <c r="BJ111" s="310"/>
      <c r="BK111" s="310"/>
      <c r="BL111" s="310"/>
      <c r="BM111" s="310"/>
      <c r="BN111" s="310"/>
      <c r="BO111" s="310"/>
      <c r="BP111" s="310"/>
      <c r="BQ111" s="310"/>
      <c r="BR111" s="310"/>
      <c r="BS111" s="310"/>
      <c r="BT111" s="310"/>
      <c r="BU111" s="310"/>
      <c r="BV111" s="310"/>
      <c r="BW111" s="310"/>
      <c r="BX111" s="310"/>
      <c r="BY111" s="310"/>
      <c r="BZ111" s="310"/>
      <c r="CA111" s="310"/>
      <c r="CB111" s="310"/>
      <c r="CC111" s="310"/>
      <c r="CD111" s="310"/>
      <c r="CE111" s="310"/>
      <c r="CF111" s="310"/>
      <c r="CG111" s="310"/>
      <c r="CH111" s="310"/>
      <c r="CI111" s="310"/>
      <c r="CJ111" s="310"/>
      <c r="CK111" s="310"/>
      <c r="CL111" s="310"/>
      <c r="CM111" s="310"/>
      <c r="CN111" s="310"/>
      <c r="CO111" s="310"/>
      <c r="CP111" s="310"/>
      <c r="CQ111" s="310"/>
      <c r="CR111" s="310"/>
      <c r="CS111" s="310"/>
      <c r="CT111" s="310"/>
      <c r="CU111" s="310"/>
      <c r="CV111" s="310"/>
      <c r="CW111" s="310"/>
      <c r="CX111" s="310"/>
      <c r="CY111" s="310"/>
      <c r="CZ111" s="310"/>
      <c r="DA111" s="310"/>
      <c r="DB111" s="310"/>
      <c r="DC111" s="310"/>
      <c r="DD111" s="310"/>
      <c r="DE111" s="310"/>
      <c r="DF111" s="310"/>
      <c r="DG111" s="310"/>
      <c r="DH111" s="310"/>
      <c r="DI111" s="310"/>
      <c r="DJ111" s="310"/>
      <c r="DK111" s="310"/>
      <c r="DL111" s="310"/>
      <c r="DM111" s="310"/>
      <c r="DN111" s="310"/>
      <c r="DO111" s="310"/>
      <c r="DP111" s="310"/>
      <c r="DQ111" s="310"/>
      <c r="DR111" s="310"/>
      <c r="DS111" s="310"/>
      <c r="DT111" s="311"/>
    </row>
    <row r="112" spans="1:136" ht="6" customHeight="1">
      <c r="B112" s="312"/>
      <c r="C112" s="313"/>
      <c r="D112" s="313"/>
      <c r="E112" s="313"/>
      <c r="F112" s="313"/>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c r="BH112" s="313"/>
      <c r="BI112" s="313"/>
      <c r="BJ112" s="313"/>
      <c r="BK112" s="313"/>
      <c r="BL112" s="313"/>
      <c r="BM112" s="313"/>
      <c r="BN112" s="313"/>
      <c r="BO112" s="313"/>
      <c r="BP112" s="313"/>
      <c r="BQ112" s="313"/>
      <c r="BR112" s="313"/>
      <c r="BS112" s="313"/>
      <c r="BT112" s="313"/>
      <c r="BU112" s="313"/>
      <c r="BV112" s="313"/>
      <c r="BW112" s="313"/>
      <c r="BX112" s="313"/>
      <c r="BY112" s="313"/>
      <c r="BZ112" s="313"/>
      <c r="CA112" s="313"/>
      <c r="CB112" s="313"/>
      <c r="CC112" s="313"/>
      <c r="CD112" s="313"/>
      <c r="CE112" s="313"/>
      <c r="CF112" s="313"/>
      <c r="CG112" s="313"/>
      <c r="CH112" s="313"/>
      <c r="CI112" s="313"/>
      <c r="CJ112" s="313"/>
      <c r="CK112" s="313"/>
      <c r="CL112" s="313"/>
      <c r="CM112" s="313"/>
      <c r="CN112" s="313"/>
      <c r="CO112" s="313"/>
      <c r="CP112" s="313"/>
      <c r="CQ112" s="313"/>
      <c r="CR112" s="313"/>
      <c r="CS112" s="313"/>
      <c r="CT112" s="313"/>
      <c r="CU112" s="313"/>
      <c r="CV112" s="313"/>
      <c r="CW112" s="313"/>
      <c r="CX112" s="313"/>
      <c r="CY112" s="313"/>
      <c r="CZ112" s="313"/>
      <c r="DA112" s="313"/>
      <c r="DB112" s="313"/>
      <c r="DC112" s="313"/>
      <c r="DD112" s="313"/>
      <c r="DE112" s="313"/>
      <c r="DF112" s="313"/>
      <c r="DG112" s="313"/>
      <c r="DH112" s="313"/>
      <c r="DI112" s="313"/>
      <c r="DJ112" s="313"/>
      <c r="DK112" s="313"/>
      <c r="DL112" s="313"/>
      <c r="DM112" s="313"/>
      <c r="DN112" s="313"/>
      <c r="DO112" s="313"/>
      <c r="DP112" s="313"/>
      <c r="DQ112" s="313"/>
      <c r="DR112" s="313"/>
      <c r="DS112" s="313"/>
      <c r="DT112" s="311"/>
    </row>
    <row r="113" spans="2:138" ht="32.1" customHeight="1">
      <c r="B113" s="312"/>
      <c r="C113" s="313"/>
      <c r="D113" s="2055" t="str">
        <f ca="1">'D4.5Why''s-D5-D6'!D19</f>
        <v>Factors identification/Influent factors</v>
      </c>
      <c r="E113" s="2056"/>
      <c r="F113" s="2056"/>
      <c r="G113" s="2056"/>
      <c r="H113" s="2056"/>
      <c r="I113" s="2056"/>
      <c r="J113" s="2056"/>
      <c r="K113" s="2056"/>
      <c r="L113" s="2056"/>
      <c r="M113" s="2056"/>
      <c r="N113" s="2056"/>
      <c r="O113" s="2056"/>
      <c r="P113" s="2056"/>
      <c r="Q113" s="2056"/>
      <c r="R113" s="2056"/>
      <c r="S113" s="2056"/>
      <c r="T113" s="2056"/>
      <c r="U113" s="2056"/>
      <c r="V113" s="2056"/>
      <c r="W113" s="2056"/>
      <c r="X113" s="2056"/>
      <c r="Y113" s="2056"/>
      <c r="Z113" s="2056"/>
      <c r="AA113" s="2056"/>
      <c r="AB113" s="2056"/>
      <c r="AC113" s="2056"/>
      <c r="AD113" s="2056"/>
      <c r="AE113" s="2056"/>
      <c r="AF113" s="2056"/>
      <c r="AG113" s="2057"/>
      <c r="AH113" s="2049" t="str">
        <f ca="1">'D4.5Why''s-D5-D6'!J18</f>
        <v>Why 1</v>
      </c>
      <c r="AI113" s="2049"/>
      <c r="AJ113" s="2049"/>
      <c r="AK113" s="2049"/>
      <c r="AL113" s="2049"/>
      <c r="AM113" s="2049"/>
      <c r="AN113" s="2049"/>
      <c r="AO113" s="2049"/>
      <c r="AP113" s="2049"/>
      <c r="AQ113" s="2049"/>
      <c r="AR113" s="2049"/>
      <c r="AS113" s="2049" t="str">
        <f ca="1">'D4.5Why''s-D5-D6'!L18</f>
        <v>Why 2</v>
      </c>
      <c r="AT113" s="2049"/>
      <c r="AU113" s="2049"/>
      <c r="AV113" s="2049"/>
      <c r="AW113" s="2049"/>
      <c r="AX113" s="2049"/>
      <c r="AY113" s="2049"/>
      <c r="AZ113" s="2049"/>
      <c r="BA113" s="2049"/>
      <c r="BB113" s="2049"/>
      <c r="BC113" s="2049"/>
      <c r="BD113" s="2049"/>
      <c r="BE113" s="2049"/>
      <c r="BF113" s="1875" t="str">
        <f ca="1">'D4.5Why''s-D5-D6'!O18</f>
        <v>Why 3</v>
      </c>
      <c r="BG113" s="1876"/>
      <c r="BH113" s="1876"/>
      <c r="BI113" s="1876"/>
      <c r="BJ113" s="1876"/>
      <c r="BK113" s="1876"/>
      <c r="BL113" s="1876"/>
      <c r="BM113" s="1876"/>
      <c r="BN113" s="1876"/>
      <c r="BO113" s="1876"/>
      <c r="BP113" s="1876"/>
      <c r="BQ113" s="1876"/>
      <c r="BR113" s="1877"/>
      <c r="BS113" s="1875" t="str">
        <f ca="1">'D4.5Why''s-D5-D6'!Q18</f>
        <v>Why 4</v>
      </c>
      <c r="BT113" s="1876"/>
      <c r="BU113" s="1876"/>
      <c r="BV113" s="1876"/>
      <c r="BW113" s="1876"/>
      <c r="BX113" s="1876"/>
      <c r="BY113" s="1876"/>
      <c r="BZ113" s="1876"/>
      <c r="CA113" s="1876"/>
      <c r="CB113" s="1876"/>
      <c r="CC113" s="1876"/>
      <c r="CD113" s="1876"/>
      <c r="CE113" s="1877"/>
      <c r="CF113" s="1875" t="str">
        <f ca="1">'D4.5Why''s-D5-D6'!T18</f>
        <v>Why 5</v>
      </c>
      <c r="CG113" s="1876"/>
      <c r="CH113" s="1876"/>
      <c r="CI113" s="1876"/>
      <c r="CJ113" s="1876"/>
      <c r="CK113" s="1876"/>
      <c r="CL113" s="1876"/>
      <c r="CM113" s="1876"/>
      <c r="CN113" s="1876"/>
      <c r="CO113" s="1876"/>
      <c r="CP113" s="1876"/>
      <c r="CQ113" s="1876"/>
      <c r="CR113" s="1877"/>
      <c r="CS113" s="2046" t="str">
        <f ca="1">'D4.5Why''s-D5-D6'!X16</f>
        <v>Fault category</v>
      </c>
      <c r="CT113" s="2047"/>
      <c r="CU113" s="2047"/>
      <c r="CV113" s="2047"/>
      <c r="CW113" s="2047"/>
      <c r="CX113" s="2047"/>
      <c r="CY113" s="2047"/>
      <c r="CZ113" s="2047"/>
      <c r="DA113" s="2047"/>
      <c r="DB113" s="2048"/>
      <c r="DC113" s="2046" t="str">
        <f ca="1">'D4.5Why''s-D5-D6'!Z16</f>
        <v>Verification of the causes</v>
      </c>
      <c r="DD113" s="2047"/>
      <c r="DE113" s="2047"/>
      <c r="DF113" s="2047"/>
      <c r="DG113" s="2047"/>
      <c r="DH113" s="2047"/>
      <c r="DI113" s="2047"/>
      <c r="DJ113" s="2047"/>
      <c r="DK113" s="2047"/>
      <c r="DL113" s="2047"/>
      <c r="DM113" s="2047"/>
      <c r="DN113" s="2047"/>
      <c r="DO113" s="2047"/>
      <c r="DP113" s="2047"/>
      <c r="DQ113" s="2047"/>
      <c r="DR113" s="2048"/>
      <c r="DS113" s="313"/>
      <c r="DT113" s="311"/>
    </row>
    <row r="114" spans="2:138" ht="6" customHeight="1">
      <c r="B114" s="312"/>
      <c r="C114" s="313"/>
      <c r="D114" s="533"/>
      <c r="E114" s="533"/>
      <c r="F114" s="533"/>
      <c r="G114" s="533"/>
      <c r="H114" s="533"/>
      <c r="I114" s="533"/>
      <c r="J114" s="533"/>
      <c r="K114" s="533"/>
      <c r="L114" s="533"/>
      <c r="M114" s="533"/>
      <c r="N114" s="533"/>
      <c r="O114" s="533"/>
      <c r="P114" s="534"/>
      <c r="Q114" s="534"/>
      <c r="R114" s="534"/>
      <c r="S114" s="534"/>
      <c r="T114" s="534"/>
      <c r="U114" s="534"/>
      <c r="V114" s="534"/>
      <c r="W114" s="534"/>
      <c r="X114" s="534"/>
      <c r="Y114" s="534"/>
      <c r="Z114" s="534"/>
      <c r="AA114" s="534"/>
      <c r="AB114" s="534"/>
      <c r="AC114" s="534"/>
      <c r="AD114" s="534"/>
      <c r="AE114" s="534"/>
      <c r="AF114" s="534"/>
      <c r="AG114" s="534"/>
      <c r="AH114" s="534"/>
      <c r="AI114" s="534"/>
      <c r="AJ114" s="534"/>
      <c r="AK114" s="534"/>
      <c r="AL114" s="534"/>
      <c r="AM114" s="534"/>
      <c r="AN114" s="534"/>
      <c r="AO114" s="534"/>
      <c r="AP114" s="534"/>
      <c r="AQ114" s="534"/>
      <c r="AR114" s="534"/>
      <c r="AS114" s="534"/>
      <c r="AT114" s="534"/>
      <c r="AU114" s="534"/>
      <c r="AV114" s="534"/>
      <c r="AW114" s="534"/>
      <c r="AX114" s="534"/>
      <c r="AY114" s="534"/>
      <c r="AZ114" s="534"/>
      <c r="BA114" s="534"/>
      <c r="BB114" s="534"/>
      <c r="BC114" s="534"/>
      <c r="BD114" s="534"/>
      <c r="BE114" s="534"/>
      <c r="BF114" s="534"/>
      <c r="BG114" s="534"/>
      <c r="BH114" s="534"/>
      <c r="BI114" s="534"/>
      <c r="BJ114" s="534"/>
      <c r="BK114" s="534"/>
      <c r="BL114" s="534"/>
      <c r="BM114" s="534"/>
      <c r="BN114" s="534"/>
      <c r="BO114" s="534"/>
      <c r="BP114" s="534"/>
      <c r="BQ114" s="534"/>
      <c r="BR114" s="534"/>
      <c r="BS114" s="534"/>
      <c r="BT114" s="534"/>
      <c r="BU114" s="534"/>
      <c r="BV114" s="534"/>
      <c r="BW114" s="534"/>
      <c r="BX114" s="534"/>
      <c r="BY114" s="534"/>
      <c r="BZ114" s="534"/>
      <c r="CA114" s="534"/>
      <c r="CB114" s="534"/>
      <c r="CC114" s="534"/>
      <c r="CD114" s="534"/>
      <c r="CE114" s="534"/>
      <c r="CF114" s="534"/>
      <c r="CG114" s="534"/>
      <c r="CH114" s="534"/>
      <c r="CI114" s="534"/>
      <c r="CJ114" s="534"/>
      <c r="CK114" s="534"/>
      <c r="CL114" s="534"/>
      <c r="CM114" s="534"/>
      <c r="CN114" s="534"/>
      <c r="CO114" s="534"/>
      <c r="CP114" s="534"/>
      <c r="CQ114" s="534"/>
      <c r="CR114" s="534"/>
      <c r="CS114" s="534"/>
      <c r="CT114" s="534"/>
      <c r="CU114" s="534"/>
      <c r="CV114" s="534"/>
      <c r="CW114" s="534"/>
      <c r="CX114" s="534"/>
      <c r="CY114" s="534"/>
      <c r="CZ114" s="534"/>
      <c r="DA114" s="534"/>
      <c r="DB114" s="534"/>
      <c r="DC114" s="534"/>
      <c r="DD114" s="534"/>
      <c r="DE114" s="534"/>
      <c r="DF114" s="534"/>
      <c r="DG114" s="534"/>
      <c r="DH114" s="534"/>
      <c r="DI114" s="534"/>
      <c r="DJ114" s="534"/>
      <c r="DK114" s="534"/>
      <c r="DL114" s="534"/>
      <c r="DM114" s="534"/>
      <c r="DN114" s="534"/>
      <c r="DO114" s="534"/>
      <c r="DP114" s="534"/>
      <c r="DQ114" s="534"/>
      <c r="DR114" s="534"/>
      <c r="DS114" s="313"/>
      <c r="DT114" s="311"/>
    </row>
    <row r="115" spans="2:138" ht="30" customHeight="1">
      <c r="B115" s="312"/>
      <c r="C115" s="313"/>
      <c r="D115" s="2079" t="str">
        <f ca="1">'D4.5Why''s-D5-D6'!D40</f>
        <v>Technical consideration factors</v>
      </c>
      <c r="E115" s="1833" t="str">
        <f>IF(ISNA('D4.5Why''s-D5-D6'!AX19),"",'D4.5Why''s-D5-D6'!AX19)</f>
        <v/>
      </c>
      <c r="F115" s="1833"/>
      <c r="G115" s="1833"/>
      <c r="H115" s="1833"/>
      <c r="I115" s="1833"/>
      <c r="J115" s="1833"/>
      <c r="K115" s="1833"/>
      <c r="L115" s="1833"/>
      <c r="M115" s="2025" t="str">
        <f>IF(ISNA('D4.5Why''s-D5-D6'!AY19),"",'D4.5Why''s-D5-D6'!AY19)</f>
        <v/>
      </c>
      <c r="N115" s="2026"/>
      <c r="O115" s="2026"/>
      <c r="P115" s="2026"/>
      <c r="Q115" s="2026"/>
      <c r="R115" s="2026"/>
      <c r="S115" s="2026"/>
      <c r="T115" s="2026"/>
      <c r="U115" s="2026"/>
      <c r="V115" s="2026"/>
      <c r="W115" s="2026"/>
      <c r="X115" s="2026"/>
      <c r="Y115" s="2026"/>
      <c r="Z115" s="2026"/>
      <c r="AA115" s="2026"/>
      <c r="AB115" s="2026"/>
      <c r="AC115" s="2026"/>
      <c r="AD115" s="2026"/>
      <c r="AE115" s="2026"/>
      <c r="AF115" s="2026"/>
      <c r="AG115" s="2027"/>
      <c r="AH115" s="1878" t="str">
        <f>IF(ISNA('D4.5Why''s-D5-D6'!AZ19),"",'D4.5Why''s-D5-D6'!AZ19)</f>
        <v/>
      </c>
      <c r="AI115" s="1879"/>
      <c r="AJ115" s="1879"/>
      <c r="AK115" s="1879"/>
      <c r="AL115" s="1879"/>
      <c r="AM115" s="1879"/>
      <c r="AN115" s="1879"/>
      <c r="AO115" s="1879"/>
      <c r="AP115" s="1879"/>
      <c r="AQ115" s="1879"/>
      <c r="AR115" s="1880"/>
      <c r="AS115" s="1833" t="str">
        <f>IF(ISNA('D4.5Why''s-D5-D6'!BA19),"",'D4.5Why''s-D5-D6'!BA19)</f>
        <v/>
      </c>
      <c r="AT115" s="1833"/>
      <c r="AU115" s="1833"/>
      <c r="AV115" s="1833"/>
      <c r="AW115" s="1833"/>
      <c r="AX115" s="1833"/>
      <c r="AY115" s="1833"/>
      <c r="AZ115" s="1833"/>
      <c r="BA115" s="1833"/>
      <c r="BB115" s="1833"/>
      <c r="BC115" s="1833"/>
      <c r="BD115" s="1833"/>
      <c r="BE115" s="1833"/>
      <c r="BF115" s="1833" t="str">
        <f>IF(ISNA('D4.5Why''s-D5-D6'!BB19),"",'D4.5Why''s-D5-D6'!BB19)</f>
        <v/>
      </c>
      <c r="BG115" s="1833"/>
      <c r="BH115" s="1833"/>
      <c r="BI115" s="1833"/>
      <c r="BJ115" s="1833"/>
      <c r="BK115" s="1833"/>
      <c r="BL115" s="1833"/>
      <c r="BM115" s="1833"/>
      <c r="BN115" s="1833"/>
      <c r="BO115" s="1833"/>
      <c r="BP115" s="1833"/>
      <c r="BQ115" s="1833"/>
      <c r="BR115" s="1833"/>
      <c r="BS115" s="1833" t="str">
        <f>IF(ISNA('D4.5Why''s-D5-D6'!BC19),"",'D4.5Why''s-D5-D6'!BC19)</f>
        <v/>
      </c>
      <c r="BT115" s="1833"/>
      <c r="BU115" s="1833"/>
      <c r="BV115" s="1833"/>
      <c r="BW115" s="1833"/>
      <c r="BX115" s="1833"/>
      <c r="BY115" s="1833"/>
      <c r="BZ115" s="1833"/>
      <c r="CA115" s="1833"/>
      <c r="CB115" s="1833"/>
      <c r="CC115" s="1833"/>
      <c r="CD115" s="1833"/>
      <c r="CE115" s="1833"/>
      <c r="CF115" s="1833" t="str">
        <f>IF(ISNA('D4.5Why''s-D5-D6'!BD19),"",'D4.5Why''s-D5-D6'!BD19)</f>
        <v/>
      </c>
      <c r="CG115" s="1833"/>
      <c r="CH115" s="1833"/>
      <c r="CI115" s="1833"/>
      <c r="CJ115" s="1833"/>
      <c r="CK115" s="1833"/>
      <c r="CL115" s="1833"/>
      <c r="CM115" s="1833"/>
      <c r="CN115" s="1833"/>
      <c r="CO115" s="1833"/>
      <c r="CP115" s="1833"/>
      <c r="CQ115" s="1833"/>
      <c r="CR115" s="1833"/>
      <c r="CS115" s="1833" t="str">
        <f>IF(ISNA('D4.5Why''s-D5-D6'!BE19),"",'D4.5Why''s-D5-D6'!BE19)</f>
        <v/>
      </c>
      <c r="CT115" s="1833"/>
      <c r="CU115" s="1833"/>
      <c r="CV115" s="1833"/>
      <c r="CW115" s="1833"/>
      <c r="CX115" s="1833"/>
      <c r="CY115" s="1833"/>
      <c r="CZ115" s="1833"/>
      <c r="DA115" s="1833"/>
      <c r="DB115" s="1833"/>
      <c r="DC115" s="1878" t="str">
        <f>IF(ISNA('D4.5Why''s-D5-D6'!BF19),"",'D4.5Why''s-D5-D6'!BF19)</f>
        <v/>
      </c>
      <c r="DD115" s="1879"/>
      <c r="DE115" s="1879"/>
      <c r="DF115" s="1879"/>
      <c r="DG115" s="1879"/>
      <c r="DH115" s="1879"/>
      <c r="DI115" s="1879"/>
      <c r="DJ115" s="1879"/>
      <c r="DK115" s="1879"/>
      <c r="DL115" s="1879"/>
      <c r="DM115" s="1879"/>
      <c r="DN115" s="1879"/>
      <c r="DO115" s="1879"/>
      <c r="DP115" s="1879"/>
      <c r="DQ115" s="1879"/>
      <c r="DR115" s="1880"/>
      <c r="DS115" s="313"/>
      <c r="DT115" s="311"/>
    </row>
    <row r="116" spans="2:138" ht="30" customHeight="1">
      <c r="B116" s="312"/>
      <c r="C116" s="313"/>
      <c r="D116" s="2080"/>
      <c r="E116" s="1833" t="str">
        <f>IF(ISNA('D4.5Why''s-D5-D6'!AX20),"",'D4.5Why''s-D5-D6'!AX20)</f>
        <v/>
      </c>
      <c r="F116" s="1833"/>
      <c r="G116" s="1833"/>
      <c r="H116" s="1833"/>
      <c r="I116" s="1833"/>
      <c r="J116" s="1833"/>
      <c r="K116" s="1833"/>
      <c r="L116" s="1833"/>
      <c r="M116" s="2025" t="str">
        <f>IF(ISNA('D4.5Why''s-D5-D6'!AY20),"",'D4.5Why''s-D5-D6'!AY20)</f>
        <v/>
      </c>
      <c r="N116" s="2026"/>
      <c r="O116" s="2026"/>
      <c r="P116" s="2026"/>
      <c r="Q116" s="2026"/>
      <c r="R116" s="2026"/>
      <c r="S116" s="2026"/>
      <c r="T116" s="2026"/>
      <c r="U116" s="2026"/>
      <c r="V116" s="2026"/>
      <c r="W116" s="2026"/>
      <c r="X116" s="2026"/>
      <c r="Y116" s="2026"/>
      <c r="Z116" s="2026"/>
      <c r="AA116" s="2026"/>
      <c r="AB116" s="2026"/>
      <c r="AC116" s="2026"/>
      <c r="AD116" s="2026"/>
      <c r="AE116" s="2026"/>
      <c r="AF116" s="2026"/>
      <c r="AG116" s="2027"/>
      <c r="AH116" s="1878" t="str">
        <f>IF(ISNA('D4.5Why''s-D5-D6'!AZ20),"",'D4.5Why''s-D5-D6'!AZ20)</f>
        <v/>
      </c>
      <c r="AI116" s="1879"/>
      <c r="AJ116" s="1879"/>
      <c r="AK116" s="1879"/>
      <c r="AL116" s="1879"/>
      <c r="AM116" s="1879"/>
      <c r="AN116" s="1879"/>
      <c r="AO116" s="1879"/>
      <c r="AP116" s="1879"/>
      <c r="AQ116" s="1879"/>
      <c r="AR116" s="1880"/>
      <c r="AS116" s="1833" t="str">
        <f>IF(ISNA('D4.5Why''s-D5-D6'!BA20),"",'D4.5Why''s-D5-D6'!BA20)</f>
        <v/>
      </c>
      <c r="AT116" s="1833"/>
      <c r="AU116" s="1833"/>
      <c r="AV116" s="1833"/>
      <c r="AW116" s="1833"/>
      <c r="AX116" s="1833"/>
      <c r="AY116" s="1833"/>
      <c r="AZ116" s="1833"/>
      <c r="BA116" s="1833"/>
      <c r="BB116" s="1833"/>
      <c r="BC116" s="1833"/>
      <c r="BD116" s="1833"/>
      <c r="BE116" s="1833"/>
      <c r="BF116" s="1833" t="str">
        <f>IF(ISNA('D4.5Why''s-D5-D6'!BB20),"",'D4.5Why''s-D5-D6'!BB20)</f>
        <v/>
      </c>
      <c r="BG116" s="1833"/>
      <c r="BH116" s="1833"/>
      <c r="BI116" s="1833"/>
      <c r="BJ116" s="1833"/>
      <c r="BK116" s="1833"/>
      <c r="BL116" s="1833"/>
      <c r="BM116" s="1833"/>
      <c r="BN116" s="1833"/>
      <c r="BO116" s="1833"/>
      <c r="BP116" s="1833"/>
      <c r="BQ116" s="1833"/>
      <c r="BR116" s="1833"/>
      <c r="BS116" s="1833" t="str">
        <f>IF(ISNA('D4.5Why''s-D5-D6'!BC20),"",'D4.5Why''s-D5-D6'!BC20)</f>
        <v/>
      </c>
      <c r="BT116" s="1833"/>
      <c r="BU116" s="1833"/>
      <c r="BV116" s="1833"/>
      <c r="BW116" s="1833"/>
      <c r="BX116" s="1833"/>
      <c r="BY116" s="1833"/>
      <c r="BZ116" s="1833"/>
      <c r="CA116" s="1833"/>
      <c r="CB116" s="1833"/>
      <c r="CC116" s="1833"/>
      <c r="CD116" s="1833"/>
      <c r="CE116" s="1833"/>
      <c r="CF116" s="1833" t="str">
        <f>IF(ISNA('D4.5Why''s-D5-D6'!BD20),"",'D4.5Why''s-D5-D6'!BD20)</f>
        <v/>
      </c>
      <c r="CG116" s="1833"/>
      <c r="CH116" s="1833"/>
      <c r="CI116" s="1833"/>
      <c r="CJ116" s="1833"/>
      <c r="CK116" s="1833"/>
      <c r="CL116" s="1833"/>
      <c r="CM116" s="1833"/>
      <c r="CN116" s="1833"/>
      <c r="CO116" s="1833"/>
      <c r="CP116" s="1833"/>
      <c r="CQ116" s="1833"/>
      <c r="CR116" s="1833"/>
      <c r="CS116" s="1833" t="str">
        <f>IF(ISNA('D4.5Why''s-D5-D6'!BE20),"",'D4.5Why''s-D5-D6'!BE20)</f>
        <v/>
      </c>
      <c r="CT116" s="1833"/>
      <c r="CU116" s="1833"/>
      <c r="CV116" s="1833"/>
      <c r="CW116" s="1833"/>
      <c r="CX116" s="1833"/>
      <c r="CY116" s="1833"/>
      <c r="CZ116" s="1833"/>
      <c r="DA116" s="1833"/>
      <c r="DB116" s="1833"/>
      <c r="DC116" s="1878" t="str">
        <f>IF(ISNA('D4.5Why''s-D5-D6'!BF20),"",'D4.5Why''s-D5-D6'!BF20)</f>
        <v/>
      </c>
      <c r="DD116" s="1879"/>
      <c r="DE116" s="1879"/>
      <c r="DF116" s="1879"/>
      <c r="DG116" s="1879"/>
      <c r="DH116" s="1879"/>
      <c r="DI116" s="1879"/>
      <c r="DJ116" s="1879"/>
      <c r="DK116" s="1879"/>
      <c r="DL116" s="1879"/>
      <c r="DM116" s="1879"/>
      <c r="DN116" s="1879"/>
      <c r="DO116" s="1879"/>
      <c r="DP116" s="1879"/>
      <c r="DQ116" s="1879"/>
      <c r="DR116" s="1880"/>
      <c r="DS116" s="313"/>
      <c r="DT116" s="311"/>
    </row>
    <row r="117" spans="2:138" ht="30" customHeight="1">
      <c r="B117" s="319"/>
      <c r="C117" s="313"/>
      <c r="D117" s="2080"/>
      <c r="E117" s="1833" t="str">
        <f>IF(ISNA('D4.5Why''s-D5-D6'!AX21),"",'D4.5Why''s-D5-D6'!AX21)</f>
        <v/>
      </c>
      <c r="F117" s="1833"/>
      <c r="G117" s="1833"/>
      <c r="H117" s="1833"/>
      <c r="I117" s="1833"/>
      <c r="J117" s="1833"/>
      <c r="K117" s="1833"/>
      <c r="L117" s="1833"/>
      <c r="M117" s="2025" t="str">
        <f>IF(ISNA('D4.5Why''s-D5-D6'!AY21),"",'D4.5Why''s-D5-D6'!AY21)</f>
        <v/>
      </c>
      <c r="N117" s="2026"/>
      <c r="O117" s="2026"/>
      <c r="P117" s="2026"/>
      <c r="Q117" s="2026"/>
      <c r="R117" s="2026"/>
      <c r="S117" s="2026"/>
      <c r="T117" s="2026"/>
      <c r="U117" s="2026"/>
      <c r="V117" s="2026"/>
      <c r="W117" s="2026"/>
      <c r="X117" s="2026"/>
      <c r="Y117" s="2026"/>
      <c r="Z117" s="2026"/>
      <c r="AA117" s="2026"/>
      <c r="AB117" s="2026"/>
      <c r="AC117" s="2026"/>
      <c r="AD117" s="2026"/>
      <c r="AE117" s="2026"/>
      <c r="AF117" s="2026"/>
      <c r="AG117" s="2027"/>
      <c r="AH117" s="1878" t="str">
        <f>IF(ISNA('D4.5Why''s-D5-D6'!AZ21),"",'D4.5Why''s-D5-D6'!AZ21)</f>
        <v/>
      </c>
      <c r="AI117" s="1879"/>
      <c r="AJ117" s="1879"/>
      <c r="AK117" s="1879"/>
      <c r="AL117" s="1879"/>
      <c r="AM117" s="1879"/>
      <c r="AN117" s="1879"/>
      <c r="AO117" s="1879"/>
      <c r="AP117" s="1879"/>
      <c r="AQ117" s="1879"/>
      <c r="AR117" s="1880"/>
      <c r="AS117" s="1833" t="str">
        <f>IF(ISNA('D4.5Why''s-D5-D6'!BA21),"",'D4.5Why''s-D5-D6'!BA21)</f>
        <v/>
      </c>
      <c r="AT117" s="1833"/>
      <c r="AU117" s="1833"/>
      <c r="AV117" s="1833"/>
      <c r="AW117" s="1833"/>
      <c r="AX117" s="1833"/>
      <c r="AY117" s="1833"/>
      <c r="AZ117" s="1833"/>
      <c r="BA117" s="1833"/>
      <c r="BB117" s="1833"/>
      <c r="BC117" s="1833"/>
      <c r="BD117" s="1833"/>
      <c r="BE117" s="1833"/>
      <c r="BF117" s="1833" t="str">
        <f>IF(ISNA('D4.5Why''s-D5-D6'!BB21),"",'D4.5Why''s-D5-D6'!BB21)</f>
        <v/>
      </c>
      <c r="BG117" s="1833"/>
      <c r="BH117" s="1833"/>
      <c r="BI117" s="1833"/>
      <c r="BJ117" s="1833"/>
      <c r="BK117" s="1833"/>
      <c r="BL117" s="1833"/>
      <c r="BM117" s="1833"/>
      <c r="BN117" s="1833"/>
      <c r="BO117" s="1833"/>
      <c r="BP117" s="1833"/>
      <c r="BQ117" s="1833"/>
      <c r="BR117" s="1833"/>
      <c r="BS117" s="1833" t="str">
        <f>IF(ISNA('D4.5Why''s-D5-D6'!BC21),"",'D4.5Why''s-D5-D6'!BC21)</f>
        <v/>
      </c>
      <c r="BT117" s="1833"/>
      <c r="BU117" s="1833"/>
      <c r="BV117" s="1833"/>
      <c r="BW117" s="1833"/>
      <c r="BX117" s="1833"/>
      <c r="BY117" s="1833"/>
      <c r="BZ117" s="1833"/>
      <c r="CA117" s="1833"/>
      <c r="CB117" s="1833"/>
      <c r="CC117" s="1833"/>
      <c r="CD117" s="1833"/>
      <c r="CE117" s="1833"/>
      <c r="CF117" s="1833" t="str">
        <f>IF(ISNA('D4.5Why''s-D5-D6'!BD21),"",'D4.5Why''s-D5-D6'!BD21)</f>
        <v/>
      </c>
      <c r="CG117" s="1833"/>
      <c r="CH117" s="1833"/>
      <c r="CI117" s="1833"/>
      <c r="CJ117" s="1833"/>
      <c r="CK117" s="1833"/>
      <c r="CL117" s="1833"/>
      <c r="CM117" s="1833"/>
      <c r="CN117" s="1833"/>
      <c r="CO117" s="1833"/>
      <c r="CP117" s="1833"/>
      <c r="CQ117" s="1833"/>
      <c r="CR117" s="1833"/>
      <c r="CS117" s="1833" t="str">
        <f>IF(ISNA('D4.5Why''s-D5-D6'!BE21),"",'D4.5Why''s-D5-D6'!BE21)</f>
        <v/>
      </c>
      <c r="CT117" s="1833"/>
      <c r="CU117" s="1833"/>
      <c r="CV117" s="1833"/>
      <c r="CW117" s="1833"/>
      <c r="CX117" s="1833"/>
      <c r="CY117" s="1833"/>
      <c r="CZ117" s="1833"/>
      <c r="DA117" s="1833"/>
      <c r="DB117" s="1833"/>
      <c r="DC117" s="1878" t="str">
        <f>IF(ISNA('D4.5Why''s-D5-D6'!BF21),"",'D4.5Why''s-D5-D6'!BF21)</f>
        <v/>
      </c>
      <c r="DD117" s="1879"/>
      <c r="DE117" s="1879"/>
      <c r="DF117" s="1879"/>
      <c r="DG117" s="1879"/>
      <c r="DH117" s="1879"/>
      <c r="DI117" s="1879"/>
      <c r="DJ117" s="1879"/>
      <c r="DK117" s="1879"/>
      <c r="DL117" s="1879"/>
      <c r="DM117" s="1879"/>
      <c r="DN117" s="1879"/>
      <c r="DO117" s="1879"/>
      <c r="DP117" s="1879"/>
      <c r="DQ117" s="1879"/>
      <c r="DR117" s="1880"/>
      <c r="DS117" s="313"/>
      <c r="DT117" s="311"/>
      <c r="DY117" s="616"/>
      <c r="DZ117" s="616"/>
      <c r="EB117" s="617"/>
      <c r="EC117" s="617"/>
      <c r="ED117" s="617"/>
      <c r="EE117" s="617"/>
      <c r="EF117" s="617"/>
      <c r="EG117" s="617"/>
      <c r="EH117" s="617"/>
    </row>
    <row r="118" spans="2:138" ht="30" customHeight="1">
      <c r="B118" s="319"/>
      <c r="C118" s="313"/>
      <c r="D118" s="2080"/>
      <c r="E118" s="1833" t="str">
        <f>IF(ISNA('D4.5Why''s-D5-D6'!AX22),"",'D4.5Why''s-D5-D6'!AX22)</f>
        <v/>
      </c>
      <c r="F118" s="1833"/>
      <c r="G118" s="1833"/>
      <c r="H118" s="1833"/>
      <c r="I118" s="1833"/>
      <c r="J118" s="1833"/>
      <c r="K118" s="1833"/>
      <c r="L118" s="1833"/>
      <c r="M118" s="2025" t="str">
        <f>IF(ISNA('D4.5Why''s-D5-D6'!AY22),"",'D4.5Why''s-D5-D6'!AY22)</f>
        <v/>
      </c>
      <c r="N118" s="2026"/>
      <c r="O118" s="2026"/>
      <c r="P118" s="2026"/>
      <c r="Q118" s="2026"/>
      <c r="R118" s="2026"/>
      <c r="S118" s="2026"/>
      <c r="T118" s="2026"/>
      <c r="U118" s="2026"/>
      <c r="V118" s="2026"/>
      <c r="W118" s="2026"/>
      <c r="X118" s="2026"/>
      <c r="Y118" s="2026"/>
      <c r="Z118" s="2026"/>
      <c r="AA118" s="2026"/>
      <c r="AB118" s="2026"/>
      <c r="AC118" s="2026"/>
      <c r="AD118" s="2026"/>
      <c r="AE118" s="2026"/>
      <c r="AF118" s="2026"/>
      <c r="AG118" s="2027"/>
      <c r="AH118" s="1878" t="str">
        <f>IF(ISNA('D4.5Why''s-D5-D6'!AZ22),"",'D4.5Why''s-D5-D6'!AZ22)</f>
        <v/>
      </c>
      <c r="AI118" s="1879"/>
      <c r="AJ118" s="1879"/>
      <c r="AK118" s="1879"/>
      <c r="AL118" s="1879"/>
      <c r="AM118" s="1879"/>
      <c r="AN118" s="1879"/>
      <c r="AO118" s="1879"/>
      <c r="AP118" s="1879"/>
      <c r="AQ118" s="1879"/>
      <c r="AR118" s="1880"/>
      <c r="AS118" s="1833" t="str">
        <f>IF(ISNA('D4.5Why''s-D5-D6'!BA22),"",'D4.5Why''s-D5-D6'!BA22)</f>
        <v/>
      </c>
      <c r="AT118" s="1833"/>
      <c r="AU118" s="1833"/>
      <c r="AV118" s="1833"/>
      <c r="AW118" s="1833"/>
      <c r="AX118" s="1833"/>
      <c r="AY118" s="1833"/>
      <c r="AZ118" s="1833"/>
      <c r="BA118" s="1833"/>
      <c r="BB118" s="1833"/>
      <c r="BC118" s="1833"/>
      <c r="BD118" s="1833"/>
      <c r="BE118" s="1833"/>
      <c r="BF118" s="1833" t="str">
        <f>IF(ISNA('D4.5Why''s-D5-D6'!BB22),"",'D4.5Why''s-D5-D6'!BB22)</f>
        <v/>
      </c>
      <c r="BG118" s="1833"/>
      <c r="BH118" s="1833"/>
      <c r="BI118" s="1833"/>
      <c r="BJ118" s="1833"/>
      <c r="BK118" s="1833"/>
      <c r="BL118" s="1833"/>
      <c r="BM118" s="1833"/>
      <c r="BN118" s="1833"/>
      <c r="BO118" s="1833"/>
      <c r="BP118" s="1833"/>
      <c r="BQ118" s="1833"/>
      <c r="BR118" s="1833"/>
      <c r="BS118" s="1833" t="str">
        <f>IF(ISNA('D4.5Why''s-D5-D6'!BC22),"",'D4.5Why''s-D5-D6'!BC22)</f>
        <v/>
      </c>
      <c r="BT118" s="1833"/>
      <c r="BU118" s="1833"/>
      <c r="BV118" s="1833"/>
      <c r="BW118" s="1833"/>
      <c r="BX118" s="1833"/>
      <c r="BY118" s="1833"/>
      <c r="BZ118" s="1833"/>
      <c r="CA118" s="1833"/>
      <c r="CB118" s="1833"/>
      <c r="CC118" s="1833"/>
      <c r="CD118" s="1833"/>
      <c r="CE118" s="1833"/>
      <c r="CF118" s="1833" t="str">
        <f>IF(ISNA('D4.5Why''s-D5-D6'!BD22),"",'D4.5Why''s-D5-D6'!BD22)</f>
        <v/>
      </c>
      <c r="CG118" s="1833"/>
      <c r="CH118" s="1833"/>
      <c r="CI118" s="1833"/>
      <c r="CJ118" s="1833"/>
      <c r="CK118" s="1833"/>
      <c r="CL118" s="1833"/>
      <c r="CM118" s="1833"/>
      <c r="CN118" s="1833"/>
      <c r="CO118" s="1833"/>
      <c r="CP118" s="1833"/>
      <c r="CQ118" s="1833"/>
      <c r="CR118" s="1833"/>
      <c r="CS118" s="1833" t="str">
        <f>IF(ISNA('D4.5Why''s-D5-D6'!BE22),"",'D4.5Why''s-D5-D6'!BE22)</f>
        <v/>
      </c>
      <c r="CT118" s="1833"/>
      <c r="CU118" s="1833"/>
      <c r="CV118" s="1833"/>
      <c r="CW118" s="1833"/>
      <c r="CX118" s="1833"/>
      <c r="CY118" s="1833"/>
      <c r="CZ118" s="1833"/>
      <c r="DA118" s="1833"/>
      <c r="DB118" s="1833"/>
      <c r="DC118" s="1878" t="str">
        <f>IF(ISNA('D4.5Why''s-D5-D6'!BF22),"",'D4.5Why''s-D5-D6'!BF22)</f>
        <v/>
      </c>
      <c r="DD118" s="1879"/>
      <c r="DE118" s="1879"/>
      <c r="DF118" s="1879"/>
      <c r="DG118" s="1879"/>
      <c r="DH118" s="1879"/>
      <c r="DI118" s="1879"/>
      <c r="DJ118" s="1879"/>
      <c r="DK118" s="1879"/>
      <c r="DL118" s="1879"/>
      <c r="DM118" s="1879"/>
      <c r="DN118" s="1879"/>
      <c r="DO118" s="1879"/>
      <c r="DP118" s="1879"/>
      <c r="DQ118" s="1879"/>
      <c r="DR118" s="1880"/>
      <c r="DS118" s="313"/>
      <c r="DT118" s="311"/>
      <c r="DX118" s="616"/>
      <c r="DY118" s="616"/>
      <c r="DZ118" s="616"/>
      <c r="EB118" s="617"/>
      <c r="EC118" s="617"/>
      <c r="ED118" s="617"/>
      <c r="EE118" s="617"/>
      <c r="EF118" s="617"/>
      <c r="EG118" s="617"/>
      <c r="EH118" s="617"/>
    </row>
    <row r="119" spans="2:138" ht="30" customHeight="1">
      <c r="B119" s="319"/>
      <c r="C119" s="313"/>
      <c r="D119" s="2080"/>
      <c r="E119" s="1833" t="str">
        <f>IF(ISNA('D4.5Why''s-D5-D6'!AX23),"",'D4.5Why''s-D5-D6'!AX23)</f>
        <v/>
      </c>
      <c r="F119" s="1833"/>
      <c r="G119" s="1833"/>
      <c r="H119" s="1833"/>
      <c r="I119" s="1833"/>
      <c r="J119" s="1833"/>
      <c r="K119" s="1833"/>
      <c r="L119" s="1833"/>
      <c r="M119" s="2025" t="str">
        <f>IF(ISNA('D4.5Why''s-D5-D6'!AY23),"",'D4.5Why''s-D5-D6'!AY23)</f>
        <v/>
      </c>
      <c r="N119" s="2026"/>
      <c r="O119" s="2026"/>
      <c r="P119" s="2026"/>
      <c r="Q119" s="2026"/>
      <c r="R119" s="2026"/>
      <c r="S119" s="2026"/>
      <c r="T119" s="2026"/>
      <c r="U119" s="2026"/>
      <c r="V119" s="2026"/>
      <c r="W119" s="2026"/>
      <c r="X119" s="2026"/>
      <c r="Y119" s="2026"/>
      <c r="Z119" s="2026"/>
      <c r="AA119" s="2026"/>
      <c r="AB119" s="2026"/>
      <c r="AC119" s="2026"/>
      <c r="AD119" s="2026"/>
      <c r="AE119" s="2026"/>
      <c r="AF119" s="2026"/>
      <c r="AG119" s="2027"/>
      <c r="AH119" s="1878" t="str">
        <f>IF(ISNA('D4.5Why''s-D5-D6'!AZ23),"",'D4.5Why''s-D5-D6'!AZ23)</f>
        <v/>
      </c>
      <c r="AI119" s="1879"/>
      <c r="AJ119" s="1879"/>
      <c r="AK119" s="1879"/>
      <c r="AL119" s="1879"/>
      <c r="AM119" s="1879"/>
      <c r="AN119" s="1879"/>
      <c r="AO119" s="1879"/>
      <c r="AP119" s="1879"/>
      <c r="AQ119" s="1879"/>
      <c r="AR119" s="1880"/>
      <c r="AS119" s="1833" t="str">
        <f>IF(ISNA('D4.5Why''s-D5-D6'!BA23),"",'D4.5Why''s-D5-D6'!BA23)</f>
        <v/>
      </c>
      <c r="AT119" s="1833"/>
      <c r="AU119" s="1833"/>
      <c r="AV119" s="1833"/>
      <c r="AW119" s="1833"/>
      <c r="AX119" s="1833"/>
      <c r="AY119" s="1833"/>
      <c r="AZ119" s="1833"/>
      <c r="BA119" s="1833"/>
      <c r="BB119" s="1833"/>
      <c r="BC119" s="1833"/>
      <c r="BD119" s="1833"/>
      <c r="BE119" s="1833"/>
      <c r="BF119" s="1833" t="str">
        <f>IF(ISNA('D4.5Why''s-D5-D6'!BB23),"",'D4.5Why''s-D5-D6'!BB23)</f>
        <v/>
      </c>
      <c r="BG119" s="1833"/>
      <c r="BH119" s="1833"/>
      <c r="BI119" s="1833"/>
      <c r="BJ119" s="1833"/>
      <c r="BK119" s="1833"/>
      <c r="BL119" s="1833"/>
      <c r="BM119" s="1833"/>
      <c r="BN119" s="1833"/>
      <c r="BO119" s="1833"/>
      <c r="BP119" s="1833"/>
      <c r="BQ119" s="1833"/>
      <c r="BR119" s="1833"/>
      <c r="BS119" s="1833" t="str">
        <f>IF(ISNA('D4.5Why''s-D5-D6'!BC23),"",'D4.5Why''s-D5-D6'!BC23)</f>
        <v/>
      </c>
      <c r="BT119" s="1833"/>
      <c r="BU119" s="1833"/>
      <c r="BV119" s="1833"/>
      <c r="BW119" s="1833"/>
      <c r="BX119" s="1833"/>
      <c r="BY119" s="1833"/>
      <c r="BZ119" s="1833"/>
      <c r="CA119" s="1833"/>
      <c r="CB119" s="1833"/>
      <c r="CC119" s="1833"/>
      <c r="CD119" s="1833"/>
      <c r="CE119" s="1833"/>
      <c r="CF119" s="1833" t="str">
        <f>IF(ISNA('D4.5Why''s-D5-D6'!BD23),"",'D4.5Why''s-D5-D6'!BD23)</f>
        <v/>
      </c>
      <c r="CG119" s="1833"/>
      <c r="CH119" s="1833"/>
      <c r="CI119" s="1833"/>
      <c r="CJ119" s="1833"/>
      <c r="CK119" s="1833"/>
      <c r="CL119" s="1833"/>
      <c r="CM119" s="1833"/>
      <c r="CN119" s="1833"/>
      <c r="CO119" s="1833"/>
      <c r="CP119" s="1833"/>
      <c r="CQ119" s="1833"/>
      <c r="CR119" s="1833"/>
      <c r="CS119" s="1833" t="str">
        <f>IF(ISNA('D4.5Why''s-D5-D6'!BE23),"",'D4.5Why''s-D5-D6'!BE23)</f>
        <v/>
      </c>
      <c r="CT119" s="1833"/>
      <c r="CU119" s="1833"/>
      <c r="CV119" s="1833"/>
      <c r="CW119" s="1833"/>
      <c r="CX119" s="1833"/>
      <c r="CY119" s="1833"/>
      <c r="CZ119" s="1833"/>
      <c r="DA119" s="1833"/>
      <c r="DB119" s="1833"/>
      <c r="DC119" s="1878" t="str">
        <f>IF(ISNA('D4.5Why''s-D5-D6'!BF23),"",'D4.5Why''s-D5-D6'!BF23)</f>
        <v/>
      </c>
      <c r="DD119" s="1879"/>
      <c r="DE119" s="1879"/>
      <c r="DF119" s="1879"/>
      <c r="DG119" s="1879"/>
      <c r="DH119" s="1879"/>
      <c r="DI119" s="1879"/>
      <c r="DJ119" s="1879"/>
      <c r="DK119" s="1879"/>
      <c r="DL119" s="1879"/>
      <c r="DM119" s="1879"/>
      <c r="DN119" s="1879"/>
      <c r="DO119" s="1879"/>
      <c r="DP119" s="1879"/>
      <c r="DQ119" s="1879"/>
      <c r="DR119" s="1880"/>
      <c r="DS119" s="313"/>
      <c r="DT119" s="311"/>
      <c r="DX119" s="616"/>
      <c r="DY119" s="616"/>
      <c r="DZ119" s="616"/>
      <c r="EB119" s="617"/>
      <c r="EC119" s="617"/>
      <c r="ED119" s="617"/>
      <c r="EE119" s="617"/>
      <c r="EF119" s="617"/>
      <c r="EG119" s="617"/>
      <c r="EH119" s="617"/>
    </row>
    <row r="120" spans="2:138" ht="30" customHeight="1">
      <c r="B120" s="319"/>
      <c r="C120" s="313"/>
      <c r="D120" s="2080"/>
      <c r="E120" s="1833" t="str">
        <f>IF(ISNA('D4.5Why''s-D5-D6'!AX24),"",'D4.5Why''s-D5-D6'!AX24)</f>
        <v/>
      </c>
      <c r="F120" s="1833"/>
      <c r="G120" s="1833"/>
      <c r="H120" s="1833"/>
      <c r="I120" s="1833"/>
      <c r="J120" s="1833"/>
      <c r="K120" s="1833"/>
      <c r="L120" s="1833"/>
      <c r="M120" s="2025" t="str">
        <f>IF(ISNA('D4.5Why''s-D5-D6'!AY24),"",'D4.5Why''s-D5-D6'!AY24)</f>
        <v/>
      </c>
      <c r="N120" s="2026"/>
      <c r="O120" s="2026"/>
      <c r="P120" s="2026"/>
      <c r="Q120" s="2026"/>
      <c r="R120" s="2026"/>
      <c r="S120" s="2026"/>
      <c r="T120" s="2026"/>
      <c r="U120" s="2026"/>
      <c r="V120" s="2026"/>
      <c r="W120" s="2026"/>
      <c r="X120" s="2026"/>
      <c r="Y120" s="2026"/>
      <c r="Z120" s="2026"/>
      <c r="AA120" s="2026"/>
      <c r="AB120" s="2026"/>
      <c r="AC120" s="2026"/>
      <c r="AD120" s="2026"/>
      <c r="AE120" s="2026"/>
      <c r="AF120" s="2026"/>
      <c r="AG120" s="2027"/>
      <c r="AH120" s="1878" t="str">
        <f>IF(ISNA('D4.5Why''s-D5-D6'!AZ24),"",'D4.5Why''s-D5-D6'!AZ24)</f>
        <v/>
      </c>
      <c r="AI120" s="1879"/>
      <c r="AJ120" s="1879"/>
      <c r="AK120" s="1879"/>
      <c r="AL120" s="1879"/>
      <c r="AM120" s="1879"/>
      <c r="AN120" s="1879"/>
      <c r="AO120" s="1879"/>
      <c r="AP120" s="1879"/>
      <c r="AQ120" s="1879"/>
      <c r="AR120" s="1880"/>
      <c r="AS120" s="1833" t="str">
        <f>IF(ISNA('D4.5Why''s-D5-D6'!BA24),"",'D4.5Why''s-D5-D6'!BA24)</f>
        <v/>
      </c>
      <c r="AT120" s="1833"/>
      <c r="AU120" s="1833"/>
      <c r="AV120" s="1833"/>
      <c r="AW120" s="1833"/>
      <c r="AX120" s="1833"/>
      <c r="AY120" s="1833"/>
      <c r="AZ120" s="1833"/>
      <c r="BA120" s="1833"/>
      <c r="BB120" s="1833"/>
      <c r="BC120" s="1833"/>
      <c r="BD120" s="1833"/>
      <c r="BE120" s="1833"/>
      <c r="BF120" s="1833" t="str">
        <f>IF(ISNA('D4.5Why''s-D5-D6'!BB24),"",'D4.5Why''s-D5-D6'!BB24)</f>
        <v/>
      </c>
      <c r="BG120" s="1833"/>
      <c r="BH120" s="1833"/>
      <c r="BI120" s="1833"/>
      <c r="BJ120" s="1833"/>
      <c r="BK120" s="1833"/>
      <c r="BL120" s="1833"/>
      <c r="BM120" s="1833"/>
      <c r="BN120" s="1833"/>
      <c r="BO120" s="1833"/>
      <c r="BP120" s="1833"/>
      <c r="BQ120" s="1833"/>
      <c r="BR120" s="1833"/>
      <c r="BS120" s="1833" t="str">
        <f>IF(ISNA('D4.5Why''s-D5-D6'!BC24),"",'D4.5Why''s-D5-D6'!BC24)</f>
        <v/>
      </c>
      <c r="BT120" s="1833"/>
      <c r="BU120" s="1833"/>
      <c r="BV120" s="1833"/>
      <c r="BW120" s="1833"/>
      <c r="BX120" s="1833"/>
      <c r="BY120" s="1833"/>
      <c r="BZ120" s="1833"/>
      <c r="CA120" s="1833"/>
      <c r="CB120" s="1833"/>
      <c r="CC120" s="1833"/>
      <c r="CD120" s="1833"/>
      <c r="CE120" s="1833"/>
      <c r="CF120" s="1833" t="str">
        <f>IF(ISNA('D4.5Why''s-D5-D6'!BD24),"",'D4.5Why''s-D5-D6'!BD24)</f>
        <v/>
      </c>
      <c r="CG120" s="1833"/>
      <c r="CH120" s="1833"/>
      <c r="CI120" s="1833"/>
      <c r="CJ120" s="1833"/>
      <c r="CK120" s="1833"/>
      <c r="CL120" s="1833"/>
      <c r="CM120" s="1833"/>
      <c r="CN120" s="1833"/>
      <c r="CO120" s="1833"/>
      <c r="CP120" s="1833"/>
      <c r="CQ120" s="1833"/>
      <c r="CR120" s="1833"/>
      <c r="CS120" s="1833" t="str">
        <f>IF(ISNA('D4.5Why''s-D5-D6'!BE24),"",'D4.5Why''s-D5-D6'!BE24)</f>
        <v/>
      </c>
      <c r="CT120" s="1833"/>
      <c r="CU120" s="1833"/>
      <c r="CV120" s="1833"/>
      <c r="CW120" s="1833"/>
      <c r="CX120" s="1833"/>
      <c r="CY120" s="1833"/>
      <c r="CZ120" s="1833"/>
      <c r="DA120" s="1833"/>
      <c r="DB120" s="1833"/>
      <c r="DC120" s="1878" t="str">
        <f>IF(ISNA('D4.5Why''s-D5-D6'!BF24),"",'D4.5Why''s-D5-D6'!BF24)</f>
        <v/>
      </c>
      <c r="DD120" s="1879"/>
      <c r="DE120" s="1879"/>
      <c r="DF120" s="1879"/>
      <c r="DG120" s="1879"/>
      <c r="DH120" s="1879"/>
      <c r="DI120" s="1879"/>
      <c r="DJ120" s="1879"/>
      <c r="DK120" s="1879"/>
      <c r="DL120" s="1879"/>
      <c r="DM120" s="1879"/>
      <c r="DN120" s="1879"/>
      <c r="DO120" s="1879"/>
      <c r="DP120" s="1879"/>
      <c r="DQ120" s="1879"/>
      <c r="DR120" s="1880"/>
      <c r="DS120" s="313"/>
      <c r="DT120" s="311"/>
      <c r="DX120" s="616"/>
      <c r="DY120" s="616"/>
      <c r="DZ120" s="616"/>
      <c r="EB120" s="617"/>
      <c r="EC120" s="617"/>
      <c r="ED120" s="617"/>
      <c r="EE120" s="617"/>
      <c r="EF120" s="617"/>
      <c r="EG120" s="617"/>
      <c r="EH120" s="617"/>
    </row>
    <row r="121" spans="2:138" ht="30" customHeight="1">
      <c r="B121" s="319"/>
      <c r="C121" s="313"/>
      <c r="D121" s="2080"/>
      <c r="E121" s="1833" t="str">
        <f>IF(ISNA('D4.5Why''s-D5-D6'!AX25),"",'D4.5Why''s-D5-D6'!AX25)</f>
        <v/>
      </c>
      <c r="F121" s="1833"/>
      <c r="G121" s="1833"/>
      <c r="H121" s="1833"/>
      <c r="I121" s="1833"/>
      <c r="J121" s="1833"/>
      <c r="K121" s="1833"/>
      <c r="L121" s="1833"/>
      <c r="M121" s="2025" t="str">
        <f>IF(ISNA('D4.5Why''s-D5-D6'!AY25),"",'D4.5Why''s-D5-D6'!AY25)</f>
        <v/>
      </c>
      <c r="N121" s="2026"/>
      <c r="O121" s="2026"/>
      <c r="P121" s="2026"/>
      <c r="Q121" s="2026"/>
      <c r="R121" s="2026"/>
      <c r="S121" s="2026"/>
      <c r="T121" s="2026"/>
      <c r="U121" s="2026"/>
      <c r="V121" s="2026"/>
      <c r="W121" s="2026"/>
      <c r="X121" s="2026"/>
      <c r="Y121" s="2026"/>
      <c r="Z121" s="2026"/>
      <c r="AA121" s="2026"/>
      <c r="AB121" s="2026"/>
      <c r="AC121" s="2026"/>
      <c r="AD121" s="2026"/>
      <c r="AE121" s="2026"/>
      <c r="AF121" s="2026"/>
      <c r="AG121" s="2027"/>
      <c r="AH121" s="1878" t="str">
        <f>IF(ISNA('D4.5Why''s-D5-D6'!AZ25),"",'D4.5Why''s-D5-D6'!AZ25)</f>
        <v/>
      </c>
      <c r="AI121" s="1879"/>
      <c r="AJ121" s="1879"/>
      <c r="AK121" s="1879"/>
      <c r="AL121" s="1879"/>
      <c r="AM121" s="1879"/>
      <c r="AN121" s="1879"/>
      <c r="AO121" s="1879"/>
      <c r="AP121" s="1879"/>
      <c r="AQ121" s="1879"/>
      <c r="AR121" s="1880"/>
      <c r="AS121" s="1833" t="str">
        <f>IF(ISNA('D4.5Why''s-D5-D6'!BA25),"",'D4.5Why''s-D5-D6'!BA25)</f>
        <v/>
      </c>
      <c r="AT121" s="1833"/>
      <c r="AU121" s="1833"/>
      <c r="AV121" s="1833"/>
      <c r="AW121" s="1833"/>
      <c r="AX121" s="1833"/>
      <c r="AY121" s="1833"/>
      <c r="AZ121" s="1833"/>
      <c r="BA121" s="1833"/>
      <c r="BB121" s="1833"/>
      <c r="BC121" s="1833"/>
      <c r="BD121" s="1833"/>
      <c r="BE121" s="1833"/>
      <c r="BF121" s="1833" t="str">
        <f>IF(ISNA('D4.5Why''s-D5-D6'!BB25),"",'D4.5Why''s-D5-D6'!BB25)</f>
        <v/>
      </c>
      <c r="BG121" s="1833"/>
      <c r="BH121" s="1833"/>
      <c r="BI121" s="1833"/>
      <c r="BJ121" s="1833"/>
      <c r="BK121" s="1833"/>
      <c r="BL121" s="1833"/>
      <c r="BM121" s="1833"/>
      <c r="BN121" s="1833"/>
      <c r="BO121" s="1833"/>
      <c r="BP121" s="1833"/>
      <c r="BQ121" s="1833"/>
      <c r="BR121" s="1833"/>
      <c r="BS121" s="1833" t="str">
        <f>IF(ISNA('D4.5Why''s-D5-D6'!BC25),"",'D4.5Why''s-D5-D6'!BC25)</f>
        <v/>
      </c>
      <c r="BT121" s="1833"/>
      <c r="BU121" s="1833"/>
      <c r="BV121" s="1833"/>
      <c r="BW121" s="1833"/>
      <c r="BX121" s="1833"/>
      <c r="BY121" s="1833"/>
      <c r="BZ121" s="1833"/>
      <c r="CA121" s="1833"/>
      <c r="CB121" s="1833"/>
      <c r="CC121" s="1833"/>
      <c r="CD121" s="1833"/>
      <c r="CE121" s="1833"/>
      <c r="CF121" s="1833" t="str">
        <f>IF(ISNA('D4.5Why''s-D5-D6'!BD25),"",'D4.5Why''s-D5-D6'!BD25)</f>
        <v/>
      </c>
      <c r="CG121" s="1833"/>
      <c r="CH121" s="1833"/>
      <c r="CI121" s="1833"/>
      <c r="CJ121" s="1833"/>
      <c r="CK121" s="1833"/>
      <c r="CL121" s="1833"/>
      <c r="CM121" s="1833"/>
      <c r="CN121" s="1833"/>
      <c r="CO121" s="1833"/>
      <c r="CP121" s="1833"/>
      <c r="CQ121" s="1833"/>
      <c r="CR121" s="1833"/>
      <c r="CS121" s="1833" t="str">
        <f>IF(ISNA('D4.5Why''s-D5-D6'!BE25),"",'D4.5Why''s-D5-D6'!BE25)</f>
        <v/>
      </c>
      <c r="CT121" s="1833"/>
      <c r="CU121" s="1833"/>
      <c r="CV121" s="1833"/>
      <c r="CW121" s="1833"/>
      <c r="CX121" s="1833"/>
      <c r="CY121" s="1833"/>
      <c r="CZ121" s="1833"/>
      <c r="DA121" s="1833"/>
      <c r="DB121" s="1833"/>
      <c r="DC121" s="1878" t="str">
        <f>IF(ISNA('D4.5Why''s-D5-D6'!BF25),"",'D4.5Why''s-D5-D6'!BF25)</f>
        <v/>
      </c>
      <c r="DD121" s="1879"/>
      <c r="DE121" s="1879"/>
      <c r="DF121" s="1879"/>
      <c r="DG121" s="1879"/>
      <c r="DH121" s="1879"/>
      <c r="DI121" s="1879"/>
      <c r="DJ121" s="1879"/>
      <c r="DK121" s="1879"/>
      <c r="DL121" s="1879"/>
      <c r="DM121" s="1879"/>
      <c r="DN121" s="1879"/>
      <c r="DO121" s="1879"/>
      <c r="DP121" s="1879"/>
      <c r="DQ121" s="1879"/>
      <c r="DR121" s="1880"/>
      <c r="DS121" s="313"/>
      <c r="DT121" s="311"/>
      <c r="DX121" s="616"/>
      <c r="DY121" s="616"/>
      <c r="DZ121" s="616"/>
      <c r="EB121" s="617"/>
      <c r="EC121" s="617"/>
      <c r="ED121" s="617"/>
      <c r="EE121" s="617"/>
      <c r="EF121" s="617"/>
      <c r="EG121" s="617"/>
      <c r="EH121" s="617"/>
    </row>
    <row r="122" spans="2:138" ht="30" customHeight="1">
      <c r="B122" s="319"/>
      <c r="C122" s="313"/>
      <c r="D122" s="2080"/>
      <c r="E122" s="1833" t="str">
        <f>IF(ISNA('D4.5Why''s-D5-D6'!AX26),"",'D4.5Why''s-D5-D6'!AX26)</f>
        <v/>
      </c>
      <c r="F122" s="1833"/>
      <c r="G122" s="1833"/>
      <c r="H122" s="1833"/>
      <c r="I122" s="1833"/>
      <c r="J122" s="1833"/>
      <c r="K122" s="1833"/>
      <c r="L122" s="1833"/>
      <c r="M122" s="2025" t="str">
        <f>IF(ISNA('D4.5Why''s-D5-D6'!AY26),"",'D4.5Why''s-D5-D6'!AY26)</f>
        <v/>
      </c>
      <c r="N122" s="2026"/>
      <c r="O122" s="2026"/>
      <c r="P122" s="2026"/>
      <c r="Q122" s="2026"/>
      <c r="R122" s="2026"/>
      <c r="S122" s="2026"/>
      <c r="T122" s="2026"/>
      <c r="U122" s="2026"/>
      <c r="V122" s="2026"/>
      <c r="W122" s="2026"/>
      <c r="X122" s="2026"/>
      <c r="Y122" s="2026"/>
      <c r="Z122" s="2026"/>
      <c r="AA122" s="2026"/>
      <c r="AB122" s="2026"/>
      <c r="AC122" s="2026"/>
      <c r="AD122" s="2026"/>
      <c r="AE122" s="2026"/>
      <c r="AF122" s="2026"/>
      <c r="AG122" s="2027"/>
      <c r="AH122" s="1878" t="str">
        <f>IF(ISNA('D4.5Why''s-D5-D6'!AZ26),"",'D4.5Why''s-D5-D6'!AZ26)</f>
        <v/>
      </c>
      <c r="AI122" s="1879"/>
      <c r="AJ122" s="1879"/>
      <c r="AK122" s="1879"/>
      <c r="AL122" s="1879"/>
      <c r="AM122" s="1879"/>
      <c r="AN122" s="1879"/>
      <c r="AO122" s="1879"/>
      <c r="AP122" s="1879"/>
      <c r="AQ122" s="1879"/>
      <c r="AR122" s="1880"/>
      <c r="AS122" s="1833" t="str">
        <f>IF(ISNA('D4.5Why''s-D5-D6'!BA26),"",'D4.5Why''s-D5-D6'!BA26)</f>
        <v/>
      </c>
      <c r="AT122" s="1833"/>
      <c r="AU122" s="1833"/>
      <c r="AV122" s="1833"/>
      <c r="AW122" s="1833"/>
      <c r="AX122" s="1833"/>
      <c r="AY122" s="1833"/>
      <c r="AZ122" s="1833"/>
      <c r="BA122" s="1833"/>
      <c r="BB122" s="1833"/>
      <c r="BC122" s="1833"/>
      <c r="BD122" s="1833"/>
      <c r="BE122" s="1833"/>
      <c r="BF122" s="1833" t="str">
        <f>IF(ISNA('D4.5Why''s-D5-D6'!BB26),"",'D4.5Why''s-D5-D6'!BB26)</f>
        <v/>
      </c>
      <c r="BG122" s="1833"/>
      <c r="BH122" s="1833"/>
      <c r="BI122" s="1833"/>
      <c r="BJ122" s="1833"/>
      <c r="BK122" s="1833"/>
      <c r="BL122" s="1833"/>
      <c r="BM122" s="1833"/>
      <c r="BN122" s="1833"/>
      <c r="BO122" s="1833"/>
      <c r="BP122" s="1833"/>
      <c r="BQ122" s="1833"/>
      <c r="BR122" s="1833"/>
      <c r="BS122" s="1833" t="str">
        <f>IF(ISNA('D4.5Why''s-D5-D6'!BC26),"",'D4.5Why''s-D5-D6'!BC26)</f>
        <v/>
      </c>
      <c r="BT122" s="1833"/>
      <c r="BU122" s="1833"/>
      <c r="BV122" s="1833"/>
      <c r="BW122" s="1833"/>
      <c r="BX122" s="1833"/>
      <c r="BY122" s="1833"/>
      <c r="BZ122" s="1833"/>
      <c r="CA122" s="1833"/>
      <c r="CB122" s="1833"/>
      <c r="CC122" s="1833"/>
      <c r="CD122" s="1833"/>
      <c r="CE122" s="1833"/>
      <c r="CF122" s="1833" t="str">
        <f>IF(ISNA('D4.5Why''s-D5-D6'!BD26),"",'D4.5Why''s-D5-D6'!BD26)</f>
        <v/>
      </c>
      <c r="CG122" s="1833"/>
      <c r="CH122" s="1833"/>
      <c r="CI122" s="1833"/>
      <c r="CJ122" s="1833"/>
      <c r="CK122" s="1833"/>
      <c r="CL122" s="1833"/>
      <c r="CM122" s="1833"/>
      <c r="CN122" s="1833"/>
      <c r="CO122" s="1833"/>
      <c r="CP122" s="1833"/>
      <c r="CQ122" s="1833"/>
      <c r="CR122" s="1833"/>
      <c r="CS122" s="1833" t="str">
        <f>IF(ISNA('D4.5Why''s-D5-D6'!BE26),"",'D4.5Why''s-D5-D6'!BE26)</f>
        <v/>
      </c>
      <c r="CT122" s="1833"/>
      <c r="CU122" s="1833"/>
      <c r="CV122" s="1833"/>
      <c r="CW122" s="1833"/>
      <c r="CX122" s="1833"/>
      <c r="CY122" s="1833"/>
      <c r="CZ122" s="1833"/>
      <c r="DA122" s="1833"/>
      <c r="DB122" s="1833"/>
      <c r="DC122" s="1878" t="str">
        <f>IF(ISNA('D4.5Why''s-D5-D6'!BF26),"",'D4.5Why''s-D5-D6'!BF26)</f>
        <v/>
      </c>
      <c r="DD122" s="1879"/>
      <c r="DE122" s="1879"/>
      <c r="DF122" s="1879"/>
      <c r="DG122" s="1879"/>
      <c r="DH122" s="1879"/>
      <c r="DI122" s="1879"/>
      <c r="DJ122" s="1879"/>
      <c r="DK122" s="1879"/>
      <c r="DL122" s="1879"/>
      <c r="DM122" s="1879"/>
      <c r="DN122" s="1879"/>
      <c r="DO122" s="1879"/>
      <c r="DP122" s="1879"/>
      <c r="DQ122" s="1879"/>
      <c r="DR122" s="1880"/>
      <c r="DS122" s="313"/>
      <c r="DT122" s="311"/>
      <c r="DX122" s="616"/>
      <c r="DY122" s="616"/>
      <c r="DZ122" s="616"/>
      <c r="EB122" s="617"/>
      <c r="EC122" s="617"/>
      <c r="ED122" s="617"/>
      <c r="EE122" s="617"/>
      <c r="EF122" s="617"/>
      <c r="EG122" s="617"/>
      <c r="EH122" s="617"/>
    </row>
    <row r="123" spans="2:138" ht="30" customHeight="1">
      <c r="B123" s="319"/>
      <c r="C123" s="313"/>
      <c r="D123" s="2080"/>
      <c r="E123" s="1833" t="str">
        <f>IF(ISNA('D4.5Why''s-D5-D6'!AX27),"",'D4.5Why''s-D5-D6'!AX27)</f>
        <v/>
      </c>
      <c r="F123" s="1833"/>
      <c r="G123" s="1833"/>
      <c r="H123" s="1833"/>
      <c r="I123" s="1833"/>
      <c r="J123" s="1833"/>
      <c r="K123" s="1833"/>
      <c r="L123" s="1833"/>
      <c r="M123" s="2025" t="str">
        <f>IF(ISNA('D4.5Why''s-D5-D6'!AY27),"",'D4.5Why''s-D5-D6'!AY27)</f>
        <v/>
      </c>
      <c r="N123" s="2026"/>
      <c r="O123" s="2026"/>
      <c r="P123" s="2026"/>
      <c r="Q123" s="2026"/>
      <c r="R123" s="2026"/>
      <c r="S123" s="2026"/>
      <c r="T123" s="2026"/>
      <c r="U123" s="2026"/>
      <c r="V123" s="2026"/>
      <c r="W123" s="2026"/>
      <c r="X123" s="2026"/>
      <c r="Y123" s="2026"/>
      <c r="Z123" s="2026"/>
      <c r="AA123" s="2026"/>
      <c r="AB123" s="2026"/>
      <c r="AC123" s="2026"/>
      <c r="AD123" s="2026"/>
      <c r="AE123" s="2026"/>
      <c r="AF123" s="2026"/>
      <c r="AG123" s="2027"/>
      <c r="AH123" s="1878" t="str">
        <f>IF(ISNA('D4.5Why''s-D5-D6'!AZ27),"",'D4.5Why''s-D5-D6'!AZ27)</f>
        <v/>
      </c>
      <c r="AI123" s="1879"/>
      <c r="AJ123" s="1879"/>
      <c r="AK123" s="1879"/>
      <c r="AL123" s="1879"/>
      <c r="AM123" s="1879"/>
      <c r="AN123" s="1879"/>
      <c r="AO123" s="1879"/>
      <c r="AP123" s="1879"/>
      <c r="AQ123" s="1879"/>
      <c r="AR123" s="1880"/>
      <c r="AS123" s="1833" t="str">
        <f>IF(ISNA('D4.5Why''s-D5-D6'!BA27),"",'D4.5Why''s-D5-D6'!BA27)</f>
        <v/>
      </c>
      <c r="AT123" s="1833"/>
      <c r="AU123" s="1833"/>
      <c r="AV123" s="1833"/>
      <c r="AW123" s="1833"/>
      <c r="AX123" s="1833"/>
      <c r="AY123" s="1833"/>
      <c r="AZ123" s="1833"/>
      <c r="BA123" s="1833"/>
      <c r="BB123" s="1833"/>
      <c r="BC123" s="1833"/>
      <c r="BD123" s="1833"/>
      <c r="BE123" s="1833"/>
      <c r="BF123" s="1833" t="str">
        <f>IF(ISNA('D4.5Why''s-D5-D6'!BB27),"",'D4.5Why''s-D5-D6'!BB27)</f>
        <v/>
      </c>
      <c r="BG123" s="1833"/>
      <c r="BH123" s="1833"/>
      <c r="BI123" s="1833"/>
      <c r="BJ123" s="1833"/>
      <c r="BK123" s="1833"/>
      <c r="BL123" s="1833"/>
      <c r="BM123" s="1833"/>
      <c r="BN123" s="1833"/>
      <c r="BO123" s="1833"/>
      <c r="BP123" s="1833"/>
      <c r="BQ123" s="1833"/>
      <c r="BR123" s="1833"/>
      <c r="BS123" s="1833" t="str">
        <f>IF(ISNA('D4.5Why''s-D5-D6'!BC27),"",'D4.5Why''s-D5-D6'!BC27)</f>
        <v/>
      </c>
      <c r="BT123" s="1833"/>
      <c r="BU123" s="1833"/>
      <c r="BV123" s="1833"/>
      <c r="BW123" s="1833"/>
      <c r="BX123" s="1833"/>
      <c r="BY123" s="1833"/>
      <c r="BZ123" s="1833"/>
      <c r="CA123" s="1833"/>
      <c r="CB123" s="1833"/>
      <c r="CC123" s="1833"/>
      <c r="CD123" s="1833"/>
      <c r="CE123" s="1833"/>
      <c r="CF123" s="1833" t="str">
        <f>IF(ISNA('D4.5Why''s-D5-D6'!BD27),"",'D4.5Why''s-D5-D6'!BD27)</f>
        <v/>
      </c>
      <c r="CG123" s="1833"/>
      <c r="CH123" s="1833"/>
      <c r="CI123" s="1833"/>
      <c r="CJ123" s="1833"/>
      <c r="CK123" s="1833"/>
      <c r="CL123" s="1833"/>
      <c r="CM123" s="1833"/>
      <c r="CN123" s="1833"/>
      <c r="CO123" s="1833"/>
      <c r="CP123" s="1833"/>
      <c r="CQ123" s="1833"/>
      <c r="CR123" s="1833"/>
      <c r="CS123" s="1833" t="str">
        <f>IF(ISNA('D4.5Why''s-D5-D6'!BE27),"",'D4.5Why''s-D5-D6'!BE27)</f>
        <v/>
      </c>
      <c r="CT123" s="1833"/>
      <c r="CU123" s="1833"/>
      <c r="CV123" s="1833"/>
      <c r="CW123" s="1833"/>
      <c r="CX123" s="1833"/>
      <c r="CY123" s="1833"/>
      <c r="CZ123" s="1833"/>
      <c r="DA123" s="1833"/>
      <c r="DB123" s="1833"/>
      <c r="DC123" s="1878" t="str">
        <f>IF(ISNA('D4.5Why''s-D5-D6'!BF27),"",'D4.5Why''s-D5-D6'!BF27)</f>
        <v/>
      </c>
      <c r="DD123" s="1879"/>
      <c r="DE123" s="1879"/>
      <c r="DF123" s="1879"/>
      <c r="DG123" s="1879"/>
      <c r="DH123" s="1879"/>
      <c r="DI123" s="1879"/>
      <c r="DJ123" s="1879"/>
      <c r="DK123" s="1879"/>
      <c r="DL123" s="1879"/>
      <c r="DM123" s="1879"/>
      <c r="DN123" s="1879"/>
      <c r="DO123" s="1879"/>
      <c r="DP123" s="1879"/>
      <c r="DQ123" s="1879"/>
      <c r="DR123" s="1880"/>
      <c r="DS123" s="313"/>
      <c r="DT123" s="311"/>
      <c r="DX123" s="616"/>
      <c r="DY123" s="616"/>
      <c r="DZ123" s="616"/>
      <c r="EB123" s="617"/>
      <c r="EC123" s="617"/>
      <c r="ED123" s="617"/>
      <c r="EE123" s="617"/>
      <c r="EF123" s="617"/>
      <c r="EG123" s="617"/>
      <c r="EH123" s="617"/>
    </row>
    <row r="124" spans="2:138" ht="30" customHeight="1">
      <c r="B124" s="319"/>
      <c r="C124" s="313"/>
      <c r="D124" s="2081"/>
      <c r="E124" s="1833" t="str">
        <f>IF(ISNA('D4.5Why''s-D5-D6'!AX28),"",'D4.5Why''s-D5-D6'!AX28)</f>
        <v/>
      </c>
      <c r="F124" s="1833"/>
      <c r="G124" s="1833"/>
      <c r="H124" s="1833"/>
      <c r="I124" s="1833"/>
      <c r="J124" s="1833"/>
      <c r="K124" s="1833"/>
      <c r="L124" s="1833"/>
      <c r="M124" s="2025" t="str">
        <f>IF(ISNA('D4.5Why''s-D5-D6'!AY28),"",'D4.5Why''s-D5-D6'!AY28)</f>
        <v/>
      </c>
      <c r="N124" s="2026"/>
      <c r="O124" s="2026"/>
      <c r="P124" s="2026"/>
      <c r="Q124" s="2026"/>
      <c r="R124" s="2026"/>
      <c r="S124" s="2026"/>
      <c r="T124" s="2026"/>
      <c r="U124" s="2026"/>
      <c r="V124" s="2026"/>
      <c r="W124" s="2026"/>
      <c r="X124" s="2026"/>
      <c r="Y124" s="2026"/>
      <c r="Z124" s="2026"/>
      <c r="AA124" s="2026"/>
      <c r="AB124" s="2026"/>
      <c r="AC124" s="2026"/>
      <c r="AD124" s="2026"/>
      <c r="AE124" s="2026"/>
      <c r="AF124" s="2026"/>
      <c r="AG124" s="2027"/>
      <c r="AH124" s="1878" t="str">
        <f>IF(ISNA('D4.5Why''s-D5-D6'!AZ28),"",'D4.5Why''s-D5-D6'!AZ28)</f>
        <v/>
      </c>
      <c r="AI124" s="1879"/>
      <c r="AJ124" s="1879"/>
      <c r="AK124" s="1879"/>
      <c r="AL124" s="1879"/>
      <c r="AM124" s="1879"/>
      <c r="AN124" s="1879"/>
      <c r="AO124" s="1879"/>
      <c r="AP124" s="1879"/>
      <c r="AQ124" s="1879"/>
      <c r="AR124" s="1880"/>
      <c r="AS124" s="1833" t="str">
        <f>IF(ISNA('D4.5Why''s-D5-D6'!BA28),"",'D4.5Why''s-D5-D6'!BA28)</f>
        <v/>
      </c>
      <c r="AT124" s="1833"/>
      <c r="AU124" s="1833"/>
      <c r="AV124" s="1833"/>
      <c r="AW124" s="1833"/>
      <c r="AX124" s="1833"/>
      <c r="AY124" s="1833"/>
      <c r="AZ124" s="1833"/>
      <c r="BA124" s="1833"/>
      <c r="BB124" s="1833"/>
      <c r="BC124" s="1833"/>
      <c r="BD124" s="1833"/>
      <c r="BE124" s="1833"/>
      <c r="BF124" s="1833" t="str">
        <f>IF(ISNA('D4.5Why''s-D5-D6'!BB28),"",'D4.5Why''s-D5-D6'!BB28)</f>
        <v/>
      </c>
      <c r="BG124" s="1833"/>
      <c r="BH124" s="1833"/>
      <c r="BI124" s="1833"/>
      <c r="BJ124" s="1833"/>
      <c r="BK124" s="1833"/>
      <c r="BL124" s="1833"/>
      <c r="BM124" s="1833"/>
      <c r="BN124" s="1833"/>
      <c r="BO124" s="1833"/>
      <c r="BP124" s="1833"/>
      <c r="BQ124" s="1833"/>
      <c r="BR124" s="1833"/>
      <c r="BS124" s="1833" t="str">
        <f>IF(ISNA('D4.5Why''s-D5-D6'!BC28),"",'D4.5Why''s-D5-D6'!BC28)</f>
        <v/>
      </c>
      <c r="BT124" s="1833"/>
      <c r="BU124" s="1833"/>
      <c r="BV124" s="1833"/>
      <c r="BW124" s="1833"/>
      <c r="BX124" s="1833"/>
      <c r="BY124" s="1833"/>
      <c r="BZ124" s="1833"/>
      <c r="CA124" s="1833"/>
      <c r="CB124" s="1833"/>
      <c r="CC124" s="1833"/>
      <c r="CD124" s="1833"/>
      <c r="CE124" s="1833"/>
      <c r="CF124" s="1833" t="str">
        <f>IF(ISNA('D4.5Why''s-D5-D6'!BD28),"",'D4.5Why''s-D5-D6'!BD28)</f>
        <v/>
      </c>
      <c r="CG124" s="1833"/>
      <c r="CH124" s="1833"/>
      <c r="CI124" s="1833"/>
      <c r="CJ124" s="1833"/>
      <c r="CK124" s="1833"/>
      <c r="CL124" s="1833"/>
      <c r="CM124" s="1833"/>
      <c r="CN124" s="1833"/>
      <c r="CO124" s="1833"/>
      <c r="CP124" s="1833"/>
      <c r="CQ124" s="1833"/>
      <c r="CR124" s="1833"/>
      <c r="CS124" s="1833" t="str">
        <f>IF(ISNA('D4.5Why''s-D5-D6'!BE28),"",'D4.5Why''s-D5-D6'!BE28)</f>
        <v/>
      </c>
      <c r="CT124" s="1833"/>
      <c r="CU124" s="1833"/>
      <c r="CV124" s="1833"/>
      <c r="CW124" s="1833"/>
      <c r="CX124" s="1833"/>
      <c r="CY124" s="1833"/>
      <c r="CZ124" s="1833"/>
      <c r="DA124" s="1833"/>
      <c r="DB124" s="1833"/>
      <c r="DC124" s="1878" t="str">
        <f>IF(ISNA('D4.5Why''s-D5-D6'!BF28),"",'D4.5Why''s-D5-D6'!BF28)</f>
        <v/>
      </c>
      <c r="DD124" s="1879"/>
      <c r="DE124" s="1879"/>
      <c r="DF124" s="1879"/>
      <c r="DG124" s="1879"/>
      <c r="DH124" s="1879"/>
      <c r="DI124" s="1879"/>
      <c r="DJ124" s="1879"/>
      <c r="DK124" s="1879"/>
      <c r="DL124" s="1879"/>
      <c r="DM124" s="1879"/>
      <c r="DN124" s="1879"/>
      <c r="DO124" s="1879"/>
      <c r="DP124" s="1879"/>
      <c r="DQ124" s="1879"/>
      <c r="DR124" s="1880"/>
      <c r="DS124" s="313"/>
      <c r="DT124" s="311"/>
      <c r="DX124" s="616"/>
      <c r="DY124" s="616"/>
      <c r="DZ124" s="616"/>
      <c r="EB124" s="617"/>
      <c r="EC124" s="617"/>
      <c r="ED124" s="617"/>
      <c r="EE124" s="617"/>
      <c r="EF124" s="617"/>
      <c r="EG124" s="617"/>
      <c r="EH124" s="617"/>
    </row>
    <row r="125" spans="2:138" ht="6" customHeight="1">
      <c r="B125" s="319"/>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c r="BH125" s="313"/>
      <c r="BI125" s="313"/>
      <c r="BJ125" s="313"/>
      <c r="BK125" s="313"/>
      <c r="BL125" s="313"/>
      <c r="BM125" s="313"/>
      <c r="BN125" s="313"/>
      <c r="BO125" s="313"/>
      <c r="BP125" s="313"/>
      <c r="BQ125" s="313"/>
      <c r="BR125" s="313"/>
      <c r="BS125" s="313"/>
      <c r="BT125" s="313"/>
      <c r="BU125" s="313"/>
      <c r="BV125" s="313"/>
      <c r="BW125" s="313"/>
      <c r="BX125" s="313"/>
      <c r="BY125" s="313"/>
      <c r="BZ125" s="313"/>
      <c r="CA125" s="313"/>
      <c r="CB125" s="313"/>
      <c r="CC125" s="313"/>
      <c r="CD125" s="313"/>
      <c r="CE125" s="313"/>
      <c r="CF125" s="313"/>
      <c r="CG125" s="313"/>
      <c r="CH125" s="313"/>
      <c r="CI125" s="313"/>
      <c r="CJ125" s="313"/>
      <c r="CK125" s="313"/>
      <c r="CL125" s="313"/>
      <c r="CM125" s="313"/>
      <c r="CN125" s="313"/>
      <c r="CO125" s="313"/>
      <c r="CP125" s="313"/>
      <c r="CQ125" s="313"/>
      <c r="CR125" s="313"/>
      <c r="CS125" s="313"/>
      <c r="CT125" s="313"/>
      <c r="CU125" s="313"/>
      <c r="CV125" s="313"/>
      <c r="CW125" s="313"/>
      <c r="CX125" s="313"/>
      <c r="CY125" s="313"/>
      <c r="CZ125" s="313"/>
      <c r="DA125" s="313"/>
      <c r="DB125" s="313"/>
      <c r="DC125" s="313"/>
      <c r="DD125" s="313"/>
      <c r="DE125" s="313"/>
      <c r="DF125" s="313"/>
      <c r="DG125" s="313"/>
      <c r="DH125" s="313"/>
      <c r="DI125" s="313"/>
      <c r="DJ125" s="313"/>
      <c r="DK125" s="313"/>
      <c r="DL125" s="313"/>
      <c r="DM125" s="313"/>
      <c r="DN125" s="313"/>
      <c r="DO125" s="313"/>
      <c r="DP125" s="313"/>
      <c r="DQ125" s="313"/>
      <c r="DR125" s="313"/>
      <c r="DS125" s="313"/>
      <c r="DT125" s="311"/>
      <c r="DX125" s="616"/>
      <c r="DY125" s="616"/>
      <c r="DZ125" s="616"/>
      <c r="EB125" s="617"/>
      <c r="EC125" s="617"/>
      <c r="ED125" s="617"/>
      <c r="EE125" s="617"/>
      <c r="EF125" s="617"/>
      <c r="EG125" s="617"/>
      <c r="EH125" s="617"/>
    </row>
    <row r="126" spans="2:138" ht="30" customHeight="1">
      <c r="B126" s="319"/>
      <c r="C126" s="313"/>
      <c r="D126" s="2082" t="str">
        <f ca="1">'D4.5Why''s-D5-D6'!J41</f>
        <v>Systemic consideration</v>
      </c>
      <c r="E126" s="1878" t="str">
        <f>IF(ISNA('D4.5Why''s-D5-D6'!AX44),"",'D4.5Why''s-D5-D6'!AX44)</f>
        <v/>
      </c>
      <c r="F126" s="1879"/>
      <c r="G126" s="1879"/>
      <c r="H126" s="1879"/>
      <c r="I126" s="1879"/>
      <c r="J126" s="1879"/>
      <c r="K126" s="1879"/>
      <c r="L126" s="1880"/>
      <c r="M126" s="2025" t="str">
        <f>IF(ISNA('D4.5Why''s-D5-D6'!AY44),"",'D4.5Why''s-D5-D6'!AY44)</f>
        <v/>
      </c>
      <c r="N126" s="2026"/>
      <c r="O126" s="2026"/>
      <c r="P126" s="2026"/>
      <c r="Q126" s="2026"/>
      <c r="R126" s="2026"/>
      <c r="S126" s="2026"/>
      <c r="T126" s="2026"/>
      <c r="U126" s="2026"/>
      <c r="V126" s="2026"/>
      <c r="W126" s="2026"/>
      <c r="X126" s="2026"/>
      <c r="Y126" s="2026"/>
      <c r="Z126" s="2026"/>
      <c r="AA126" s="2026"/>
      <c r="AB126" s="2026"/>
      <c r="AC126" s="2026"/>
      <c r="AD126" s="2026"/>
      <c r="AE126" s="2026"/>
      <c r="AF126" s="2026"/>
      <c r="AG126" s="2027"/>
      <c r="AH126" s="1878" t="str">
        <f>IF(ISNA('D4.5Why''s-D5-D6'!AZ44),"",'D4.5Why''s-D5-D6'!AZ44)</f>
        <v/>
      </c>
      <c r="AI126" s="1879"/>
      <c r="AJ126" s="1879"/>
      <c r="AK126" s="1879"/>
      <c r="AL126" s="1879"/>
      <c r="AM126" s="1879"/>
      <c r="AN126" s="1879"/>
      <c r="AO126" s="1879"/>
      <c r="AP126" s="1879"/>
      <c r="AQ126" s="1879"/>
      <c r="AR126" s="1880"/>
      <c r="AS126" s="1833" t="str">
        <f>IF(ISNA('D4.5Why''s-D5-D6'!BA44),"",'D4.5Why''s-D5-D6'!BA44)</f>
        <v/>
      </c>
      <c r="AT126" s="1833"/>
      <c r="AU126" s="1833"/>
      <c r="AV126" s="1833"/>
      <c r="AW126" s="1833"/>
      <c r="AX126" s="1833"/>
      <c r="AY126" s="1833"/>
      <c r="AZ126" s="1833"/>
      <c r="BA126" s="1833"/>
      <c r="BB126" s="1833"/>
      <c r="BC126" s="1833"/>
      <c r="BD126" s="1833"/>
      <c r="BE126" s="1833"/>
      <c r="BF126" s="1833" t="str">
        <f>IF(ISNA('D4.5Why''s-D5-D6'!BB44),"",'D4.5Why''s-D5-D6'!BB44)</f>
        <v/>
      </c>
      <c r="BG126" s="1833"/>
      <c r="BH126" s="1833"/>
      <c r="BI126" s="1833"/>
      <c r="BJ126" s="1833"/>
      <c r="BK126" s="1833"/>
      <c r="BL126" s="1833"/>
      <c r="BM126" s="1833"/>
      <c r="BN126" s="1833"/>
      <c r="BO126" s="1833"/>
      <c r="BP126" s="1833"/>
      <c r="BQ126" s="1833"/>
      <c r="BR126" s="1833"/>
      <c r="BS126" s="1833" t="str">
        <f>IF(ISNA('D4.5Why''s-D5-D6'!BC44),"",'D4.5Why''s-D5-D6'!BC44)</f>
        <v/>
      </c>
      <c r="BT126" s="1833"/>
      <c r="BU126" s="1833"/>
      <c r="BV126" s="1833"/>
      <c r="BW126" s="1833"/>
      <c r="BX126" s="1833"/>
      <c r="BY126" s="1833"/>
      <c r="BZ126" s="1833"/>
      <c r="CA126" s="1833"/>
      <c r="CB126" s="1833"/>
      <c r="CC126" s="1833"/>
      <c r="CD126" s="1833"/>
      <c r="CE126" s="1833"/>
      <c r="CF126" s="1833" t="str">
        <f>IF(ISNA('D4.5Why''s-D5-D6'!BD44),"",'D4.5Why''s-D5-D6'!BD44)</f>
        <v/>
      </c>
      <c r="CG126" s="1833"/>
      <c r="CH126" s="1833"/>
      <c r="CI126" s="1833"/>
      <c r="CJ126" s="1833"/>
      <c r="CK126" s="1833" t="str">
        <f>IF(ISNA('D4.5Why''s-D5-D6'!BC44),"",'D4.5Why''s-D5-D6'!BC44)</f>
        <v/>
      </c>
      <c r="CL126" s="1833"/>
      <c r="CM126" s="1833"/>
      <c r="CN126" s="1833"/>
      <c r="CO126" s="1833"/>
      <c r="CP126" s="1833"/>
      <c r="CQ126" s="1833"/>
      <c r="CR126" s="1833"/>
      <c r="CS126" s="1833" t="str">
        <f>IF(ISNA('D4.5Why''s-D5-D6'!BE44),"",'D4.5Why''s-D5-D6'!BE44)</f>
        <v/>
      </c>
      <c r="CT126" s="1833"/>
      <c r="CU126" s="1833"/>
      <c r="CV126" s="1833"/>
      <c r="CW126" s="1833"/>
      <c r="CX126" s="1833"/>
      <c r="CY126" s="1833"/>
      <c r="CZ126" s="1833"/>
      <c r="DA126" s="1833"/>
      <c r="DB126" s="1833" t="str">
        <f>IF(ISNA('D4.5Why''s-D5-D6'!BD44),"",'D4.5Why''s-D5-D6'!BD44)</f>
        <v/>
      </c>
      <c r="DC126" s="1878" t="str">
        <f>IF(ISNA('D4.5Why''s-D5-D6'!BF44),"",'D4.5Why''s-D5-D6'!BF44)</f>
        <v/>
      </c>
      <c r="DD126" s="1879"/>
      <c r="DE126" s="1879"/>
      <c r="DF126" s="1879"/>
      <c r="DG126" s="1879"/>
      <c r="DH126" s="1879"/>
      <c r="DI126" s="1879"/>
      <c r="DJ126" s="1879"/>
      <c r="DK126" s="1879"/>
      <c r="DL126" s="1879"/>
      <c r="DM126" s="1879"/>
      <c r="DN126" s="1879"/>
      <c r="DO126" s="1879"/>
      <c r="DP126" s="1879"/>
      <c r="DQ126" s="1879"/>
      <c r="DR126" s="1880"/>
      <c r="DS126" s="313"/>
      <c r="DT126" s="311"/>
      <c r="DX126" s="618"/>
      <c r="DY126" s="616"/>
      <c r="DZ126" s="616"/>
      <c r="EB126" s="617"/>
      <c r="EC126" s="617"/>
      <c r="ED126" s="617"/>
      <c r="EE126" s="617"/>
      <c r="EF126" s="617"/>
      <c r="EG126" s="617"/>
      <c r="EH126" s="617"/>
    </row>
    <row r="127" spans="2:138" ht="30" customHeight="1">
      <c r="B127" s="319"/>
      <c r="C127" s="313"/>
      <c r="D127" s="2083"/>
      <c r="E127" s="1878" t="str">
        <f>IF(ISNA('D4.5Why''s-D5-D6'!AX45),"",'D4.5Why''s-D5-D6'!AX45)</f>
        <v/>
      </c>
      <c r="F127" s="1879"/>
      <c r="G127" s="1879"/>
      <c r="H127" s="1879"/>
      <c r="I127" s="1879"/>
      <c r="J127" s="1879"/>
      <c r="K127" s="1879"/>
      <c r="L127" s="1880"/>
      <c r="M127" s="2025" t="str">
        <f>IF(ISNA('D4.5Why''s-D5-D6'!AY45),"",'D4.5Why''s-D5-D6'!AY45)</f>
        <v/>
      </c>
      <c r="N127" s="2026"/>
      <c r="O127" s="2026"/>
      <c r="P127" s="2026"/>
      <c r="Q127" s="2026"/>
      <c r="R127" s="2026"/>
      <c r="S127" s="2026"/>
      <c r="T127" s="2026"/>
      <c r="U127" s="2026"/>
      <c r="V127" s="2026"/>
      <c r="W127" s="2026"/>
      <c r="X127" s="2026"/>
      <c r="Y127" s="2026"/>
      <c r="Z127" s="2026"/>
      <c r="AA127" s="2026"/>
      <c r="AB127" s="2026"/>
      <c r="AC127" s="2026"/>
      <c r="AD127" s="2026"/>
      <c r="AE127" s="2026"/>
      <c r="AF127" s="2026"/>
      <c r="AG127" s="2027"/>
      <c r="AH127" s="1878" t="str">
        <f>IF(ISNA('D4.5Why''s-D5-D6'!AZ45),"",'D4.5Why''s-D5-D6'!AZ45)</f>
        <v/>
      </c>
      <c r="AI127" s="1879"/>
      <c r="AJ127" s="1879"/>
      <c r="AK127" s="1879"/>
      <c r="AL127" s="1879"/>
      <c r="AM127" s="1879"/>
      <c r="AN127" s="1879"/>
      <c r="AO127" s="1879"/>
      <c r="AP127" s="1879"/>
      <c r="AQ127" s="1879"/>
      <c r="AR127" s="1880"/>
      <c r="AS127" s="1833" t="str">
        <f>IF(ISNA('D4.5Why''s-D5-D6'!BA45),"",'D4.5Why''s-D5-D6'!BA45)</f>
        <v/>
      </c>
      <c r="AT127" s="1833"/>
      <c r="AU127" s="1833"/>
      <c r="AV127" s="1833"/>
      <c r="AW127" s="1833"/>
      <c r="AX127" s="1833"/>
      <c r="AY127" s="1833"/>
      <c r="AZ127" s="1833"/>
      <c r="BA127" s="1833"/>
      <c r="BB127" s="1833"/>
      <c r="BC127" s="1833"/>
      <c r="BD127" s="1833"/>
      <c r="BE127" s="1833"/>
      <c r="BF127" s="1833" t="str">
        <f>IF(ISNA('D4.5Why''s-D5-D6'!BB45),"",'D4.5Why''s-D5-D6'!BB45)</f>
        <v/>
      </c>
      <c r="BG127" s="1833"/>
      <c r="BH127" s="1833"/>
      <c r="BI127" s="1833"/>
      <c r="BJ127" s="1833"/>
      <c r="BK127" s="1833"/>
      <c r="BL127" s="1833"/>
      <c r="BM127" s="1833"/>
      <c r="BN127" s="1833"/>
      <c r="BO127" s="1833"/>
      <c r="BP127" s="1833"/>
      <c r="BQ127" s="1833"/>
      <c r="BR127" s="1833"/>
      <c r="BS127" s="1833" t="str">
        <f>IF(ISNA('D4.5Why''s-D5-D6'!BC45),"",'D4.5Why''s-D5-D6'!BC45)</f>
        <v/>
      </c>
      <c r="BT127" s="1833"/>
      <c r="BU127" s="1833"/>
      <c r="BV127" s="1833"/>
      <c r="BW127" s="1833"/>
      <c r="BX127" s="1833"/>
      <c r="BY127" s="1833"/>
      <c r="BZ127" s="1833"/>
      <c r="CA127" s="1833"/>
      <c r="CB127" s="1833"/>
      <c r="CC127" s="1833"/>
      <c r="CD127" s="1833"/>
      <c r="CE127" s="1833"/>
      <c r="CF127" s="1833" t="str">
        <f>IF(ISNA('D4.5Why''s-D5-D6'!BD45),"",'D4.5Why''s-D5-D6'!BD45)</f>
        <v/>
      </c>
      <c r="CG127" s="1833"/>
      <c r="CH127" s="1833"/>
      <c r="CI127" s="1833"/>
      <c r="CJ127" s="1833"/>
      <c r="CK127" s="1833" t="str">
        <f>IF(ISNA('D4.5Why''s-D5-D6'!BC45),"",'D4.5Why''s-D5-D6'!BC45)</f>
        <v/>
      </c>
      <c r="CL127" s="1833"/>
      <c r="CM127" s="1833"/>
      <c r="CN127" s="1833"/>
      <c r="CO127" s="1833"/>
      <c r="CP127" s="1833"/>
      <c r="CQ127" s="1833"/>
      <c r="CR127" s="1833"/>
      <c r="CS127" s="1833" t="str">
        <f>IF(ISNA('D4.5Why''s-D5-D6'!BE45),"",'D4.5Why''s-D5-D6'!BE45)</f>
        <v/>
      </c>
      <c r="CT127" s="1833"/>
      <c r="CU127" s="1833"/>
      <c r="CV127" s="1833"/>
      <c r="CW127" s="1833"/>
      <c r="CX127" s="1833"/>
      <c r="CY127" s="1833"/>
      <c r="CZ127" s="1833"/>
      <c r="DA127" s="1833"/>
      <c r="DB127" s="1833" t="str">
        <f>IF(ISNA('D4.5Why''s-D5-D6'!BD45),"",'D4.5Why''s-D5-D6'!BD45)</f>
        <v/>
      </c>
      <c r="DC127" s="1878" t="str">
        <f>IF(ISNA('D4.5Why''s-D5-D6'!BF45),"",'D4.5Why''s-D5-D6'!BF45)</f>
        <v/>
      </c>
      <c r="DD127" s="1879"/>
      <c r="DE127" s="1879"/>
      <c r="DF127" s="1879"/>
      <c r="DG127" s="1879"/>
      <c r="DH127" s="1879"/>
      <c r="DI127" s="1879"/>
      <c r="DJ127" s="1879"/>
      <c r="DK127" s="1879"/>
      <c r="DL127" s="1879"/>
      <c r="DM127" s="1879"/>
      <c r="DN127" s="1879"/>
      <c r="DO127" s="1879"/>
      <c r="DP127" s="1879"/>
      <c r="DQ127" s="1879"/>
      <c r="DR127" s="1880"/>
      <c r="DS127" s="313"/>
      <c r="DT127" s="311"/>
      <c r="DX127" s="618"/>
    </row>
    <row r="128" spans="2:138" ht="30" customHeight="1">
      <c r="B128" s="319"/>
      <c r="C128" s="313"/>
      <c r="D128" s="2083"/>
      <c r="E128" s="1878" t="str">
        <f>IF(ISNA('D4.5Why''s-D5-D6'!AX46),"",'D4.5Why''s-D5-D6'!AX46)</f>
        <v/>
      </c>
      <c r="F128" s="1879"/>
      <c r="G128" s="1879"/>
      <c r="H128" s="1879"/>
      <c r="I128" s="1879"/>
      <c r="J128" s="1879"/>
      <c r="K128" s="1879"/>
      <c r="L128" s="1880"/>
      <c r="M128" s="2025" t="str">
        <f>IF(ISNA('D4.5Why''s-D5-D6'!AY46),"",'D4.5Why''s-D5-D6'!AY46)</f>
        <v/>
      </c>
      <c r="N128" s="2026"/>
      <c r="O128" s="2026"/>
      <c r="P128" s="2026"/>
      <c r="Q128" s="2026"/>
      <c r="R128" s="2026"/>
      <c r="S128" s="2026"/>
      <c r="T128" s="2026"/>
      <c r="U128" s="2026"/>
      <c r="V128" s="2026"/>
      <c r="W128" s="2026"/>
      <c r="X128" s="2026"/>
      <c r="Y128" s="2026"/>
      <c r="Z128" s="2026"/>
      <c r="AA128" s="2026"/>
      <c r="AB128" s="2026"/>
      <c r="AC128" s="2026"/>
      <c r="AD128" s="2026"/>
      <c r="AE128" s="2026"/>
      <c r="AF128" s="2026"/>
      <c r="AG128" s="2027"/>
      <c r="AH128" s="1878" t="str">
        <f>IF(ISNA('D4.5Why''s-D5-D6'!AZ46),"",'D4.5Why''s-D5-D6'!AZ46)</f>
        <v/>
      </c>
      <c r="AI128" s="1879"/>
      <c r="AJ128" s="1879"/>
      <c r="AK128" s="1879"/>
      <c r="AL128" s="1879"/>
      <c r="AM128" s="1879"/>
      <c r="AN128" s="1879"/>
      <c r="AO128" s="1879"/>
      <c r="AP128" s="1879"/>
      <c r="AQ128" s="1879"/>
      <c r="AR128" s="1880"/>
      <c r="AS128" s="1833" t="str">
        <f>IF(ISNA('D4.5Why''s-D5-D6'!BA46),"",'D4.5Why''s-D5-D6'!BA46)</f>
        <v/>
      </c>
      <c r="AT128" s="1833"/>
      <c r="AU128" s="1833"/>
      <c r="AV128" s="1833"/>
      <c r="AW128" s="1833"/>
      <c r="AX128" s="1833"/>
      <c r="AY128" s="1833"/>
      <c r="AZ128" s="1833"/>
      <c r="BA128" s="1833"/>
      <c r="BB128" s="1833"/>
      <c r="BC128" s="1833"/>
      <c r="BD128" s="1833"/>
      <c r="BE128" s="1833"/>
      <c r="BF128" s="1833" t="str">
        <f>IF(ISNA('D4.5Why''s-D5-D6'!BB46),"",'D4.5Why''s-D5-D6'!BB46)</f>
        <v/>
      </c>
      <c r="BG128" s="1833"/>
      <c r="BH128" s="1833"/>
      <c r="BI128" s="1833"/>
      <c r="BJ128" s="1833"/>
      <c r="BK128" s="1833"/>
      <c r="BL128" s="1833"/>
      <c r="BM128" s="1833"/>
      <c r="BN128" s="1833"/>
      <c r="BO128" s="1833"/>
      <c r="BP128" s="1833"/>
      <c r="BQ128" s="1833"/>
      <c r="BR128" s="1833"/>
      <c r="BS128" s="1833" t="str">
        <f>IF(ISNA('D4.5Why''s-D5-D6'!BC46),"",'D4.5Why''s-D5-D6'!BC46)</f>
        <v/>
      </c>
      <c r="BT128" s="1833"/>
      <c r="BU128" s="1833"/>
      <c r="BV128" s="1833"/>
      <c r="BW128" s="1833"/>
      <c r="BX128" s="1833"/>
      <c r="BY128" s="1833"/>
      <c r="BZ128" s="1833"/>
      <c r="CA128" s="1833"/>
      <c r="CB128" s="1833"/>
      <c r="CC128" s="1833"/>
      <c r="CD128" s="1833"/>
      <c r="CE128" s="1833"/>
      <c r="CF128" s="1833" t="str">
        <f>IF(ISNA('D4.5Why''s-D5-D6'!BD46),"",'D4.5Why''s-D5-D6'!BD46)</f>
        <v/>
      </c>
      <c r="CG128" s="1833"/>
      <c r="CH128" s="1833"/>
      <c r="CI128" s="1833"/>
      <c r="CJ128" s="1833"/>
      <c r="CK128" s="1833" t="str">
        <f>IF(ISNA('D4.5Why''s-D5-D6'!BC46),"",'D4.5Why''s-D5-D6'!BC46)</f>
        <v/>
      </c>
      <c r="CL128" s="1833"/>
      <c r="CM128" s="1833"/>
      <c r="CN128" s="1833"/>
      <c r="CO128" s="1833"/>
      <c r="CP128" s="1833"/>
      <c r="CQ128" s="1833"/>
      <c r="CR128" s="1833"/>
      <c r="CS128" s="1833" t="str">
        <f>IF(ISNA('D4.5Why''s-D5-D6'!BE46),"",'D4.5Why''s-D5-D6'!BE46)</f>
        <v/>
      </c>
      <c r="CT128" s="1833"/>
      <c r="CU128" s="1833"/>
      <c r="CV128" s="1833"/>
      <c r="CW128" s="1833"/>
      <c r="CX128" s="1833"/>
      <c r="CY128" s="1833"/>
      <c r="CZ128" s="1833"/>
      <c r="DA128" s="1833"/>
      <c r="DB128" s="1833" t="str">
        <f>IF(ISNA('D4.5Why''s-D5-D6'!BD46),"",'D4.5Why''s-D5-D6'!BD46)</f>
        <v/>
      </c>
      <c r="DC128" s="1878" t="str">
        <f>IF(ISNA('D4.5Why''s-D5-D6'!BF46),"",'D4.5Why''s-D5-D6'!BF46)</f>
        <v/>
      </c>
      <c r="DD128" s="1879"/>
      <c r="DE128" s="1879"/>
      <c r="DF128" s="1879"/>
      <c r="DG128" s="1879"/>
      <c r="DH128" s="1879"/>
      <c r="DI128" s="1879"/>
      <c r="DJ128" s="1879"/>
      <c r="DK128" s="1879"/>
      <c r="DL128" s="1879"/>
      <c r="DM128" s="1879"/>
      <c r="DN128" s="1879"/>
      <c r="DO128" s="1879"/>
      <c r="DP128" s="1879"/>
      <c r="DQ128" s="1879"/>
      <c r="DR128" s="1880"/>
      <c r="DS128" s="313"/>
      <c r="DT128" s="311"/>
      <c r="DX128" s="618"/>
    </row>
    <row r="129" spans="2:128" ht="30" customHeight="1">
      <c r="B129" s="319"/>
      <c r="C129" s="313"/>
      <c r="D129" s="2083"/>
      <c r="E129" s="1878" t="str">
        <f>IF(ISNA('D4.5Why''s-D5-D6'!AX47),"",'D4.5Why''s-D5-D6'!AX47)</f>
        <v/>
      </c>
      <c r="F129" s="1879"/>
      <c r="G129" s="1879"/>
      <c r="H129" s="1879"/>
      <c r="I129" s="1879"/>
      <c r="J129" s="1879"/>
      <c r="K129" s="1879"/>
      <c r="L129" s="1880"/>
      <c r="M129" s="2025" t="str">
        <f>IF(ISNA('D4.5Why''s-D5-D6'!AY47),"",'D4.5Why''s-D5-D6'!AY47)</f>
        <v/>
      </c>
      <c r="N129" s="2026"/>
      <c r="O129" s="2026"/>
      <c r="P129" s="2026"/>
      <c r="Q129" s="2026"/>
      <c r="R129" s="2026"/>
      <c r="S129" s="2026"/>
      <c r="T129" s="2026"/>
      <c r="U129" s="2026"/>
      <c r="V129" s="2026"/>
      <c r="W129" s="2026"/>
      <c r="X129" s="2026"/>
      <c r="Y129" s="2026"/>
      <c r="Z129" s="2026"/>
      <c r="AA129" s="2026"/>
      <c r="AB129" s="2026"/>
      <c r="AC129" s="2026"/>
      <c r="AD129" s="2026"/>
      <c r="AE129" s="2026"/>
      <c r="AF129" s="2026"/>
      <c r="AG129" s="2027"/>
      <c r="AH129" s="1878" t="str">
        <f>IF(ISNA('D4.5Why''s-D5-D6'!AZ47),"",'D4.5Why''s-D5-D6'!AZ47)</f>
        <v/>
      </c>
      <c r="AI129" s="1879"/>
      <c r="AJ129" s="1879"/>
      <c r="AK129" s="1879"/>
      <c r="AL129" s="1879"/>
      <c r="AM129" s="1879"/>
      <c r="AN129" s="1879"/>
      <c r="AO129" s="1879"/>
      <c r="AP129" s="1879"/>
      <c r="AQ129" s="1879"/>
      <c r="AR129" s="1880"/>
      <c r="AS129" s="1833" t="str">
        <f>IF(ISNA('D4.5Why''s-D5-D6'!BA47),"",'D4.5Why''s-D5-D6'!BA47)</f>
        <v/>
      </c>
      <c r="AT129" s="1833"/>
      <c r="AU129" s="1833"/>
      <c r="AV129" s="1833"/>
      <c r="AW129" s="1833"/>
      <c r="AX129" s="1833"/>
      <c r="AY129" s="1833"/>
      <c r="AZ129" s="1833"/>
      <c r="BA129" s="1833"/>
      <c r="BB129" s="1833"/>
      <c r="BC129" s="1833"/>
      <c r="BD129" s="1833"/>
      <c r="BE129" s="1833"/>
      <c r="BF129" s="1833" t="str">
        <f>IF(ISNA('D4.5Why''s-D5-D6'!BB47),"",'D4.5Why''s-D5-D6'!BB47)</f>
        <v/>
      </c>
      <c r="BG129" s="1833"/>
      <c r="BH129" s="1833"/>
      <c r="BI129" s="1833"/>
      <c r="BJ129" s="1833"/>
      <c r="BK129" s="1833"/>
      <c r="BL129" s="1833"/>
      <c r="BM129" s="1833"/>
      <c r="BN129" s="1833"/>
      <c r="BO129" s="1833"/>
      <c r="BP129" s="1833"/>
      <c r="BQ129" s="1833"/>
      <c r="BR129" s="1833"/>
      <c r="BS129" s="1833" t="str">
        <f>IF(ISNA('D4.5Why''s-D5-D6'!BC47),"",'D4.5Why''s-D5-D6'!BC47)</f>
        <v/>
      </c>
      <c r="BT129" s="1833"/>
      <c r="BU129" s="1833"/>
      <c r="BV129" s="1833"/>
      <c r="BW129" s="1833"/>
      <c r="BX129" s="1833"/>
      <c r="BY129" s="1833"/>
      <c r="BZ129" s="1833"/>
      <c r="CA129" s="1833"/>
      <c r="CB129" s="1833"/>
      <c r="CC129" s="1833"/>
      <c r="CD129" s="1833"/>
      <c r="CE129" s="1833"/>
      <c r="CF129" s="1833" t="str">
        <f>IF(ISNA('D4.5Why''s-D5-D6'!BD47),"",'D4.5Why''s-D5-D6'!BD47)</f>
        <v/>
      </c>
      <c r="CG129" s="1833"/>
      <c r="CH129" s="1833"/>
      <c r="CI129" s="1833"/>
      <c r="CJ129" s="1833"/>
      <c r="CK129" s="1833" t="str">
        <f>IF(ISNA('D4.5Why''s-D5-D6'!BC47),"",'D4.5Why''s-D5-D6'!BC47)</f>
        <v/>
      </c>
      <c r="CL129" s="1833"/>
      <c r="CM129" s="1833"/>
      <c r="CN129" s="1833"/>
      <c r="CO129" s="1833"/>
      <c r="CP129" s="1833"/>
      <c r="CQ129" s="1833"/>
      <c r="CR129" s="1833"/>
      <c r="CS129" s="1833" t="str">
        <f>IF(ISNA('D4.5Why''s-D5-D6'!BE47),"",'D4.5Why''s-D5-D6'!BE47)</f>
        <v/>
      </c>
      <c r="CT129" s="1833"/>
      <c r="CU129" s="1833"/>
      <c r="CV129" s="1833"/>
      <c r="CW129" s="1833"/>
      <c r="CX129" s="1833"/>
      <c r="CY129" s="1833"/>
      <c r="CZ129" s="1833"/>
      <c r="DA129" s="1833"/>
      <c r="DB129" s="1833" t="str">
        <f>IF(ISNA('D4.5Why''s-D5-D6'!BD47),"",'D4.5Why''s-D5-D6'!BD47)</f>
        <v/>
      </c>
      <c r="DC129" s="1878" t="str">
        <f>IF(ISNA('D4.5Why''s-D5-D6'!BF47),"",'D4.5Why''s-D5-D6'!BF47)</f>
        <v/>
      </c>
      <c r="DD129" s="1879"/>
      <c r="DE129" s="1879"/>
      <c r="DF129" s="1879"/>
      <c r="DG129" s="1879"/>
      <c r="DH129" s="1879"/>
      <c r="DI129" s="1879"/>
      <c r="DJ129" s="1879"/>
      <c r="DK129" s="1879"/>
      <c r="DL129" s="1879"/>
      <c r="DM129" s="1879"/>
      <c r="DN129" s="1879"/>
      <c r="DO129" s="1879"/>
      <c r="DP129" s="1879"/>
      <c r="DQ129" s="1879"/>
      <c r="DR129" s="1880"/>
      <c r="DS129" s="313"/>
      <c r="DT129" s="311"/>
      <c r="DX129" s="618"/>
    </row>
    <row r="130" spans="2:128" ht="30" customHeight="1">
      <c r="B130" s="319"/>
      <c r="C130" s="313"/>
      <c r="D130" s="2083"/>
      <c r="E130" s="1878" t="str">
        <f>IF(ISNA('D4.5Why''s-D5-D6'!AX48),"",'D4.5Why''s-D5-D6'!AX48)</f>
        <v/>
      </c>
      <c r="F130" s="1879"/>
      <c r="G130" s="1879"/>
      <c r="H130" s="1879"/>
      <c r="I130" s="1879"/>
      <c r="J130" s="1879"/>
      <c r="K130" s="1879"/>
      <c r="L130" s="1880"/>
      <c r="M130" s="2025" t="str">
        <f>IF(ISNA('D4.5Why''s-D5-D6'!AY48),"",'D4.5Why''s-D5-D6'!AY48)</f>
        <v/>
      </c>
      <c r="N130" s="2026"/>
      <c r="O130" s="2026"/>
      <c r="P130" s="2026"/>
      <c r="Q130" s="2026"/>
      <c r="R130" s="2026"/>
      <c r="S130" s="2026"/>
      <c r="T130" s="2026"/>
      <c r="U130" s="2026"/>
      <c r="V130" s="2026"/>
      <c r="W130" s="2026"/>
      <c r="X130" s="2026"/>
      <c r="Y130" s="2026"/>
      <c r="Z130" s="2026"/>
      <c r="AA130" s="2026"/>
      <c r="AB130" s="2026"/>
      <c r="AC130" s="2026"/>
      <c r="AD130" s="2026"/>
      <c r="AE130" s="2026"/>
      <c r="AF130" s="2026"/>
      <c r="AG130" s="2027"/>
      <c r="AH130" s="1878" t="str">
        <f>IF(ISNA('D4.5Why''s-D5-D6'!AZ48),"",'D4.5Why''s-D5-D6'!AZ48)</f>
        <v/>
      </c>
      <c r="AI130" s="1879"/>
      <c r="AJ130" s="1879"/>
      <c r="AK130" s="1879"/>
      <c r="AL130" s="1879"/>
      <c r="AM130" s="1879"/>
      <c r="AN130" s="1879"/>
      <c r="AO130" s="1879"/>
      <c r="AP130" s="1879"/>
      <c r="AQ130" s="1879"/>
      <c r="AR130" s="1880"/>
      <c r="AS130" s="1833" t="str">
        <f>IF(ISNA('D4.5Why''s-D5-D6'!BA48),"",'D4.5Why''s-D5-D6'!BA48)</f>
        <v/>
      </c>
      <c r="AT130" s="1833"/>
      <c r="AU130" s="1833"/>
      <c r="AV130" s="1833"/>
      <c r="AW130" s="1833"/>
      <c r="AX130" s="1833"/>
      <c r="AY130" s="1833"/>
      <c r="AZ130" s="1833"/>
      <c r="BA130" s="1833"/>
      <c r="BB130" s="1833"/>
      <c r="BC130" s="1833"/>
      <c r="BD130" s="1833"/>
      <c r="BE130" s="1833"/>
      <c r="BF130" s="1833" t="str">
        <f>IF(ISNA('D4.5Why''s-D5-D6'!BB48),"",'D4.5Why''s-D5-D6'!BB48)</f>
        <v/>
      </c>
      <c r="BG130" s="1833"/>
      <c r="BH130" s="1833"/>
      <c r="BI130" s="1833"/>
      <c r="BJ130" s="1833"/>
      <c r="BK130" s="1833"/>
      <c r="BL130" s="1833"/>
      <c r="BM130" s="1833"/>
      <c r="BN130" s="1833"/>
      <c r="BO130" s="1833"/>
      <c r="BP130" s="1833"/>
      <c r="BQ130" s="1833"/>
      <c r="BR130" s="1833"/>
      <c r="BS130" s="1833" t="str">
        <f>IF(ISNA('D4.5Why''s-D5-D6'!BC48),"",'D4.5Why''s-D5-D6'!BC48)</f>
        <v/>
      </c>
      <c r="BT130" s="1833"/>
      <c r="BU130" s="1833"/>
      <c r="BV130" s="1833"/>
      <c r="BW130" s="1833"/>
      <c r="BX130" s="1833"/>
      <c r="BY130" s="1833"/>
      <c r="BZ130" s="1833"/>
      <c r="CA130" s="1833"/>
      <c r="CB130" s="1833"/>
      <c r="CC130" s="1833"/>
      <c r="CD130" s="1833"/>
      <c r="CE130" s="1833"/>
      <c r="CF130" s="1833" t="str">
        <f>IF(ISNA('D4.5Why''s-D5-D6'!BD48),"",'D4.5Why''s-D5-D6'!BD48)</f>
        <v/>
      </c>
      <c r="CG130" s="1833"/>
      <c r="CH130" s="1833"/>
      <c r="CI130" s="1833"/>
      <c r="CJ130" s="1833"/>
      <c r="CK130" s="1833" t="str">
        <f>IF(ISNA('D4.5Why''s-D5-D6'!BC48),"",'D4.5Why''s-D5-D6'!BC48)</f>
        <v/>
      </c>
      <c r="CL130" s="1833"/>
      <c r="CM130" s="1833"/>
      <c r="CN130" s="1833"/>
      <c r="CO130" s="1833"/>
      <c r="CP130" s="1833"/>
      <c r="CQ130" s="1833"/>
      <c r="CR130" s="1833"/>
      <c r="CS130" s="1833" t="str">
        <f>IF(ISNA('D4.5Why''s-D5-D6'!BE48),"",'D4.5Why''s-D5-D6'!BE48)</f>
        <v/>
      </c>
      <c r="CT130" s="1833"/>
      <c r="CU130" s="1833"/>
      <c r="CV130" s="1833"/>
      <c r="CW130" s="1833"/>
      <c r="CX130" s="1833"/>
      <c r="CY130" s="1833"/>
      <c r="CZ130" s="1833"/>
      <c r="DA130" s="1833"/>
      <c r="DB130" s="1833" t="str">
        <f>IF(ISNA('D4.5Why''s-D5-D6'!BD48),"",'D4.5Why''s-D5-D6'!BD48)</f>
        <v/>
      </c>
      <c r="DC130" s="1878" t="str">
        <f>IF(ISNA('D4.5Why''s-D5-D6'!BF48),"",'D4.5Why''s-D5-D6'!BF48)</f>
        <v/>
      </c>
      <c r="DD130" s="1879"/>
      <c r="DE130" s="1879"/>
      <c r="DF130" s="1879"/>
      <c r="DG130" s="1879"/>
      <c r="DH130" s="1879"/>
      <c r="DI130" s="1879"/>
      <c r="DJ130" s="1879"/>
      <c r="DK130" s="1879"/>
      <c r="DL130" s="1879"/>
      <c r="DM130" s="1879"/>
      <c r="DN130" s="1879"/>
      <c r="DO130" s="1879"/>
      <c r="DP130" s="1879"/>
      <c r="DQ130" s="1879"/>
      <c r="DR130" s="1880"/>
      <c r="DS130" s="313"/>
      <c r="DT130" s="311"/>
      <c r="DX130" s="618"/>
    </row>
    <row r="131" spans="2:128" ht="30" customHeight="1">
      <c r="B131" s="312"/>
      <c r="C131" s="313"/>
      <c r="D131" s="2083"/>
      <c r="E131" s="1878" t="str">
        <f>IF(ISNA('D4.5Why''s-D5-D6'!AX49),"",'D4.5Why''s-D5-D6'!AX49)</f>
        <v/>
      </c>
      <c r="F131" s="1879"/>
      <c r="G131" s="1879"/>
      <c r="H131" s="1879"/>
      <c r="I131" s="1879"/>
      <c r="J131" s="1879"/>
      <c r="K131" s="1879"/>
      <c r="L131" s="1880"/>
      <c r="M131" s="2025" t="str">
        <f>IF(ISNA('D4.5Why''s-D5-D6'!AY49),"",'D4.5Why''s-D5-D6'!AY49)</f>
        <v/>
      </c>
      <c r="N131" s="2026"/>
      <c r="O131" s="2026"/>
      <c r="P131" s="2026"/>
      <c r="Q131" s="2026"/>
      <c r="R131" s="2026"/>
      <c r="S131" s="2026"/>
      <c r="T131" s="2026"/>
      <c r="U131" s="2026"/>
      <c r="V131" s="2026"/>
      <c r="W131" s="2026"/>
      <c r="X131" s="2026"/>
      <c r="Y131" s="2026"/>
      <c r="Z131" s="2026"/>
      <c r="AA131" s="2026"/>
      <c r="AB131" s="2026"/>
      <c r="AC131" s="2026"/>
      <c r="AD131" s="2026"/>
      <c r="AE131" s="2026"/>
      <c r="AF131" s="2026"/>
      <c r="AG131" s="2027"/>
      <c r="AH131" s="1878" t="str">
        <f>IF(ISNA('D4.5Why''s-D5-D6'!AZ49),"",'D4.5Why''s-D5-D6'!AZ49)</f>
        <v/>
      </c>
      <c r="AI131" s="1879"/>
      <c r="AJ131" s="1879"/>
      <c r="AK131" s="1879"/>
      <c r="AL131" s="1879"/>
      <c r="AM131" s="1879"/>
      <c r="AN131" s="1879"/>
      <c r="AO131" s="1879"/>
      <c r="AP131" s="1879"/>
      <c r="AQ131" s="1879"/>
      <c r="AR131" s="1880"/>
      <c r="AS131" s="1833" t="str">
        <f>IF(ISNA('D4.5Why''s-D5-D6'!BA49),"",'D4.5Why''s-D5-D6'!BA49)</f>
        <v/>
      </c>
      <c r="AT131" s="1833"/>
      <c r="AU131" s="1833"/>
      <c r="AV131" s="1833"/>
      <c r="AW131" s="1833"/>
      <c r="AX131" s="1833"/>
      <c r="AY131" s="1833"/>
      <c r="AZ131" s="1833"/>
      <c r="BA131" s="1833"/>
      <c r="BB131" s="1833"/>
      <c r="BC131" s="1833"/>
      <c r="BD131" s="1833"/>
      <c r="BE131" s="1833"/>
      <c r="BF131" s="1833" t="str">
        <f>IF(ISNA('D4.5Why''s-D5-D6'!BB49),"",'D4.5Why''s-D5-D6'!BB49)</f>
        <v/>
      </c>
      <c r="BG131" s="1833"/>
      <c r="BH131" s="1833"/>
      <c r="BI131" s="1833"/>
      <c r="BJ131" s="1833"/>
      <c r="BK131" s="1833"/>
      <c r="BL131" s="1833"/>
      <c r="BM131" s="1833"/>
      <c r="BN131" s="1833"/>
      <c r="BO131" s="1833"/>
      <c r="BP131" s="1833"/>
      <c r="BQ131" s="1833"/>
      <c r="BR131" s="1833"/>
      <c r="BS131" s="1833" t="str">
        <f>IF(ISNA('D4.5Why''s-D5-D6'!BC49),"",'D4.5Why''s-D5-D6'!BC49)</f>
        <v/>
      </c>
      <c r="BT131" s="1833"/>
      <c r="BU131" s="1833"/>
      <c r="BV131" s="1833"/>
      <c r="BW131" s="1833"/>
      <c r="BX131" s="1833"/>
      <c r="BY131" s="1833"/>
      <c r="BZ131" s="1833"/>
      <c r="CA131" s="1833"/>
      <c r="CB131" s="1833"/>
      <c r="CC131" s="1833"/>
      <c r="CD131" s="1833"/>
      <c r="CE131" s="1833"/>
      <c r="CF131" s="1833" t="str">
        <f>IF(ISNA('D4.5Why''s-D5-D6'!BD49),"",'D4.5Why''s-D5-D6'!BD49)</f>
        <v/>
      </c>
      <c r="CG131" s="1833"/>
      <c r="CH131" s="1833"/>
      <c r="CI131" s="1833"/>
      <c r="CJ131" s="1833"/>
      <c r="CK131" s="1833" t="str">
        <f>IF(ISNA('D4.5Why''s-D5-D6'!BC49),"",'D4.5Why''s-D5-D6'!BC49)</f>
        <v/>
      </c>
      <c r="CL131" s="1833"/>
      <c r="CM131" s="1833"/>
      <c r="CN131" s="1833"/>
      <c r="CO131" s="1833"/>
      <c r="CP131" s="1833"/>
      <c r="CQ131" s="1833"/>
      <c r="CR131" s="1833"/>
      <c r="CS131" s="1833" t="str">
        <f>IF(ISNA('D4.5Why''s-D5-D6'!BE49),"",'D4.5Why''s-D5-D6'!BE49)</f>
        <v/>
      </c>
      <c r="CT131" s="1833"/>
      <c r="CU131" s="1833"/>
      <c r="CV131" s="1833"/>
      <c r="CW131" s="1833"/>
      <c r="CX131" s="1833"/>
      <c r="CY131" s="1833"/>
      <c r="CZ131" s="1833"/>
      <c r="DA131" s="1833"/>
      <c r="DB131" s="1833" t="str">
        <f>IF(ISNA('D4.5Why''s-D5-D6'!BD49),"",'D4.5Why''s-D5-D6'!BD49)</f>
        <v/>
      </c>
      <c r="DC131" s="1878" t="str">
        <f>IF(ISNA('D4.5Why''s-D5-D6'!BF49),"",'D4.5Why''s-D5-D6'!BF49)</f>
        <v/>
      </c>
      <c r="DD131" s="1879"/>
      <c r="DE131" s="1879"/>
      <c r="DF131" s="1879"/>
      <c r="DG131" s="1879"/>
      <c r="DH131" s="1879"/>
      <c r="DI131" s="1879"/>
      <c r="DJ131" s="1879"/>
      <c r="DK131" s="1879"/>
      <c r="DL131" s="1879"/>
      <c r="DM131" s="1879"/>
      <c r="DN131" s="1879"/>
      <c r="DO131" s="1879"/>
      <c r="DP131" s="1879"/>
      <c r="DQ131" s="1879"/>
      <c r="DR131" s="1880"/>
      <c r="DS131" s="313"/>
      <c r="DT131" s="311"/>
      <c r="DX131" s="618"/>
    </row>
    <row r="132" spans="2:128" ht="30" customHeight="1">
      <c r="B132" s="312"/>
      <c r="C132" s="313"/>
      <c r="D132" s="2083"/>
      <c r="E132" s="1878" t="str">
        <f>IF(ISNA('D4.5Why''s-D5-D6'!AX50),"",'D4.5Why''s-D5-D6'!AX50)</f>
        <v/>
      </c>
      <c r="F132" s="1879"/>
      <c r="G132" s="1879"/>
      <c r="H132" s="1879"/>
      <c r="I132" s="1879"/>
      <c r="J132" s="1879"/>
      <c r="K132" s="1879"/>
      <c r="L132" s="1880"/>
      <c r="M132" s="2025" t="str">
        <f>IF(ISNA('D4.5Why''s-D5-D6'!AY50),"",'D4.5Why''s-D5-D6'!AY50)</f>
        <v/>
      </c>
      <c r="N132" s="2026"/>
      <c r="O132" s="2026"/>
      <c r="P132" s="2026"/>
      <c r="Q132" s="2026"/>
      <c r="R132" s="2026"/>
      <c r="S132" s="2026"/>
      <c r="T132" s="2026"/>
      <c r="U132" s="2026"/>
      <c r="V132" s="2026"/>
      <c r="W132" s="2026"/>
      <c r="X132" s="2026"/>
      <c r="Y132" s="2026"/>
      <c r="Z132" s="2026"/>
      <c r="AA132" s="2026"/>
      <c r="AB132" s="2026"/>
      <c r="AC132" s="2026"/>
      <c r="AD132" s="2026"/>
      <c r="AE132" s="2026"/>
      <c r="AF132" s="2026"/>
      <c r="AG132" s="2027"/>
      <c r="AH132" s="1878" t="str">
        <f>IF(ISNA('D4.5Why''s-D5-D6'!AZ50),"",'D4.5Why''s-D5-D6'!AZ50)</f>
        <v/>
      </c>
      <c r="AI132" s="1879"/>
      <c r="AJ132" s="1879"/>
      <c r="AK132" s="1879"/>
      <c r="AL132" s="1879"/>
      <c r="AM132" s="1879"/>
      <c r="AN132" s="1879"/>
      <c r="AO132" s="1879"/>
      <c r="AP132" s="1879"/>
      <c r="AQ132" s="1879"/>
      <c r="AR132" s="1880"/>
      <c r="AS132" s="1833" t="str">
        <f>IF(ISNA('D4.5Why''s-D5-D6'!BA50),"",'D4.5Why''s-D5-D6'!BA50)</f>
        <v/>
      </c>
      <c r="AT132" s="1833"/>
      <c r="AU132" s="1833"/>
      <c r="AV132" s="1833"/>
      <c r="AW132" s="1833"/>
      <c r="AX132" s="1833"/>
      <c r="AY132" s="1833"/>
      <c r="AZ132" s="1833"/>
      <c r="BA132" s="1833"/>
      <c r="BB132" s="1833"/>
      <c r="BC132" s="1833"/>
      <c r="BD132" s="1833"/>
      <c r="BE132" s="1833"/>
      <c r="BF132" s="1833" t="str">
        <f>IF(ISNA('D4.5Why''s-D5-D6'!BB50),"",'D4.5Why''s-D5-D6'!BB50)</f>
        <v/>
      </c>
      <c r="BG132" s="1833"/>
      <c r="BH132" s="1833"/>
      <c r="BI132" s="1833"/>
      <c r="BJ132" s="1833"/>
      <c r="BK132" s="1833"/>
      <c r="BL132" s="1833"/>
      <c r="BM132" s="1833"/>
      <c r="BN132" s="1833"/>
      <c r="BO132" s="1833"/>
      <c r="BP132" s="1833"/>
      <c r="BQ132" s="1833"/>
      <c r="BR132" s="1833"/>
      <c r="BS132" s="1833" t="str">
        <f>IF(ISNA('D4.5Why''s-D5-D6'!BC50),"",'D4.5Why''s-D5-D6'!BC50)</f>
        <v/>
      </c>
      <c r="BT132" s="1833"/>
      <c r="BU132" s="1833"/>
      <c r="BV132" s="1833"/>
      <c r="BW132" s="1833"/>
      <c r="BX132" s="1833"/>
      <c r="BY132" s="1833"/>
      <c r="BZ132" s="1833"/>
      <c r="CA132" s="1833"/>
      <c r="CB132" s="1833"/>
      <c r="CC132" s="1833"/>
      <c r="CD132" s="1833"/>
      <c r="CE132" s="1833"/>
      <c r="CF132" s="1833" t="str">
        <f>IF(ISNA('D4.5Why''s-D5-D6'!BD50),"",'D4.5Why''s-D5-D6'!BD50)</f>
        <v/>
      </c>
      <c r="CG132" s="1833"/>
      <c r="CH132" s="1833"/>
      <c r="CI132" s="1833"/>
      <c r="CJ132" s="1833"/>
      <c r="CK132" s="1833" t="str">
        <f>IF(ISNA('D4.5Why''s-D5-D6'!BC50),"",'D4.5Why''s-D5-D6'!BC50)</f>
        <v/>
      </c>
      <c r="CL132" s="1833"/>
      <c r="CM132" s="1833"/>
      <c r="CN132" s="1833"/>
      <c r="CO132" s="1833"/>
      <c r="CP132" s="1833"/>
      <c r="CQ132" s="1833"/>
      <c r="CR132" s="1833"/>
      <c r="CS132" s="1833" t="str">
        <f>IF(ISNA('D4.5Why''s-D5-D6'!BE50),"",'D4.5Why''s-D5-D6'!BE50)</f>
        <v/>
      </c>
      <c r="CT132" s="1833"/>
      <c r="CU132" s="1833"/>
      <c r="CV132" s="1833"/>
      <c r="CW132" s="1833"/>
      <c r="CX132" s="1833"/>
      <c r="CY132" s="1833"/>
      <c r="CZ132" s="1833"/>
      <c r="DA132" s="1833"/>
      <c r="DB132" s="1833" t="str">
        <f>IF(ISNA('D4.5Why''s-D5-D6'!BD50),"",'D4.5Why''s-D5-D6'!BD50)</f>
        <v/>
      </c>
      <c r="DC132" s="1878" t="str">
        <f>IF(ISNA('D4.5Why''s-D5-D6'!BF50),"",'D4.5Why''s-D5-D6'!BF50)</f>
        <v/>
      </c>
      <c r="DD132" s="1879"/>
      <c r="DE132" s="1879"/>
      <c r="DF132" s="1879"/>
      <c r="DG132" s="1879"/>
      <c r="DH132" s="1879"/>
      <c r="DI132" s="1879"/>
      <c r="DJ132" s="1879"/>
      <c r="DK132" s="1879"/>
      <c r="DL132" s="1879"/>
      <c r="DM132" s="1879"/>
      <c r="DN132" s="1879"/>
      <c r="DO132" s="1879"/>
      <c r="DP132" s="1879"/>
      <c r="DQ132" s="1879"/>
      <c r="DR132" s="1880"/>
      <c r="DS132" s="313"/>
      <c r="DT132" s="311"/>
      <c r="DX132" s="618"/>
    </row>
    <row r="133" spans="2:128" ht="30" customHeight="1">
      <c r="B133" s="312"/>
      <c r="C133" s="313"/>
      <c r="D133" s="2083"/>
      <c r="E133" s="1878" t="str">
        <f>IF(ISNA('D4.5Why''s-D5-D6'!AX51),"",'D4.5Why''s-D5-D6'!AX51)</f>
        <v/>
      </c>
      <c r="F133" s="1879"/>
      <c r="G133" s="1879"/>
      <c r="H133" s="1879"/>
      <c r="I133" s="1879"/>
      <c r="J133" s="1879"/>
      <c r="K133" s="1879"/>
      <c r="L133" s="1880"/>
      <c r="M133" s="2025" t="str">
        <f>IF(ISNA('D4.5Why''s-D5-D6'!AY51),"",'D4.5Why''s-D5-D6'!AY51)</f>
        <v/>
      </c>
      <c r="N133" s="2026"/>
      <c r="O133" s="2026"/>
      <c r="P133" s="2026"/>
      <c r="Q133" s="2026"/>
      <c r="R133" s="2026"/>
      <c r="S133" s="2026"/>
      <c r="T133" s="2026"/>
      <c r="U133" s="2026"/>
      <c r="V133" s="2026"/>
      <c r="W133" s="2026"/>
      <c r="X133" s="2026"/>
      <c r="Y133" s="2026"/>
      <c r="Z133" s="2026"/>
      <c r="AA133" s="2026"/>
      <c r="AB133" s="2026"/>
      <c r="AC133" s="2026"/>
      <c r="AD133" s="2026"/>
      <c r="AE133" s="2026"/>
      <c r="AF133" s="2026"/>
      <c r="AG133" s="2027"/>
      <c r="AH133" s="1878" t="str">
        <f>IF(ISNA('D4.5Why''s-D5-D6'!AZ51),"",'D4.5Why''s-D5-D6'!AZ51)</f>
        <v/>
      </c>
      <c r="AI133" s="1879"/>
      <c r="AJ133" s="1879"/>
      <c r="AK133" s="1879"/>
      <c r="AL133" s="1879"/>
      <c r="AM133" s="1879"/>
      <c r="AN133" s="1879"/>
      <c r="AO133" s="1879"/>
      <c r="AP133" s="1879"/>
      <c r="AQ133" s="1879"/>
      <c r="AR133" s="1880"/>
      <c r="AS133" s="1833" t="str">
        <f>IF(ISNA('D4.5Why''s-D5-D6'!BA51),"",'D4.5Why''s-D5-D6'!BA51)</f>
        <v/>
      </c>
      <c r="AT133" s="1833"/>
      <c r="AU133" s="1833"/>
      <c r="AV133" s="1833"/>
      <c r="AW133" s="1833"/>
      <c r="AX133" s="1833"/>
      <c r="AY133" s="1833"/>
      <c r="AZ133" s="1833"/>
      <c r="BA133" s="1833"/>
      <c r="BB133" s="1833"/>
      <c r="BC133" s="1833"/>
      <c r="BD133" s="1833"/>
      <c r="BE133" s="1833"/>
      <c r="BF133" s="1833" t="str">
        <f>IF(ISNA('D4.5Why''s-D5-D6'!BB51),"",'D4.5Why''s-D5-D6'!BB51)</f>
        <v/>
      </c>
      <c r="BG133" s="1833"/>
      <c r="BH133" s="1833"/>
      <c r="BI133" s="1833"/>
      <c r="BJ133" s="1833"/>
      <c r="BK133" s="1833"/>
      <c r="BL133" s="1833"/>
      <c r="BM133" s="1833"/>
      <c r="BN133" s="1833"/>
      <c r="BO133" s="1833"/>
      <c r="BP133" s="1833"/>
      <c r="BQ133" s="1833"/>
      <c r="BR133" s="1833"/>
      <c r="BS133" s="1833" t="str">
        <f>IF(ISNA('D4.5Why''s-D5-D6'!BC51),"",'D4.5Why''s-D5-D6'!BC51)</f>
        <v/>
      </c>
      <c r="BT133" s="1833"/>
      <c r="BU133" s="1833"/>
      <c r="BV133" s="1833"/>
      <c r="BW133" s="1833"/>
      <c r="BX133" s="1833"/>
      <c r="BY133" s="1833"/>
      <c r="BZ133" s="1833"/>
      <c r="CA133" s="1833"/>
      <c r="CB133" s="1833"/>
      <c r="CC133" s="1833"/>
      <c r="CD133" s="1833"/>
      <c r="CE133" s="1833"/>
      <c r="CF133" s="1833" t="str">
        <f>IF(ISNA('D4.5Why''s-D5-D6'!BD51),"",'D4.5Why''s-D5-D6'!BD51)</f>
        <v/>
      </c>
      <c r="CG133" s="1833"/>
      <c r="CH133" s="1833"/>
      <c r="CI133" s="1833"/>
      <c r="CJ133" s="1833"/>
      <c r="CK133" s="1833" t="str">
        <f>IF(ISNA('D4.5Why''s-D5-D6'!BC51),"",'D4.5Why''s-D5-D6'!BC51)</f>
        <v/>
      </c>
      <c r="CL133" s="1833"/>
      <c r="CM133" s="1833"/>
      <c r="CN133" s="1833"/>
      <c r="CO133" s="1833"/>
      <c r="CP133" s="1833"/>
      <c r="CQ133" s="1833"/>
      <c r="CR133" s="1833"/>
      <c r="CS133" s="1833" t="str">
        <f>IF(ISNA('D4.5Why''s-D5-D6'!BE51),"",'D4.5Why''s-D5-D6'!BE51)</f>
        <v/>
      </c>
      <c r="CT133" s="1833"/>
      <c r="CU133" s="1833"/>
      <c r="CV133" s="1833"/>
      <c r="CW133" s="1833"/>
      <c r="CX133" s="1833"/>
      <c r="CY133" s="1833"/>
      <c r="CZ133" s="1833"/>
      <c r="DA133" s="1833"/>
      <c r="DB133" s="1833" t="str">
        <f>IF(ISNA('D4.5Why''s-D5-D6'!BD51),"",'D4.5Why''s-D5-D6'!BD51)</f>
        <v/>
      </c>
      <c r="DC133" s="1878" t="str">
        <f>IF(ISNA('D4.5Why''s-D5-D6'!BF51),"",'D4.5Why''s-D5-D6'!BF51)</f>
        <v/>
      </c>
      <c r="DD133" s="1879"/>
      <c r="DE133" s="1879"/>
      <c r="DF133" s="1879"/>
      <c r="DG133" s="1879"/>
      <c r="DH133" s="1879"/>
      <c r="DI133" s="1879"/>
      <c r="DJ133" s="1879"/>
      <c r="DK133" s="1879"/>
      <c r="DL133" s="1879"/>
      <c r="DM133" s="1879"/>
      <c r="DN133" s="1879"/>
      <c r="DO133" s="1879"/>
      <c r="DP133" s="1879"/>
      <c r="DQ133" s="1879"/>
      <c r="DR133" s="1880"/>
      <c r="DS133" s="313"/>
      <c r="DT133" s="311"/>
      <c r="DX133" s="618"/>
    </row>
    <row r="134" spans="2:128" ht="30" customHeight="1">
      <c r="B134" s="312"/>
      <c r="C134" s="313"/>
      <c r="D134" s="2083"/>
      <c r="E134" s="1878" t="str">
        <f>IF(ISNA('D4.5Why''s-D5-D6'!AX52),"",'D4.5Why''s-D5-D6'!AX52)</f>
        <v/>
      </c>
      <c r="F134" s="1879"/>
      <c r="G134" s="1879"/>
      <c r="H134" s="1879"/>
      <c r="I134" s="1879"/>
      <c r="J134" s="1879"/>
      <c r="K134" s="1879"/>
      <c r="L134" s="1880"/>
      <c r="M134" s="2025" t="str">
        <f>IF(ISNA('D4.5Why''s-D5-D6'!AY52),"",'D4.5Why''s-D5-D6'!AY52)</f>
        <v/>
      </c>
      <c r="N134" s="2026"/>
      <c r="O134" s="2026"/>
      <c r="P134" s="2026"/>
      <c r="Q134" s="2026"/>
      <c r="R134" s="2026"/>
      <c r="S134" s="2026"/>
      <c r="T134" s="2026"/>
      <c r="U134" s="2026"/>
      <c r="V134" s="2026"/>
      <c r="W134" s="2026"/>
      <c r="X134" s="2026"/>
      <c r="Y134" s="2026"/>
      <c r="Z134" s="2026"/>
      <c r="AA134" s="2026"/>
      <c r="AB134" s="2026"/>
      <c r="AC134" s="2026"/>
      <c r="AD134" s="2026"/>
      <c r="AE134" s="2026"/>
      <c r="AF134" s="2026"/>
      <c r="AG134" s="2027"/>
      <c r="AH134" s="1878" t="str">
        <f>IF(ISNA('D4.5Why''s-D5-D6'!AZ52),"",'D4.5Why''s-D5-D6'!AZ52)</f>
        <v/>
      </c>
      <c r="AI134" s="1879"/>
      <c r="AJ134" s="1879"/>
      <c r="AK134" s="1879"/>
      <c r="AL134" s="1879"/>
      <c r="AM134" s="1879"/>
      <c r="AN134" s="1879"/>
      <c r="AO134" s="1879"/>
      <c r="AP134" s="1879"/>
      <c r="AQ134" s="1879"/>
      <c r="AR134" s="1880"/>
      <c r="AS134" s="1833" t="str">
        <f>IF(ISNA('D4.5Why''s-D5-D6'!BA52),"",'D4.5Why''s-D5-D6'!BA52)</f>
        <v/>
      </c>
      <c r="AT134" s="1833"/>
      <c r="AU134" s="1833"/>
      <c r="AV134" s="1833"/>
      <c r="AW134" s="1833"/>
      <c r="AX134" s="1833"/>
      <c r="AY134" s="1833"/>
      <c r="AZ134" s="1833"/>
      <c r="BA134" s="1833"/>
      <c r="BB134" s="1833"/>
      <c r="BC134" s="1833"/>
      <c r="BD134" s="1833"/>
      <c r="BE134" s="1833"/>
      <c r="BF134" s="1833" t="str">
        <f>IF(ISNA('D4.5Why''s-D5-D6'!BB52),"",'D4.5Why''s-D5-D6'!BB52)</f>
        <v/>
      </c>
      <c r="BG134" s="1833"/>
      <c r="BH134" s="1833"/>
      <c r="BI134" s="1833"/>
      <c r="BJ134" s="1833"/>
      <c r="BK134" s="1833"/>
      <c r="BL134" s="1833"/>
      <c r="BM134" s="1833"/>
      <c r="BN134" s="1833"/>
      <c r="BO134" s="1833"/>
      <c r="BP134" s="1833"/>
      <c r="BQ134" s="1833"/>
      <c r="BR134" s="1833"/>
      <c r="BS134" s="1833" t="str">
        <f>IF(ISNA('D4.5Why''s-D5-D6'!BC52),"",'D4.5Why''s-D5-D6'!BC52)</f>
        <v/>
      </c>
      <c r="BT134" s="1833"/>
      <c r="BU134" s="1833"/>
      <c r="BV134" s="1833"/>
      <c r="BW134" s="1833"/>
      <c r="BX134" s="1833"/>
      <c r="BY134" s="1833"/>
      <c r="BZ134" s="1833"/>
      <c r="CA134" s="1833"/>
      <c r="CB134" s="1833"/>
      <c r="CC134" s="1833"/>
      <c r="CD134" s="1833"/>
      <c r="CE134" s="1833"/>
      <c r="CF134" s="1833" t="str">
        <f>IF(ISNA('D4.5Why''s-D5-D6'!BD52),"",'D4.5Why''s-D5-D6'!BD52)</f>
        <v/>
      </c>
      <c r="CG134" s="1833"/>
      <c r="CH134" s="1833"/>
      <c r="CI134" s="1833"/>
      <c r="CJ134" s="1833"/>
      <c r="CK134" s="1833" t="str">
        <f>IF(ISNA('D4.5Why''s-D5-D6'!BC52),"",'D4.5Why''s-D5-D6'!BC52)</f>
        <v/>
      </c>
      <c r="CL134" s="1833"/>
      <c r="CM134" s="1833"/>
      <c r="CN134" s="1833"/>
      <c r="CO134" s="1833"/>
      <c r="CP134" s="1833"/>
      <c r="CQ134" s="1833"/>
      <c r="CR134" s="1833"/>
      <c r="CS134" s="1833" t="str">
        <f>IF(ISNA('D4.5Why''s-D5-D6'!BE52),"",'D4.5Why''s-D5-D6'!BE52)</f>
        <v/>
      </c>
      <c r="CT134" s="1833"/>
      <c r="CU134" s="1833"/>
      <c r="CV134" s="1833"/>
      <c r="CW134" s="1833"/>
      <c r="CX134" s="1833"/>
      <c r="CY134" s="1833"/>
      <c r="CZ134" s="1833"/>
      <c r="DA134" s="1833"/>
      <c r="DB134" s="1833" t="str">
        <f>IF(ISNA('D4.5Why''s-D5-D6'!BD52),"",'D4.5Why''s-D5-D6'!BD52)</f>
        <v/>
      </c>
      <c r="DC134" s="1878" t="str">
        <f>IF(ISNA('D4.5Why''s-D5-D6'!BF52),"",'D4.5Why''s-D5-D6'!BF52)</f>
        <v/>
      </c>
      <c r="DD134" s="1879"/>
      <c r="DE134" s="1879"/>
      <c r="DF134" s="1879"/>
      <c r="DG134" s="1879"/>
      <c r="DH134" s="1879"/>
      <c r="DI134" s="1879"/>
      <c r="DJ134" s="1879"/>
      <c r="DK134" s="1879"/>
      <c r="DL134" s="1879"/>
      <c r="DM134" s="1879"/>
      <c r="DN134" s="1879"/>
      <c r="DO134" s="1879"/>
      <c r="DP134" s="1879"/>
      <c r="DQ134" s="1879"/>
      <c r="DR134" s="1880"/>
      <c r="DS134" s="313"/>
      <c r="DT134" s="311"/>
      <c r="DX134" s="618"/>
    </row>
    <row r="135" spans="2:128" ht="30" customHeight="1">
      <c r="B135" s="312"/>
      <c r="C135" s="313"/>
      <c r="D135" s="2084"/>
      <c r="E135" s="1878" t="str">
        <f>IF(ISNA('D4.5Why''s-D5-D6'!AX53),"",'D4.5Why''s-D5-D6'!AX53)</f>
        <v/>
      </c>
      <c r="F135" s="1879"/>
      <c r="G135" s="1879"/>
      <c r="H135" s="1879"/>
      <c r="I135" s="1879"/>
      <c r="J135" s="1879"/>
      <c r="K135" s="1879"/>
      <c r="L135" s="1880"/>
      <c r="M135" s="2025" t="str">
        <f>IF(ISNA('D4.5Why''s-D5-D6'!AY53),"",'D4.5Why''s-D5-D6'!AY53)</f>
        <v/>
      </c>
      <c r="N135" s="2026"/>
      <c r="O135" s="2026"/>
      <c r="P135" s="2026"/>
      <c r="Q135" s="2026"/>
      <c r="R135" s="2026"/>
      <c r="S135" s="2026"/>
      <c r="T135" s="2026"/>
      <c r="U135" s="2026"/>
      <c r="V135" s="2026"/>
      <c r="W135" s="2026"/>
      <c r="X135" s="2026"/>
      <c r="Y135" s="2026"/>
      <c r="Z135" s="2026"/>
      <c r="AA135" s="2026"/>
      <c r="AB135" s="2026"/>
      <c r="AC135" s="2026"/>
      <c r="AD135" s="2026"/>
      <c r="AE135" s="2026"/>
      <c r="AF135" s="2026"/>
      <c r="AG135" s="2027"/>
      <c r="AH135" s="1878" t="str">
        <f>IF(ISNA('D4.5Why''s-D5-D6'!AZ53),"",'D4.5Why''s-D5-D6'!AZ53)</f>
        <v/>
      </c>
      <c r="AI135" s="1879"/>
      <c r="AJ135" s="1879"/>
      <c r="AK135" s="1879"/>
      <c r="AL135" s="1879"/>
      <c r="AM135" s="1879"/>
      <c r="AN135" s="1879"/>
      <c r="AO135" s="1879"/>
      <c r="AP135" s="1879"/>
      <c r="AQ135" s="1879"/>
      <c r="AR135" s="1880"/>
      <c r="AS135" s="1833" t="str">
        <f>IF(ISNA('D4.5Why''s-D5-D6'!BA53),"",'D4.5Why''s-D5-D6'!BA53)</f>
        <v/>
      </c>
      <c r="AT135" s="1833"/>
      <c r="AU135" s="1833"/>
      <c r="AV135" s="1833"/>
      <c r="AW135" s="1833"/>
      <c r="AX135" s="1833"/>
      <c r="AY135" s="1833"/>
      <c r="AZ135" s="1833"/>
      <c r="BA135" s="1833"/>
      <c r="BB135" s="1833"/>
      <c r="BC135" s="1833"/>
      <c r="BD135" s="1833"/>
      <c r="BE135" s="1833"/>
      <c r="BF135" s="1833" t="str">
        <f>IF(ISNA('D4.5Why''s-D5-D6'!BB53),"",'D4.5Why''s-D5-D6'!BB53)</f>
        <v/>
      </c>
      <c r="BG135" s="1833"/>
      <c r="BH135" s="1833"/>
      <c r="BI135" s="1833"/>
      <c r="BJ135" s="1833"/>
      <c r="BK135" s="1833"/>
      <c r="BL135" s="1833"/>
      <c r="BM135" s="1833"/>
      <c r="BN135" s="1833"/>
      <c r="BO135" s="1833"/>
      <c r="BP135" s="1833"/>
      <c r="BQ135" s="1833"/>
      <c r="BR135" s="1833"/>
      <c r="BS135" s="1833" t="str">
        <f>IF(ISNA('D4.5Why''s-D5-D6'!BC53),"",'D4.5Why''s-D5-D6'!BC53)</f>
        <v/>
      </c>
      <c r="BT135" s="1833"/>
      <c r="BU135" s="1833"/>
      <c r="BV135" s="1833"/>
      <c r="BW135" s="1833"/>
      <c r="BX135" s="1833"/>
      <c r="BY135" s="1833"/>
      <c r="BZ135" s="1833"/>
      <c r="CA135" s="1833"/>
      <c r="CB135" s="1833"/>
      <c r="CC135" s="1833"/>
      <c r="CD135" s="1833"/>
      <c r="CE135" s="1833"/>
      <c r="CF135" s="1833" t="str">
        <f>IF(ISNA('D4.5Why''s-D5-D6'!BD53),"",'D4.5Why''s-D5-D6'!BD53)</f>
        <v/>
      </c>
      <c r="CG135" s="1833"/>
      <c r="CH135" s="1833"/>
      <c r="CI135" s="1833"/>
      <c r="CJ135" s="1833"/>
      <c r="CK135" s="1833" t="str">
        <f>IF(ISNA('D4.5Why''s-D5-D6'!BC53),"",'D4.5Why''s-D5-D6'!BC53)</f>
        <v/>
      </c>
      <c r="CL135" s="1833"/>
      <c r="CM135" s="1833"/>
      <c r="CN135" s="1833"/>
      <c r="CO135" s="1833"/>
      <c r="CP135" s="1833"/>
      <c r="CQ135" s="1833"/>
      <c r="CR135" s="1833"/>
      <c r="CS135" s="1833" t="str">
        <f>IF(ISNA('D4.5Why''s-D5-D6'!BE53),"",'D4.5Why''s-D5-D6'!BE53)</f>
        <v/>
      </c>
      <c r="CT135" s="1833"/>
      <c r="CU135" s="1833"/>
      <c r="CV135" s="1833"/>
      <c r="CW135" s="1833"/>
      <c r="CX135" s="1833"/>
      <c r="CY135" s="1833"/>
      <c r="CZ135" s="1833"/>
      <c r="DA135" s="1833"/>
      <c r="DB135" s="1833" t="str">
        <f>IF(ISNA('D4.5Why''s-D5-D6'!BD53),"",'D4.5Why''s-D5-D6'!BD53)</f>
        <v/>
      </c>
      <c r="DC135" s="1878" t="str">
        <f>IF(ISNA('D4.5Why''s-D5-D6'!BF53),"",'D4.5Why''s-D5-D6'!BF53)</f>
        <v/>
      </c>
      <c r="DD135" s="1879"/>
      <c r="DE135" s="1879"/>
      <c r="DF135" s="1879"/>
      <c r="DG135" s="1879"/>
      <c r="DH135" s="1879"/>
      <c r="DI135" s="1879"/>
      <c r="DJ135" s="1879"/>
      <c r="DK135" s="1879"/>
      <c r="DL135" s="1879"/>
      <c r="DM135" s="1879"/>
      <c r="DN135" s="1879"/>
      <c r="DO135" s="1879"/>
      <c r="DP135" s="1879"/>
      <c r="DQ135" s="1879"/>
      <c r="DR135" s="1880"/>
      <c r="DS135" s="313"/>
      <c r="DT135" s="311"/>
      <c r="DX135" s="618"/>
    </row>
    <row r="136" spans="2:128" ht="6" customHeight="1">
      <c r="B136" s="312"/>
      <c r="C136" s="313"/>
      <c r="D136" s="313"/>
      <c r="E136" s="313"/>
      <c r="F136" s="313"/>
      <c r="G136" s="313"/>
      <c r="H136" s="313"/>
      <c r="I136" s="313"/>
      <c r="J136" s="313"/>
      <c r="K136" s="313"/>
      <c r="L136" s="313"/>
      <c r="M136" s="313"/>
      <c r="N136" s="313"/>
      <c r="O136" s="313"/>
      <c r="P136" s="313"/>
      <c r="Q136" s="313"/>
      <c r="R136" s="313"/>
      <c r="S136" s="313"/>
      <c r="T136" s="313"/>
      <c r="U136" s="313"/>
      <c r="V136" s="313"/>
      <c r="W136" s="313"/>
      <c r="X136" s="313"/>
      <c r="Y136" s="313"/>
      <c r="Z136" s="313"/>
      <c r="AA136" s="313"/>
      <c r="AB136" s="313"/>
      <c r="AC136" s="313"/>
      <c r="AD136" s="313"/>
      <c r="AE136" s="313"/>
      <c r="AF136" s="313"/>
      <c r="AG136" s="313"/>
      <c r="AH136" s="313"/>
      <c r="AI136" s="313"/>
      <c r="AJ136" s="313"/>
      <c r="AK136" s="313"/>
      <c r="AL136" s="313"/>
      <c r="AM136" s="313"/>
      <c r="AN136" s="313"/>
      <c r="AO136" s="313"/>
      <c r="AP136" s="313"/>
      <c r="AQ136" s="313"/>
      <c r="AR136" s="313"/>
      <c r="AS136" s="313"/>
      <c r="AT136" s="313"/>
      <c r="AU136" s="313"/>
      <c r="AV136" s="313"/>
      <c r="AW136" s="313"/>
      <c r="AX136" s="313"/>
      <c r="AY136" s="313"/>
      <c r="AZ136" s="313"/>
      <c r="BA136" s="313"/>
      <c r="BB136" s="313"/>
      <c r="BC136" s="313"/>
      <c r="BD136" s="313"/>
      <c r="BE136" s="313"/>
      <c r="BF136" s="313"/>
      <c r="BG136" s="313"/>
      <c r="BH136" s="313"/>
      <c r="BI136" s="313"/>
      <c r="BJ136" s="313"/>
      <c r="BK136" s="313"/>
      <c r="BL136" s="313"/>
      <c r="BM136" s="313"/>
      <c r="BN136" s="313"/>
      <c r="BO136" s="313"/>
      <c r="BP136" s="313"/>
      <c r="BQ136" s="313"/>
      <c r="BR136" s="313"/>
      <c r="BS136" s="313"/>
      <c r="BT136" s="313"/>
      <c r="BU136" s="313"/>
      <c r="BV136" s="313"/>
      <c r="BW136" s="313"/>
      <c r="BX136" s="313"/>
      <c r="BY136" s="313"/>
      <c r="BZ136" s="313"/>
      <c r="CA136" s="313"/>
      <c r="CB136" s="313"/>
      <c r="CC136" s="313"/>
      <c r="CD136" s="313"/>
      <c r="CE136" s="313"/>
      <c r="CF136" s="313"/>
      <c r="CG136" s="313"/>
      <c r="CH136" s="313"/>
      <c r="CI136" s="313"/>
      <c r="CJ136" s="313"/>
      <c r="CK136" s="313"/>
      <c r="CL136" s="313"/>
      <c r="CM136" s="313"/>
      <c r="CN136" s="313"/>
      <c r="CO136" s="313"/>
      <c r="CP136" s="313"/>
      <c r="CQ136" s="313"/>
      <c r="CR136" s="313"/>
      <c r="CS136" s="313"/>
      <c r="CT136" s="313"/>
      <c r="CU136" s="313"/>
      <c r="CV136" s="313"/>
      <c r="CW136" s="313"/>
      <c r="CX136" s="313"/>
      <c r="CY136" s="313"/>
      <c r="CZ136" s="313"/>
      <c r="DA136" s="313"/>
      <c r="DB136" s="313"/>
      <c r="DC136" s="313"/>
      <c r="DD136" s="313"/>
      <c r="DE136" s="313"/>
      <c r="DF136" s="313"/>
      <c r="DG136" s="313"/>
      <c r="DH136" s="313"/>
      <c r="DI136" s="313"/>
      <c r="DJ136" s="313"/>
      <c r="DK136" s="313"/>
      <c r="DL136" s="313"/>
      <c r="DM136" s="313"/>
      <c r="DN136" s="313"/>
      <c r="DO136" s="313"/>
      <c r="DP136" s="313"/>
      <c r="DQ136" s="313"/>
      <c r="DR136" s="313"/>
      <c r="DS136" s="313"/>
      <c r="DT136" s="311"/>
    </row>
    <row r="137" spans="2:128" ht="52.5" customHeight="1">
      <c r="B137" s="312"/>
      <c r="C137" s="313"/>
      <c r="D137" s="2044" t="str">
        <f ca="1">'D1-D2-D3'!D109</f>
        <v>Comments</v>
      </c>
      <c r="E137" s="2044"/>
      <c r="F137" s="2044"/>
      <c r="G137" s="83"/>
      <c r="H137" s="2035"/>
      <c r="I137" s="2036"/>
      <c r="J137" s="2036"/>
      <c r="K137" s="2036"/>
      <c r="L137" s="2036"/>
      <c r="M137" s="2036"/>
      <c r="N137" s="2036"/>
      <c r="O137" s="2036"/>
      <c r="P137" s="2036"/>
      <c r="Q137" s="2036"/>
      <c r="R137" s="2036"/>
      <c r="S137" s="2036"/>
      <c r="T137" s="2036"/>
      <c r="U137" s="2036"/>
      <c r="V137" s="2036"/>
      <c r="W137" s="2036"/>
      <c r="X137" s="2036"/>
      <c r="Y137" s="2036"/>
      <c r="Z137" s="2036"/>
      <c r="AA137" s="2036"/>
      <c r="AB137" s="2036"/>
      <c r="AC137" s="2036"/>
      <c r="AD137" s="2036"/>
      <c r="AE137" s="2036"/>
      <c r="AF137" s="2036"/>
      <c r="AG137" s="2036"/>
      <c r="AH137" s="2036"/>
      <c r="AI137" s="2036"/>
      <c r="AJ137" s="2036"/>
      <c r="AK137" s="2036"/>
      <c r="AL137" s="2036"/>
      <c r="AM137" s="2036"/>
      <c r="AN137" s="2036"/>
      <c r="AO137" s="2036"/>
      <c r="AP137" s="2036"/>
      <c r="AQ137" s="2036"/>
      <c r="AR137" s="2036"/>
      <c r="AS137" s="2036"/>
      <c r="AT137" s="2036"/>
      <c r="AU137" s="2036"/>
      <c r="AV137" s="2036"/>
      <c r="AW137" s="2036"/>
      <c r="AX137" s="2036"/>
      <c r="AY137" s="2036"/>
      <c r="AZ137" s="2036"/>
      <c r="BA137" s="2036"/>
      <c r="BB137" s="2036"/>
      <c r="BC137" s="2036"/>
      <c r="BD137" s="2036"/>
      <c r="BE137" s="2036"/>
      <c r="BF137" s="2036"/>
      <c r="BG137" s="2036"/>
      <c r="BH137" s="2036"/>
      <c r="BI137" s="2036"/>
      <c r="BJ137" s="2036"/>
      <c r="BK137" s="2036"/>
      <c r="BL137" s="2036"/>
      <c r="BM137" s="2036"/>
      <c r="BN137" s="2036"/>
      <c r="BO137" s="2036"/>
      <c r="BP137" s="2036"/>
      <c r="BQ137" s="2036"/>
      <c r="BR137" s="2036"/>
      <c r="BS137" s="2036"/>
      <c r="BT137" s="2036"/>
      <c r="BU137" s="2036"/>
      <c r="BV137" s="2036"/>
      <c r="BW137" s="2036"/>
      <c r="BX137" s="2036"/>
      <c r="BY137" s="2036"/>
      <c r="BZ137" s="2036"/>
      <c r="CA137" s="2036"/>
      <c r="CB137" s="2036"/>
      <c r="CC137" s="2036"/>
      <c r="CD137" s="2036"/>
      <c r="CE137" s="2036"/>
      <c r="CF137" s="2036"/>
      <c r="CG137" s="2036"/>
      <c r="CH137" s="2036"/>
      <c r="CI137" s="2036"/>
      <c r="CJ137" s="2036"/>
      <c r="CK137" s="2036"/>
      <c r="CL137" s="2036"/>
      <c r="CM137" s="2036"/>
      <c r="CN137" s="2036"/>
      <c r="CO137" s="2036"/>
      <c r="CP137" s="2036"/>
      <c r="CQ137" s="2036"/>
      <c r="CR137" s="2036"/>
      <c r="CS137" s="2036"/>
      <c r="CT137" s="2036"/>
      <c r="CU137" s="2036"/>
      <c r="CV137" s="2036"/>
      <c r="CW137" s="2036"/>
      <c r="CX137" s="2036"/>
      <c r="CY137" s="2036"/>
      <c r="CZ137" s="2036"/>
      <c r="DA137" s="2036"/>
      <c r="DB137" s="2036"/>
      <c r="DC137" s="2036"/>
      <c r="DD137" s="2036"/>
      <c r="DE137" s="2036"/>
      <c r="DF137" s="2036"/>
      <c r="DG137" s="2036"/>
      <c r="DH137" s="2036"/>
      <c r="DI137" s="2036"/>
      <c r="DJ137" s="2036"/>
      <c r="DK137" s="2036"/>
      <c r="DL137" s="2036"/>
      <c r="DM137" s="2036"/>
      <c r="DN137" s="2036"/>
      <c r="DO137" s="2036"/>
      <c r="DP137" s="2036"/>
      <c r="DQ137" s="2036"/>
      <c r="DR137" s="2037"/>
      <c r="DS137" s="313"/>
      <c r="DT137" s="311"/>
    </row>
    <row r="138" spans="2:128" ht="30" customHeight="1">
      <c r="B138" s="312"/>
      <c r="C138" s="313"/>
      <c r="D138" s="2044"/>
      <c r="E138" s="2044"/>
      <c r="F138" s="2044"/>
      <c r="G138" s="83"/>
      <c r="H138" s="2038"/>
      <c r="I138" s="2039"/>
      <c r="J138" s="2039"/>
      <c r="K138" s="2039"/>
      <c r="L138" s="2039"/>
      <c r="M138" s="2039"/>
      <c r="N138" s="2039"/>
      <c r="O138" s="2039"/>
      <c r="P138" s="2039"/>
      <c r="Q138" s="2039"/>
      <c r="R138" s="2039"/>
      <c r="S138" s="2039"/>
      <c r="T138" s="2039"/>
      <c r="U138" s="2039"/>
      <c r="V138" s="2039"/>
      <c r="W138" s="2039"/>
      <c r="X138" s="2039"/>
      <c r="Y138" s="2039"/>
      <c r="Z138" s="2039"/>
      <c r="AA138" s="2039"/>
      <c r="AB138" s="2039"/>
      <c r="AC138" s="2039"/>
      <c r="AD138" s="2039"/>
      <c r="AE138" s="2039"/>
      <c r="AF138" s="2039"/>
      <c r="AG138" s="2039"/>
      <c r="AH138" s="2039"/>
      <c r="AI138" s="2039"/>
      <c r="AJ138" s="2039"/>
      <c r="AK138" s="2039"/>
      <c r="AL138" s="2039"/>
      <c r="AM138" s="2039"/>
      <c r="AN138" s="2039"/>
      <c r="AO138" s="2039"/>
      <c r="AP138" s="2039"/>
      <c r="AQ138" s="2039"/>
      <c r="AR138" s="2039"/>
      <c r="AS138" s="2039"/>
      <c r="AT138" s="2039"/>
      <c r="AU138" s="2039"/>
      <c r="AV138" s="2039"/>
      <c r="AW138" s="2039"/>
      <c r="AX138" s="2039"/>
      <c r="AY138" s="2039"/>
      <c r="AZ138" s="2039"/>
      <c r="BA138" s="2039"/>
      <c r="BB138" s="2039"/>
      <c r="BC138" s="2039"/>
      <c r="BD138" s="2039"/>
      <c r="BE138" s="2039"/>
      <c r="BF138" s="2039"/>
      <c r="BG138" s="2039"/>
      <c r="BH138" s="2039"/>
      <c r="BI138" s="2039"/>
      <c r="BJ138" s="2039"/>
      <c r="BK138" s="2039"/>
      <c r="BL138" s="2039"/>
      <c r="BM138" s="2039"/>
      <c r="BN138" s="2039"/>
      <c r="BO138" s="2039"/>
      <c r="BP138" s="2039"/>
      <c r="BQ138" s="2039"/>
      <c r="BR138" s="2039"/>
      <c r="BS138" s="2039"/>
      <c r="BT138" s="2039"/>
      <c r="BU138" s="2039"/>
      <c r="BV138" s="2039"/>
      <c r="BW138" s="2039"/>
      <c r="BX138" s="2039"/>
      <c r="BY138" s="2039"/>
      <c r="BZ138" s="2039"/>
      <c r="CA138" s="2039"/>
      <c r="CB138" s="2039"/>
      <c r="CC138" s="2039"/>
      <c r="CD138" s="2039"/>
      <c r="CE138" s="2039"/>
      <c r="CF138" s="2039"/>
      <c r="CG138" s="2039"/>
      <c r="CH138" s="2039"/>
      <c r="CI138" s="2039"/>
      <c r="CJ138" s="2039"/>
      <c r="CK138" s="2039"/>
      <c r="CL138" s="2039"/>
      <c r="CM138" s="2039"/>
      <c r="CN138" s="2039"/>
      <c r="CO138" s="2039"/>
      <c r="CP138" s="2039"/>
      <c r="CQ138" s="2039"/>
      <c r="CR138" s="2039"/>
      <c r="CS138" s="2039"/>
      <c r="CT138" s="2039"/>
      <c r="CU138" s="2039"/>
      <c r="CV138" s="2039"/>
      <c r="CW138" s="2039"/>
      <c r="CX138" s="2039"/>
      <c r="CY138" s="2039"/>
      <c r="CZ138" s="2039"/>
      <c r="DA138" s="2039"/>
      <c r="DB138" s="2039"/>
      <c r="DC138" s="2039"/>
      <c r="DD138" s="2039"/>
      <c r="DE138" s="2039"/>
      <c r="DF138" s="2039"/>
      <c r="DG138" s="2039"/>
      <c r="DH138" s="2039"/>
      <c r="DI138" s="2039"/>
      <c r="DJ138" s="2039"/>
      <c r="DK138" s="2039"/>
      <c r="DL138" s="2039"/>
      <c r="DM138" s="2039"/>
      <c r="DN138" s="2039"/>
      <c r="DO138" s="2039"/>
      <c r="DP138" s="2039"/>
      <c r="DQ138" s="2039"/>
      <c r="DR138" s="2040"/>
      <c r="DS138" s="313"/>
      <c r="DT138" s="311"/>
    </row>
    <row r="139" spans="2:128" ht="30" customHeight="1">
      <c r="B139" s="312"/>
      <c r="C139" s="313"/>
      <c r="D139" s="2044"/>
      <c r="E139" s="2044"/>
      <c r="F139" s="2044"/>
      <c r="G139" s="83"/>
      <c r="H139" s="2041"/>
      <c r="I139" s="2042"/>
      <c r="J139" s="2042"/>
      <c r="K139" s="2042"/>
      <c r="L139" s="2042"/>
      <c r="M139" s="2042"/>
      <c r="N139" s="2042"/>
      <c r="O139" s="2042"/>
      <c r="P139" s="2042"/>
      <c r="Q139" s="2042"/>
      <c r="R139" s="2042"/>
      <c r="S139" s="2042"/>
      <c r="T139" s="2042"/>
      <c r="U139" s="2042"/>
      <c r="V139" s="2042"/>
      <c r="W139" s="2042"/>
      <c r="X139" s="2042"/>
      <c r="Y139" s="2042"/>
      <c r="Z139" s="2042"/>
      <c r="AA139" s="2042"/>
      <c r="AB139" s="2042"/>
      <c r="AC139" s="2042"/>
      <c r="AD139" s="2042"/>
      <c r="AE139" s="2042"/>
      <c r="AF139" s="2042"/>
      <c r="AG139" s="2042"/>
      <c r="AH139" s="2042"/>
      <c r="AI139" s="2042"/>
      <c r="AJ139" s="2042"/>
      <c r="AK139" s="2042"/>
      <c r="AL139" s="2042"/>
      <c r="AM139" s="2042"/>
      <c r="AN139" s="2042"/>
      <c r="AO139" s="2042"/>
      <c r="AP139" s="2042"/>
      <c r="AQ139" s="2042"/>
      <c r="AR139" s="2042"/>
      <c r="AS139" s="2042"/>
      <c r="AT139" s="2042"/>
      <c r="AU139" s="2042"/>
      <c r="AV139" s="2042"/>
      <c r="AW139" s="2042"/>
      <c r="AX139" s="2042"/>
      <c r="AY139" s="2042"/>
      <c r="AZ139" s="2042"/>
      <c r="BA139" s="2042"/>
      <c r="BB139" s="2042"/>
      <c r="BC139" s="2042"/>
      <c r="BD139" s="2042"/>
      <c r="BE139" s="2042"/>
      <c r="BF139" s="2042"/>
      <c r="BG139" s="2042"/>
      <c r="BH139" s="2042"/>
      <c r="BI139" s="2042"/>
      <c r="BJ139" s="2042"/>
      <c r="BK139" s="2042"/>
      <c r="BL139" s="2042"/>
      <c r="BM139" s="2042"/>
      <c r="BN139" s="2042"/>
      <c r="BO139" s="2042"/>
      <c r="BP139" s="2042"/>
      <c r="BQ139" s="2042"/>
      <c r="BR139" s="2042"/>
      <c r="BS139" s="2042"/>
      <c r="BT139" s="2042"/>
      <c r="BU139" s="2042"/>
      <c r="BV139" s="2042"/>
      <c r="BW139" s="2042"/>
      <c r="BX139" s="2042"/>
      <c r="BY139" s="2042"/>
      <c r="BZ139" s="2042"/>
      <c r="CA139" s="2042"/>
      <c r="CB139" s="2042"/>
      <c r="CC139" s="2042"/>
      <c r="CD139" s="2042"/>
      <c r="CE139" s="2042"/>
      <c r="CF139" s="2042"/>
      <c r="CG139" s="2042"/>
      <c r="CH139" s="2042"/>
      <c r="CI139" s="2042"/>
      <c r="CJ139" s="2042"/>
      <c r="CK139" s="2042"/>
      <c r="CL139" s="2042"/>
      <c r="CM139" s="2042"/>
      <c r="CN139" s="2042"/>
      <c r="CO139" s="2042"/>
      <c r="CP139" s="2042"/>
      <c r="CQ139" s="2042"/>
      <c r="CR139" s="2042"/>
      <c r="CS139" s="2042"/>
      <c r="CT139" s="2042"/>
      <c r="CU139" s="2042"/>
      <c r="CV139" s="2042"/>
      <c r="CW139" s="2042"/>
      <c r="CX139" s="2042"/>
      <c r="CY139" s="2042"/>
      <c r="CZ139" s="2042"/>
      <c r="DA139" s="2042"/>
      <c r="DB139" s="2042"/>
      <c r="DC139" s="2042"/>
      <c r="DD139" s="2042"/>
      <c r="DE139" s="2042"/>
      <c r="DF139" s="2042"/>
      <c r="DG139" s="2042"/>
      <c r="DH139" s="2042"/>
      <c r="DI139" s="2042"/>
      <c r="DJ139" s="2042"/>
      <c r="DK139" s="2042"/>
      <c r="DL139" s="2042"/>
      <c r="DM139" s="2042"/>
      <c r="DN139" s="2042"/>
      <c r="DO139" s="2042"/>
      <c r="DP139" s="2042"/>
      <c r="DQ139" s="2042"/>
      <c r="DR139" s="2043"/>
      <c r="DS139" s="313"/>
      <c r="DT139" s="311"/>
    </row>
    <row r="140" spans="2:128" ht="6" customHeight="1">
      <c r="B140" s="312"/>
      <c r="C140" s="313"/>
      <c r="D140" s="313"/>
      <c r="E140" s="313"/>
      <c r="F140" s="313"/>
      <c r="G140" s="313"/>
      <c r="H140" s="313"/>
      <c r="I140" s="313"/>
      <c r="J140" s="313"/>
      <c r="K140" s="313"/>
      <c r="L140" s="313"/>
      <c r="M140" s="313"/>
      <c r="N140" s="313"/>
      <c r="O140" s="313"/>
      <c r="P140" s="313"/>
      <c r="Q140" s="313"/>
      <c r="R140" s="313"/>
      <c r="S140" s="313"/>
      <c r="T140" s="313"/>
      <c r="U140" s="313"/>
      <c r="V140" s="313"/>
      <c r="W140" s="313"/>
      <c r="X140" s="313"/>
      <c r="Y140" s="313"/>
      <c r="Z140" s="313"/>
      <c r="AA140" s="313"/>
      <c r="AB140" s="313"/>
      <c r="AC140" s="313"/>
      <c r="AD140" s="313"/>
      <c r="AE140" s="313"/>
      <c r="AF140" s="313"/>
      <c r="AG140" s="313"/>
      <c r="AH140" s="313"/>
      <c r="AI140" s="313"/>
      <c r="AJ140" s="313"/>
      <c r="AK140" s="313"/>
      <c r="AL140" s="313"/>
      <c r="AM140" s="313"/>
      <c r="AN140" s="313"/>
      <c r="AO140" s="313"/>
      <c r="AP140" s="313"/>
      <c r="AQ140" s="313"/>
      <c r="AR140" s="313"/>
      <c r="AS140" s="313"/>
      <c r="AT140" s="313"/>
      <c r="AU140" s="313"/>
      <c r="AV140" s="313"/>
      <c r="AW140" s="313"/>
      <c r="AX140" s="313"/>
      <c r="AY140" s="313"/>
      <c r="AZ140" s="313"/>
      <c r="BA140" s="313"/>
      <c r="BB140" s="313"/>
      <c r="BC140" s="313"/>
      <c r="BD140" s="313"/>
      <c r="BE140" s="313"/>
      <c r="BF140" s="313"/>
      <c r="BG140" s="313"/>
      <c r="BH140" s="313"/>
      <c r="BI140" s="313"/>
      <c r="BJ140" s="313"/>
      <c r="BK140" s="313"/>
      <c r="BL140" s="313"/>
      <c r="BM140" s="313"/>
      <c r="BN140" s="313"/>
      <c r="BO140" s="313"/>
      <c r="BP140" s="313"/>
      <c r="BQ140" s="313"/>
      <c r="BR140" s="313"/>
      <c r="BS140" s="313"/>
      <c r="BT140" s="313"/>
      <c r="BU140" s="313"/>
      <c r="BV140" s="313"/>
      <c r="BW140" s="313"/>
      <c r="BX140" s="313"/>
      <c r="BY140" s="313"/>
      <c r="BZ140" s="313"/>
      <c r="CA140" s="313"/>
      <c r="CB140" s="313"/>
      <c r="CC140" s="313"/>
      <c r="CD140" s="313"/>
      <c r="CE140" s="313"/>
      <c r="CF140" s="313"/>
      <c r="CG140" s="313"/>
      <c r="CH140" s="313"/>
      <c r="CI140" s="313"/>
      <c r="CJ140" s="313"/>
      <c r="CK140" s="313"/>
      <c r="CL140" s="313"/>
      <c r="CM140" s="313"/>
      <c r="CN140" s="313"/>
      <c r="CO140" s="313"/>
      <c r="CP140" s="313"/>
      <c r="CQ140" s="313"/>
      <c r="CR140" s="313"/>
      <c r="CS140" s="313"/>
      <c r="CT140" s="313"/>
      <c r="CU140" s="313"/>
      <c r="CV140" s="313"/>
      <c r="CW140" s="313"/>
      <c r="CX140" s="313"/>
      <c r="CY140" s="313"/>
      <c r="CZ140" s="313"/>
      <c r="DA140" s="313"/>
      <c r="DB140" s="313"/>
      <c r="DC140" s="313"/>
      <c r="DD140" s="313"/>
      <c r="DE140" s="313"/>
      <c r="DF140" s="313"/>
      <c r="DG140" s="313"/>
      <c r="DH140" s="313"/>
      <c r="DI140" s="313"/>
      <c r="DJ140" s="313"/>
      <c r="DK140" s="313"/>
      <c r="DL140" s="313"/>
      <c r="DM140" s="313"/>
      <c r="DN140" s="313"/>
      <c r="DO140" s="313"/>
      <c r="DP140" s="313"/>
      <c r="DQ140" s="313"/>
      <c r="DR140" s="313"/>
      <c r="DS140" s="313"/>
      <c r="DT140" s="311"/>
    </row>
    <row r="141" spans="2:128" ht="6" customHeight="1" thickBot="1">
      <c r="B141" s="339"/>
      <c r="C141" s="340"/>
      <c r="D141" s="340"/>
      <c r="E141" s="340"/>
      <c r="F141" s="340"/>
      <c r="G141" s="340"/>
      <c r="H141" s="340"/>
      <c r="I141" s="340"/>
      <c r="J141" s="340"/>
      <c r="K141" s="340"/>
      <c r="L141" s="340"/>
      <c r="M141" s="340"/>
      <c r="N141" s="340"/>
      <c r="O141" s="340"/>
      <c r="P141" s="340"/>
      <c r="Q141" s="340"/>
      <c r="R141" s="340"/>
      <c r="S141" s="340"/>
      <c r="T141" s="340"/>
      <c r="U141" s="340"/>
      <c r="V141" s="340"/>
      <c r="W141" s="340"/>
      <c r="X141" s="340"/>
      <c r="Y141" s="340"/>
      <c r="Z141" s="340"/>
      <c r="AA141" s="340"/>
      <c r="AB141" s="340"/>
      <c r="AC141" s="340"/>
      <c r="AD141" s="340"/>
      <c r="AE141" s="340"/>
      <c r="AF141" s="340"/>
      <c r="AG141" s="340"/>
      <c r="AH141" s="340"/>
      <c r="AI141" s="340"/>
      <c r="AJ141" s="340"/>
      <c r="AK141" s="340"/>
      <c r="AL141" s="340"/>
      <c r="AM141" s="340"/>
      <c r="AN141" s="340"/>
      <c r="AO141" s="340"/>
      <c r="AP141" s="340"/>
      <c r="AQ141" s="340"/>
      <c r="AR141" s="340"/>
      <c r="AS141" s="340"/>
      <c r="AT141" s="340"/>
      <c r="AU141" s="340"/>
      <c r="AV141" s="340"/>
      <c r="AW141" s="340"/>
      <c r="AX141" s="340"/>
      <c r="AY141" s="340"/>
      <c r="AZ141" s="340"/>
      <c r="BA141" s="340"/>
      <c r="BB141" s="340"/>
      <c r="BC141" s="340"/>
      <c r="BD141" s="340"/>
      <c r="BE141" s="340"/>
      <c r="BF141" s="340"/>
      <c r="BG141" s="340"/>
      <c r="BH141" s="340"/>
      <c r="BI141" s="340"/>
      <c r="BJ141" s="340"/>
      <c r="BK141" s="340"/>
      <c r="BL141" s="340"/>
      <c r="BM141" s="340"/>
      <c r="BN141" s="340"/>
      <c r="BO141" s="340"/>
      <c r="BP141" s="340"/>
      <c r="BQ141" s="340"/>
      <c r="BR141" s="340"/>
      <c r="BS141" s="340"/>
      <c r="BT141" s="340"/>
      <c r="BU141" s="340"/>
      <c r="BV141" s="340"/>
      <c r="BW141" s="340"/>
      <c r="BX141" s="340"/>
      <c r="BY141" s="340"/>
      <c r="BZ141" s="340"/>
      <c r="CA141" s="340"/>
      <c r="CB141" s="340"/>
      <c r="CC141" s="340"/>
      <c r="CD141" s="340"/>
      <c r="CE141" s="340"/>
      <c r="CF141" s="340"/>
      <c r="CG141" s="340"/>
      <c r="CH141" s="340"/>
      <c r="CI141" s="340"/>
      <c r="CJ141" s="340"/>
      <c r="CK141" s="340"/>
      <c r="CL141" s="340"/>
      <c r="CM141" s="340"/>
      <c r="CN141" s="340"/>
      <c r="CO141" s="340"/>
      <c r="CP141" s="340"/>
      <c r="CQ141" s="340"/>
      <c r="CR141" s="340"/>
      <c r="CS141" s="340"/>
      <c r="CT141" s="340"/>
      <c r="CU141" s="340"/>
      <c r="CV141" s="340"/>
      <c r="CW141" s="340"/>
      <c r="CX141" s="340"/>
      <c r="CY141" s="340"/>
      <c r="CZ141" s="340"/>
      <c r="DA141" s="340"/>
      <c r="DB141" s="340"/>
      <c r="DC141" s="340"/>
      <c r="DD141" s="340"/>
      <c r="DE141" s="340"/>
      <c r="DF141" s="340"/>
      <c r="DG141" s="340"/>
      <c r="DH141" s="340"/>
      <c r="DI141" s="340"/>
      <c r="DJ141" s="340"/>
      <c r="DK141" s="340"/>
      <c r="DL141" s="340"/>
      <c r="DM141" s="340"/>
      <c r="DN141" s="340"/>
      <c r="DO141" s="340"/>
      <c r="DP141" s="340"/>
      <c r="DQ141" s="340"/>
      <c r="DR141" s="340"/>
      <c r="DS141" s="340"/>
      <c r="DT141" s="341"/>
    </row>
    <row r="142" spans="2:128" ht="6" customHeight="1">
      <c r="B142" s="536"/>
      <c r="C142" s="758"/>
      <c r="D142" s="758"/>
      <c r="E142" s="758"/>
      <c r="F142" s="758"/>
      <c r="G142" s="758"/>
      <c r="H142" s="758"/>
      <c r="I142" s="758"/>
      <c r="J142" s="758"/>
      <c r="K142" s="758"/>
      <c r="L142" s="758"/>
      <c r="M142" s="758"/>
      <c r="N142" s="758"/>
      <c r="O142" s="758"/>
      <c r="P142" s="758"/>
      <c r="Q142" s="758"/>
      <c r="R142" s="758"/>
      <c r="S142" s="758"/>
      <c r="T142" s="758"/>
      <c r="U142" s="758"/>
      <c r="V142" s="758"/>
      <c r="W142" s="758"/>
      <c r="X142" s="758"/>
      <c r="Y142" s="758"/>
      <c r="Z142" s="758"/>
      <c r="AA142" s="758"/>
      <c r="AB142" s="758"/>
      <c r="AC142" s="758"/>
      <c r="AD142" s="758"/>
      <c r="AE142" s="307"/>
      <c r="AF142" s="307"/>
      <c r="AG142" s="307"/>
      <c r="AH142" s="307"/>
      <c r="AI142" s="307"/>
      <c r="AJ142" s="307"/>
      <c r="AK142" s="307"/>
      <c r="AL142" s="307"/>
      <c r="AM142" s="307"/>
      <c r="AN142" s="307"/>
      <c r="AO142" s="307"/>
      <c r="AP142" s="307"/>
      <c r="AQ142" s="307"/>
      <c r="AR142" s="307"/>
      <c r="AS142" s="307"/>
      <c r="AT142" s="307"/>
      <c r="AU142" s="307"/>
      <c r="AV142" s="307"/>
      <c r="AW142" s="307"/>
      <c r="AX142" s="307"/>
      <c r="AY142" s="307"/>
      <c r="AZ142" s="307"/>
      <c r="BA142" s="307"/>
      <c r="BB142" s="307"/>
      <c r="BC142" s="307"/>
      <c r="BD142" s="307"/>
      <c r="BE142" s="307"/>
      <c r="BF142" s="307"/>
      <c r="BG142" s="307"/>
      <c r="BH142" s="307"/>
      <c r="BI142" s="307"/>
      <c r="BJ142" s="307"/>
      <c r="BK142" s="307"/>
      <c r="BL142" s="758"/>
      <c r="BM142" s="758"/>
      <c r="BN142" s="758"/>
      <c r="BO142" s="758"/>
      <c r="BP142" s="758"/>
      <c r="BQ142" s="758"/>
      <c r="BR142" s="758"/>
      <c r="BS142" s="758"/>
      <c r="BT142" s="758"/>
      <c r="BU142" s="758"/>
      <c r="BV142" s="758"/>
      <c r="BW142" s="758"/>
      <c r="BX142" s="758"/>
      <c r="BY142" s="758"/>
      <c r="BZ142" s="758"/>
      <c r="CA142" s="758"/>
      <c r="CB142" s="758"/>
      <c r="CC142" s="758"/>
      <c r="CD142" s="758"/>
      <c r="CE142" s="758"/>
      <c r="CF142" s="758"/>
      <c r="CG142" s="758"/>
      <c r="CH142" s="758"/>
      <c r="CI142" s="758"/>
      <c r="CJ142" s="758"/>
      <c r="CK142" s="758"/>
      <c r="CL142" s="758"/>
      <c r="CM142" s="758"/>
      <c r="CN142" s="758"/>
      <c r="CO142" s="758"/>
      <c r="CP142" s="758"/>
      <c r="CQ142" s="758"/>
      <c r="CR142" s="758"/>
      <c r="CS142" s="758"/>
      <c r="CT142" s="758"/>
      <c r="CU142" s="758"/>
      <c r="CV142" s="758"/>
      <c r="CW142" s="758"/>
      <c r="CX142" s="758"/>
      <c r="CY142" s="758"/>
      <c r="CZ142" s="758"/>
      <c r="DA142" s="758"/>
      <c r="DB142" s="758"/>
      <c r="DC142" s="758"/>
      <c r="DD142" s="758"/>
      <c r="DE142" s="758"/>
      <c r="DF142" s="758"/>
      <c r="DG142" s="758"/>
      <c r="DH142" s="758"/>
      <c r="DI142" s="758"/>
      <c r="DJ142" s="758"/>
      <c r="DK142" s="758"/>
      <c r="DL142" s="758"/>
      <c r="DM142" s="758"/>
      <c r="DN142" s="758"/>
      <c r="DO142" s="758"/>
      <c r="DP142" s="758"/>
      <c r="DQ142" s="758"/>
      <c r="DR142" s="758"/>
      <c r="DS142" s="307"/>
      <c r="DT142" s="308"/>
    </row>
    <row r="143" spans="2:128" ht="24.9" customHeight="1">
      <c r="B143" s="536" t="str">
        <f ca="1">'D4.5Why''s-D5-D6'!AB6&amp;"/  "&amp; 'D4.5Why''s-D5-D6'!AF6</f>
        <v>D5 - Corrective Action(s)/  D6 - Implementation of permanent corrective action(s)</v>
      </c>
      <c r="C143" s="711"/>
      <c r="D143" s="711"/>
      <c r="E143" s="711"/>
      <c r="F143" s="711"/>
      <c r="G143" s="711"/>
      <c r="H143" s="711"/>
      <c r="I143" s="711"/>
      <c r="J143" s="711"/>
      <c r="K143" s="711"/>
      <c r="L143" s="711"/>
      <c r="M143" s="711"/>
      <c r="N143" s="711"/>
      <c r="O143" s="711"/>
      <c r="P143" s="711"/>
      <c r="Q143" s="711"/>
      <c r="R143" s="711"/>
      <c r="S143" s="711"/>
      <c r="T143" s="711"/>
      <c r="U143" s="711"/>
      <c r="V143" s="711"/>
      <c r="W143" s="711"/>
      <c r="X143" s="711"/>
      <c r="Y143" s="711"/>
      <c r="Z143" s="711"/>
      <c r="AA143" s="711"/>
      <c r="AB143" s="711"/>
      <c r="AC143" s="711"/>
      <c r="AD143" s="711"/>
      <c r="AE143" s="711"/>
      <c r="AF143" s="711"/>
      <c r="AG143" s="711"/>
      <c r="AH143" s="711"/>
      <c r="AI143" s="711"/>
      <c r="AJ143" s="711"/>
      <c r="AK143" s="711"/>
      <c r="AL143" s="310"/>
      <c r="AM143" s="310"/>
      <c r="AN143" s="310"/>
      <c r="AO143" s="310"/>
      <c r="AP143" s="310"/>
      <c r="AQ143" s="310"/>
      <c r="AR143" s="310"/>
      <c r="AS143" s="310"/>
      <c r="AT143" s="310"/>
      <c r="AU143" s="310"/>
      <c r="AV143" s="310"/>
      <c r="AW143" s="310"/>
      <c r="AX143" s="310"/>
      <c r="AY143" s="310"/>
      <c r="AZ143" s="310"/>
      <c r="BA143" s="525"/>
      <c r="BB143" s="525"/>
      <c r="BC143" s="525"/>
      <c r="BD143" s="525"/>
      <c r="BE143" s="525"/>
      <c r="BF143" s="525"/>
      <c r="BG143" s="525"/>
      <c r="BH143" s="525"/>
      <c r="BI143" s="525"/>
      <c r="BJ143" s="525"/>
      <c r="BK143" s="525"/>
      <c r="BL143" s="711"/>
      <c r="BM143" s="711"/>
      <c r="BN143" s="711"/>
      <c r="BO143" s="711"/>
      <c r="BP143" s="711"/>
      <c r="BQ143" s="711"/>
      <c r="BR143" s="711"/>
      <c r="BS143" s="711"/>
      <c r="BT143" s="711"/>
      <c r="BU143" s="711"/>
      <c r="BV143" s="711"/>
      <c r="BW143" s="711"/>
      <c r="BX143" s="711"/>
      <c r="BY143" s="711"/>
      <c r="BZ143" s="711"/>
      <c r="CA143" s="711"/>
      <c r="CB143" s="711"/>
      <c r="CC143" s="711"/>
      <c r="CD143" s="711"/>
      <c r="CE143" s="711"/>
      <c r="CF143" s="711"/>
      <c r="CG143" s="711"/>
      <c r="CH143" s="711"/>
      <c r="CI143" s="711"/>
      <c r="CJ143" s="711"/>
      <c r="CK143" s="711"/>
      <c r="CL143" s="711"/>
      <c r="CM143" s="711"/>
      <c r="CN143" s="711"/>
      <c r="CO143" s="711"/>
      <c r="CP143" s="711"/>
      <c r="CQ143" s="711"/>
      <c r="CR143" s="711"/>
      <c r="CS143" s="711"/>
      <c r="CT143" s="711"/>
      <c r="CU143" s="711"/>
      <c r="CV143" s="711"/>
      <c r="CW143" s="711"/>
      <c r="CX143" s="711"/>
      <c r="CY143" s="711"/>
      <c r="CZ143" s="711"/>
      <c r="DA143" s="711"/>
      <c r="DB143" s="711"/>
      <c r="DC143" s="711"/>
      <c r="DD143" s="711"/>
      <c r="DE143" s="711"/>
      <c r="DF143" s="711"/>
      <c r="DG143" s="711"/>
      <c r="DH143" s="711"/>
      <c r="DI143" s="711"/>
      <c r="DJ143" s="711"/>
      <c r="DK143" s="711"/>
      <c r="DL143" s="711"/>
      <c r="DM143" s="711"/>
      <c r="DN143" s="711"/>
      <c r="DO143" s="711"/>
      <c r="DP143" s="711"/>
      <c r="DQ143" s="711"/>
      <c r="DR143" s="711"/>
      <c r="DS143" s="310"/>
      <c r="DT143" s="311"/>
    </row>
    <row r="144" spans="2:128" ht="6" customHeight="1">
      <c r="B144" s="536"/>
      <c r="C144" s="711"/>
      <c r="D144" s="711"/>
      <c r="E144" s="711"/>
      <c r="F144" s="711"/>
      <c r="G144" s="711"/>
      <c r="H144" s="711"/>
      <c r="I144" s="711"/>
      <c r="J144" s="711"/>
      <c r="K144" s="711"/>
      <c r="L144" s="711"/>
      <c r="M144" s="711"/>
      <c r="N144" s="711"/>
      <c r="O144" s="711"/>
      <c r="P144" s="711"/>
      <c r="Q144" s="711"/>
      <c r="R144" s="711"/>
      <c r="S144" s="711"/>
      <c r="T144" s="711"/>
      <c r="U144" s="711"/>
      <c r="V144" s="711"/>
      <c r="W144" s="711"/>
      <c r="X144" s="711"/>
      <c r="Y144" s="711"/>
      <c r="Z144" s="711"/>
      <c r="AA144" s="711"/>
      <c r="AB144" s="711"/>
      <c r="AC144" s="711"/>
      <c r="AD144" s="711"/>
      <c r="AE144" s="711"/>
      <c r="AF144" s="711"/>
      <c r="AG144" s="711"/>
      <c r="AH144" s="711"/>
      <c r="AI144" s="711"/>
      <c r="AJ144" s="711"/>
      <c r="AK144" s="711"/>
      <c r="AL144" s="310"/>
      <c r="AM144" s="310"/>
      <c r="AN144" s="310"/>
      <c r="AO144" s="310"/>
      <c r="AP144" s="310"/>
      <c r="AQ144" s="310"/>
      <c r="AR144" s="310"/>
      <c r="AS144" s="310"/>
      <c r="AT144" s="310"/>
      <c r="AU144" s="310"/>
      <c r="AV144" s="310"/>
      <c r="AW144" s="310"/>
      <c r="AX144" s="310"/>
      <c r="AY144" s="310"/>
      <c r="AZ144" s="310"/>
      <c r="BA144" s="525"/>
      <c r="BB144" s="525"/>
      <c r="BC144" s="525"/>
      <c r="BD144" s="525"/>
      <c r="BE144" s="525"/>
      <c r="BF144" s="525"/>
      <c r="BG144" s="525"/>
      <c r="BH144" s="525"/>
      <c r="BI144" s="525"/>
      <c r="BJ144" s="525"/>
      <c r="BK144" s="525"/>
      <c r="BL144" s="711"/>
      <c r="BM144" s="711"/>
      <c r="BN144" s="711"/>
      <c r="BO144" s="711"/>
      <c r="BP144" s="711"/>
      <c r="BQ144" s="711"/>
      <c r="BR144" s="711"/>
      <c r="BS144" s="711"/>
      <c r="BT144" s="711"/>
      <c r="BU144" s="711"/>
      <c r="BV144" s="711"/>
      <c r="BW144" s="711"/>
      <c r="BX144" s="711"/>
      <c r="BY144" s="711"/>
      <c r="BZ144" s="711"/>
      <c r="CA144" s="711"/>
      <c r="CB144" s="711"/>
      <c r="CC144" s="711"/>
      <c r="CD144" s="711"/>
      <c r="CE144" s="711"/>
      <c r="CF144" s="711"/>
      <c r="CG144" s="711"/>
      <c r="CH144" s="711"/>
      <c r="CI144" s="711"/>
      <c r="CJ144" s="711"/>
      <c r="CK144" s="711"/>
      <c r="CL144" s="711"/>
      <c r="CM144" s="711"/>
      <c r="CN144" s="711"/>
      <c r="CO144" s="711"/>
      <c r="CP144" s="711"/>
      <c r="CQ144" s="711"/>
      <c r="CR144" s="711"/>
      <c r="CS144" s="711"/>
      <c r="CT144" s="711"/>
      <c r="CU144" s="711"/>
      <c r="CV144" s="711"/>
      <c r="CW144" s="711"/>
      <c r="CX144" s="711"/>
      <c r="CY144" s="711"/>
      <c r="CZ144" s="711"/>
      <c r="DA144" s="711"/>
      <c r="DB144" s="711"/>
      <c r="DC144" s="711"/>
      <c r="DD144" s="711"/>
      <c r="DE144" s="711"/>
      <c r="DF144" s="711"/>
      <c r="DG144" s="711"/>
      <c r="DH144" s="711"/>
      <c r="DI144" s="711"/>
      <c r="DJ144" s="711"/>
      <c r="DK144" s="711"/>
      <c r="DL144" s="711"/>
      <c r="DM144" s="711"/>
      <c r="DN144" s="711"/>
      <c r="DO144" s="711"/>
      <c r="DP144" s="711"/>
      <c r="DQ144" s="711"/>
      <c r="DR144" s="711"/>
      <c r="DS144" s="310"/>
      <c r="DT144" s="311"/>
    </row>
    <row r="145" spans="1:124" ht="6" customHeight="1">
      <c r="B145" s="207"/>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c r="AA145" s="264"/>
      <c r="AB145" s="264"/>
      <c r="AC145" s="264"/>
      <c r="AD145" s="264"/>
      <c r="AE145" s="293"/>
      <c r="AF145" s="293"/>
      <c r="AG145" s="293"/>
      <c r="AH145" s="293"/>
      <c r="AI145" s="293"/>
      <c r="AJ145" s="293"/>
      <c r="AK145" s="293"/>
      <c r="AL145" s="293"/>
      <c r="AM145" s="293"/>
      <c r="AN145" s="293"/>
      <c r="AO145" s="293"/>
      <c r="AP145" s="293"/>
      <c r="AQ145" s="293"/>
      <c r="AR145" s="293"/>
      <c r="AS145" s="293"/>
      <c r="AT145" s="293"/>
      <c r="AU145" s="293"/>
      <c r="AV145" s="293"/>
      <c r="AW145" s="293"/>
      <c r="AX145" s="293"/>
      <c r="AY145" s="293"/>
      <c r="AZ145" s="293"/>
      <c r="BA145" s="293"/>
      <c r="BB145" s="293"/>
      <c r="BC145" s="293"/>
      <c r="BD145" s="293"/>
      <c r="BE145" s="293"/>
      <c r="BF145" s="293"/>
      <c r="BG145" s="293"/>
      <c r="BH145" s="293"/>
      <c r="BI145" s="293"/>
      <c r="BJ145" s="293"/>
      <c r="BK145" s="293"/>
      <c r="BL145" s="293"/>
      <c r="BM145" s="293"/>
      <c r="BN145" s="293"/>
      <c r="BO145" s="293"/>
      <c r="BP145" s="293"/>
      <c r="BQ145" s="293"/>
      <c r="BR145" s="293"/>
      <c r="BS145" s="293"/>
      <c r="BT145" s="293"/>
      <c r="BU145" s="293"/>
      <c r="BV145" s="293"/>
      <c r="BW145" s="293"/>
      <c r="BX145" s="293"/>
      <c r="BY145" s="293"/>
      <c r="BZ145" s="293"/>
      <c r="CA145" s="293"/>
      <c r="CB145" s="293"/>
      <c r="CC145" s="293"/>
      <c r="CD145" s="293"/>
      <c r="CE145" s="293"/>
      <c r="CF145" s="293"/>
      <c r="CG145" s="293"/>
      <c r="CH145" s="293"/>
      <c r="CI145" s="293"/>
      <c r="CJ145" s="293"/>
      <c r="CK145" s="293"/>
      <c r="CL145" s="293"/>
      <c r="CM145" s="293"/>
      <c r="CN145" s="293"/>
      <c r="CO145" s="293"/>
      <c r="CP145" s="293"/>
      <c r="CQ145" s="293"/>
      <c r="CR145" s="293"/>
      <c r="CS145" s="293"/>
      <c r="CT145" s="293"/>
      <c r="CU145" s="293"/>
      <c r="CV145" s="293"/>
      <c r="CW145" s="293"/>
      <c r="CX145" s="293"/>
      <c r="CY145" s="293"/>
      <c r="CZ145" s="293"/>
      <c r="DA145" s="293"/>
      <c r="DB145" s="293"/>
      <c r="DC145" s="293"/>
      <c r="DD145" s="293"/>
      <c r="DE145" s="293"/>
      <c r="DF145" s="293"/>
      <c r="DG145" s="293"/>
      <c r="DH145" s="293"/>
      <c r="DI145" s="293"/>
      <c r="DJ145" s="293"/>
      <c r="DK145" s="293"/>
      <c r="DL145" s="293"/>
      <c r="DM145" s="293"/>
      <c r="DN145" s="293"/>
      <c r="DO145" s="293"/>
      <c r="DP145" s="293"/>
      <c r="DQ145" s="293"/>
      <c r="DR145" s="293"/>
      <c r="DS145" s="293"/>
      <c r="DT145" s="315"/>
    </row>
    <row r="146" spans="1:124" ht="15" customHeight="1">
      <c r="A146" s="298"/>
      <c r="B146" s="321"/>
      <c r="C146" s="309"/>
      <c r="D146" s="1475" t="str">
        <f ca="1">'D4.5Why''s-D5-D6'!AB16&amp;":"</f>
        <v>Action Plan:</v>
      </c>
      <c r="E146" s="1475"/>
      <c r="F146" s="1475"/>
      <c r="G146" s="1475"/>
      <c r="H146" s="1475"/>
      <c r="I146" s="1475"/>
      <c r="J146" s="1475"/>
      <c r="K146" s="1475"/>
      <c r="L146" s="1475"/>
      <c r="M146" s="1475"/>
      <c r="N146" s="1475"/>
      <c r="O146" s="1475"/>
      <c r="P146" s="1475"/>
      <c r="Q146" s="1475"/>
      <c r="R146" s="1475"/>
      <c r="S146" s="1475"/>
      <c r="T146" s="1475"/>
      <c r="U146" s="1475"/>
      <c r="V146" s="1475"/>
      <c r="W146" s="1475"/>
      <c r="X146" s="1475"/>
      <c r="Y146" s="1475"/>
      <c r="Z146" s="1475"/>
      <c r="AA146" s="1475"/>
      <c r="AB146" s="1475"/>
      <c r="AC146" s="1475"/>
      <c r="AD146" s="1475"/>
      <c r="AE146" s="1475"/>
      <c r="AF146" s="1475"/>
      <c r="AG146" s="1475"/>
      <c r="AH146" s="1475"/>
      <c r="AI146" s="1475"/>
      <c r="AJ146" s="1475"/>
      <c r="AK146" s="1475"/>
      <c r="AL146" s="1475"/>
      <c r="AM146" s="1475"/>
      <c r="AN146" s="1475"/>
      <c r="AO146" s="1475"/>
      <c r="AP146" s="1475"/>
      <c r="AQ146" s="1475"/>
      <c r="AR146" s="1475"/>
      <c r="AS146" s="1475"/>
      <c r="AT146" s="1475"/>
      <c r="AU146" s="1475"/>
      <c r="AV146" s="1475"/>
      <c r="AW146" s="1475"/>
      <c r="AX146" s="1475"/>
      <c r="AY146" s="1475"/>
      <c r="AZ146" s="1475"/>
      <c r="BA146" s="1475"/>
      <c r="BB146" s="1475"/>
      <c r="BC146" s="1475"/>
      <c r="BD146" s="1475"/>
      <c r="BE146" s="1475"/>
      <c r="BF146" s="1475"/>
      <c r="BG146" s="1475"/>
      <c r="BH146" s="1475"/>
      <c r="BI146" s="1475"/>
      <c r="BJ146" s="1475"/>
      <c r="BK146" s="1475"/>
      <c r="BL146" s="1475"/>
      <c r="BM146" s="1475"/>
      <c r="BN146" s="1475"/>
      <c r="BO146" s="1475"/>
      <c r="BP146" s="1475"/>
      <c r="BQ146" s="1475"/>
      <c r="BR146" s="1475"/>
      <c r="BS146" s="1475"/>
      <c r="BT146" s="1475"/>
      <c r="BU146" s="1475"/>
      <c r="BV146" s="1475"/>
      <c r="BW146" s="1475"/>
      <c r="BX146" s="1475"/>
      <c r="BY146" s="1475"/>
      <c r="BZ146" s="1475"/>
      <c r="CA146" s="1475"/>
      <c r="CB146" s="1475"/>
      <c r="CC146" s="1475"/>
      <c r="CD146" s="1475"/>
      <c r="CE146" s="1475"/>
      <c r="CF146" s="1475"/>
      <c r="CG146" s="1475"/>
      <c r="CH146" s="1475"/>
      <c r="CI146" s="1475"/>
      <c r="CJ146" s="1475"/>
      <c r="CK146" s="1475"/>
      <c r="CL146" s="1475"/>
      <c r="CM146" s="1475"/>
      <c r="CN146" s="305"/>
      <c r="CO146" s="2045" t="str">
        <f ca="1">INDIRECT('D1-D2-D3'!$J$4&amp;"!C233")</f>
        <v>Risk assessment</v>
      </c>
      <c r="CP146" s="2045"/>
      <c r="CQ146" s="2045"/>
      <c r="CR146" s="2045"/>
      <c r="CS146" s="2045"/>
      <c r="CT146" s="2045"/>
      <c r="CU146" s="2045"/>
      <c r="CV146" s="2045"/>
      <c r="CW146" s="2045"/>
      <c r="CX146" s="2045"/>
      <c r="CY146" s="2045"/>
      <c r="CZ146" s="2045"/>
      <c r="DA146" s="2045"/>
      <c r="DB146" s="2045"/>
      <c r="DC146" s="2045"/>
      <c r="DD146" s="2045"/>
      <c r="DE146" s="2045"/>
      <c r="DF146" s="2045"/>
      <c r="DG146" s="2045"/>
      <c r="DH146" s="2045"/>
      <c r="DI146" s="2045"/>
      <c r="DJ146" s="2045"/>
      <c r="DK146" s="2045"/>
      <c r="DL146" s="2045"/>
      <c r="DM146" s="2045"/>
      <c r="DN146" s="2045"/>
      <c r="DO146" s="2045"/>
      <c r="DP146" s="2045"/>
      <c r="DQ146" s="2045"/>
      <c r="DR146" s="2045"/>
      <c r="DS146" s="310"/>
      <c r="DT146" s="311"/>
    </row>
    <row r="147" spans="1:124" ht="15" customHeight="1">
      <c r="A147" s="298"/>
      <c r="B147" s="321"/>
      <c r="C147" s="309"/>
      <c r="D147" s="1475"/>
      <c r="E147" s="1475"/>
      <c r="F147" s="1475"/>
      <c r="G147" s="1475"/>
      <c r="H147" s="1475"/>
      <c r="I147" s="1475"/>
      <c r="J147" s="1475"/>
      <c r="K147" s="1475"/>
      <c r="L147" s="1475"/>
      <c r="M147" s="1475"/>
      <c r="N147" s="1475"/>
      <c r="O147" s="1475"/>
      <c r="P147" s="1475"/>
      <c r="Q147" s="1475"/>
      <c r="R147" s="1475"/>
      <c r="S147" s="1475"/>
      <c r="T147" s="1475"/>
      <c r="U147" s="1475"/>
      <c r="V147" s="1475"/>
      <c r="W147" s="1475"/>
      <c r="X147" s="1475"/>
      <c r="Y147" s="1475"/>
      <c r="Z147" s="1475"/>
      <c r="AA147" s="1475"/>
      <c r="AB147" s="1475"/>
      <c r="AC147" s="1475"/>
      <c r="AD147" s="1475"/>
      <c r="AE147" s="1475"/>
      <c r="AF147" s="1475"/>
      <c r="AG147" s="1475"/>
      <c r="AH147" s="1475"/>
      <c r="AI147" s="1475"/>
      <c r="AJ147" s="1475"/>
      <c r="AK147" s="1475"/>
      <c r="AL147" s="1475"/>
      <c r="AM147" s="1475"/>
      <c r="AN147" s="1475"/>
      <c r="AO147" s="1475"/>
      <c r="AP147" s="1475"/>
      <c r="AQ147" s="1475"/>
      <c r="AR147" s="1475"/>
      <c r="AS147" s="1475"/>
      <c r="AT147" s="1475"/>
      <c r="AU147" s="1475"/>
      <c r="AV147" s="1475"/>
      <c r="AW147" s="1475"/>
      <c r="AX147" s="1475"/>
      <c r="AY147" s="1475"/>
      <c r="AZ147" s="1475"/>
      <c r="BA147" s="1475"/>
      <c r="BB147" s="1475"/>
      <c r="BC147" s="1475"/>
      <c r="BD147" s="1475"/>
      <c r="BE147" s="1475"/>
      <c r="BF147" s="1475"/>
      <c r="BG147" s="1475"/>
      <c r="BH147" s="1475"/>
      <c r="BI147" s="1475"/>
      <c r="BJ147" s="1475"/>
      <c r="BK147" s="1475"/>
      <c r="BL147" s="1475"/>
      <c r="BM147" s="1475"/>
      <c r="BN147" s="1475"/>
      <c r="BO147" s="1475"/>
      <c r="BP147" s="1475"/>
      <c r="BQ147" s="1475"/>
      <c r="BR147" s="1475"/>
      <c r="BS147" s="1475"/>
      <c r="BT147" s="1475"/>
      <c r="BU147" s="1475"/>
      <c r="BV147" s="1475"/>
      <c r="BW147" s="1475"/>
      <c r="BX147" s="1475"/>
      <c r="BY147" s="1475"/>
      <c r="BZ147" s="1475"/>
      <c r="CA147" s="1475"/>
      <c r="CB147" s="1475"/>
      <c r="CC147" s="1475"/>
      <c r="CD147" s="1475"/>
      <c r="CE147" s="1475"/>
      <c r="CF147" s="1475"/>
      <c r="CG147" s="1475"/>
      <c r="CH147" s="1475"/>
      <c r="CI147" s="1475"/>
      <c r="CJ147" s="1475"/>
      <c r="CK147" s="1475"/>
      <c r="CL147" s="1475"/>
      <c r="CM147" s="1475"/>
      <c r="CN147" s="305"/>
      <c r="CO147" s="2045"/>
      <c r="CP147" s="2045"/>
      <c r="CQ147" s="2045"/>
      <c r="CR147" s="2045"/>
      <c r="CS147" s="2045"/>
      <c r="CT147" s="2045"/>
      <c r="CU147" s="2045"/>
      <c r="CV147" s="2045"/>
      <c r="CW147" s="2045"/>
      <c r="CX147" s="2045"/>
      <c r="CY147" s="2045"/>
      <c r="CZ147" s="2045"/>
      <c r="DA147" s="2045"/>
      <c r="DB147" s="2045"/>
      <c r="DC147" s="2045"/>
      <c r="DD147" s="2045"/>
      <c r="DE147" s="2045"/>
      <c r="DF147" s="2045"/>
      <c r="DG147" s="2045"/>
      <c r="DH147" s="2045"/>
      <c r="DI147" s="2045"/>
      <c r="DJ147" s="2045"/>
      <c r="DK147" s="2045"/>
      <c r="DL147" s="2045"/>
      <c r="DM147" s="2045"/>
      <c r="DN147" s="2045"/>
      <c r="DO147" s="2045"/>
      <c r="DP147" s="2045"/>
      <c r="DQ147" s="2045"/>
      <c r="DR147" s="2045"/>
      <c r="DS147" s="310"/>
      <c r="DT147" s="311"/>
    </row>
    <row r="148" spans="1:124" ht="6" customHeight="1">
      <c r="B148" s="211"/>
      <c r="C148" s="305"/>
      <c r="D148" s="637"/>
      <c r="E148" s="637"/>
      <c r="F148" s="637"/>
      <c r="G148" s="637"/>
      <c r="H148" s="637"/>
      <c r="I148" s="637"/>
      <c r="J148" s="637"/>
      <c r="K148" s="637"/>
      <c r="L148" s="637"/>
      <c r="M148" s="637"/>
      <c r="N148" s="637"/>
      <c r="O148" s="637"/>
      <c r="P148" s="637"/>
      <c r="Q148" s="637"/>
      <c r="R148" s="637"/>
      <c r="S148" s="637"/>
      <c r="T148" s="637"/>
      <c r="U148" s="637"/>
      <c r="V148" s="637"/>
      <c r="W148" s="305"/>
      <c r="X148" s="305"/>
      <c r="Y148" s="305"/>
      <c r="Z148" s="305"/>
      <c r="AA148" s="305"/>
      <c r="AB148" s="305"/>
      <c r="AC148" s="305"/>
      <c r="AD148" s="305"/>
      <c r="AE148" s="305"/>
      <c r="AF148" s="305"/>
      <c r="AG148" s="305"/>
      <c r="AH148" s="305"/>
      <c r="AI148" s="305"/>
      <c r="AJ148" s="305"/>
      <c r="AK148" s="305"/>
      <c r="AL148" s="305"/>
      <c r="AM148" s="305"/>
      <c r="AN148" s="305"/>
      <c r="AO148" s="305"/>
      <c r="AP148" s="305"/>
      <c r="AQ148" s="305"/>
      <c r="AR148" s="305"/>
      <c r="AS148" s="305"/>
      <c r="AT148" s="305"/>
      <c r="AU148" s="305"/>
      <c r="AV148" s="305"/>
      <c r="AW148" s="305"/>
      <c r="AX148" s="305"/>
      <c r="AY148" s="305"/>
      <c r="AZ148" s="305"/>
      <c r="BA148" s="305"/>
      <c r="BB148" s="305"/>
      <c r="BC148" s="305"/>
      <c r="BD148" s="305"/>
      <c r="BE148" s="305"/>
      <c r="BF148" s="305"/>
      <c r="BG148" s="305"/>
      <c r="BH148" s="305"/>
      <c r="BI148" s="305"/>
      <c r="BJ148" s="305"/>
      <c r="BK148" s="293"/>
      <c r="BL148" s="638"/>
      <c r="BM148" s="638"/>
      <c r="BN148" s="638"/>
      <c r="BO148" s="638"/>
      <c r="BP148" s="638"/>
      <c r="BQ148" s="638"/>
      <c r="BR148" s="638"/>
      <c r="BS148" s="638"/>
      <c r="BT148" s="638"/>
      <c r="BU148" s="638"/>
      <c r="BV148" s="638"/>
      <c r="BW148" s="638"/>
      <c r="BX148" s="638"/>
      <c r="BY148" s="638"/>
      <c r="BZ148" s="638"/>
      <c r="CA148" s="638"/>
      <c r="CB148" s="638"/>
      <c r="CC148" s="638"/>
      <c r="CD148" s="638"/>
      <c r="CE148" s="638"/>
      <c r="CF148" s="638"/>
      <c r="CG148" s="638"/>
      <c r="CH148" s="638"/>
      <c r="CI148" s="638"/>
      <c r="CJ148" s="638"/>
      <c r="CK148" s="638"/>
      <c r="CL148" s="638"/>
      <c r="CM148" s="638"/>
      <c r="CN148" s="305"/>
      <c r="CO148" s="639"/>
      <c r="CP148" s="639"/>
      <c r="CQ148" s="639"/>
      <c r="CR148" s="639"/>
      <c r="CS148" s="639"/>
      <c r="CT148" s="639"/>
      <c r="CU148" s="639"/>
      <c r="CV148" s="639"/>
      <c r="CW148" s="639"/>
      <c r="CX148" s="639"/>
      <c r="CY148" s="639"/>
      <c r="CZ148" s="639"/>
      <c r="DA148" s="639"/>
      <c r="DB148" s="639"/>
      <c r="DC148" s="639"/>
      <c r="DD148" s="639"/>
      <c r="DE148" s="639"/>
      <c r="DF148" s="639"/>
      <c r="DG148" s="639"/>
      <c r="DH148" s="639"/>
      <c r="DI148" s="639"/>
      <c r="DJ148" s="639"/>
      <c r="DK148" s="639"/>
      <c r="DL148" s="639"/>
      <c r="DM148" s="639"/>
      <c r="DN148" s="639"/>
      <c r="DO148" s="639"/>
      <c r="DP148" s="639"/>
      <c r="DQ148" s="639"/>
      <c r="DR148" s="639"/>
      <c r="DS148" s="305"/>
      <c r="DT148" s="311"/>
    </row>
    <row r="149" spans="1:124" ht="20.100000000000001" customHeight="1">
      <c r="B149" s="211"/>
      <c r="C149" s="305"/>
      <c r="D149" s="757" t="str">
        <f ca="1">'D4.5Why''s-D5-D6'!D40</f>
        <v>Technical consideration factors</v>
      </c>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c r="AA149" s="305"/>
      <c r="AB149" s="305"/>
      <c r="AC149" s="305"/>
      <c r="AD149" s="305"/>
      <c r="AE149" s="305"/>
      <c r="AF149" s="305"/>
      <c r="AG149" s="305"/>
      <c r="AH149" s="305"/>
      <c r="AI149" s="305"/>
      <c r="AJ149" s="305"/>
      <c r="AK149" s="305"/>
      <c r="AL149" s="305"/>
      <c r="AM149" s="305"/>
      <c r="AN149" s="305"/>
      <c r="AO149" s="305"/>
      <c r="AP149" s="305"/>
      <c r="AQ149" s="305"/>
      <c r="AR149" s="305"/>
      <c r="AS149" s="305"/>
      <c r="AT149" s="305"/>
      <c r="AU149" s="305"/>
      <c r="AV149" s="305"/>
      <c r="AW149" s="305"/>
      <c r="AX149" s="305"/>
      <c r="AY149" s="305"/>
      <c r="AZ149" s="305"/>
      <c r="BA149" s="305"/>
      <c r="BB149" s="305"/>
      <c r="BC149" s="305"/>
      <c r="BD149" s="305"/>
      <c r="BE149" s="305"/>
      <c r="BF149" s="305"/>
      <c r="BG149" s="305"/>
      <c r="BH149" s="305"/>
      <c r="BI149" s="305"/>
      <c r="BJ149" s="305"/>
      <c r="BK149" s="305"/>
      <c r="BL149" s="305"/>
      <c r="BM149" s="305"/>
      <c r="BN149" s="305"/>
      <c r="BO149" s="305"/>
      <c r="BP149" s="305"/>
      <c r="BQ149" s="305"/>
      <c r="BR149" s="305"/>
      <c r="BS149" s="305"/>
      <c r="BT149" s="305"/>
      <c r="BU149" s="305"/>
      <c r="BV149" s="305"/>
      <c r="BW149" s="305"/>
      <c r="BX149" s="305"/>
      <c r="BY149" s="305"/>
      <c r="BZ149" s="305"/>
      <c r="CA149" s="305"/>
      <c r="CB149" s="305"/>
      <c r="CC149" s="305"/>
      <c r="CD149" s="305"/>
      <c r="CE149" s="305"/>
      <c r="CF149" s="305"/>
      <c r="CG149" s="305"/>
      <c r="CH149" s="305"/>
      <c r="CI149" s="305"/>
      <c r="CJ149" s="305"/>
      <c r="CK149" s="305"/>
      <c r="CL149" s="305"/>
      <c r="CM149" s="305"/>
      <c r="CN149" s="305"/>
      <c r="CO149" s="305"/>
      <c r="CP149" s="305"/>
      <c r="CQ149" s="305"/>
      <c r="CR149" s="305"/>
      <c r="CS149" s="305"/>
      <c r="CT149" s="305"/>
      <c r="CU149" s="305"/>
      <c r="CV149" s="305"/>
      <c r="CW149" s="305"/>
      <c r="CX149" s="305"/>
      <c r="CY149" s="305"/>
      <c r="CZ149" s="305"/>
      <c r="DA149" s="305"/>
      <c r="DB149" s="305"/>
      <c r="DC149" s="305"/>
      <c r="DD149" s="305"/>
      <c r="DE149" s="305"/>
      <c r="DF149" s="305"/>
      <c r="DG149" s="305"/>
      <c r="DH149" s="305"/>
      <c r="DI149" s="305"/>
      <c r="DJ149" s="305"/>
      <c r="DK149" s="305"/>
      <c r="DL149" s="305"/>
      <c r="DM149" s="305"/>
      <c r="DN149" s="305"/>
      <c r="DO149" s="305"/>
      <c r="DP149" s="305"/>
      <c r="DQ149" s="305"/>
      <c r="DR149" s="305"/>
      <c r="DS149" s="305"/>
      <c r="DT149" s="311"/>
    </row>
    <row r="150" spans="1:124" ht="6" customHeight="1">
      <c r="B150" s="312"/>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c r="AA150" s="305"/>
      <c r="AB150" s="305"/>
      <c r="AC150" s="305"/>
      <c r="AD150" s="305"/>
      <c r="AE150" s="305"/>
      <c r="AF150" s="305"/>
      <c r="AG150" s="305"/>
      <c r="AH150" s="305"/>
      <c r="AI150" s="305"/>
      <c r="AJ150" s="305"/>
      <c r="AK150" s="305"/>
      <c r="AL150" s="305"/>
      <c r="AM150" s="305"/>
      <c r="AN150" s="305"/>
      <c r="AO150" s="305"/>
      <c r="AP150" s="305"/>
      <c r="AQ150" s="305"/>
      <c r="AR150" s="305"/>
      <c r="AS150" s="305"/>
      <c r="AT150" s="305"/>
      <c r="AU150" s="305"/>
      <c r="AV150" s="305"/>
      <c r="AW150" s="305"/>
      <c r="AX150" s="305"/>
      <c r="AY150" s="305"/>
      <c r="AZ150" s="305"/>
      <c r="BA150" s="305"/>
      <c r="BB150" s="305"/>
      <c r="BC150" s="305"/>
      <c r="BD150" s="305"/>
      <c r="BE150" s="305"/>
      <c r="BF150" s="305"/>
      <c r="BG150" s="305"/>
      <c r="BH150" s="305"/>
      <c r="BI150" s="305"/>
      <c r="BJ150" s="305"/>
      <c r="BK150" s="305"/>
      <c r="BL150" s="305"/>
      <c r="BM150" s="305"/>
      <c r="BN150" s="305"/>
      <c r="BO150" s="305"/>
      <c r="BP150" s="305"/>
      <c r="BQ150" s="305"/>
      <c r="BR150" s="305"/>
      <c r="BS150" s="305"/>
      <c r="BT150" s="305"/>
      <c r="BU150" s="305"/>
      <c r="BV150" s="305"/>
      <c r="BW150" s="305"/>
      <c r="BX150" s="305"/>
      <c r="BY150" s="305"/>
      <c r="BZ150" s="305"/>
      <c r="CA150" s="305"/>
      <c r="CB150" s="305"/>
      <c r="CC150" s="305"/>
      <c r="CD150" s="305"/>
      <c r="CE150" s="305"/>
      <c r="CF150" s="305"/>
      <c r="CG150" s="305"/>
      <c r="CH150" s="305"/>
      <c r="CI150" s="305"/>
      <c r="CJ150" s="305"/>
      <c r="CK150" s="305"/>
      <c r="CL150" s="305"/>
      <c r="CM150" s="305"/>
      <c r="CN150" s="305"/>
      <c r="CO150" s="305"/>
      <c r="CP150" s="305"/>
      <c r="CQ150" s="305"/>
      <c r="CR150" s="305"/>
      <c r="CS150" s="305"/>
      <c r="CT150" s="305"/>
      <c r="CU150" s="305"/>
      <c r="CV150" s="305"/>
      <c r="CW150" s="305"/>
      <c r="CX150" s="305"/>
      <c r="CY150" s="305"/>
      <c r="CZ150" s="305"/>
      <c r="DA150" s="305"/>
      <c r="DB150" s="305"/>
      <c r="DC150" s="305"/>
      <c r="DD150" s="305"/>
      <c r="DE150" s="305"/>
      <c r="DF150" s="305"/>
      <c r="DG150" s="305"/>
      <c r="DH150" s="305"/>
      <c r="DI150" s="305"/>
      <c r="DJ150" s="305"/>
      <c r="DK150" s="305"/>
      <c r="DL150" s="305"/>
      <c r="DM150" s="305"/>
      <c r="DN150" s="305"/>
      <c r="DO150" s="305"/>
      <c r="DP150" s="305"/>
      <c r="DQ150" s="305"/>
      <c r="DR150" s="305"/>
      <c r="DS150" s="305"/>
      <c r="DT150" s="311"/>
    </row>
    <row r="151" spans="1:124" ht="24.9" customHeight="1">
      <c r="B151" s="312"/>
      <c r="C151" s="305"/>
      <c r="D151" s="1816" t="str">
        <f ca="1">'D4.5Why''s-D5-D6'!D19</f>
        <v>Factors identification/Influent factors</v>
      </c>
      <c r="E151" s="1816"/>
      <c r="F151" s="1816"/>
      <c r="G151" s="1816"/>
      <c r="H151" s="1816"/>
      <c r="I151" s="1816"/>
      <c r="J151" s="1816"/>
      <c r="K151" s="1816"/>
      <c r="L151" s="1816"/>
      <c r="M151" s="1816"/>
      <c r="N151" s="1816"/>
      <c r="O151" s="1816"/>
      <c r="P151" s="1816"/>
      <c r="Q151" s="1816"/>
      <c r="R151" s="1816"/>
      <c r="S151" s="1816"/>
      <c r="T151" s="1816"/>
      <c r="U151" s="1816"/>
      <c r="V151" s="1816"/>
      <c r="W151" s="1816"/>
      <c r="X151" s="1816"/>
      <c r="Y151" s="1816"/>
      <c r="Z151" s="1816"/>
      <c r="AA151" s="1816"/>
      <c r="AB151" s="1816"/>
      <c r="AC151" s="1815" t="str">
        <f ca="1">'D4.5Why''s-D5-D6'!AB18</f>
        <v>Corrective Action</v>
      </c>
      <c r="AD151" s="1815"/>
      <c r="AE151" s="1815"/>
      <c r="AF151" s="1815"/>
      <c r="AG151" s="1815"/>
      <c r="AH151" s="1815"/>
      <c r="AI151" s="1815"/>
      <c r="AJ151" s="1815"/>
      <c r="AK151" s="1815"/>
      <c r="AL151" s="1815"/>
      <c r="AM151" s="1815"/>
      <c r="AN151" s="1815"/>
      <c r="AO151" s="1815"/>
      <c r="AP151" s="1815"/>
      <c r="AQ151" s="1815"/>
      <c r="AR151" s="1815"/>
      <c r="AS151" s="1815"/>
      <c r="AT151" s="1815"/>
      <c r="AU151" s="1815"/>
      <c r="AV151" s="1815"/>
      <c r="AW151" s="1815"/>
      <c r="AX151" s="1815"/>
      <c r="AY151" s="1815"/>
      <c r="AZ151" s="1815"/>
      <c r="BA151" s="1815"/>
      <c r="BB151" s="1815"/>
      <c r="BC151" s="1815"/>
      <c r="BD151" s="1815"/>
      <c r="BE151" s="1815"/>
      <c r="BF151" s="1815"/>
      <c r="BG151" s="1815"/>
      <c r="BH151" s="1815"/>
      <c r="BI151" s="1815"/>
      <c r="BJ151" s="1815"/>
      <c r="BK151" s="1815"/>
      <c r="BL151" s="1815"/>
      <c r="BM151" s="1815"/>
      <c r="BN151" s="1815"/>
      <c r="BO151" s="1815"/>
      <c r="BP151" s="305"/>
      <c r="BQ151" s="1831" t="str">
        <f ca="1">INDIRECT('D1-D2-D3'!$J$4&amp;"!C83")</f>
        <v>Responsible</v>
      </c>
      <c r="BR151" s="1831"/>
      <c r="BS151" s="1831"/>
      <c r="BT151" s="1831"/>
      <c r="BU151" s="1831"/>
      <c r="BV151" s="1831"/>
      <c r="BW151" s="1831"/>
      <c r="BX151" s="1831"/>
      <c r="BY151" s="1831"/>
      <c r="BZ151" s="1831" t="str">
        <f ca="1">INDIRECT('D1-D2-D3'!$J$4&amp;"!C166")</f>
        <v>Target Date</v>
      </c>
      <c r="CA151" s="1831"/>
      <c r="CB151" s="1831"/>
      <c r="CC151" s="1831"/>
      <c r="CD151" s="1831"/>
      <c r="CE151" s="1831"/>
      <c r="CF151" s="1831"/>
      <c r="CG151" s="1831" t="str">
        <f ca="1">INDIRECT('D1-D2-D3'!$J$4&amp;"!C84")</f>
        <v>Impl. Date</v>
      </c>
      <c r="CH151" s="1831"/>
      <c r="CI151" s="1831"/>
      <c r="CJ151" s="1831"/>
      <c r="CK151" s="1831"/>
      <c r="CL151" s="1831"/>
      <c r="CM151" s="1831"/>
      <c r="CN151" s="305"/>
      <c r="CO151" s="1827" t="str">
        <f ca="1">INDIRECT('D1-D2-D3'!$J$4&amp;"!C256")</f>
        <v>Hazard/ Risk</v>
      </c>
      <c r="CP151" s="1827"/>
      <c r="CQ151" s="1827"/>
      <c r="CR151" s="1827"/>
      <c r="CS151" s="1827"/>
      <c r="CT151" s="1827"/>
      <c r="CU151" s="1827"/>
      <c r="CV151" s="1827"/>
      <c r="CW151" s="1827"/>
      <c r="CX151" s="1827"/>
      <c r="CY151" s="1827"/>
      <c r="CZ151" s="1827"/>
      <c r="DA151" s="532"/>
      <c r="DB151" s="532"/>
      <c r="DC151" s="532"/>
      <c r="DD151" s="1827" t="str">
        <f ca="1">'Risk assesment (for D3 &amp; D5)'!AO18</f>
        <v>Level</v>
      </c>
      <c r="DE151" s="1827"/>
      <c r="DF151" s="1827"/>
      <c r="DG151" s="1827"/>
      <c r="DH151" s="305"/>
      <c r="DI151" s="1832" t="str">
        <f ca="1">INDIRECT('D1-D2-D3'!$J$4&amp;"!C259")</f>
        <v>Measures</v>
      </c>
      <c r="DJ151" s="1832"/>
      <c r="DK151" s="1832"/>
      <c r="DL151" s="1832"/>
      <c r="DM151" s="1832"/>
      <c r="DN151" s="1832"/>
      <c r="DO151" s="1832"/>
      <c r="DP151" s="1832"/>
      <c r="DQ151" s="1832"/>
      <c r="DR151" s="1832"/>
      <c r="DS151" s="813"/>
      <c r="DT151" s="311"/>
    </row>
    <row r="152" spans="1:124" ht="6" customHeight="1">
      <c r="B152" s="312"/>
      <c r="C152" s="305"/>
      <c r="D152" s="600"/>
      <c r="E152" s="601"/>
      <c r="F152" s="601"/>
      <c r="G152" s="601"/>
      <c r="H152" s="601"/>
      <c r="I152" s="601"/>
      <c r="J152" s="601"/>
      <c r="K152" s="601"/>
      <c r="L152" s="601"/>
      <c r="M152" s="602"/>
      <c r="N152" s="602"/>
      <c r="O152" s="602"/>
      <c r="P152" s="602"/>
      <c r="Q152" s="602"/>
      <c r="R152" s="602"/>
      <c r="S152" s="602"/>
      <c r="T152" s="602"/>
      <c r="U152" s="602"/>
      <c r="V152" s="602"/>
      <c r="W152" s="602"/>
      <c r="X152" s="602"/>
      <c r="Y152" s="602"/>
      <c r="Z152" s="602"/>
      <c r="AA152" s="602"/>
      <c r="AB152" s="305"/>
      <c r="AC152" s="305"/>
      <c r="AD152" s="305"/>
      <c r="AE152" s="305"/>
      <c r="AF152" s="305"/>
      <c r="AG152" s="305"/>
      <c r="AH152" s="305"/>
      <c r="AI152" s="305"/>
      <c r="AJ152" s="305"/>
      <c r="AK152" s="305"/>
      <c r="AL152" s="305"/>
      <c r="AM152" s="305"/>
      <c r="AN152" s="305"/>
      <c r="AO152" s="305"/>
      <c r="AP152" s="305"/>
      <c r="AQ152" s="305"/>
      <c r="AR152" s="305"/>
      <c r="AS152" s="305"/>
      <c r="AT152" s="305"/>
      <c r="AU152" s="305"/>
      <c r="AV152" s="305"/>
      <c r="AW152" s="305"/>
      <c r="AX152" s="305"/>
      <c r="AY152" s="305"/>
      <c r="AZ152" s="305"/>
      <c r="BA152" s="305"/>
      <c r="BB152" s="305"/>
      <c r="BC152" s="305"/>
      <c r="BD152" s="305"/>
      <c r="BE152" s="305"/>
      <c r="BF152" s="305"/>
      <c r="BG152" s="305"/>
      <c r="BH152" s="305"/>
      <c r="BI152" s="305"/>
      <c r="BJ152" s="305"/>
      <c r="BK152" s="305"/>
      <c r="BL152" s="305"/>
      <c r="BM152" s="305"/>
      <c r="BN152" s="305"/>
      <c r="BO152" s="305"/>
      <c r="BP152" s="305"/>
      <c r="BQ152" s="305"/>
      <c r="BR152" s="305"/>
      <c r="BS152" s="305"/>
      <c r="BT152" s="305"/>
      <c r="BU152" s="305"/>
      <c r="BV152" s="305"/>
      <c r="BW152" s="305"/>
      <c r="BX152" s="305"/>
      <c r="BY152" s="305"/>
      <c r="BZ152" s="305"/>
      <c r="CA152" s="305"/>
      <c r="CB152" s="305"/>
      <c r="CC152" s="305"/>
      <c r="CD152" s="305"/>
      <c r="CE152" s="305"/>
      <c r="CF152" s="305"/>
      <c r="CG152" s="305"/>
      <c r="CH152" s="305"/>
      <c r="CI152" s="305"/>
      <c r="CJ152" s="305"/>
      <c r="CK152" s="305"/>
      <c r="CL152" s="305"/>
      <c r="CM152" s="305"/>
      <c r="CN152" s="305"/>
      <c r="CO152" s="602"/>
      <c r="CP152" s="602"/>
      <c r="CQ152" s="602"/>
      <c r="CR152" s="602"/>
      <c r="CS152" s="602"/>
      <c r="CT152" s="602"/>
      <c r="CU152" s="602"/>
      <c r="CV152" s="602"/>
      <c r="CW152" s="602"/>
      <c r="CX152" s="602"/>
      <c r="CY152" s="602"/>
      <c r="CZ152" s="602"/>
      <c r="DA152" s="602"/>
      <c r="DB152" s="602"/>
      <c r="DC152" s="602"/>
      <c r="DD152" s="602"/>
      <c r="DE152" s="602"/>
      <c r="DF152" s="602"/>
      <c r="DG152" s="602"/>
      <c r="DH152" s="602"/>
      <c r="DI152" s="602"/>
      <c r="DJ152" s="602"/>
      <c r="DK152" s="602"/>
      <c r="DL152" s="813"/>
      <c r="DM152" s="602"/>
      <c r="DN152" s="602"/>
      <c r="DO152" s="602"/>
      <c r="DP152" s="602"/>
      <c r="DQ152" s="602"/>
      <c r="DR152" s="602"/>
      <c r="DS152" s="532"/>
      <c r="DT152" s="311"/>
    </row>
    <row r="153" spans="1:124" ht="27" customHeight="1">
      <c r="B153" s="312"/>
      <c r="C153" s="313"/>
      <c r="D153" s="2031" t="str">
        <f>IF(ISNA('D4.5Why''s-D5-D6'!BW19),"",'D4.5Why''s-D5-D6'!BW19)</f>
        <v/>
      </c>
      <c r="E153" s="2031"/>
      <c r="F153" s="2031"/>
      <c r="G153" s="2031"/>
      <c r="H153" s="2031"/>
      <c r="I153" s="1822" t="str">
        <f>IF(ISNA('D4.5Why''s-D5-D6'!BX19),"",'D4.5Why''s-D5-D6'!BX19)</f>
        <v/>
      </c>
      <c r="J153" s="1822"/>
      <c r="K153" s="1822"/>
      <c r="L153" s="1822"/>
      <c r="M153" s="1822"/>
      <c r="N153" s="1822"/>
      <c r="O153" s="1822"/>
      <c r="P153" s="1822"/>
      <c r="Q153" s="1822"/>
      <c r="R153" s="1822"/>
      <c r="S153" s="1822"/>
      <c r="T153" s="1822"/>
      <c r="U153" s="1822"/>
      <c r="V153" s="1822"/>
      <c r="W153" s="1822"/>
      <c r="X153" s="1822"/>
      <c r="Y153" s="1822"/>
      <c r="Z153" s="1822"/>
      <c r="AA153" s="1822"/>
      <c r="AB153" s="1822"/>
      <c r="AC153" s="1823" t="str">
        <f>IF(ISNA('D4.5Why''s-D5-D6'!BY19),"",'D4.5Why''s-D5-D6'!BY19)</f>
        <v/>
      </c>
      <c r="AD153" s="1823"/>
      <c r="AE153" s="1823"/>
      <c r="AF153" s="1823"/>
      <c r="AG153" s="1823"/>
      <c r="AH153" s="1823"/>
      <c r="AI153" s="1823"/>
      <c r="AJ153" s="1823"/>
      <c r="AK153" s="1823"/>
      <c r="AL153" s="1823"/>
      <c r="AM153" s="1823"/>
      <c r="AN153" s="1823"/>
      <c r="AO153" s="1823"/>
      <c r="AP153" s="1823"/>
      <c r="AQ153" s="1823"/>
      <c r="AR153" s="1823"/>
      <c r="AS153" s="1823"/>
      <c r="AT153" s="1823"/>
      <c r="AU153" s="1823"/>
      <c r="AV153" s="1823"/>
      <c r="AW153" s="1823"/>
      <c r="AX153" s="1823"/>
      <c r="AY153" s="1823"/>
      <c r="AZ153" s="1823"/>
      <c r="BA153" s="1823"/>
      <c r="BB153" s="1823"/>
      <c r="BC153" s="1823"/>
      <c r="BD153" s="1823"/>
      <c r="BE153" s="1823"/>
      <c r="BF153" s="1823"/>
      <c r="BG153" s="1823"/>
      <c r="BH153" s="1823"/>
      <c r="BI153" s="1823"/>
      <c r="BJ153" s="1823"/>
      <c r="BK153" s="1823"/>
      <c r="BL153" s="1823"/>
      <c r="BM153" s="1823"/>
      <c r="BN153" s="1823"/>
      <c r="BO153" s="1823"/>
      <c r="BP153" s="1823"/>
      <c r="BQ153" s="1824" t="str">
        <f>IF(ISNA('D4.5Why''s-D5-D6'!BZ19),"",'D4.5Why''s-D5-D6'!BZ19)</f>
        <v/>
      </c>
      <c r="BR153" s="1824"/>
      <c r="BS153" s="1824"/>
      <c r="BT153" s="1824"/>
      <c r="BU153" s="1824"/>
      <c r="BV153" s="1824"/>
      <c r="BW153" s="1824"/>
      <c r="BX153" s="1824"/>
      <c r="BY153" s="1824"/>
      <c r="BZ153" s="1825" t="str">
        <f>IF(ISNA('D4.5Why''s-D5-D6'!CA19),"",'D4.5Why''s-D5-D6'!CA19)</f>
        <v/>
      </c>
      <c r="CA153" s="1825"/>
      <c r="CB153" s="1825"/>
      <c r="CC153" s="1825"/>
      <c r="CD153" s="1825"/>
      <c r="CE153" s="1825"/>
      <c r="CF153" s="1825"/>
      <c r="CG153" s="1825" t="str">
        <f>IF(ISNA('D4.5Why''s-D5-D6'!CB19),"",'D4.5Why''s-D5-D6'!CB19)</f>
        <v/>
      </c>
      <c r="CH153" s="1825"/>
      <c r="CI153" s="1825"/>
      <c r="CJ153" s="1825"/>
      <c r="CK153" s="1825"/>
      <c r="CL153" s="1825"/>
      <c r="CM153" s="1825"/>
      <c r="CN153" s="305"/>
      <c r="CO153" s="1826" t="str">
        <f>IF(ISNA('Risk assesment (for D3 &amp; D5)'!CF31),"",'Risk assesment (for D3 &amp; D5)'!CF31)</f>
        <v/>
      </c>
      <c r="CP153" s="1826"/>
      <c r="CQ153" s="1826"/>
      <c r="CR153" s="1826"/>
      <c r="CS153" s="1826"/>
      <c r="CT153" s="1826"/>
      <c r="CU153" s="1826"/>
      <c r="CV153" s="1826"/>
      <c r="CW153" s="1826"/>
      <c r="CX153" s="1826"/>
      <c r="CY153" s="1826"/>
      <c r="CZ153" s="1826"/>
      <c r="DA153" s="1826"/>
      <c r="DB153" s="1826"/>
      <c r="DC153" s="1826"/>
      <c r="DD153" s="1302" t="str">
        <f>IF(ISNA('Risk assesment (for D3 &amp; D5)'!CG31),"",'Risk assesment (for D3 &amp; D5)'!CG31)</f>
        <v/>
      </c>
      <c r="DE153" s="1302"/>
      <c r="DF153" s="1302"/>
      <c r="DG153" s="1302"/>
      <c r="DH153" s="1817" t="str">
        <f>IF(ISNA('Risk assesment (for D3 &amp; D5)'!CH31),"",'Risk assesment (for D3 &amp; D5)'!CH31)</f>
        <v/>
      </c>
      <c r="DI153" s="1818"/>
      <c r="DJ153" s="1818"/>
      <c r="DK153" s="1818"/>
      <c r="DL153" s="1818"/>
      <c r="DM153" s="1818"/>
      <c r="DN153" s="1818"/>
      <c r="DO153" s="1818"/>
      <c r="DP153" s="1818"/>
      <c r="DQ153" s="1818"/>
      <c r="DR153" s="1819"/>
      <c r="DS153" s="813"/>
      <c r="DT153" s="311"/>
    </row>
    <row r="154" spans="1:124" ht="27" customHeight="1">
      <c r="B154" s="312"/>
      <c r="C154" s="313"/>
      <c r="D154" s="2031" t="str">
        <f>IF(ISNA('D4.5Why''s-D5-D6'!BW20),"",'D4.5Why''s-D5-D6'!BW20)</f>
        <v/>
      </c>
      <c r="E154" s="2031"/>
      <c r="F154" s="2031"/>
      <c r="G154" s="2031"/>
      <c r="H154" s="2031"/>
      <c r="I154" s="1822" t="str">
        <f>IF(ISNA('D4.5Why''s-D5-D6'!BX20),"",'D4.5Why''s-D5-D6'!BX20)</f>
        <v/>
      </c>
      <c r="J154" s="1822"/>
      <c r="K154" s="1822"/>
      <c r="L154" s="1822"/>
      <c r="M154" s="1822"/>
      <c r="N154" s="1822"/>
      <c r="O154" s="1822"/>
      <c r="P154" s="1822"/>
      <c r="Q154" s="1822"/>
      <c r="R154" s="1822"/>
      <c r="S154" s="1822"/>
      <c r="T154" s="1822"/>
      <c r="U154" s="1822"/>
      <c r="V154" s="1822"/>
      <c r="W154" s="1822"/>
      <c r="X154" s="1822"/>
      <c r="Y154" s="1822"/>
      <c r="Z154" s="1822"/>
      <c r="AA154" s="1822"/>
      <c r="AB154" s="1822"/>
      <c r="AC154" s="1823" t="str">
        <f>IF(ISNA('D4.5Why''s-D5-D6'!BY20),"",'D4.5Why''s-D5-D6'!BY20)</f>
        <v/>
      </c>
      <c r="AD154" s="1823"/>
      <c r="AE154" s="1823"/>
      <c r="AF154" s="1823"/>
      <c r="AG154" s="1823"/>
      <c r="AH154" s="1823"/>
      <c r="AI154" s="1823"/>
      <c r="AJ154" s="1823"/>
      <c r="AK154" s="1823"/>
      <c r="AL154" s="1823"/>
      <c r="AM154" s="1823"/>
      <c r="AN154" s="1823"/>
      <c r="AO154" s="1823"/>
      <c r="AP154" s="1823"/>
      <c r="AQ154" s="1823"/>
      <c r="AR154" s="1823"/>
      <c r="AS154" s="1823"/>
      <c r="AT154" s="1823"/>
      <c r="AU154" s="1823"/>
      <c r="AV154" s="1823"/>
      <c r="AW154" s="1823"/>
      <c r="AX154" s="1823"/>
      <c r="AY154" s="1823"/>
      <c r="AZ154" s="1823"/>
      <c r="BA154" s="1823"/>
      <c r="BB154" s="1823"/>
      <c r="BC154" s="1823"/>
      <c r="BD154" s="1823"/>
      <c r="BE154" s="1823"/>
      <c r="BF154" s="1823"/>
      <c r="BG154" s="1823"/>
      <c r="BH154" s="1823"/>
      <c r="BI154" s="1823"/>
      <c r="BJ154" s="1823"/>
      <c r="BK154" s="1823"/>
      <c r="BL154" s="1823"/>
      <c r="BM154" s="1823"/>
      <c r="BN154" s="1823"/>
      <c r="BO154" s="1823"/>
      <c r="BP154" s="1823"/>
      <c r="BQ154" s="1828" t="str">
        <f>IF(ISNA('D4.5Why''s-D5-D6'!BZ20),"",'D4.5Why''s-D5-D6'!BZ20)</f>
        <v/>
      </c>
      <c r="BR154" s="1829"/>
      <c r="BS154" s="1829"/>
      <c r="BT154" s="1829"/>
      <c r="BU154" s="1829"/>
      <c r="BV154" s="1829"/>
      <c r="BW154" s="1829"/>
      <c r="BX154" s="1829"/>
      <c r="BY154" s="1830"/>
      <c r="BZ154" s="1825" t="str">
        <f>IF(ISNA('D4.5Why''s-D5-D6'!CA20),"",'D4.5Why''s-D5-D6'!CA20)</f>
        <v/>
      </c>
      <c r="CA154" s="1825"/>
      <c r="CB154" s="1825"/>
      <c r="CC154" s="1825"/>
      <c r="CD154" s="1825"/>
      <c r="CE154" s="1825"/>
      <c r="CF154" s="1825"/>
      <c r="CG154" s="1825" t="str">
        <f>IF(ISNA('D4.5Why''s-D5-D6'!CB20),"",'D4.5Why''s-D5-D6'!CB20)</f>
        <v/>
      </c>
      <c r="CH154" s="1825"/>
      <c r="CI154" s="1825"/>
      <c r="CJ154" s="1825"/>
      <c r="CK154" s="1825"/>
      <c r="CL154" s="1825"/>
      <c r="CM154" s="1825"/>
      <c r="CN154" s="305"/>
      <c r="CO154" s="1826" t="str">
        <f>IF(ISNA('Risk assesment (for D3 &amp; D5)'!CF32),"",'Risk assesment (for D3 &amp; D5)'!CF32)</f>
        <v/>
      </c>
      <c r="CP154" s="1826"/>
      <c r="CQ154" s="1826"/>
      <c r="CR154" s="1826"/>
      <c r="CS154" s="1826"/>
      <c r="CT154" s="1826"/>
      <c r="CU154" s="1826"/>
      <c r="CV154" s="1826"/>
      <c r="CW154" s="1826"/>
      <c r="CX154" s="1826"/>
      <c r="CY154" s="1826"/>
      <c r="CZ154" s="1826"/>
      <c r="DA154" s="1826"/>
      <c r="DB154" s="1826"/>
      <c r="DC154" s="1826"/>
      <c r="DD154" s="1302" t="str">
        <f>IF(ISNA('Risk assesment (for D3 &amp; D5)'!CG32),"",'Risk assesment (for D3 &amp; D5)'!CG32)</f>
        <v/>
      </c>
      <c r="DE154" s="1302"/>
      <c r="DF154" s="1302"/>
      <c r="DG154" s="1302"/>
      <c r="DH154" s="1817" t="str">
        <f>IF(ISNA('Risk assesment (for D3 &amp; D5)'!CH32),"",'Risk assesment (for D3 &amp; D5)'!CH32)</f>
        <v/>
      </c>
      <c r="DI154" s="1818"/>
      <c r="DJ154" s="1818"/>
      <c r="DK154" s="1818"/>
      <c r="DL154" s="1818"/>
      <c r="DM154" s="1818"/>
      <c r="DN154" s="1818"/>
      <c r="DO154" s="1818"/>
      <c r="DP154" s="1818"/>
      <c r="DQ154" s="1818"/>
      <c r="DR154" s="1819"/>
      <c r="DS154" s="813"/>
      <c r="DT154" s="311"/>
    </row>
    <row r="155" spans="1:124" ht="27" customHeight="1">
      <c r="B155" s="312"/>
      <c r="C155" s="313"/>
      <c r="D155" s="2031" t="str">
        <f>IF(ISNA('D4.5Why''s-D5-D6'!BW21),"",'D4.5Why''s-D5-D6'!BW21)</f>
        <v/>
      </c>
      <c r="E155" s="2031"/>
      <c r="F155" s="2031"/>
      <c r="G155" s="2031"/>
      <c r="H155" s="2031"/>
      <c r="I155" s="1822" t="str">
        <f>IF(ISNA('D4.5Why''s-D5-D6'!BX21),"",'D4.5Why''s-D5-D6'!BX21)</f>
        <v/>
      </c>
      <c r="J155" s="1822"/>
      <c r="K155" s="1822"/>
      <c r="L155" s="1822"/>
      <c r="M155" s="1822"/>
      <c r="N155" s="1822"/>
      <c r="O155" s="1822"/>
      <c r="P155" s="1822"/>
      <c r="Q155" s="1822"/>
      <c r="R155" s="1822"/>
      <c r="S155" s="1822"/>
      <c r="T155" s="1822"/>
      <c r="U155" s="1822"/>
      <c r="V155" s="1822"/>
      <c r="W155" s="1822"/>
      <c r="X155" s="1822"/>
      <c r="Y155" s="1822"/>
      <c r="Z155" s="1822"/>
      <c r="AA155" s="1822"/>
      <c r="AB155" s="1822"/>
      <c r="AC155" s="1823" t="str">
        <f>IF(ISNA('D4.5Why''s-D5-D6'!BY21),"",'D4.5Why''s-D5-D6'!BY21)</f>
        <v/>
      </c>
      <c r="AD155" s="1823"/>
      <c r="AE155" s="1823"/>
      <c r="AF155" s="1823"/>
      <c r="AG155" s="1823"/>
      <c r="AH155" s="1823"/>
      <c r="AI155" s="1823"/>
      <c r="AJ155" s="1823"/>
      <c r="AK155" s="1823"/>
      <c r="AL155" s="1823"/>
      <c r="AM155" s="1823"/>
      <c r="AN155" s="1823"/>
      <c r="AO155" s="1823"/>
      <c r="AP155" s="1823"/>
      <c r="AQ155" s="1823"/>
      <c r="AR155" s="1823"/>
      <c r="AS155" s="1823"/>
      <c r="AT155" s="1823"/>
      <c r="AU155" s="1823"/>
      <c r="AV155" s="1823"/>
      <c r="AW155" s="1823"/>
      <c r="AX155" s="1823"/>
      <c r="AY155" s="1823"/>
      <c r="AZ155" s="1823"/>
      <c r="BA155" s="1823"/>
      <c r="BB155" s="1823"/>
      <c r="BC155" s="1823"/>
      <c r="BD155" s="1823"/>
      <c r="BE155" s="1823"/>
      <c r="BF155" s="1823"/>
      <c r="BG155" s="1823"/>
      <c r="BH155" s="1823"/>
      <c r="BI155" s="1823"/>
      <c r="BJ155" s="1823"/>
      <c r="BK155" s="1823"/>
      <c r="BL155" s="1823"/>
      <c r="BM155" s="1823"/>
      <c r="BN155" s="1823"/>
      <c r="BO155" s="1823"/>
      <c r="BP155" s="1823"/>
      <c r="BQ155" s="1828" t="str">
        <f>IF(ISNA('D4.5Why''s-D5-D6'!BZ21),"",'D4.5Why''s-D5-D6'!BZ21)</f>
        <v/>
      </c>
      <c r="BR155" s="1829"/>
      <c r="BS155" s="1829"/>
      <c r="BT155" s="1829"/>
      <c r="BU155" s="1829"/>
      <c r="BV155" s="1829"/>
      <c r="BW155" s="1829"/>
      <c r="BX155" s="1829"/>
      <c r="BY155" s="1830"/>
      <c r="BZ155" s="1825" t="str">
        <f>IF(ISNA('D4.5Why''s-D5-D6'!CA21),"",'D4.5Why''s-D5-D6'!CA21)</f>
        <v/>
      </c>
      <c r="CA155" s="1825"/>
      <c r="CB155" s="1825"/>
      <c r="CC155" s="1825"/>
      <c r="CD155" s="1825"/>
      <c r="CE155" s="1825"/>
      <c r="CF155" s="1825"/>
      <c r="CG155" s="1825" t="str">
        <f>IF(ISNA('D4.5Why''s-D5-D6'!CB21),"",'D4.5Why''s-D5-D6'!CB21)</f>
        <v/>
      </c>
      <c r="CH155" s="1825"/>
      <c r="CI155" s="1825"/>
      <c r="CJ155" s="1825"/>
      <c r="CK155" s="1825"/>
      <c r="CL155" s="1825"/>
      <c r="CM155" s="1825"/>
      <c r="CN155" s="305"/>
      <c r="CO155" s="1826" t="str">
        <f>IF(ISNA('Risk assesment (for D3 &amp; D5)'!CF33),"",'Risk assesment (for D3 &amp; D5)'!CF33)</f>
        <v/>
      </c>
      <c r="CP155" s="1826"/>
      <c r="CQ155" s="1826"/>
      <c r="CR155" s="1826"/>
      <c r="CS155" s="1826"/>
      <c r="CT155" s="1826"/>
      <c r="CU155" s="1826"/>
      <c r="CV155" s="1826"/>
      <c r="CW155" s="1826"/>
      <c r="CX155" s="1826"/>
      <c r="CY155" s="1826"/>
      <c r="CZ155" s="1826"/>
      <c r="DA155" s="1826"/>
      <c r="DB155" s="1826"/>
      <c r="DC155" s="1826"/>
      <c r="DD155" s="1302" t="str">
        <f>IF(ISNA('Risk assesment (for D3 &amp; D5)'!CG33),"",'Risk assesment (for D3 &amp; D5)'!CG33)</f>
        <v/>
      </c>
      <c r="DE155" s="1302"/>
      <c r="DF155" s="1302"/>
      <c r="DG155" s="1302"/>
      <c r="DH155" s="1817" t="str">
        <f>IF(ISNA('Risk assesment (for D3 &amp; D5)'!CH33),"",'Risk assesment (for D3 &amp; D5)'!CH33)</f>
        <v/>
      </c>
      <c r="DI155" s="1818"/>
      <c r="DJ155" s="1818"/>
      <c r="DK155" s="1818"/>
      <c r="DL155" s="1818"/>
      <c r="DM155" s="1818"/>
      <c r="DN155" s="1818"/>
      <c r="DO155" s="1818"/>
      <c r="DP155" s="1818"/>
      <c r="DQ155" s="1818"/>
      <c r="DR155" s="1819"/>
      <c r="DS155" s="813"/>
      <c r="DT155" s="311"/>
    </row>
    <row r="156" spans="1:124" ht="27" customHeight="1">
      <c r="B156" s="312"/>
      <c r="C156" s="313"/>
      <c r="D156" s="2031" t="str">
        <f>IF(ISNA('D4.5Why''s-D5-D6'!BW22),"",'D4.5Why''s-D5-D6'!BW22)</f>
        <v/>
      </c>
      <c r="E156" s="2031"/>
      <c r="F156" s="2031"/>
      <c r="G156" s="2031"/>
      <c r="H156" s="2031"/>
      <c r="I156" s="1822" t="str">
        <f>IF(ISNA('D4.5Why''s-D5-D6'!BX22),"",'D4.5Why''s-D5-D6'!BX22)</f>
        <v/>
      </c>
      <c r="J156" s="1822"/>
      <c r="K156" s="1822"/>
      <c r="L156" s="1822"/>
      <c r="M156" s="1822"/>
      <c r="N156" s="1822"/>
      <c r="O156" s="1822"/>
      <c r="P156" s="1822"/>
      <c r="Q156" s="1822"/>
      <c r="R156" s="1822"/>
      <c r="S156" s="1822"/>
      <c r="T156" s="1822"/>
      <c r="U156" s="1822"/>
      <c r="V156" s="1822"/>
      <c r="W156" s="1822"/>
      <c r="X156" s="1822"/>
      <c r="Y156" s="1822"/>
      <c r="Z156" s="1822"/>
      <c r="AA156" s="1822"/>
      <c r="AB156" s="1822"/>
      <c r="AC156" s="1823" t="str">
        <f>IF(ISNA('D4.5Why''s-D5-D6'!BY22),"",'D4.5Why''s-D5-D6'!BY22)</f>
        <v/>
      </c>
      <c r="AD156" s="1823"/>
      <c r="AE156" s="1823"/>
      <c r="AF156" s="1823"/>
      <c r="AG156" s="1823"/>
      <c r="AH156" s="1823"/>
      <c r="AI156" s="1823"/>
      <c r="AJ156" s="1823"/>
      <c r="AK156" s="1823"/>
      <c r="AL156" s="1823"/>
      <c r="AM156" s="1823"/>
      <c r="AN156" s="1823"/>
      <c r="AO156" s="1823"/>
      <c r="AP156" s="1823"/>
      <c r="AQ156" s="1823"/>
      <c r="AR156" s="1823"/>
      <c r="AS156" s="1823"/>
      <c r="AT156" s="1823"/>
      <c r="AU156" s="1823"/>
      <c r="AV156" s="1823"/>
      <c r="AW156" s="1823"/>
      <c r="AX156" s="1823"/>
      <c r="AY156" s="1823"/>
      <c r="AZ156" s="1823"/>
      <c r="BA156" s="1823"/>
      <c r="BB156" s="1823"/>
      <c r="BC156" s="1823"/>
      <c r="BD156" s="1823"/>
      <c r="BE156" s="1823"/>
      <c r="BF156" s="1823"/>
      <c r="BG156" s="1823"/>
      <c r="BH156" s="1823"/>
      <c r="BI156" s="1823"/>
      <c r="BJ156" s="1823"/>
      <c r="BK156" s="1823"/>
      <c r="BL156" s="1823"/>
      <c r="BM156" s="1823"/>
      <c r="BN156" s="1823"/>
      <c r="BO156" s="1823"/>
      <c r="BP156" s="1823"/>
      <c r="BQ156" s="1828" t="str">
        <f>IF(ISNA('D4.5Why''s-D5-D6'!BZ22),"",'D4.5Why''s-D5-D6'!BZ22)</f>
        <v/>
      </c>
      <c r="BR156" s="1829"/>
      <c r="BS156" s="1829"/>
      <c r="BT156" s="1829"/>
      <c r="BU156" s="1829"/>
      <c r="BV156" s="1829"/>
      <c r="BW156" s="1829"/>
      <c r="BX156" s="1829"/>
      <c r="BY156" s="1830"/>
      <c r="BZ156" s="1825" t="str">
        <f>IF(ISNA('D4.5Why''s-D5-D6'!CA22),"",'D4.5Why''s-D5-D6'!CA22)</f>
        <v/>
      </c>
      <c r="CA156" s="1825"/>
      <c r="CB156" s="1825"/>
      <c r="CC156" s="1825"/>
      <c r="CD156" s="1825"/>
      <c r="CE156" s="1825"/>
      <c r="CF156" s="1825"/>
      <c r="CG156" s="1825" t="str">
        <f>IF(ISNA('D4.5Why''s-D5-D6'!CB22),"",'D4.5Why''s-D5-D6'!CB22)</f>
        <v/>
      </c>
      <c r="CH156" s="1825"/>
      <c r="CI156" s="1825"/>
      <c r="CJ156" s="1825"/>
      <c r="CK156" s="1825"/>
      <c r="CL156" s="1825"/>
      <c r="CM156" s="1825"/>
      <c r="CN156" s="305"/>
      <c r="CO156" s="1826" t="str">
        <f>IF(ISNA('Risk assesment (for D3 &amp; D5)'!CF34),"",'Risk assesment (for D3 &amp; D5)'!CF34)</f>
        <v/>
      </c>
      <c r="CP156" s="1826"/>
      <c r="CQ156" s="1826"/>
      <c r="CR156" s="1826"/>
      <c r="CS156" s="1826"/>
      <c r="CT156" s="1826"/>
      <c r="CU156" s="1826"/>
      <c r="CV156" s="1826"/>
      <c r="CW156" s="1826"/>
      <c r="CX156" s="1826"/>
      <c r="CY156" s="1826"/>
      <c r="CZ156" s="1826"/>
      <c r="DA156" s="1826"/>
      <c r="DB156" s="1826"/>
      <c r="DC156" s="1826"/>
      <c r="DD156" s="1302" t="str">
        <f>IF(ISNA('Risk assesment (for D3 &amp; D5)'!CG34),"",'Risk assesment (for D3 &amp; D5)'!CG34)</f>
        <v/>
      </c>
      <c r="DE156" s="1302"/>
      <c r="DF156" s="1302"/>
      <c r="DG156" s="1302"/>
      <c r="DH156" s="1817" t="str">
        <f>IF(ISNA('Risk assesment (for D3 &amp; D5)'!CH34),"",'Risk assesment (for D3 &amp; D5)'!CH34)</f>
        <v/>
      </c>
      <c r="DI156" s="1818"/>
      <c r="DJ156" s="1818"/>
      <c r="DK156" s="1818"/>
      <c r="DL156" s="1818"/>
      <c r="DM156" s="1818"/>
      <c r="DN156" s="1818"/>
      <c r="DO156" s="1818"/>
      <c r="DP156" s="1818"/>
      <c r="DQ156" s="1818"/>
      <c r="DR156" s="1819"/>
      <c r="DS156" s="813"/>
      <c r="DT156" s="311"/>
    </row>
    <row r="157" spans="1:124" ht="27" customHeight="1">
      <c r="B157" s="312"/>
      <c r="C157" s="313"/>
      <c r="D157" s="1821" t="str">
        <f>IF(ISNA('D4.5Why''s-D5-D6'!BW23),"",'D4.5Why''s-D5-D6'!BW23)</f>
        <v/>
      </c>
      <c r="E157" s="1821"/>
      <c r="F157" s="1821"/>
      <c r="G157" s="1821"/>
      <c r="H157" s="1821"/>
      <c r="I157" s="1822" t="str">
        <f>IF(ISNA('D4.5Why''s-D5-D6'!BX23),"",'D4.5Why''s-D5-D6'!BX23)</f>
        <v/>
      </c>
      <c r="J157" s="1822"/>
      <c r="K157" s="1822"/>
      <c r="L157" s="1822"/>
      <c r="M157" s="1822"/>
      <c r="N157" s="1822"/>
      <c r="O157" s="1822"/>
      <c r="P157" s="1822"/>
      <c r="Q157" s="1822"/>
      <c r="R157" s="1822"/>
      <c r="S157" s="1822"/>
      <c r="T157" s="1822"/>
      <c r="U157" s="1822"/>
      <c r="V157" s="1822"/>
      <c r="W157" s="1822"/>
      <c r="X157" s="1822"/>
      <c r="Y157" s="1822"/>
      <c r="Z157" s="1822"/>
      <c r="AA157" s="1822"/>
      <c r="AB157" s="1822"/>
      <c r="AC157" s="1823" t="str">
        <f>IF(ISNA('D4.5Why''s-D5-D6'!BY23),"",'D4.5Why''s-D5-D6'!BY23)</f>
        <v/>
      </c>
      <c r="AD157" s="1823"/>
      <c r="AE157" s="1823"/>
      <c r="AF157" s="1823"/>
      <c r="AG157" s="1823"/>
      <c r="AH157" s="1823"/>
      <c r="AI157" s="1823"/>
      <c r="AJ157" s="1823"/>
      <c r="AK157" s="1823"/>
      <c r="AL157" s="1823"/>
      <c r="AM157" s="1823"/>
      <c r="AN157" s="1823"/>
      <c r="AO157" s="1823"/>
      <c r="AP157" s="1823"/>
      <c r="AQ157" s="1823"/>
      <c r="AR157" s="1823"/>
      <c r="AS157" s="1823"/>
      <c r="AT157" s="1823"/>
      <c r="AU157" s="1823"/>
      <c r="AV157" s="1823"/>
      <c r="AW157" s="1823"/>
      <c r="AX157" s="1823"/>
      <c r="AY157" s="1823"/>
      <c r="AZ157" s="1823"/>
      <c r="BA157" s="1823"/>
      <c r="BB157" s="1823"/>
      <c r="BC157" s="1823"/>
      <c r="BD157" s="1823"/>
      <c r="BE157" s="1823"/>
      <c r="BF157" s="1823"/>
      <c r="BG157" s="1823"/>
      <c r="BH157" s="1823"/>
      <c r="BI157" s="1823"/>
      <c r="BJ157" s="1823"/>
      <c r="BK157" s="1823"/>
      <c r="BL157" s="1823"/>
      <c r="BM157" s="1823"/>
      <c r="BN157" s="1823"/>
      <c r="BO157" s="1823"/>
      <c r="BP157" s="1823"/>
      <c r="BQ157" s="1828" t="str">
        <f>IF(ISNA('D4.5Why''s-D5-D6'!BZ23),"",'D4.5Why''s-D5-D6'!BZ23)</f>
        <v/>
      </c>
      <c r="BR157" s="1829"/>
      <c r="BS157" s="1829"/>
      <c r="BT157" s="1829"/>
      <c r="BU157" s="1829"/>
      <c r="BV157" s="1829"/>
      <c r="BW157" s="1829"/>
      <c r="BX157" s="1829"/>
      <c r="BY157" s="1830"/>
      <c r="BZ157" s="1825" t="str">
        <f>IF(ISNA('D4.5Why''s-D5-D6'!CA23),"",'D4.5Why''s-D5-D6'!CA23)</f>
        <v/>
      </c>
      <c r="CA157" s="1825"/>
      <c r="CB157" s="1825"/>
      <c r="CC157" s="1825"/>
      <c r="CD157" s="1825"/>
      <c r="CE157" s="1825"/>
      <c r="CF157" s="1825"/>
      <c r="CG157" s="1825" t="str">
        <f>IF(ISNA('D4.5Why''s-D5-D6'!CB23),"",'D4.5Why''s-D5-D6'!CB23)</f>
        <v/>
      </c>
      <c r="CH157" s="1825"/>
      <c r="CI157" s="1825"/>
      <c r="CJ157" s="1825"/>
      <c r="CK157" s="1825"/>
      <c r="CL157" s="1825"/>
      <c r="CM157" s="1825"/>
      <c r="CN157" s="305"/>
      <c r="CO157" s="1826" t="str">
        <f>IF(ISNA('Risk assesment (for D3 &amp; D5)'!CF35),"",'Risk assesment (for D3 &amp; D5)'!CF35)</f>
        <v/>
      </c>
      <c r="CP157" s="1826"/>
      <c r="CQ157" s="1826"/>
      <c r="CR157" s="1826"/>
      <c r="CS157" s="1826"/>
      <c r="CT157" s="1826"/>
      <c r="CU157" s="1826"/>
      <c r="CV157" s="1826"/>
      <c r="CW157" s="1826"/>
      <c r="CX157" s="1826"/>
      <c r="CY157" s="1826"/>
      <c r="CZ157" s="1826"/>
      <c r="DA157" s="1826"/>
      <c r="DB157" s="1826"/>
      <c r="DC157" s="1826"/>
      <c r="DD157" s="1302" t="str">
        <f>IF(ISNA('Risk assesment (for D3 &amp; D5)'!CG35),"",'Risk assesment (for D3 &amp; D5)'!CG35)</f>
        <v/>
      </c>
      <c r="DE157" s="1302"/>
      <c r="DF157" s="1302"/>
      <c r="DG157" s="1302"/>
      <c r="DH157" s="1817" t="str">
        <f>IF(ISNA('Risk assesment (for D3 &amp; D5)'!CH35),"",'Risk assesment (for D3 &amp; D5)'!CH35)</f>
        <v/>
      </c>
      <c r="DI157" s="1818"/>
      <c r="DJ157" s="1818"/>
      <c r="DK157" s="1818"/>
      <c r="DL157" s="1818"/>
      <c r="DM157" s="1818"/>
      <c r="DN157" s="1818"/>
      <c r="DO157" s="1818"/>
      <c r="DP157" s="1818"/>
      <c r="DQ157" s="1818"/>
      <c r="DR157" s="1819"/>
      <c r="DS157" s="813"/>
      <c r="DT157" s="311"/>
    </row>
    <row r="158" spans="1:124" ht="27" customHeight="1">
      <c r="B158" s="312"/>
      <c r="C158" s="313"/>
      <c r="D158" s="1821" t="str">
        <f>IF(ISNA('D4.5Why''s-D5-D6'!BW24),"",'D4.5Why''s-D5-D6'!BW24)</f>
        <v/>
      </c>
      <c r="E158" s="1821"/>
      <c r="F158" s="1821"/>
      <c r="G158" s="1821"/>
      <c r="H158" s="1821"/>
      <c r="I158" s="1822" t="str">
        <f>IF(ISNA('D4.5Why''s-D5-D6'!BX24),"",'D4.5Why''s-D5-D6'!BX24)</f>
        <v/>
      </c>
      <c r="J158" s="1822"/>
      <c r="K158" s="1822"/>
      <c r="L158" s="1822"/>
      <c r="M158" s="1822"/>
      <c r="N158" s="1822"/>
      <c r="O158" s="1822"/>
      <c r="P158" s="1822"/>
      <c r="Q158" s="1822"/>
      <c r="R158" s="1822"/>
      <c r="S158" s="1822"/>
      <c r="T158" s="1822"/>
      <c r="U158" s="1822"/>
      <c r="V158" s="1822"/>
      <c r="W158" s="1822"/>
      <c r="X158" s="1822"/>
      <c r="Y158" s="1822"/>
      <c r="Z158" s="1822"/>
      <c r="AA158" s="1822"/>
      <c r="AB158" s="1822"/>
      <c r="AC158" s="1823" t="str">
        <f>IF(ISNA('D4.5Why''s-D5-D6'!BY24),"",'D4.5Why''s-D5-D6'!BY24)</f>
        <v/>
      </c>
      <c r="AD158" s="1823"/>
      <c r="AE158" s="1823"/>
      <c r="AF158" s="1823"/>
      <c r="AG158" s="1823"/>
      <c r="AH158" s="1823"/>
      <c r="AI158" s="1823"/>
      <c r="AJ158" s="1823"/>
      <c r="AK158" s="1823"/>
      <c r="AL158" s="1823"/>
      <c r="AM158" s="1823"/>
      <c r="AN158" s="1823"/>
      <c r="AO158" s="1823"/>
      <c r="AP158" s="1823"/>
      <c r="AQ158" s="1823"/>
      <c r="AR158" s="1823"/>
      <c r="AS158" s="1823"/>
      <c r="AT158" s="1823"/>
      <c r="AU158" s="1823"/>
      <c r="AV158" s="1823"/>
      <c r="AW158" s="1823"/>
      <c r="AX158" s="1823"/>
      <c r="AY158" s="1823"/>
      <c r="AZ158" s="1823"/>
      <c r="BA158" s="1823"/>
      <c r="BB158" s="1823"/>
      <c r="BC158" s="1823"/>
      <c r="BD158" s="1823"/>
      <c r="BE158" s="1823"/>
      <c r="BF158" s="1823"/>
      <c r="BG158" s="1823"/>
      <c r="BH158" s="1823"/>
      <c r="BI158" s="1823"/>
      <c r="BJ158" s="1823"/>
      <c r="BK158" s="1823"/>
      <c r="BL158" s="1823"/>
      <c r="BM158" s="1823"/>
      <c r="BN158" s="1823"/>
      <c r="BO158" s="1823"/>
      <c r="BP158" s="1823"/>
      <c r="BQ158" s="1828" t="str">
        <f>IF(ISNA('D4.5Why''s-D5-D6'!BZ24),"",'D4.5Why''s-D5-D6'!BZ24)</f>
        <v/>
      </c>
      <c r="BR158" s="1829"/>
      <c r="BS158" s="1829"/>
      <c r="BT158" s="1829"/>
      <c r="BU158" s="1829"/>
      <c r="BV158" s="1829"/>
      <c r="BW158" s="1829"/>
      <c r="BX158" s="1829"/>
      <c r="BY158" s="1830"/>
      <c r="BZ158" s="1825" t="str">
        <f>IF(ISNA('D4.5Why''s-D5-D6'!CA24),"",'D4.5Why''s-D5-D6'!CA24)</f>
        <v/>
      </c>
      <c r="CA158" s="1825"/>
      <c r="CB158" s="1825"/>
      <c r="CC158" s="1825"/>
      <c r="CD158" s="1825"/>
      <c r="CE158" s="1825"/>
      <c r="CF158" s="1825"/>
      <c r="CG158" s="1825" t="str">
        <f>IF(ISNA('D4.5Why''s-D5-D6'!CB24),"",'D4.5Why''s-D5-D6'!CB24)</f>
        <v/>
      </c>
      <c r="CH158" s="1825"/>
      <c r="CI158" s="1825"/>
      <c r="CJ158" s="1825"/>
      <c r="CK158" s="1825"/>
      <c r="CL158" s="1825"/>
      <c r="CM158" s="1825"/>
      <c r="CN158" s="305"/>
      <c r="CO158" s="1826" t="str">
        <f>IF(ISNA('Risk assesment (for D3 &amp; D5)'!CF36),"",'Risk assesment (for D3 &amp; D5)'!CF36)</f>
        <v/>
      </c>
      <c r="CP158" s="1826"/>
      <c r="CQ158" s="1826"/>
      <c r="CR158" s="1826"/>
      <c r="CS158" s="1826"/>
      <c r="CT158" s="1826"/>
      <c r="CU158" s="1826"/>
      <c r="CV158" s="1826"/>
      <c r="CW158" s="1826"/>
      <c r="CX158" s="1826"/>
      <c r="CY158" s="1826"/>
      <c r="CZ158" s="1826"/>
      <c r="DA158" s="1826"/>
      <c r="DB158" s="1826"/>
      <c r="DC158" s="1826"/>
      <c r="DD158" s="1302" t="str">
        <f>IF(ISNA('Risk assesment (for D3 &amp; D5)'!CG36),"",'Risk assesment (for D3 &amp; D5)'!CG36)</f>
        <v/>
      </c>
      <c r="DE158" s="1302"/>
      <c r="DF158" s="1302"/>
      <c r="DG158" s="1302"/>
      <c r="DH158" s="1817" t="str">
        <f>IF(ISNA('Risk assesment (for D3 &amp; D5)'!CH36),"",'Risk assesment (for D3 &amp; D5)'!CH36)</f>
        <v/>
      </c>
      <c r="DI158" s="1818"/>
      <c r="DJ158" s="1818"/>
      <c r="DK158" s="1818"/>
      <c r="DL158" s="1818"/>
      <c r="DM158" s="1818"/>
      <c r="DN158" s="1818"/>
      <c r="DO158" s="1818"/>
      <c r="DP158" s="1818"/>
      <c r="DQ158" s="1818"/>
      <c r="DR158" s="1819"/>
      <c r="DS158" s="813"/>
      <c r="DT158" s="311"/>
    </row>
    <row r="159" spans="1:124" ht="27" customHeight="1">
      <c r="B159" s="312"/>
      <c r="C159" s="313"/>
      <c r="D159" s="1821" t="str">
        <f>IF(ISNA('D4.5Why''s-D5-D6'!BW25),"",'D4.5Why''s-D5-D6'!BW25)</f>
        <v/>
      </c>
      <c r="E159" s="1821"/>
      <c r="F159" s="1821"/>
      <c r="G159" s="1821"/>
      <c r="H159" s="1821"/>
      <c r="I159" s="1822" t="str">
        <f>IF(ISNA('D4.5Why''s-D5-D6'!BX25),"",'D4.5Why''s-D5-D6'!BX25)</f>
        <v/>
      </c>
      <c r="J159" s="1822"/>
      <c r="K159" s="1822"/>
      <c r="L159" s="1822"/>
      <c r="M159" s="1822"/>
      <c r="N159" s="1822"/>
      <c r="O159" s="1822"/>
      <c r="P159" s="1822"/>
      <c r="Q159" s="1822"/>
      <c r="R159" s="1822"/>
      <c r="S159" s="1822"/>
      <c r="T159" s="1822"/>
      <c r="U159" s="1822"/>
      <c r="V159" s="1822"/>
      <c r="W159" s="1822"/>
      <c r="X159" s="1822"/>
      <c r="Y159" s="1822"/>
      <c r="Z159" s="1822"/>
      <c r="AA159" s="1822"/>
      <c r="AB159" s="1822"/>
      <c r="AC159" s="1823" t="str">
        <f>IF(ISNA('D4.5Why''s-D5-D6'!BY25),"",'D4.5Why''s-D5-D6'!BY25)</f>
        <v/>
      </c>
      <c r="AD159" s="1823"/>
      <c r="AE159" s="1823"/>
      <c r="AF159" s="1823"/>
      <c r="AG159" s="1823"/>
      <c r="AH159" s="1823"/>
      <c r="AI159" s="1823"/>
      <c r="AJ159" s="1823"/>
      <c r="AK159" s="1823"/>
      <c r="AL159" s="1823"/>
      <c r="AM159" s="1823"/>
      <c r="AN159" s="1823"/>
      <c r="AO159" s="1823"/>
      <c r="AP159" s="1823"/>
      <c r="AQ159" s="1823"/>
      <c r="AR159" s="1823"/>
      <c r="AS159" s="1823"/>
      <c r="AT159" s="1823"/>
      <c r="AU159" s="1823"/>
      <c r="AV159" s="1823"/>
      <c r="AW159" s="1823"/>
      <c r="AX159" s="1823"/>
      <c r="AY159" s="1823"/>
      <c r="AZ159" s="1823"/>
      <c r="BA159" s="1823"/>
      <c r="BB159" s="1823"/>
      <c r="BC159" s="1823"/>
      <c r="BD159" s="1823"/>
      <c r="BE159" s="1823"/>
      <c r="BF159" s="1823"/>
      <c r="BG159" s="1823"/>
      <c r="BH159" s="1823"/>
      <c r="BI159" s="1823"/>
      <c r="BJ159" s="1823"/>
      <c r="BK159" s="1823"/>
      <c r="BL159" s="1823"/>
      <c r="BM159" s="1823"/>
      <c r="BN159" s="1823"/>
      <c r="BO159" s="1823"/>
      <c r="BP159" s="1823"/>
      <c r="BQ159" s="1828" t="str">
        <f>IF(ISNA('D4.5Why''s-D5-D6'!BZ25),"",'D4.5Why''s-D5-D6'!BZ25)</f>
        <v/>
      </c>
      <c r="BR159" s="1829"/>
      <c r="BS159" s="1829"/>
      <c r="BT159" s="1829"/>
      <c r="BU159" s="1829"/>
      <c r="BV159" s="1829"/>
      <c r="BW159" s="1829"/>
      <c r="BX159" s="1829"/>
      <c r="BY159" s="1830"/>
      <c r="BZ159" s="1825" t="str">
        <f>IF(ISNA('D4.5Why''s-D5-D6'!CA25),"",'D4.5Why''s-D5-D6'!CA25)</f>
        <v/>
      </c>
      <c r="CA159" s="1825"/>
      <c r="CB159" s="1825"/>
      <c r="CC159" s="1825"/>
      <c r="CD159" s="1825"/>
      <c r="CE159" s="1825"/>
      <c r="CF159" s="1825"/>
      <c r="CG159" s="1825" t="str">
        <f>IF(ISNA('D4.5Why''s-D5-D6'!CB25),"",'D4.5Why''s-D5-D6'!CB25)</f>
        <v/>
      </c>
      <c r="CH159" s="1825"/>
      <c r="CI159" s="1825"/>
      <c r="CJ159" s="1825"/>
      <c r="CK159" s="1825"/>
      <c r="CL159" s="1825"/>
      <c r="CM159" s="1825"/>
      <c r="CN159" s="305"/>
      <c r="CO159" s="1826" t="str">
        <f>IF(ISNA('Risk assesment (for D3 &amp; D5)'!CF37),"",'Risk assesment (for D3 &amp; D5)'!CF37)</f>
        <v/>
      </c>
      <c r="CP159" s="1826"/>
      <c r="CQ159" s="1826"/>
      <c r="CR159" s="1826"/>
      <c r="CS159" s="1826"/>
      <c r="CT159" s="1826"/>
      <c r="CU159" s="1826"/>
      <c r="CV159" s="1826"/>
      <c r="CW159" s="1826"/>
      <c r="CX159" s="1826"/>
      <c r="CY159" s="1826"/>
      <c r="CZ159" s="1826"/>
      <c r="DA159" s="1826"/>
      <c r="DB159" s="1826"/>
      <c r="DC159" s="1826"/>
      <c r="DD159" s="1302" t="str">
        <f>IF(ISNA('Risk assesment (for D3 &amp; D5)'!CG37),"",'Risk assesment (for D3 &amp; D5)'!CG37)</f>
        <v/>
      </c>
      <c r="DE159" s="1302"/>
      <c r="DF159" s="1302"/>
      <c r="DG159" s="1302"/>
      <c r="DH159" s="1817" t="str">
        <f>IF(ISNA('Risk assesment (for D3 &amp; D5)'!CH37),"",'Risk assesment (for D3 &amp; D5)'!CH37)</f>
        <v/>
      </c>
      <c r="DI159" s="1818"/>
      <c r="DJ159" s="1818"/>
      <c r="DK159" s="1818"/>
      <c r="DL159" s="1818"/>
      <c r="DM159" s="1818"/>
      <c r="DN159" s="1818"/>
      <c r="DO159" s="1818"/>
      <c r="DP159" s="1818"/>
      <c r="DQ159" s="1818"/>
      <c r="DR159" s="1819"/>
      <c r="DS159" s="813"/>
      <c r="DT159" s="311"/>
    </row>
    <row r="160" spans="1:124" ht="27" customHeight="1">
      <c r="B160" s="312"/>
      <c r="C160" s="313"/>
      <c r="D160" s="1821" t="str">
        <f>IF(ISNA('D4.5Why''s-D5-D6'!BW26),"",'D4.5Why''s-D5-D6'!BW26)</f>
        <v/>
      </c>
      <c r="E160" s="1821"/>
      <c r="F160" s="1821"/>
      <c r="G160" s="1821"/>
      <c r="H160" s="1821"/>
      <c r="I160" s="1822" t="str">
        <f>IF(ISNA('D4.5Why''s-D5-D6'!BX26),"",'D4.5Why''s-D5-D6'!BX26)</f>
        <v/>
      </c>
      <c r="J160" s="1822"/>
      <c r="K160" s="1822"/>
      <c r="L160" s="1822"/>
      <c r="M160" s="1822"/>
      <c r="N160" s="1822"/>
      <c r="O160" s="1822"/>
      <c r="P160" s="1822"/>
      <c r="Q160" s="1822"/>
      <c r="R160" s="1822"/>
      <c r="S160" s="1822"/>
      <c r="T160" s="1822"/>
      <c r="U160" s="1822"/>
      <c r="V160" s="1822"/>
      <c r="W160" s="1822"/>
      <c r="X160" s="1822"/>
      <c r="Y160" s="1822"/>
      <c r="Z160" s="1822"/>
      <c r="AA160" s="1822"/>
      <c r="AB160" s="1822"/>
      <c r="AC160" s="1823" t="str">
        <f>IF(ISNA('D4.5Why''s-D5-D6'!BY26),"",'D4.5Why''s-D5-D6'!BY26)</f>
        <v/>
      </c>
      <c r="AD160" s="1823"/>
      <c r="AE160" s="1823"/>
      <c r="AF160" s="1823"/>
      <c r="AG160" s="1823"/>
      <c r="AH160" s="1823"/>
      <c r="AI160" s="1823"/>
      <c r="AJ160" s="1823"/>
      <c r="AK160" s="1823"/>
      <c r="AL160" s="1823"/>
      <c r="AM160" s="1823"/>
      <c r="AN160" s="1823"/>
      <c r="AO160" s="1823"/>
      <c r="AP160" s="1823"/>
      <c r="AQ160" s="1823"/>
      <c r="AR160" s="1823"/>
      <c r="AS160" s="1823"/>
      <c r="AT160" s="1823"/>
      <c r="AU160" s="1823"/>
      <c r="AV160" s="1823"/>
      <c r="AW160" s="1823"/>
      <c r="AX160" s="1823"/>
      <c r="AY160" s="1823"/>
      <c r="AZ160" s="1823"/>
      <c r="BA160" s="1823"/>
      <c r="BB160" s="1823"/>
      <c r="BC160" s="1823"/>
      <c r="BD160" s="1823"/>
      <c r="BE160" s="1823"/>
      <c r="BF160" s="1823"/>
      <c r="BG160" s="1823"/>
      <c r="BH160" s="1823"/>
      <c r="BI160" s="1823"/>
      <c r="BJ160" s="1823"/>
      <c r="BK160" s="1823"/>
      <c r="BL160" s="1823"/>
      <c r="BM160" s="1823"/>
      <c r="BN160" s="1823"/>
      <c r="BO160" s="1823"/>
      <c r="BP160" s="1823"/>
      <c r="BQ160" s="1828" t="str">
        <f>IF(ISNA('D4.5Why''s-D5-D6'!BZ26),"",'D4.5Why''s-D5-D6'!BZ26)</f>
        <v/>
      </c>
      <c r="BR160" s="1829"/>
      <c r="BS160" s="1829"/>
      <c r="BT160" s="1829"/>
      <c r="BU160" s="1829"/>
      <c r="BV160" s="1829"/>
      <c r="BW160" s="1829"/>
      <c r="BX160" s="1829"/>
      <c r="BY160" s="1830"/>
      <c r="BZ160" s="1825" t="str">
        <f>IF(ISNA('D4.5Why''s-D5-D6'!CA26),"",'D4.5Why''s-D5-D6'!CA26)</f>
        <v/>
      </c>
      <c r="CA160" s="1825"/>
      <c r="CB160" s="1825"/>
      <c r="CC160" s="1825"/>
      <c r="CD160" s="1825"/>
      <c r="CE160" s="1825"/>
      <c r="CF160" s="1825"/>
      <c r="CG160" s="1825" t="str">
        <f>IF(ISNA('D4.5Why''s-D5-D6'!CB26),"",'D4.5Why''s-D5-D6'!CB26)</f>
        <v/>
      </c>
      <c r="CH160" s="1825"/>
      <c r="CI160" s="1825"/>
      <c r="CJ160" s="1825"/>
      <c r="CK160" s="1825"/>
      <c r="CL160" s="1825"/>
      <c r="CM160" s="1825"/>
      <c r="CN160" s="305"/>
      <c r="CO160" s="1826" t="str">
        <f>IF(ISNA('Risk assesment (for D3 &amp; D5)'!CF38),"",'Risk assesment (for D3 &amp; D5)'!CF38)</f>
        <v/>
      </c>
      <c r="CP160" s="1826"/>
      <c r="CQ160" s="1826"/>
      <c r="CR160" s="1826"/>
      <c r="CS160" s="1826"/>
      <c r="CT160" s="1826"/>
      <c r="CU160" s="1826"/>
      <c r="CV160" s="1826"/>
      <c r="CW160" s="1826"/>
      <c r="CX160" s="1826"/>
      <c r="CY160" s="1826"/>
      <c r="CZ160" s="1826"/>
      <c r="DA160" s="1826"/>
      <c r="DB160" s="1826"/>
      <c r="DC160" s="1826"/>
      <c r="DD160" s="1302" t="str">
        <f>IF(ISNA('Risk assesment (for D3 &amp; D5)'!CG38),"",'Risk assesment (for D3 &amp; D5)'!CG38)</f>
        <v/>
      </c>
      <c r="DE160" s="1302"/>
      <c r="DF160" s="1302"/>
      <c r="DG160" s="1302"/>
      <c r="DH160" s="1817" t="str">
        <f>IF(ISNA('Risk assesment (for D3 &amp; D5)'!CH38),"",'Risk assesment (for D3 &amp; D5)'!CH38)</f>
        <v/>
      </c>
      <c r="DI160" s="1818"/>
      <c r="DJ160" s="1818"/>
      <c r="DK160" s="1818"/>
      <c r="DL160" s="1818"/>
      <c r="DM160" s="1818"/>
      <c r="DN160" s="1818"/>
      <c r="DO160" s="1818"/>
      <c r="DP160" s="1818"/>
      <c r="DQ160" s="1818"/>
      <c r="DR160" s="1819"/>
      <c r="DS160" s="880"/>
      <c r="DT160" s="311"/>
    </row>
    <row r="161" spans="2:124" ht="27" customHeight="1">
      <c r="B161" s="312"/>
      <c r="C161" s="313"/>
      <c r="D161" s="1821" t="str">
        <f>IF(ISNA('D4.5Why''s-D5-D6'!BW27),"",'D4.5Why''s-D5-D6'!BW27)</f>
        <v/>
      </c>
      <c r="E161" s="1821"/>
      <c r="F161" s="1821"/>
      <c r="G161" s="1821"/>
      <c r="H161" s="1821"/>
      <c r="I161" s="1822" t="str">
        <f>IF(ISNA('D4.5Why''s-D5-D6'!BX27),"",'D4.5Why''s-D5-D6'!BX27)</f>
        <v/>
      </c>
      <c r="J161" s="1822"/>
      <c r="K161" s="1822"/>
      <c r="L161" s="1822"/>
      <c r="M161" s="1822"/>
      <c r="N161" s="1822"/>
      <c r="O161" s="1822"/>
      <c r="P161" s="1822"/>
      <c r="Q161" s="1822"/>
      <c r="R161" s="1822"/>
      <c r="S161" s="1822"/>
      <c r="T161" s="1822"/>
      <c r="U161" s="1822"/>
      <c r="V161" s="1822"/>
      <c r="W161" s="1822"/>
      <c r="X161" s="1822"/>
      <c r="Y161" s="1822"/>
      <c r="Z161" s="1822"/>
      <c r="AA161" s="1822"/>
      <c r="AB161" s="1822"/>
      <c r="AC161" s="1823" t="str">
        <f>IF(ISNA('D4.5Why''s-D5-D6'!BY27),"",'D4.5Why''s-D5-D6'!BY27)</f>
        <v/>
      </c>
      <c r="AD161" s="1823"/>
      <c r="AE161" s="1823"/>
      <c r="AF161" s="1823"/>
      <c r="AG161" s="1823"/>
      <c r="AH161" s="1823"/>
      <c r="AI161" s="1823"/>
      <c r="AJ161" s="1823"/>
      <c r="AK161" s="1823"/>
      <c r="AL161" s="1823"/>
      <c r="AM161" s="1823"/>
      <c r="AN161" s="1823"/>
      <c r="AO161" s="1823"/>
      <c r="AP161" s="1823"/>
      <c r="AQ161" s="1823"/>
      <c r="AR161" s="1823"/>
      <c r="AS161" s="1823"/>
      <c r="AT161" s="1823"/>
      <c r="AU161" s="1823"/>
      <c r="AV161" s="1823"/>
      <c r="AW161" s="1823"/>
      <c r="AX161" s="1823"/>
      <c r="AY161" s="1823"/>
      <c r="AZ161" s="1823"/>
      <c r="BA161" s="1823"/>
      <c r="BB161" s="1823"/>
      <c r="BC161" s="1823"/>
      <c r="BD161" s="1823"/>
      <c r="BE161" s="1823"/>
      <c r="BF161" s="1823"/>
      <c r="BG161" s="1823"/>
      <c r="BH161" s="1823"/>
      <c r="BI161" s="1823"/>
      <c r="BJ161" s="1823"/>
      <c r="BK161" s="1823"/>
      <c r="BL161" s="1823"/>
      <c r="BM161" s="1823"/>
      <c r="BN161" s="1823"/>
      <c r="BO161" s="1823"/>
      <c r="BP161" s="1823"/>
      <c r="BQ161" s="1828" t="str">
        <f>IF(ISNA('D4.5Why''s-D5-D6'!BZ27),"",'D4.5Why''s-D5-D6'!BZ27)</f>
        <v/>
      </c>
      <c r="BR161" s="1829"/>
      <c r="BS161" s="1829"/>
      <c r="BT161" s="1829"/>
      <c r="BU161" s="1829"/>
      <c r="BV161" s="1829"/>
      <c r="BW161" s="1829"/>
      <c r="BX161" s="1829"/>
      <c r="BY161" s="1830"/>
      <c r="BZ161" s="1825" t="str">
        <f>IF(ISNA('D4.5Why''s-D5-D6'!CA27),"",'D4.5Why''s-D5-D6'!CA27)</f>
        <v/>
      </c>
      <c r="CA161" s="1825"/>
      <c r="CB161" s="1825"/>
      <c r="CC161" s="1825"/>
      <c r="CD161" s="1825"/>
      <c r="CE161" s="1825"/>
      <c r="CF161" s="1825"/>
      <c r="CG161" s="1825" t="str">
        <f>IF(ISNA('D4.5Why''s-D5-D6'!CB27),"",'D4.5Why''s-D5-D6'!CB27)</f>
        <v/>
      </c>
      <c r="CH161" s="1825"/>
      <c r="CI161" s="1825"/>
      <c r="CJ161" s="1825"/>
      <c r="CK161" s="1825"/>
      <c r="CL161" s="1825"/>
      <c r="CM161" s="1825"/>
      <c r="CN161" s="305"/>
      <c r="CO161" s="1826" t="str">
        <f>IF(ISNA('Risk assesment (for D3 &amp; D5)'!CF39),"",'Risk assesment (for D3 &amp; D5)'!CF39)</f>
        <v/>
      </c>
      <c r="CP161" s="1826"/>
      <c r="CQ161" s="1826"/>
      <c r="CR161" s="1826"/>
      <c r="CS161" s="1826"/>
      <c r="CT161" s="1826"/>
      <c r="CU161" s="1826"/>
      <c r="CV161" s="1826"/>
      <c r="CW161" s="1826"/>
      <c r="CX161" s="1826"/>
      <c r="CY161" s="1826"/>
      <c r="CZ161" s="1826"/>
      <c r="DA161" s="1826"/>
      <c r="DB161" s="1826"/>
      <c r="DC161" s="1826"/>
      <c r="DD161" s="1302" t="str">
        <f>IF(ISNA('Risk assesment (for D3 &amp; D5)'!CG39),"",'Risk assesment (for D3 &amp; D5)'!CG39)</f>
        <v/>
      </c>
      <c r="DE161" s="1302"/>
      <c r="DF161" s="1302"/>
      <c r="DG161" s="1302"/>
      <c r="DH161" s="1817" t="str">
        <f>IF(ISNA('Risk assesment (for D3 &amp; D5)'!CH39),"",'Risk assesment (for D3 &amp; D5)'!CH39)</f>
        <v/>
      </c>
      <c r="DI161" s="1818"/>
      <c r="DJ161" s="1818"/>
      <c r="DK161" s="1818"/>
      <c r="DL161" s="1818"/>
      <c r="DM161" s="1818"/>
      <c r="DN161" s="1818"/>
      <c r="DO161" s="1818"/>
      <c r="DP161" s="1818"/>
      <c r="DQ161" s="1818"/>
      <c r="DR161" s="1819"/>
      <c r="DS161" s="880"/>
      <c r="DT161" s="311"/>
    </row>
    <row r="162" spans="2:124" ht="27" customHeight="1">
      <c r="B162" s="312"/>
      <c r="C162" s="313"/>
      <c r="D162" s="1821" t="str">
        <f>IF(ISNA('D4.5Why''s-D5-D6'!BW28),"",'D4.5Why''s-D5-D6'!BW28)</f>
        <v/>
      </c>
      <c r="E162" s="1821"/>
      <c r="F162" s="1821"/>
      <c r="G162" s="1821"/>
      <c r="H162" s="1821"/>
      <c r="I162" s="1822" t="str">
        <f>IF(ISNA('D4.5Why''s-D5-D6'!BX28),"",'D4.5Why''s-D5-D6'!BX28)</f>
        <v/>
      </c>
      <c r="J162" s="1822"/>
      <c r="K162" s="1822"/>
      <c r="L162" s="1822"/>
      <c r="M162" s="1822"/>
      <c r="N162" s="1822"/>
      <c r="O162" s="1822"/>
      <c r="P162" s="1822"/>
      <c r="Q162" s="1822"/>
      <c r="R162" s="1822"/>
      <c r="S162" s="1822"/>
      <c r="T162" s="1822"/>
      <c r="U162" s="1822"/>
      <c r="V162" s="1822"/>
      <c r="W162" s="1822"/>
      <c r="X162" s="1822"/>
      <c r="Y162" s="1822"/>
      <c r="Z162" s="1822"/>
      <c r="AA162" s="1822"/>
      <c r="AB162" s="1822"/>
      <c r="AC162" s="1823" t="str">
        <f>IF(ISNA('D4.5Why''s-D5-D6'!BY28),"",'D4.5Why''s-D5-D6'!BY28)</f>
        <v/>
      </c>
      <c r="AD162" s="1823"/>
      <c r="AE162" s="1823"/>
      <c r="AF162" s="1823"/>
      <c r="AG162" s="1823"/>
      <c r="AH162" s="1823"/>
      <c r="AI162" s="1823"/>
      <c r="AJ162" s="1823"/>
      <c r="AK162" s="1823"/>
      <c r="AL162" s="1823"/>
      <c r="AM162" s="1823"/>
      <c r="AN162" s="1823"/>
      <c r="AO162" s="1823"/>
      <c r="AP162" s="1823"/>
      <c r="AQ162" s="1823"/>
      <c r="AR162" s="1823"/>
      <c r="AS162" s="1823"/>
      <c r="AT162" s="1823"/>
      <c r="AU162" s="1823"/>
      <c r="AV162" s="1823"/>
      <c r="AW162" s="1823"/>
      <c r="AX162" s="1823"/>
      <c r="AY162" s="1823"/>
      <c r="AZ162" s="1823"/>
      <c r="BA162" s="1823"/>
      <c r="BB162" s="1823"/>
      <c r="BC162" s="1823"/>
      <c r="BD162" s="1823"/>
      <c r="BE162" s="1823"/>
      <c r="BF162" s="1823"/>
      <c r="BG162" s="1823"/>
      <c r="BH162" s="1823"/>
      <c r="BI162" s="1823"/>
      <c r="BJ162" s="1823"/>
      <c r="BK162" s="1823"/>
      <c r="BL162" s="1823"/>
      <c r="BM162" s="1823"/>
      <c r="BN162" s="1823"/>
      <c r="BO162" s="1823"/>
      <c r="BP162" s="1823"/>
      <c r="BQ162" s="1828" t="str">
        <f>IF(ISNA('D4.5Why''s-D5-D6'!BZ28),"",'D4.5Why''s-D5-D6'!BZ28)</f>
        <v/>
      </c>
      <c r="BR162" s="1829"/>
      <c r="BS162" s="1829"/>
      <c r="BT162" s="1829"/>
      <c r="BU162" s="1829"/>
      <c r="BV162" s="1829"/>
      <c r="BW162" s="1829"/>
      <c r="BX162" s="1829"/>
      <c r="BY162" s="1830"/>
      <c r="BZ162" s="1825" t="str">
        <f>IF(ISNA('D4.5Why''s-D5-D6'!CA28),"",'D4.5Why''s-D5-D6'!CA28)</f>
        <v/>
      </c>
      <c r="CA162" s="1825"/>
      <c r="CB162" s="1825"/>
      <c r="CC162" s="1825"/>
      <c r="CD162" s="1825"/>
      <c r="CE162" s="1825"/>
      <c r="CF162" s="1825"/>
      <c r="CG162" s="1825" t="str">
        <f>IF(ISNA('D4.5Why''s-D5-D6'!CB28),"",'D4.5Why''s-D5-D6'!CB28)</f>
        <v/>
      </c>
      <c r="CH162" s="1825"/>
      <c r="CI162" s="1825"/>
      <c r="CJ162" s="1825"/>
      <c r="CK162" s="1825"/>
      <c r="CL162" s="1825"/>
      <c r="CM162" s="1825"/>
      <c r="CN162" s="305"/>
      <c r="CO162" s="1826" t="str">
        <f>IF(ISNA('Risk assesment (for D3 &amp; D5)'!CF40),"",'Risk assesment (for D3 &amp; D5)'!CF40)</f>
        <v/>
      </c>
      <c r="CP162" s="1826"/>
      <c r="CQ162" s="1826"/>
      <c r="CR162" s="1826"/>
      <c r="CS162" s="1826"/>
      <c r="CT162" s="1826"/>
      <c r="CU162" s="1826"/>
      <c r="CV162" s="1826"/>
      <c r="CW162" s="1826"/>
      <c r="CX162" s="1826"/>
      <c r="CY162" s="1826"/>
      <c r="CZ162" s="1826"/>
      <c r="DA162" s="1826"/>
      <c r="DB162" s="1826"/>
      <c r="DC162" s="1826"/>
      <c r="DD162" s="1302" t="str">
        <f>IF(ISNA('Risk assesment (for D3 &amp; D5)'!CG40),"",'Risk assesment (for D3 &amp; D5)'!CG40)</f>
        <v/>
      </c>
      <c r="DE162" s="1302"/>
      <c r="DF162" s="1302"/>
      <c r="DG162" s="1302"/>
      <c r="DH162" s="1817" t="str">
        <f>IF(ISNA('Risk assesment (for D3 &amp; D5)'!CH40),"",'Risk assesment (for D3 &amp; D5)'!CH40)</f>
        <v/>
      </c>
      <c r="DI162" s="1818"/>
      <c r="DJ162" s="1818"/>
      <c r="DK162" s="1818"/>
      <c r="DL162" s="1818"/>
      <c r="DM162" s="1818"/>
      <c r="DN162" s="1818"/>
      <c r="DO162" s="1818"/>
      <c r="DP162" s="1818"/>
      <c r="DQ162" s="1818"/>
      <c r="DR162" s="1819"/>
      <c r="DS162" s="880"/>
      <c r="DT162" s="311"/>
    </row>
    <row r="163" spans="2:124" ht="6" customHeight="1">
      <c r="B163" s="312"/>
      <c r="C163" s="813"/>
      <c r="D163" s="813"/>
      <c r="E163" s="813"/>
      <c r="F163" s="813"/>
      <c r="G163" s="813"/>
      <c r="H163" s="712"/>
      <c r="I163" s="712"/>
      <c r="J163" s="712"/>
      <c r="K163" s="712"/>
      <c r="L163" s="712"/>
      <c r="M163" s="712"/>
      <c r="N163" s="712"/>
      <c r="O163" s="712"/>
      <c r="P163" s="712"/>
      <c r="Q163" s="712"/>
      <c r="R163" s="712"/>
      <c r="S163" s="712"/>
      <c r="T163" s="712"/>
      <c r="U163" s="712"/>
      <c r="V163" s="712"/>
      <c r="W163" s="712"/>
      <c r="X163" s="712"/>
      <c r="Y163" s="712"/>
      <c r="Z163" s="712"/>
      <c r="AA163" s="712"/>
      <c r="AB163" s="712"/>
      <c r="AC163" s="712"/>
      <c r="AD163" s="712"/>
      <c r="AE163" s="712"/>
      <c r="AF163" s="712"/>
      <c r="AG163" s="712"/>
      <c r="AH163" s="712"/>
      <c r="AI163" s="712"/>
      <c r="AJ163" s="712"/>
      <c r="AK163" s="712"/>
      <c r="AL163" s="712"/>
      <c r="AM163" s="712"/>
      <c r="AN163" s="712"/>
      <c r="AO163" s="712"/>
      <c r="AP163" s="712"/>
      <c r="AQ163" s="712"/>
      <c r="AR163" s="712"/>
      <c r="AS163" s="712"/>
      <c r="AT163" s="712"/>
      <c r="AU163" s="712"/>
      <c r="AV163" s="712"/>
      <c r="AW163" s="712"/>
      <c r="AX163" s="712"/>
      <c r="AY163" s="712"/>
      <c r="AZ163" s="712"/>
      <c r="BA163" s="712"/>
      <c r="BB163" s="712"/>
      <c r="BC163" s="712"/>
      <c r="BD163" s="712"/>
      <c r="BE163" s="712"/>
      <c r="BF163" s="712"/>
      <c r="BG163" s="712"/>
      <c r="BH163" s="712"/>
      <c r="BI163" s="712"/>
      <c r="BJ163" s="712"/>
      <c r="BK163" s="712"/>
      <c r="BL163" s="712"/>
      <c r="BM163" s="712"/>
      <c r="BN163" s="712"/>
      <c r="BO163" s="712"/>
      <c r="BP163" s="712"/>
      <c r="BQ163" s="712"/>
      <c r="BR163" s="712"/>
      <c r="BS163" s="712"/>
      <c r="BT163" s="712"/>
      <c r="BU163" s="712"/>
      <c r="BV163" s="712"/>
      <c r="BW163" s="712"/>
      <c r="BX163" s="712"/>
      <c r="BY163" s="712"/>
      <c r="BZ163" s="712"/>
      <c r="CA163" s="712"/>
      <c r="CB163" s="712"/>
      <c r="CC163" s="712"/>
      <c r="CD163" s="712"/>
      <c r="CE163" s="712"/>
      <c r="CF163" s="712"/>
      <c r="CG163" s="712"/>
      <c r="CH163" s="712"/>
      <c r="CI163" s="712"/>
      <c r="CJ163" s="712"/>
      <c r="CK163" s="712"/>
      <c r="CL163" s="712"/>
      <c r="CM163" s="712"/>
      <c r="CN163" s="712"/>
      <c r="CO163" s="712"/>
      <c r="CP163" s="712"/>
      <c r="CQ163" s="712"/>
      <c r="CR163" s="712"/>
      <c r="CS163" s="712"/>
      <c r="CT163" s="712"/>
      <c r="CU163" s="712"/>
      <c r="CV163" s="712"/>
      <c r="CW163" s="712"/>
      <c r="CX163" s="712"/>
      <c r="CY163" s="712"/>
      <c r="CZ163" s="712"/>
      <c r="DA163" s="712"/>
      <c r="DB163" s="712"/>
      <c r="DC163" s="712"/>
      <c r="DD163" s="712"/>
      <c r="DE163" s="712"/>
      <c r="DF163" s="712"/>
      <c r="DG163" s="712"/>
      <c r="DH163" s="712"/>
      <c r="DI163" s="712"/>
      <c r="DJ163" s="712"/>
      <c r="DK163" s="712"/>
      <c r="DL163" s="712"/>
      <c r="DM163" s="712"/>
      <c r="DN163" s="712"/>
      <c r="DO163" s="712"/>
      <c r="DP163" s="712"/>
      <c r="DQ163" s="712"/>
      <c r="DR163" s="712"/>
      <c r="DS163" s="606"/>
      <c r="DT163" s="311"/>
    </row>
    <row r="164" spans="2:124" ht="20.100000000000001" customHeight="1">
      <c r="B164" s="211"/>
      <c r="C164" s="813"/>
      <c r="D164" s="757" t="str">
        <f ca="1">'D4.5Why''s-D5-D6'!J41</f>
        <v>Systemic consideration</v>
      </c>
      <c r="E164" s="325"/>
      <c r="F164" s="325"/>
      <c r="G164" s="325"/>
      <c r="H164" s="713"/>
      <c r="I164" s="712"/>
      <c r="J164" s="712"/>
      <c r="K164" s="712"/>
      <c r="L164" s="712"/>
      <c r="M164" s="712"/>
      <c r="N164" s="712"/>
      <c r="O164" s="712"/>
      <c r="P164" s="712"/>
      <c r="Q164" s="712"/>
      <c r="R164" s="712"/>
      <c r="S164" s="712"/>
      <c r="T164" s="712"/>
      <c r="U164" s="713"/>
      <c r="V164" s="712"/>
      <c r="W164" s="713"/>
      <c r="X164" s="712"/>
      <c r="Y164" s="712"/>
      <c r="Z164" s="712"/>
      <c r="AA164" s="712"/>
      <c r="AB164" s="712"/>
      <c r="AC164" s="712"/>
      <c r="AD164" s="712"/>
      <c r="AE164" s="712"/>
      <c r="AF164" s="712"/>
      <c r="AG164" s="712"/>
      <c r="AH164" s="712"/>
      <c r="AI164" s="712"/>
      <c r="AJ164" s="712"/>
      <c r="AK164" s="712"/>
      <c r="AL164" s="712"/>
      <c r="AM164" s="712"/>
      <c r="AN164" s="712"/>
      <c r="AO164" s="712"/>
      <c r="AP164" s="712"/>
      <c r="AQ164" s="712"/>
      <c r="AR164" s="712"/>
      <c r="AS164" s="712"/>
      <c r="AT164" s="712"/>
      <c r="AU164" s="712"/>
      <c r="AV164" s="712"/>
      <c r="AW164" s="712"/>
      <c r="AX164" s="712"/>
      <c r="AY164" s="712"/>
      <c r="AZ164" s="712"/>
      <c r="BA164" s="712"/>
      <c r="BB164" s="712"/>
      <c r="BC164" s="712"/>
      <c r="BD164" s="712"/>
      <c r="BE164" s="712"/>
      <c r="BF164" s="712"/>
      <c r="BG164" s="712"/>
      <c r="BH164" s="712"/>
      <c r="BI164" s="712"/>
      <c r="BJ164" s="712"/>
      <c r="BK164" s="712"/>
      <c r="BL164" s="712"/>
      <c r="BM164" s="712"/>
      <c r="BN164" s="712"/>
      <c r="BO164" s="712"/>
      <c r="BP164" s="712"/>
      <c r="BQ164" s="712"/>
      <c r="BR164" s="712"/>
      <c r="BS164" s="712"/>
      <c r="BT164" s="712"/>
      <c r="BU164" s="712"/>
      <c r="BV164" s="712"/>
      <c r="BW164" s="712"/>
      <c r="BX164" s="712"/>
      <c r="BY164" s="712"/>
      <c r="BZ164" s="712"/>
      <c r="CA164" s="712"/>
      <c r="CB164" s="712"/>
      <c r="CC164" s="712"/>
      <c r="CD164" s="712"/>
      <c r="CE164" s="712"/>
      <c r="CF164" s="712"/>
      <c r="CG164" s="712"/>
      <c r="CH164" s="712"/>
      <c r="CI164" s="712"/>
      <c r="CJ164" s="712"/>
      <c r="CK164" s="712"/>
      <c r="CL164" s="712"/>
      <c r="CM164" s="712"/>
      <c r="CN164" s="712"/>
      <c r="CO164" s="712"/>
      <c r="CP164" s="712"/>
      <c r="CQ164" s="712"/>
      <c r="CR164" s="712"/>
      <c r="CS164" s="712"/>
      <c r="CT164" s="712"/>
      <c r="CU164" s="712"/>
      <c r="CV164" s="712"/>
      <c r="CW164" s="712"/>
      <c r="CX164" s="712"/>
      <c r="CY164" s="712"/>
      <c r="CZ164" s="712"/>
      <c r="DA164" s="712"/>
      <c r="DB164" s="712"/>
      <c r="DC164" s="712"/>
      <c r="DD164" s="712"/>
      <c r="DE164" s="712"/>
      <c r="DF164" s="712"/>
      <c r="DG164" s="712"/>
      <c r="DH164" s="712"/>
      <c r="DI164" s="712"/>
      <c r="DJ164" s="712"/>
      <c r="DK164" s="712"/>
      <c r="DL164" s="712"/>
      <c r="DM164" s="712"/>
      <c r="DN164" s="712"/>
      <c r="DO164" s="712"/>
      <c r="DP164" s="712"/>
      <c r="DQ164" s="712"/>
      <c r="DR164" s="712"/>
      <c r="DS164" s="813"/>
      <c r="DT164" s="311"/>
    </row>
    <row r="165" spans="2:124" ht="6" customHeight="1">
      <c r="B165" s="211"/>
      <c r="C165" s="305"/>
      <c r="D165" s="305"/>
      <c r="E165" s="305"/>
      <c r="F165" s="305"/>
      <c r="G165" s="305"/>
      <c r="H165" s="714"/>
      <c r="I165" s="714"/>
      <c r="J165" s="714"/>
      <c r="K165" s="714"/>
      <c r="L165" s="714"/>
      <c r="M165" s="714"/>
      <c r="N165" s="714"/>
      <c r="O165" s="714"/>
      <c r="P165" s="714"/>
      <c r="Q165" s="714"/>
      <c r="R165" s="714"/>
      <c r="S165" s="714"/>
      <c r="T165" s="714"/>
      <c r="U165" s="714"/>
      <c r="V165" s="714"/>
      <c r="W165" s="714"/>
      <c r="X165" s="714"/>
      <c r="Y165" s="714"/>
      <c r="Z165" s="714"/>
      <c r="AA165" s="714"/>
      <c r="AB165" s="714"/>
      <c r="AC165" s="714"/>
      <c r="AD165" s="714"/>
      <c r="AE165" s="714"/>
      <c r="AF165" s="714"/>
      <c r="AG165" s="714"/>
      <c r="AH165" s="714"/>
      <c r="AI165" s="714"/>
      <c r="AJ165" s="714"/>
      <c r="AK165" s="712"/>
      <c r="AL165" s="712"/>
      <c r="AM165" s="712"/>
      <c r="AN165" s="712"/>
      <c r="AO165" s="712"/>
      <c r="AP165" s="712"/>
      <c r="AQ165" s="712"/>
      <c r="AR165" s="712"/>
      <c r="AS165" s="712"/>
      <c r="AT165" s="712"/>
      <c r="AU165" s="712"/>
      <c r="AV165" s="712"/>
      <c r="AW165" s="712"/>
      <c r="AX165" s="712"/>
      <c r="AY165" s="712"/>
      <c r="AZ165" s="712"/>
      <c r="BA165" s="712"/>
      <c r="BB165" s="712"/>
      <c r="BC165" s="712"/>
      <c r="BD165" s="712"/>
      <c r="BE165" s="712"/>
      <c r="BF165" s="712"/>
      <c r="BG165" s="712"/>
      <c r="BH165" s="712"/>
      <c r="BI165" s="712"/>
      <c r="BJ165" s="712"/>
      <c r="BK165" s="712"/>
      <c r="BL165" s="712"/>
      <c r="BM165" s="712"/>
      <c r="BN165" s="712"/>
      <c r="BO165" s="712"/>
      <c r="BP165" s="712"/>
      <c r="BQ165" s="712"/>
      <c r="BR165" s="712"/>
      <c r="BS165" s="712"/>
      <c r="BT165" s="712"/>
      <c r="BU165" s="712"/>
      <c r="BV165" s="712"/>
      <c r="BW165" s="712"/>
      <c r="BX165" s="712"/>
      <c r="BY165" s="712"/>
      <c r="BZ165" s="712"/>
      <c r="CA165" s="712"/>
      <c r="CB165" s="712"/>
      <c r="CC165" s="712"/>
      <c r="CD165" s="712"/>
      <c r="CE165" s="712"/>
      <c r="CF165" s="712"/>
      <c r="CG165" s="712"/>
      <c r="CH165" s="712"/>
      <c r="CI165" s="712"/>
      <c r="CJ165" s="712"/>
      <c r="CK165" s="712"/>
      <c r="CL165" s="712"/>
      <c r="CM165" s="712"/>
      <c r="CN165" s="712"/>
      <c r="CO165" s="712"/>
      <c r="CP165" s="714"/>
      <c r="CQ165" s="714"/>
      <c r="CR165" s="714"/>
      <c r="CS165" s="714"/>
      <c r="CT165" s="714"/>
      <c r="CU165" s="714"/>
      <c r="CV165" s="714"/>
      <c r="CW165" s="714"/>
      <c r="CX165" s="714"/>
      <c r="CY165" s="714"/>
      <c r="CZ165" s="714"/>
      <c r="DA165" s="714"/>
      <c r="DB165" s="714"/>
      <c r="DC165" s="714"/>
      <c r="DD165" s="714"/>
      <c r="DE165" s="714"/>
      <c r="DF165" s="714"/>
      <c r="DG165" s="714"/>
      <c r="DH165" s="714"/>
      <c r="DI165" s="714"/>
      <c r="DJ165" s="714"/>
      <c r="DK165" s="714"/>
      <c r="DL165" s="712"/>
      <c r="DM165" s="714"/>
      <c r="DN165" s="714"/>
      <c r="DO165" s="714"/>
      <c r="DP165" s="714"/>
      <c r="DQ165" s="714"/>
      <c r="DR165" s="714"/>
      <c r="DS165" s="305"/>
      <c r="DT165" s="311"/>
    </row>
    <row r="166" spans="2:124" ht="27" customHeight="1">
      <c r="B166" s="321"/>
      <c r="C166" s="293"/>
      <c r="D166" s="1821" t="str">
        <f>IF(ISNA('D4.5Why''s-D5-D6'!BW44),"",'D4.5Why''s-D5-D6'!BW44)</f>
        <v/>
      </c>
      <c r="E166" s="1821"/>
      <c r="F166" s="1821"/>
      <c r="G166" s="1821"/>
      <c r="H166" s="1821" t="str">
        <f>IF(ISNA('D4.5Why''s-D5-D6'!BX44),"",'D4.5Why''s-D5-D6'!BX44)</f>
        <v/>
      </c>
      <c r="I166" s="1822" t="str">
        <f>IF(ISNA('D4.5Why''s-D5-D6'!BX44),"",'D4.5Why''s-D5-D6'!BX44)</f>
        <v/>
      </c>
      <c r="J166" s="1822"/>
      <c r="K166" s="1822"/>
      <c r="L166" s="1822"/>
      <c r="M166" s="1822"/>
      <c r="N166" s="1822"/>
      <c r="O166" s="1822"/>
      <c r="P166" s="1822"/>
      <c r="Q166" s="1822"/>
      <c r="R166" s="1822"/>
      <c r="S166" s="1822"/>
      <c r="T166" s="1822"/>
      <c r="U166" s="1822"/>
      <c r="V166" s="1822"/>
      <c r="W166" s="1822"/>
      <c r="X166" s="1822"/>
      <c r="Y166" s="1822"/>
      <c r="Z166" s="1822"/>
      <c r="AA166" s="1822"/>
      <c r="AB166" s="1822" t="str">
        <f>IF(ISNA('D4.5Why''s-D5-D6'!BY44),"",'D4.5Why''s-D5-D6'!BY44)</f>
        <v/>
      </c>
      <c r="AC166" s="1823" t="str">
        <f>IF(ISNA('D4.5Why''s-D5-D6'!BY44),"",'D4.5Why''s-D5-D6'!BY44)</f>
        <v/>
      </c>
      <c r="AD166" s="1823"/>
      <c r="AE166" s="1823"/>
      <c r="AF166" s="1823"/>
      <c r="AG166" s="1823"/>
      <c r="AH166" s="1823"/>
      <c r="AI166" s="1823"/>
      <c r="AJ166" s="1823"/>
      <c r="AK166" s="1823"/>
      <c r="AL166" s="1823"/>
      <c r="AM166" s="1823"/>
      <c r="AN166" s="1823"/>
      <c r="AO166" s="1823"/>
      <c r="AP166" s="1823"/>
      <c r="AQ166" s="1823"/>
      <c r="AR166" s="1823"/>
      <c r="AS166" s="1823"/>
      <c r="AT166" s="1823"/>
      <c r="AU166" s="1823"/>
      <c r="AV166" s="1823"/>
      <c r="AW166" s="1823"/>
      <c r="AX166" s="1823"/>
      <c r="AY166" s="1823"/>
      <c r="AZ166" s="1823"/>
      <c r="BA166" s="1823"/>
      <c r="BB166" s="1823"/>
      <c r="BC166" s="1823"/>
      <c r="BD166" s="1823"/>
      <c r="BE166" s="1823"/>
      <c r="BF166" s="1823"/>
      <c r="BG166" s="1823"/>
      <c r="BH166" s="1823"/>
      <c r="BI166" s="1823"/>
      <c r="BJ166" s="1823"/>
      <c r="BK166" s="1823"/>
      <c r="BL166" s="1823"/>
      <c r="BM166" s="1823"/>
      <c r="BN166" s="1823"/>
      <c r="BO166" s="1823"/>
      <c r="BP166" s="1823"/>
      <c r="BQ166" s="1824" t="str">
        <f>IF(ISNA('D4.5Why''s-D5-D6'!BZ44),"",'D4.5Why''s-D5-D6'!BZ44)</f>
        <v/>
      </c>
      <c r="BR166" s="1824"/>
      <c r="BS166" s="1824"/>
      <c r="BT166" s="1824"/>
      <c r="BU166" s="1824"/>
      <c r="BV166" s="1824"/>
      <c r="BW166" s="1824"/>
      <c r="BX166" s="1824"/>
      <c r="BY166" s="1824"/>
      <c r="BZ166" s="1825" t="str">
        <f>IF(ISNA('D4.5Why''s-D5-D6'!CA44),"",'D4.5Why''s-D5-D6'!CA44)</f>
        <v/>
      </c>
      <c r="CA166" s="1825"/>
      <c r="CB166" s="1825"/>
      <c r="CC166" s="1825"/>
      <c r="CD166" s="1825"/>
      <c r="CE166" s="1825"/>
      <c r="CF166" s="1825"/>
      <c r="CG166" s="1825" t="str">
        <f>IF(ISNA('D4.5Why''s-D5-D6'!CB44),"",'D4.5Why''s-D5-D6'!CB44)</f>
        <v/>
      </c>
      <c r="CH166" s="1825"/>
      <c r="CI166" s="1825"/>
      <c r="CJ166" s="1825"/>
      <c r="CK166" s="1825"/>
      <c r="CL166" s="1825"/>
      <c r="CM166" s="1825"/>
      <c r="CN166" s="305"/>
      <c r="CO166" s="1826" t="str">
        <f>IF(ISNA('Risk assesment (for D3 &amp; D5)'!CF42),"",'Risk assesment (for D3 &amp; D5)'!CF42)</f>
        <v/>
      </c>
      <c r="CP166" s="1826"/>
      <c r="CQ166" s="1826"/>
      <c r="CR166" s="1826"/>
      <c r="CS166" s="1826"/>
      <c r="CT166" s="1826"/>
      <c r="CU166" s="1826"/>
      <c r="CV166" s="1826"/>
      <c r="CW166" s="1826"/>
      <c r="CX166" s="1826"/>
      <c r="CY166" s="1826"/>
      <c r="CZ166" s="1826"/>
      <c r="DA166" s="1826"/>
      <c r="DB166" s="1826"/>
      <c r="DC166" s="1826"/>
      <c r="DD166" s="1820" t="str">
        <f>IF(ISNA('Risk assesment (for D3 &amp; D5)'!CG42),"",'Risk assesment (for D3 &amp; D5)'!CG42)</f>
        <v/>
      </c>
      <c r="DE166" s="1820"/>
      <c r="DF166" s="1820"/>
      <c r="DG166" s="1820"/>
      <c r="DH166" s="1817" t="str">
        <f>IF(ISNA('Risk assesment (for D3 &amp; D5)'!CH42),"",'Risk assesment (for D3 &amp; D5)'!CH42)</f>
        <v/>
      </c>
      <c r="DI166" s="1818"/>
      <c r="DJ166" s="1818"/>
      <c r="DK166" s="1818"/>
      <c r="DL166" s="1818"/>
      <c r="DM166" s="1818"/>
      <c r="DN166" s="1818"/>
      <c r="DO166" s="1818"/>
      <c r="DP166" s="1818"/>
      <c r="DQ166" s="1818"/>
      <c r="DR166" s="1819"/>
      <c r="DS166" s="813"/>
      <c r="DT166" s="315"/>
    </row>
    <row r="167" spans="2:124" ht="27" customHeight="1">
      <c r="B167" s="321"/>
      <c r="C167" s="293"/>
      <c r="D167" s="1821" t="str">
        <f>IF(ISNA('D4.5Why''s-D5-D6'!BW45),"",'D4.5Why''s-D5-D6'!BW45)</f>
        <v/>
      </c>
      <c r="E167" s="1821"/>
      <c r="F167" s="1821"/>
      <c r="G167" s="1821"/>
      <c r="H167" s="1821" t="str">
        <f>IF(ISNA('D4.5Why''s-D5-D6'!BX45),"",'D4.5Why''s-D5-D6'!BX45)</f>
        <v/>
      </c>
      <c r="I167" s="1822" t="str">
        <f>IF(ISNA('D4.5Why''s-D5-D6'!BX45),"",'D4.5Why''s-D5-D6'!BX45)</f>
        <v/>
      </c>
      <c r="J167" s="1822"/>
      <c r="K167" s="1822"/>
      <c r="L167" s="1822"/>
      <c r="M167" s="1822"/>
      <c r="N167" s="1822"/>
      <c r="O167" s="1822"/>
      <c r="P167" s="1822"/>
      <c r="Q167" s="1822"/>
      <c r="R167" s="1822"/>
      <c r="S167" s="1822"/>
      <c r="T167" s="1822"/>
      <c r="U167" s="1822"/>
      <c r="V167" s="1822"/>
      <c r="W167" s="1822"/>
      <c r="X167" s="1822"/>
      <c r="Y167" s="1822"/>
      <c r="Z167" s="1822"/>
      <c r="AA167" s="1822"/>
      <c r="AB167" s="1822" t="str">
        <f>IF(ISNA('D4.5Why''s-D5-D6'!BY45),"",'D4.5Why''s-D5-D6'!BY45)</f>
        <v/>
      </c>
      <c r="AC167" s="1823" t="str">
        <f>IF(ISNA('D4.5Why''s-D5-D6'!BY45),"",'D4.5Why''s-D5-D6'!BY45)</f>
        <v/>
      </c>
      <c r="AD167" s="1823"/>
      <c r="AE167" s="1823"/>
      <c r="AF167" s="1823"/>
      <c r="AG167" s="1823"/>
      <c r="AH167" s="1823"/>
      <c r="AI167" s="1823"/>
      <c r="AJ167" s="1823"/>
      <c r="AK167" s="1823"/>
      <c r="AL167" s="1823"/>
      <c r="AM167" s="1823"/>
      <c r="AN167" s="1823"/>
      <c r="AO167" s="1823"/>
      <c r="AP167" s="1823"/>
      <c r="AQ167" s="1823"/>
      <c r="AR167" s="1823"/>
      <c r="AS167" s="1823"/>
      <c r="AT167" s="1823"/>
      <c r="AU167" s="1823"/>
      <c r="AV167" s="1823"/>
      <c r="AW167" s="1823"/>
      <c r="AX167" s="1823"/>
      <c r="AY167" s="1823"/>
      <c r="AZ167" s="1823"/>
      <c r="BA167" s="1823"/>
      <c r="BB167" s="1823"/>
      <c r="BC167" s="1823"/>
      <c r="BD167" s="1823"/>
      <c r="BE167" s="1823"/>
      <c r="BF167" s="1823"/>
      <c r="BG167" s="1823"/>
      <c r="BH167" s="1823"/>
      <c r="BI167" s="1823"/>
      <c r="BJ167" s="1823"/>
      <c r="BK167" s="1823"/>
      <c r="BL167" s="1823"/>
      <c r="BM167" s="1823"/>
      <c r="BN167" s="1823"/>
      <c r="BO167" s="1823"/>
      <c r="BP167" s="1823"/>
      <c r="BQ167" s="1824" t="str">
        <f>IF(ISNA('D4.5Why''s-D5-D6'!BZ45),"",'D4.5Why''s-D5-D6'!BZ45)</f>
        <v/>
      </c>
      <c r="BR167" s="1824"/>
      <c r="BS167" s="1824"/>
      <c r="BT167" s="1824"/>
      <c r="BU167" s="1824"/>
      <c r="BV167" s="1824"/>
      <c r="BW167" s="1824"/>
      <c r="BX167" s="1824"/>
      <c r="BY167" s="1824"/>
      <c r="BZ167" s="1825" t="str">
        <f>IF(ISNA('D4.5Why''s-D5-D6'!CA45),"",'D4.5Why''s-D5-D6'!CA45)</f>
        <v/>
      </c>
      <c r="CA167" s="1825"/>
      <c r="CB167" s="1825"/>
      <c r="CC167" s="1825"/>
      <c r="CD167" s="1825"/>
      <c r="CE167" s="1825"/>
      <c r="CF167" s="1825"/>
      <c r="CG167" s="1825" t="str">
        <f>IF(ISNA('D4.5Why''s-D5-D6'!CB45),"",'D4.5Why''s-D5-D6'!CB45)</f>
        <v/>
      </c>
      <c r="CH167" s="1825"/>
      <c r="CI167" s="1825"/>
      <c r="CJ167" s="1825"/>
      <c r="CK167" s="1825"/>
      <c r="CL167" s="1825"/>
      <c r="CM167" s="1825"/>
      <c r="CN167" s="305"/>
      <c r="CO167" s="1826" t="str">
        <f>IF(ISNA('Risk assesment (for D3 &amp; D5)'!CF43),"",'Risk assesment (for D3 &amp; D5)'!CF43)</f>
        <v/>
      </c>
      <c r="CP167" s="1826"/>
      <c r="CQ167" s="1826"/>
      <c r="CR167" s="1826"/>
      <c r="CS167" s="1826"/>
      <c r="CT167" s="1826"/>
      <c r="CU167" s="1826"/>
      <c r="CV167" s="1826"/>
      <c r="CW167" s="1826"/>
      <c r="CX167" s="1826"/>
      <c r="CY167" s="1826"/>
      <c r="CZ167" s="1826"/>
      <c r="DA167" s="1826"/>
      <c r="DB167" s="1826"/>
      <c r="DC167" s="1826"/>
      <c r="DD167" s="1820" t="str">
        <f>IF(ISNA('Risk assesment (for D3 &amp; D5)'!CG43),"",'Risk assesment (for D3 &amp; D5)'!CG43)</f>
        <v/>
      </c>
      <c r="DE167" s="1820"/>
      <c r="DF167" s="1820"/>
      <c r="DG167" s="1820"/>
      <c r="DH167" s="1817" t="str">
        <f>IF(ISNA('Risk assesment (for D3 &amp; D5)'!CH43),"",'Risk assesment (for D3 &amp; D5)'!CH43)</f>
        <v/>
      </c>
      <c r="DI167" s="1818"/>
      <c r="DJ167" s="1818"/>
      <c r="DK167" s="1818"/>
      <c r="DL167" s="1818"/>
      <c r="DM167" s="1818"/>
      <c r="DN167" s="1818"/>
      <c r="DO167" s="1818"/>
      <c r="DP167" s="1818"/>
      <c r="DQ167" s="1818"/>
      <c r="DR167" s="1819"/>
      <c r="DS167" s="813"/>
      <c r="DT167" s="315"/>
    </row>
    <row r="168" spans="2:124" ht="27" customHeight="1">
      <c r="B168" s="321"/>
      <c r="C168" s="293"/>
      <c r="D168" s="1821" t="str">
        <f>IF(ISNA('D4.5Why''s-D5-D6'!BW46),"",'D4.5Why''s-D5-D6'!BW46)</f>
        <v/>
      </c>
      <c r="E168" s="1821"/>
      <c r="F168" s="1821"/>
      <c r="G168" s="1821"/>
      <c r="H168" s="1821" t="str">
        <f>IF(ISNA('D4.5Why''s-D5-D6'!BX46),"",'D4.5Why''s-D5-D6'!BX46)</f>
        <v/>
      </c>
      <c r="I168" s="1822" t="str">
        <f>IF(ISNA('D4.5Why''s-D5-D6'!BX46),"",'D4.5Why''s-D5-D6'!BX46)</f>
        <v/>
      </c>
      <c r="J168" s="1822"/>
      <c r="K168" s="1822"/>
      <c r="L168" s="1822"/>
      <c r="M168" s="1822"/>
      <c r="N168" s="1822"/>
      <c r="O168" s="1822"/>
      <c r="P168" s="1822"/>
      <c r="Q168" s="1822"/>
      <c r="R168" s="1822"/>
      <c r="S168" s="1822"/>
      <c r="T168" s="1822"/>
      <c r="U168" s="1822"/>
      <c r="V168" s="1822"/>
      <c r="W168" s="1822"/>
      <c r="X168" s="1822"/>
      <c r="Y168" s="1822"/>
      <c r="Z168" s="1822"/>
      <c r="AA168" s="1822"/>
      <c r="AB168" s="1822" t="str">
        <f>IF(ISNA('D4.5Why''s-D5-D6'!BY46),"",'D4.5Why''s-D5-D6'!BY46)</f>
        <v/>
      </c>
      <c r="AC168" s="1823" t="str">
        <f>IF(ISNA('D4.5Why''s-D5-D6'!BY46),"",'D4.5Why''s-D5-D6'!BY46)</f>
        <v/>
      </c>
      <c r="AD168" s="1823"/>
      <c r="AE168" s="1823"/>
      <c r="AF168" s="1823"/>
      <c r="AG168" s="1823"/>
      <c r="AH168" s="1823"/>
      <c r="AI168" s="1823"/>
      <c r="AJ168" s="1823"/>
      <c r="AK168" s="1823"/>
      <c r="AL168" s="1823"/>
      <c r="AM168" s="1823"/>
      <c r="AN168" s="1823"/>
      <c r="AO168" s="1823"/>
      <c r="AP168" s="1823"/>
      <c r="AQ168" s="1823"/>
      <c r="AR168" s="1823"/>
      <c r="AS168" s="1823"/>
      <c r="AT168" s="1823"/>
      <c r="AU168" s="1823"/>
      <c r="AV168" s="1823"/>
      <c r="AW168" s="1823"/>
      <c r="AX168" s="1823"/>
      <c r="AY168" s="1823"/>
      <c r="AZ168" s="1823"/>
      <c r="BA168" s="1823"/>
      <c r="BB168" s="1823"/>
      <c r="BC168" s="1823"/>
      <c r="BD168" s="1823"/>
      <c r="BE168" s="1823"/>
      <c r="BF168" s="1823"/>
      <c r="BG168" s="1823"/>
      <c r="BH168" s="1823"/>
      <c r="BI168" s="1823"/>
      <c r="BJ168" s="1823"/>
      <c r="BK168" s="1823"/>
      <c r="BL168" s="1823"/>
      <c r="BM168" s="1823"/>
      <c r="BN168" s="1823"/>
      <c r="BO168" s="1823"/>
      <c r="BP168" s="1823"/>
      <c r="BQ168" s="1824" t="str">
        <f>IF(ISNA('D4.5Why''s-D5-D6'!BZ46),"",'D4.5Why''s-D5-D6'!BZ46)</f>
        <v/>
      </c>
      <c r="BR168" s="1824"/>
      <c r="BS168" s="1824"/>
      <c r="BT168" s="1824"/>
      <c r="BU168" s="1824"/>
      <c r="BV168" s="1824"/>
      <c r="BW168" s="1824"/>
      <c r="BX168" s="1824"/>
      <c r="BY168" s="1824"/>
      <c r="BZ168" s="1825" t="str">
        <f>IF(ISNA('D4.5Why''s-D5-D6'!CA46),"",'D4.5Why''s-D5-D6'!CA46)</f>
        <v/>
      </c>
      <c r="CA168" s="1825"/>
      <c r="CB168" s="1825"/>
      <c r="CC168" s="1825"/>
      <c r="CD168" s="1825"/>
      <c r="CE168" s="1825"/>
      <c r="CF168" s="1825"/>
      <c r="CG168" s="1825" t="str">
        <f>IF(ISNA('D4.5Why''s-D5-D6'!CB46),"",'D4.5Why''s-D5-D6'!CB46)</f>
        <v/>
      </c>
      <c r="CH168" s="1825"/>
      <c r="CI168" s="1825"/>
      <c r="CJ168" s="1825"/>
      <c r="CK168" s="1825"/>
      <c r="CL168" s="1825"/>
      <c r="CM168" s="1825"/>
      <c r="CN168" s="305"/>
      <c r="CO168" s="1826" t="str">
        <f>IF(ISNA('Risk assesment (for D3 &amp; D5)'!CF44),"",'Risk assesment (for D3 &amp; D5)'!CF44)</f>
        <v/>
      </c>
      <c r="CP168" s="1826"/>
      <c r="CQ168" s="1826"/>
      <c r="CR168" s="1826"/>
      <c r="CS168" s="1826"/>
      <c r="CT168" s="1826"/>
      <c r="CU168" s="1826"/>
      <c r="CV168" s="1826"/>
      <c r="CW168" s="1826"/>
      <c r="CX168" s="1826"/>
      <c r="CY168" s="1826"/>
      <c r="CZ168" s="1826"/>
      <c r="DA168" s="1826"/>
      <c r="DB168" s="1826"/>
      <c r="DC168" s="1826"/>
      <c r="DD168" s="1820" t="str">
        <f>IF(ISNA('Risk assesment (for D3 &amp; D5)'!CG44),"",'Risk assesment (for D3 &amp; D5)'!CG44)</f>
        <v/>
      </c>
      <c r="DE168" s="1820"/>
      <c r="DF168" s="1820"/>
      <c r="DG168" s="1820"/>
      <c r="DH168" s="1817" t="str">
        <f>IF(ISNA('Risk assesment (for D3 &amp; D5)'!CH44),"",'Risk assesment (for D3 &amp; D5)'!CH44)</f>
        <v/>
      </c>
      <c r="DI168" s="1818"/>
      <c r="DJ168" s="1818"/>
      <c r="DK168" s="1818"/>
      <c r="DL168" s="1818"/>
      <c r="DM168" s="1818"/>
      <c r="DN168" s="1818"/>
      <c r="DO168" s="1818"/>
      <c r="DP168" s="1818"/>
      <c r="DQ168" s="1818"/>
      <c r="DR168" s="1819"/>
      <c r="DS168" s="813"/>
      <c r="DT168" s="315"/>
    </row>
    <row r="169" spans="2:124" ht="27" customHeight="1">
      <c r="B169" s="321"/>
      <c r="C169" s="293"/>
      <c r="D169" s="1821" t="str">
        <f>IF(ISNA('D4.5Why''s-D5-D6'!BW47),"",'D4.5Why''s-D5-D6'!BW47)</f>
        <v/>
      </c>
      <c r="E169" s="1821"/>
      <c r="F169" s="1821"/>
      <c r="G169" s="1821"/>
      <c r="H169" s="1821" t="str">
        <f>IF(ISNA('D4.5Why''s-D5-D6'!BX47),"",'D4.5Why''s-D5-D6'!BX47)</f>
        <v/>
      </c>
      <c r="I169" s="1822" t="str">
        <f>IF(ISNA('D4.5Why''s-D5-D6'!BX47),"",'D4.5Why''s-D5-D6'!BX47)</f>
        <v/>
      </c>
      <c r="J169" s="1822"/>
      <c r="K169" s="1822"/>
      <c r="L169" s="1822"/>
      <c r="M169" s="1822"/>
      <c r="N169" s="1822"/>
      <c r="O169" s="1822"/>
      <c r="P169" s="1822"/>
      <c r="Q169" s="1822"/>
      <c r="R169" s="1822"/>
      <c r="S169" s="1822"/>
      <c r="T169" s="1822"/>
      <c r="U169" s="1822"/>
      <c r="V169" s="1822"/>
      <c r="W169" s="1822"/>
      <c r="X169" s="1822"/>
      <c r="Y169" s="1822"/>
      <c r="Z169" s="1822"/>
      <c r="AA169" s="1822"/>
      <c r="AB169" s="1822" t="str">
        <f>IF(ISNA('D4.5Why''s-D5-D6'!BY47),"",'D4.5Why''s-D5-D6'!BY47)</f>
        <v/>
      </c>
      <c r="AC169" s="1823" t="str">
        <f>IF(ISNA('D4.5Why''s-D5-D6'!BY47),"",'D4.5Why''s-D5-D6'!BY47)</f>
        <v/>
      </c>
      <c r="AD169" s="1823"/>
      <c r="AE169" s="1823"/>
      <c r="AF169" s="1823"/>
      <c r="AG169" s="1823"/>
      <c r="AH169" s="1823"/>
      <c r="AI169" s="1823"/>
      <c r="AJ169" s="1823"/>
      <c r="AK169" s="1823"/>
      <c r="AL169" s="1823"/>
      <c r="AM169" s="1823"/>
      <c r="AN169" s="1823"/>
      <c r="AO169" s="1823"/>
      <c r="AP169" s="1823"/>
      <c r="AQ169" s="1823"/>
      <c r="AR169" s="1823"/>
      <c r="AS169" s="1823"/>
      <c r="AT169" s="1823"/>
      <c r="AU169" s="1823"/>
      <c r="AV169" s="1823"/>
      <c r="AW169" s="1823"/>
      <c r="AX169" s="1823"/>
      <c r="AY169" s="1823"/>
      <c r="AZ169" s="1823"/>
      <c r="BA169" s="1823"/>
      <c r="BB169" s="1823"/>
      <c r="BC169" s="1823"/>
      <c r="BD169" s="1823"/>
      <c r="BE169" s="1823"/>
      <c r="BF169" s="1823"/>
      <c r="BG169" s="1823"/>
      <c r="BH169" s="1823"/>
      <c r="BI169" s="1823"/>
      <c r="BJ169" s="1823"/>
      <c r="BK169" s="1823"/>
      <c r="BL169" s="1823"/>
      <c r="BM169" s="1823"/>
      <c r="BN169" s="1823"/>
      <c r="BO169" s="1823"/>
      <c r="BP169" s="1823"/>
      <c r="BQ169" s="1824" t="str">
        <f>IF(ISNA('D4.5Why''s-D5-D6'!BZ47),"",'D4.5Why''s-D5-D6'!BZ47)</f>
        <v/>
      </c>
      <c r="BR169" s="1824"/>
      <c r="BS169" s="1824"/>
      <c r="BT169" s="1824"/>
      <c r="BU169" s="1824"/>
      <c r="BV169" s="1824"/>
      <c r="BW169" s="1824"/>
      <c r="BX169" s="1824"/>
      <c r="BY169" s="1824"/>
      <c r="BZ169" s="1825" t="str">
        <f>IF(ISNA('D4.5Why''s-D5-D6'!CA47),"",'D4.5Why''s-D5-D6'!CA47)</f>
        <v/>
      </c>
      <c r="CA169" s="1825"/>
      <c r="CB169" s="1825"/>
      <c r="CC169" s="1825"/>
      <c r="CD169" s="1825"/>
      <c r="CE169" s="1825"/>
      <c r="CF169" s="1825"/>
      <c r="CG169" s="1825" t="str">
        <f>IF(ISNA('D4.5Why''s-D5-D6'!CB47),"",'D4.5Why''s-D5-D6'!CB47)</f>
        <v/>
      </c>
      <c r="CH169" s="1825"/>
      <c r="CI169" s="1825"/>
      <c r="CJ169" s="1825"/>
      <c r="CK169" s="1825"/>
      <c r="CL169" s="1825"/>
      <c r="CM169" s="1825"/>
      <c r="CN169" s="305"/>
      <c r="CO169" s="1826" t="str">
        <f>IF(ISNA('Risk assesment (for D3 &amp; D5)'!CF45),"",'Risk assesment (for D3 &amp; D5)'!CF45)</f>
        <v/>
      </c>
      <c r="CP169" s="1826"/>
      <c r="CQ169" s="1826"/>
      <c r="CR169" s="1826"/>
      <c r="CS169" s="1826"/>
      <c r="CT169" s="1826"/>
      <c r="CU169" s="1826"/>
      <c r="CV169" s="1826"/>
      <c r="CW169" s="1826"/>
      <c r="CX169" s="1826"/>
      <c r="CY169" s="1826"/>
      <c r="CZ169" s="1826"/>
      <c r="DA169" s="1826"/>
      <c r="DB169" s="1826"/>
      <c r="DC169" s="1826"/>
      <c r="DD169" s="1820" t="str">
        <f>IF(ISNA('Risk assesment (for D3 &amp; D5)'!CG45),"",'Risk assesment (for D3 &amp; D5)'!CG45)</f>
        <v/>
      </c>
      <c r="DE169" s="1820"/>
      <c r="DF169" s="1820"/>
      <c r="DG169" s="1820"/>
      <c r="DH169" s="1817" t="str">
        <f>IF(ISNA('Risk assesment (for D3 &amp; D5)'!CH45),"",'Risk assesment (for D3 &amp; D5)'!CH45)</f>
        <v/>
      </c>
      <c r="DI169" s="1818"/>
      <c r="DJ169" s="1818"/>
      <c r="DK169" s="1818"/>
      <c r="DL169" s="1818"/>
      <c r="DM169" s="1818"/>
      <c r="DN169" s="1818"/>
      <c r="DO169" s="1818"/>
      <c r="DP169" s="1818"/>
      <c r="DQ169" s="1818"/>
      <c r="DR169" s="1819"/>
      <c r="DS169" s="813"/>
      <c r="DT169" s="315"/>
    </row>
    <row r="170" spans="2:124" ht="27" customHeight="1">
      <c r="B170" s="321"/>
      <c r="C170" s="293"/>
      <c r="D170" s="1821" t="str">
        <f>IF(ISNA('D4.5Why''s-D5-D6'!BW48),"",'D4.5Why''s-D5-D6'!BW48)</f>
        <v/>
      </c>
      <c r="E170" s="1821"/>
      <c r="F170" s="1821"/>
      <c r="G170" s="1821"/>
      <c r="H170" s="1821" t="str">
        <f>IF(ISNA('D4.5Why''s-D5-D6'!BX48),"",'D4.5Why''s-D5-D6'!BX48)</f>
        <v/>
      </c>
      <c r="I170" s="1822" t="str">
        <f>IF(ISNA('D4.5Why''s-D5-D6'!BX48),"",'D4.5Why''s-D5-D6'!BX48)</f>
        <v/>
      </c>
      <c r="J170" s="1822"/>
      <c r="K170" s="1822"/>
      <c r="L170" s="1822"/>
      <c r="M170" s="1822"/>
      <c r="N170" s="1822"/>
      <c r="O170" s="1822"/>
      <c r="P170" s="1822"/>
      <c r="Q170" s="1822"/>
      <c r="R170" s="1822"/>
      <c r="S170" s="1822"/>
      <c r="T170" s="1822"/>
      <c r="U170" s="1822"/>
      <c r="V170" s="1822"/>
      <c r="W170" s="1822"/>
      <c r="X170" s="1822"/>
      <c r="Y170" s="1822"/>
      <c r="Z170" s="1822"/>
      <c r="AA170" s="1822"/>
      <c r="AB170" s="1822" t="str">
        <f>IF(ISNA('D4.5Why''s-D5-D6'!BY48),"",'D4.5Why''s-D5-D6'!BY48)</f>
        <v/>
      </c>
      <c r="AC170" s="1823" t="str">
        <f>IF(ISNA('D4.5Why''s-D5-D6'!BY48),"",'D4.5Why''s-D5-D6'!BY48)</f>
        <v/>
      </c>
      <c r="AD170" s="1823"/>
      <c r="AE170" s="1823"/>
      <c r="AF170" s="1823"/>
      <c r="AG170" s="1823"/>
      <c r="AH170" s="1823"/>
      <c r="AI170" s="1823"/>
      <c r="AJ170" s="1823"/>
      <c r="AK170" s="1823"/>
      <c r="AL170" s="1823"/>
      <c r="AM170" s="1823"/>
      <c r="AN170" s="1823"/>
      <c r="AO170" s="1823"/>
      <c r="AP170" s="1823"/>
      <c r="AQ170" s="1823"/>
      <c r="AR170" s="1823"/>
      <c r="AS170" s="1823"/>
      <c r="AT170" s="1823"/>
      <c r="AU170" s="1823"/>
      <c r="AV170" s="1823"/>
      <c r="AW170" s="1823"/>
      <c r="AX170" s="1823"/>
      <c r="AY170" s="1823"/>
      <c r="AZ170" s="1823"/>
      <c r="BA170" s="1823"/>
      <c r="BB170" s="1823"/>
      <c r="BC170" s="1823"/>
      <c r="BD170" s="1823"/>
      <c r="BE170" s="1823"/>
      <c r="BF170" s="1823"/>
      <c r="BG170" s="1823"/>
      <c r="BH170" s="1823"/>
      <c r="BI170" s="1823"/>
      <c r="BJ170" s="1823"/>
      <c r="BK170" s="1823"/>
      <c r="BL170" s="1823"/>
      <c r="BM170" s="1823"/>
      <c r="BN170" s="1823"/>
      <c r="BO170" s="1823"/>
      <c r="BP170" s="1823"/>
      <c r="BQ170" s="1824" t="str">
        <f>IF(ISNA('D4.5Why''s-D5-D6'!BZ48),"",'D4.5Why''s-D5-D6'!BZ48)</f>
        <v/>
      </c>
      <c r="BR170" s="1824"/>
      <c r="BS170" s="1824"/>
      <c r="BT170" s="1824"/>
      <c r="BU170" s="1824"/>
      <c r="BV170" s="1824"/>
      <c r="BW170" s="1824"/>
      <c r="BX170" s="1824"/>
      <c r="BY170" s="1824"/>
      <c r="BZ170" s="1825" t="str">
        <f>IF(ISNA('D4.5Why''s-D5-D6'!CA48),"",'D4.5Why''s-D5-D6'!CA48)</f>
        <v/>
      </c>
      <c r="CA170" s="1825"/>
      <c r="CB170" s="1825"/>
      <c r="CC170" s="1825"/>
      <c r="CD170" s="1825"/>
      <c r="CE170" s="1825"/>
      <c r="CF170" s="1825"/>
      <c r="CG170" s="1825" t="str">
        <f>IF(ISNA('D4.5Why''s-D5-D6'!CB48),"",'D4.5Why''s-D5-D6'!CB48)</f>
        <v/>
      </c>
      <c r="CH170" s="1825"/>
      <c r="CI170" s="1825"/>
      <c r="CJ170" s="1825"/>
      <c r="CK170" s="1825"/>
      <c r="CL170" s="1825"/>
      <c r="CM170" s="1825"/>
      <c r="CN170" s="305"/>
      <c r="CO170" s="1826" t="str">
        <f>IF(ISNA('Risk assesment (for D3 &amp; D5)'!CF46),"",'Risk assesment (for D3 &amp; D5)'!CF46)</f>
        <v/>
      </c>
      <c r="CP170" s="1826"/>
      <c r="CQ170" s="1826"/>
      <c r="CR170" s="1826"/>
      <c r="CS170" s="1826"/>
      <c r="CT170" s="1826"/>
      <c r="CU170" s="1826"/>
      <c r="CV170" s="1826"/>
      <c r="CW170" s="1826"/>
      <c r="CX170" s="1826"/>
      <c r="CY170" s="1826"/>
      <c r="CZ170" s="1826"/>
      <c r="DA170" s="1826"/>
      <c r="DB170" s="1826"/>
      <c r="DC170" s="1826"/>
      <c r="DD170" s="1820" t="str">
        <f>IF(ISNA('Risk assesment (for D3 &amp; D5)'!CG46),"",'Risk assesment (for D3 &amp; D5)'!CG46)</f>
        <v/>
      </c>
      <c r="DE170" s="1820"/>
      <c r="DF170" s="1820"/>
      <c r="DG170" s="1820"/>
      <c r="DH170" s="1817" t="str">
        <f>IF(ISNA('Risk assesment (for D3 &amp; D5)'!CH46),"",'Risk assesment (for D3 &amp; D5)'!CH46)</f>
        <v/>
      </c>
      <c r="DI170" s="1818"/>
      <c r="DJ170" s="1818"/>
      <c r="DK170" s="1818"/>
      <c r="DL170" s="1818"/>
      <c r="DM170" s="1818"/>
      <c r="DN170" s="1818"/>
      <c r="DO170" s="1818"/>
      <c r="DP170" s="1818"/>
      <c r="DQ170" s="1818"/>
      <c r="DR170" s="1819"/>
      <c r="DS170" s="813"/>
      <c r="DT170" s="315"/>
    </row>
    <row r="171" spans="2:124" ht="27" customHeight="1">
      <c r="B171" s="321"/>
      <c r="C171" s="293"/>
      <c r="D171" s="1821" t="str">
        <f>IF(ISNA('D4.5Why''s-D5-D6'!BW49),"",'D4.5Why''s-D5-D6'!BW49)</f>
        <v/>
      </c>
      <c r="E171" s="1821"/>
      <c r="F171" s="1821"/>
      <c r="G171" s="1821"/>
      <c r="H171" s="1821" t="str">
        <f>IF(ISNA('D4.5Why''s-D5-D6'!BX49),"",'D4.5Why''s-D5-D6'!BX49)</f>
        <v/>
      </c>
      <c r="I171" s="1822" t="str">
        <f>IF(ISNA('D4.5Why''s-D5-D6'!BX49),"",'D4.5Why''s-D5-D6'!BX49)</f>
        <v/>
      </c>
      <c r="J171" s="1822"/>
      <c r="K171" s="1822"/>
      <c r="L171" s="1822"/>
      <c r="M171" s="1822"/>
      <c r="N171" s="1822"/>
      <c r="O171" s="1822"/>
      <c r="P171" s="1822"/>
      <c r="Q171" s="1822"/>
      <c r="R171" s="1822"/>
      <c r="S171" s="1822"/>
      <c r="T171" s="1822"/>
      <c r="U171" s="1822"/>
      <c r="V171" s="1822"/>
      <c r="W171" s="1822"/>
      <c r="X171" s="1822"/>
      <c r="Y171" s="1822"/>
      <c r="Z171" s="1822"/>
      <c r="AA171" s="1822"/>
      <c r="AB171" s="1822" t="str">
        <f>IF(ISNA('D4.5Why''s-D5-D6'!BY49),"",'D4.5Why''s-D5-D6'!BY49)</f>
        <v/>
      </c>
      <c r="AC171" s="1823" t="str">
        <f>IF(ISNA('D4.5Why''s-D5-D6'!BY49),"",'D4.5Why''s-D5-D6'!BY49)</f>
        <v/>
      </c>
      <c r="AD171" s="1823"/>
      <c r="AE171" s="1823"/>
      <c r="AF171" s="1823"/>
      <c r="AG171" s="1823"/>
      <c r="AH171" s="1823"/>
      <c r="AI171" s="1823"/>
      <c r="AJ171" s="1823"/>
      <c r="AK171" s="1823"/>
      <c r="AL171" s="1823"/>
      <c r="AM171" s="1823"/>
      <c r="AN171" s="1823"/>
      <c r="AO171" s="1823"/>
      <c r="AP171" s="1823"/>
      <c r="AQ171" s="1823"/>
      <c r="AR171" s="1823"/>
      <c r="AS171" s="1823"/>
      <c r="AT171" s="1823"/>
      <c r="AU171" s="1823"/>
      <c r="AV171" s="1823"/>
      <c r="AW171" s="1823"/>
      <c r="AX171" s="1823"/>
      <c r="AY171" s="1823"/>
      <c r="AZ171" s="1823"/>
      <c r="BA171" s="1823"/>
      <c r="BB171" s="1823"/>
      <c r="BC171" s="1823"/>
      <c r="BD171" s="1823"/>
      <c r="BE171" s="1823"/>
      <c r="BF171" s="1823"/>
      <c r="BG171" s="1823"/>
      <c r="BH171" s="1823"/>
      <c r="BI171" s="1823"/>
      <c r="BJ171" s="1823"/>
      <c r="BK171" s="1823"/>
      <c r="BL171" s="1823"/>
      <c r="BM171" s="1823"/>
      <c r="BN171" s="1823"/>
      <c r="BO171" s="1823"/>
      <c r="BP171" s="1823"/>
      <c r="BQ171" s="1824" t="str">
        <f>IF(ISNA('D4.5Why''s-D5-D6'!BZ49),"",'D4.5Why''s-D5-D6'!BZ49)</f>
        <v/>
      </c>
      <c r="BR171" s="1824"/>
      <c r="BS171" s="1824"/>
      <c r="BT171" s="1824"/>
      <c r="BU171" s="1824"/>
      <c r="BV171" s="1824"/>
      <c r="BW171" s="1824"/>
      <c r="BX171" s="1824"/>
      <c r="BY171" s="1824"/>
      <c r="BZ171" s="1825" t="str">
        <f>IF(ISNA('D4.5Why''s-D5-D6'!CA49),"",'D4.5Why''s-D5-D6'!CA49)</f>
        <v/>
      </c>
      <c r="CA171" s="1825"/>
      <c r="CB171" s="1825"/>
      <c r="CC171" s="1825"/>
      <c r="CD171" s="1825"/>
      <c r="CE171" s="1825"/>
      <c r="CF171" s="1825"/>
      <c r="CG171" s="1825" t="str">
        <f>IF(ISNA('D4.5Why''s-D5-D6'!CB49),"",'D4.5Why''s-D5-D6'!CB49)</f>
        <v/>
      </c>
      <c r="CH171" s="1825"/>
      <c r="CI171" s="1825"/>
      <c r="CJ171" s="1825"/>
      <c r="CK171" s="1825"/>
      <c r="CL171" s="1825"/>
      <c r="CM171" s="1825"/>
      <c r="CN171" s="305"/>
      <c r="CO171" s="1826" t="str">
        <f>IF(ISNA('Risk assesment (for D3 &amp; D5)'!CF47),"",'Risk assesment (for D3 &amp; D5)'!CF47)</f>
        <v/>
      </c>
      <c r="CP171" s="1826"/>
      <c r="CQ171" s="1826"/>
      <c r="CR171" s="1826"/>
      <c r="CS171" s="1826"/>
      <c r="CT171" s="1826"/>
      <c r="CU171" s="1826"/>
      <c r="CV171" s="1826"/>
      <c r="CW171" s="1826"/>
      <c r="CX171" s="1826"/>
      <c r="CY171" s="1826"/>
      <c r="CZ171" s="1826"/>
      <c r="DA171" s="1826"/>
      <c r="DB171" s="1826"/>
      <c r="DC171" s="1826"/>
      <c r="DD171" s="1820" t="str">
        <f>IF(ISNA('Risk assesment (for D3 &amp; D5)'!CG47),"",'Risk assesment (for D3 &amp; D5)'!CG47)</f>
        <v/>
      </c>
      <c r="DE171" s="1820"/>
      <c r="DF171" s="1820"/>
      <c r="DG171" s="1820"/>
      <c r="DH171" s="1817" t="str">
        <f>IF(ISNA('Risk assesment (for D3 &amp; D5)'!CH47),"",'Risk assesment (for D3 &amp; D5)'!CH47)</f>
        <v/>
      </c>
      <c r="DI171" s="1818"/>
      <c r="DJ171" s="1818"/>
      <c r="DK171" s="1818"/>
      <c r="DL171" s="1818"/>
      <c r="DM171" s="1818"/>
      <c r="DN171" s="1818"/>
      <c r="DO171" s="1818"/>
      <c r="DP171" s="1818"/>
      <c r="DQ171" s="1818"/>
      <c r="DR171" s="1819"/>
      <c r="DS171" s="813"/>
      <c r="DT171" s="315"/>
    </row>
    <row r="172" spans="2:124" ht="27" customHeight="1">
      <c r="B172" s="321"/>
      <c r="C172" s="293"/>
      <c r="D172" s="1821" t="str">
        <f>IF(ISNA('D4.5Why''s-D5-D6'!BW50),"",'D4.5Why''s-D5-D6'!BW50)</f>
        <v/>
      </c>
      <c r="E172" s="1821"/>
      <c r="F172" s="1821"/>
      <c r="G172" s="1821"/>
      <c r="H172" s="1821" t="str">
        <f>IF(ISNA('D4.5Why''s-D5-D6'!BX50),"",'D4.5Why''s-D5-D6'!BX50)</f>
        <v/>
      </c>
      <c r="I172" s="1822" t="str">
        <f>IF(ISNA('D4.5Why''s-D5-D6'!BX50),"",'D4.5Why''s-D5-D6'!BX50)</f>
        <v/>
      </c>
      <c r="J172" s="1822"/>
      <c r="K172" s="1822"/>
      <c r="L172" s="1822"/>
      <c r="M172" s="1822"/>
      <c r="N172" s="1822"/>
      <c r="O172" s="1822"/>
      <c r="P172" s="1822"/>
      <c r="Q172" s="1822"/>
      <c r="R172" s="1822"/>
      <c r="S172" s="1822"/>
      <c r="T172" s="1822"/>
      <c r="U172" s="1822"/>
      <c r="V172" s="1822"/>
      <c r="W172" s="1822"/>
      <c r="X172" s="1822"/>
      <c r="Y172" s="1822"/>
      <c r="Z172" s="1822"/>
      <c r="AA172" s="1822"/>
      <c r="AB172" s="1822" t="str">
        <f>IF(ISNA('D4.5Why''s-D5-D6'!BY50),"",'D4.5Why''s-D5-D6'!BY50)</f>
        <v/>
      </c>
      <c r="AC172" s="1823" t="str">
        <f>IF(ISNA('D4.5Why''s-D5-D6'!BY50),"",'D4.5Why''s-D5-D6'!BY50)</f>
        <v/>
      </c>
      <c r="AD172" s="1823"/>
      <c r="AE172" s="1823"/>
      <c r="AF172" s="1823"/>
      <c r="AG172" s="1823"/>
      <c r="AH172" s="1823"/>
      <c r="AI172" s="1823"/>
      <c r="AJ172" s="1823"/>
      <c r="AK172" s="1823"/>
      <c r="AL172" s="1823"/>
      <c r="AM172" s="1823"/>
      <c r="AN172" s="1823"/>
      <c r="AO172" s="1823"/>
      <c r="AP172" s="1823"/>
      <c r="AQ172" s="1823"/>
      <c r="AR172" s="1823"/>
      <c r="AS172" s="1823"/>
      <c r="AT172" s="1823"/>
      <c r="AU172" s="1823"/>
      <c r="AV172" s="1823"/>
      <c r="AW172" s="1823"/>
      <c r="AX172" s="1823"/>
      <c r="AY172" s="1823"/>
      <c r="AZ172" s="1823"/>
      <c r="BA172" s="1823"/>
      <c r="BB172" s="1823"/>
      <c r="BC172" s="1823"/>
      <c r="BD172" s="1823"/>
      <c r="BE172" s="1823"/>
      <c r="BF172" s="1823"/>
      <c r="BG172" s="1823"/>
      <c r="BH172" s="1823"/>
      <c r="BI172" s="1823"/>
      <c r="BJ172" s="1823"/>
      <c r="BK172" s="1823"/>
      <c r="BL172" s="1823"/>
      <c r="BM172" s="1823"/>
      <c r="BN172" s="1823"/>
      <c r="BO172" s="1823"/>
      <c r="BP172" s="1823"/>
      <c r="BQ172" s="1824" t="str">
        <f>IF(ISNA('D4.5Why''s-D5-D6'!BZ50),"",'D4.5Why''s-D5-D6'!BZ50)</f>
        <v/>
      </c>
      <c r="BR172" s="1824"/>
      <c r="BS172" s="1824"/>
      <c r="BT172" s="1824"/>
      <c r="BU172" s="1824"/>
      <c r="BV172" s="1824"/>
      <c r="BW172" s="1824"/>
      <c r="BX172" s="1824"/>
      <c r="BY172" s="1824"/>
      <c r="BZ172" s="1825" t="str">
        <f>IF(ISNA('D4.5Why''s-D5-D6'!CA50),"",'D4.5Why''s-D5-D6'!CA50)</f>
        <v/>
      </c>
      <c r="CA172" s="1825"/>
      <c r="CB172" s="1825"/>
      <c r="CC172" s="1825"/>
      <c r="CD172" s="1825"/>
      <c r="CE172" s="1825"/>
      <c r="CF172" s="1825"/>
      <c r="CG172" s="1825" t="str">
        <f>IF(ISNA('D4.5Why''s-D5-D6'!CB50),"",'D4.5Why''s-D5-D6'!CB50)</f>
        <v/>
      </c>
      <c r="CH172" s="1825"/>
      <c r="CI172" s="1825"/>
      <c r="CJ172" s="1825"/>
      <c r="CK172" s="1825"/>
      <c r="CL172" s="1825"/>
      <c r="CM172" s="1825"/>
      <c r="CN172" s="305"/>
      <c r="CO172" s="1826" t="str">
        <f>IF(ISNA('Risk assesment (for D3 &amp; D5)'!CF48),"",'Risk assesment (for D3 &amp; D5)'!CF48)</f>
        <v/>
      </c>
      <c r="CP172" s="1826"/>
      <c r="CQ172" s="1826"/>
      <c r="CR172" s="1826"/>
      <c r="CS172" s="1826"/>
      <c r="CT172" s="1826"/>
      <c r="CU172" s="1826"/>
      <c r="CV172" s="1826"/>
      <c r="CW172" s="1826"/>
      <c r="CX172" s="1826"/>
      <c r="CY172" s="1826"/>
      <c r="CZ172" s="1826"/>
      <c r="DA172" s="1826"/>
      <c r="DB172" s="1826"/>
      <c r="DC172" s="1826"/>
      <c r="DD172" s="1820" t="str">
        <f>IF(ISNA('Risk assesment (for D3 &amp; D5)'!CG48),"",'Risk assesment (for D3 &amp; D5)'!CG48)</f>
        <v/>
      </c>
      <c r="DE172" s="1820"/>
      <c r="DF172" s="1820"/>
      <c r="DG172" s="1820"/>
      <c r="DH172" s="1817" t="str">
        <f>IF(ISNA('Risk assesment (for D3 &amp; D5)'!CH48),"",'Risk assesment (for D3 &amp; D5)'!CH48)</f>
        <v/>
      </c>
      <c r="DI172" s="1818"/>
      <c r="DJ172" s="1818"/>
      <c r="DK172" s="1818"/>
      <c r="DL172" s="1818"/>
      <c r="DM172" s="1818"/>
      <c r="DN172" s="1818"/>
      <c r="DO172" s="1818"/>
      <c r="DP172" s="1818"/>
      <c r="DQ172" s="1818"/>
      <c r="DR172" s="1819"/>
      <c r="DS172" s="813"/>
      <c r="DT172" s="315"/>
    </row>
    <row r="173" spans="2:124" ht="27" customHeight="1">
      <c r="B173" s="321"/>
      <c r="C173" s="293"/>
      <c r="D173" s="1821" t="str">
        <f>IF(ISNA('D4.5Why''s-D5-D6'!BW51),"",'D4.5Why''s-D5-D6'!BW51)</f>
        <v/>
      </c>
      <c r="E173" s="1821"/>
      <c r="F173" s="1821"/>
      <c r="G173" s="1821"/>
      <c r="H173" s="1821" t="str">
        <f>IF(ISNA('D4.5Why''s-D5-D6'!BX51),"",'D4.5Why''s-D5-D6'!BX51)</f>
        <v/>
      </c>
      <c r="I173" s="1822" t="str">
        <f>IF(ISNA('D4.5Why''s-D5-D6'!BX51),"",'D4.5Why''s-D5-D6'!BX51)</f>
        <v/>
      </c>
      <c r="J173" s="1822"/>
      <c r="K173" s="1822"/>
      <c r="L173" s="1822"/>
      <c r="M173" s="1822"/>
      <c r="N173" s="1822"/>
      <c r="O173" s="1822"/>
      <c r="P173" s="1822"/>
      <c r="Q173" s="1822"/>
      <c r="R173" s="1822"/>
      <c r="S173" s="1822"/>
      <c r="T173" s="1822"/>
      <c r="U173" s="1822"/>
      <c r="V173" s="1822"/>
      <c r="W173" s="1822"/>
      <c r="X173" s="1822"/>
      <c r="Y173" s="1822"/>
      <c r="Z173" s="1822"/>
      <c r="AA173" s="1822"/>
      <c r="AB173" s="1822" t="str">
        <f>IF(ISNA('D4.5Why''s-D5-D6'!BY51),"",'D4.5Why''s-D5-D6'!BY51)</f>
        <v/>
      </c>
      <c r="AC173" s="1823" t="str">
        <f>IF(ISNA('D4.5Why''s-D5-D6'!BY51),"",'D4.5Why''s-D5-D6'!BY51)</f>
        <v/>
      </c>
      <c r="AD173" s="1823"/>
      <c r="AE173" s="1823"/>
      <c r="AF173" s="1823"/>
      <c r="AG173" s="1823"/>
      <c r="AH173" s="1823"/>
      <c r="AI173" s="1823"/>
      <c r="AJ173" s="1823"/>
      <c r="AK173" s="1823"/>
      <c r="AL173" s="1823"/>
      <c r="AM173" s="1823"/>
      <c r="AN173" s="1823"/>
      <c r="AO173" s="1823"/>
      <c r="AP173" s="1823"/>
      <c r="AQ173" s="1823"/>
      <c r="AR173" s="1823"/>
      <c r="AS173" s="1823"/>
      <c r="AT173" s="1823"/>
      <c r="AU173" s="1823"/>
      <c r="AV173" s="1823"/>
      <c r="AW173" s="1823"/>
      <c r="AX173" s="1823"/>
      <c r="AY173" s="1823"/>
      <c r="AZ173" s="1823"/>
      <c r="BA173" s="1823"/>
      <c r="BB173" s="1823"/>
      <c r="BC173" s="1823"/>
      <c r="BD173" s="1823"/>
      <c r="BE173" s="1823"/>
      <c r="BF173" s="1823"/>
      <c r="BG173" s="1823"/>
      <c r="BH173" s="1823"/>
      <c r="BI173" s="1823"/>
      <c r="BJ173" s="1823"/>
      <c r="BK173" s="1823"/>
      <c r="BL173" s="1823"/>
      <c r="BM173" s="1823"/>
      <c r="BN173" s="1823"/>
      <c r="BO173" s="1823"/>
      <c r="BP173" s="1823"/>
      <c r="BQ173" s="1824" t="str">
        <f>IF(ISNA('D4.5Why''s-D5-D6'!BZ51),"",'D4.5Why''s-D5-D6'!BZ51)</f>
        <v/>
      </c>
      <c r="BR173" s="1824"/>
      <c r="BS173" s="1824"/>
      <c r="BT173" s="1824"/>
      <c r="BU173" s="1824"/>
      <c r="BV173" s="1824"/>
      <c r="BW173" s="1824"/>
      <c r="BX173" s="1824"/>
      <c r="BY173" s="1824"/>
      <c r="BZ173" s="1825" t="str">
        <f>IF(ISNA('D4.5Why''s-D5-D6'!CA51),"",'D4.5Why''s-D5-D6'!CA51)</f>
        <v/>
      </c>
      <c r="CA173" s="1825"/>
      <c r="CB173" s="1825"/>
      <c r="CC173" s="1825"/>
      <c r="CD173" s="1825"/>
      <c r="CE173" s="1825"/>
      <c r="CF173" s="1825"/>
      <c r="CG173" s="1825" t="str">
        <f>IF(ISNA('D4.5Why''s-D5-D6'!CB51),"",'D4.5Why''s-D5-D6'!CB51)</f>
        <v/>
      </c>
      <c r="CH173" s="1825"/>
      <c r="CI173" s="1825"/>
      <c r="CJ173" s="1825"/>
      <c r="CK173" s="1825"/>
      <c r="CL173" s="1825"/>
      <c r="CM173" s="1825"/>
      <c r="CN173" s="305"/>
      <c r="CO173" s="1826" t="str">
        <f>IF(ISNA('Risk assesment (for D3 &amp; D5)'!CF49),"",'Risk assesment (for D3 &amp; D5)'!CF49)</f>
        <v/>
      </c>
      <c r="CP173" s="1826"/>
      <c r="CQ173" s="1826"/>
      <c r="CR173" s="1826"/>
      <c r="CS173" s="1826"/>
      <c r="CT173" s="1826"/>
      <c r="CU173" s="1826"/>
      <c r="CV173" s="1826"/>
      <c r="CW173" s="1826"/>
      <c r="CX173" s="1826"/>
      <c r="CY173" s="1826"/>
      <c r="CZ173" s="1826"/>
      <c r="DA173" s="1826"/>
      <c r="DB173" s="1826"/>
      <c r="DC173" s="1826"/>
      <c r="DD173" s="1820" t="str">
        <f>IF(ISNA('Risk assesment (for D3 &amp; D5)'!CG49),"",'Risk assesment (for D3 &amp; D5)'!CG49)</f>
        <v/>
      </c>
      <c r="DE173" s="1820"/>
      <c r="DF173" s="1820"/>
      <c r="DG173" s="1820"/>
      <c r="DH173" s="1817" t="str">
        <f>IF(ISNA('Risk assesment (for D3 &amp; D5)'!CH49),"",'Risk assesment (for D3 &amp; D5)'!CH49)</f>
        <v/>
      </c>
      <c r="DI173" s="1818"/>
      <c r="DJ173" s="1818"/>
      <c r="DK173" s="1818"/>
      <c r="DL173" s="1818"/>
      <c r="DM173" s="1818"/>
      <c r="DN173" s="1818"/>
      <c r="DO173" s="1818"/>
      <c r="DP173" s="1818"/>
      <c r="DQ173" s="1818"/>
      <c r="DR173" s="1819"/>
      <c r="DS173" s="880"/>
      <c r="DT173" s="315"/>
    </row>
    <row r="174" spans="2:124" ht="27" customHeight="1">
      <c r="B174" s="321"/>
      <c r="C174" s="293"/>
      <c r="D174" s="1821" t="str">
        <f>IF(ISNA('D4.5Why''s-D5-D6'!BW52),"",'D4.5Why''s-D5-D6'!BW52)</f>
        <v/>
      </c>
      <c r="E174" s="1821"/>
      <c r="F174" s="1821"/>
      <c r="G174" s="1821"/>
      <c r="H174" s="1821" t="str">
        <f>IF(ISNA('D4.5Why''s-D5-D6'!BX52),"",'D4.5Why''s-D5-D6'!BX52)</f>
        <v/>
      </c>
      <c r="I174" s="1822" t="str">
        <f>IF(ISNA('D4.5Why''s-D5-D6'!BX52),"",'D4.5Why''s-D5-D6'!BX52)</f>
        <v/>
      </c>
      <c r="J174" s="1822"/>
      <c r="K174" s="1822"/>
      <c r="L174" s="1822"/>
      <c r="M174" s="1822"/>
      <c r="N174" s="1822"/>
      <c r="O174" s="1822"/>
      <c r="P174" s="1822"/>
      <c r="Q174" s="1822"/>
      <c r="R174" s="1822"/>
      <c r="S174" s="1822"/>
      <c r="T174" s="1822"/>
      <c r="U174" s="1822"/>
      <c r="V174" s="1822"/>
      <c r="W174" s="1822"/>
      <c r="X174" s="1822"/>
      <c r="Y174" s="1822"/>
      <c r="Z174" s="1822"/>
      <c r="AA174" s="1822"/>
      <c r="AB174" s="1822" t="str">
        <f>IF(ISNA('D4.5Why''s-D5-D6'!BY52),"",'D4.5Why''s-D5-D6'!BY52)</f>
        <v/>
      </c>
      <c r="AC174" s="1823" t="str">
        <f>IF(ISNA('D4.5Why''s-D5-D6'!BY52),"",'D4.5Why''s-D5-D6'!BY52)</f>
        <v/>
      </c>
      <c r="AD174" s="1823"/>
      <c r="AE174" s="1823"/>
      <c r="AF174" s="1823"/>
      <c r="AG174" s="1823"/>
      <c r="AH174" s="1823"/>
      <c r="AI174" s="1823"/>
      <c r="AJ174" s="1823"/>
      <c r="AK174" s="1823"/>
      <c r="AL174" s="1823"/>
      <c r="AM174" s="1823"/>
      <c r="AN174" s="1823"/>
      <c r="AO174" s="1823"/>
      <c r="AP174" s="1823"/>
      <c r="AQ174" s="1823"/>
      <c r="AR174" s="1823"/>
      <c r="AS174" s="1823"/>
      <c r="AT174" s="1823"/>
      <c r="AU174" s="1823"/>
      <c r="AV174" s="1823"/>
      <c r="AW174" s="1823"/>
      <c r="AX174" s="1823"/>
      <c r="AY174" s="1823"/>
      <c r="AZ174" s="1823"/>
      <c r="BA174" s="1823"/>
      <c r="BB174" s="1823"/>
      <c r="BC174" s="1823"/>
      <c r="BD174" s="1823"/>
      <c r="BE174" s="1823"/>
      <c r="BF174" s="1823"/>
      <c r="BG174" s="1823"/>
      <c r="BH174" s="1823"/>
      <c r="BI174" s="1823"/>
      <c r="BJ174" s="1823"/>
      <c r="BK174" s="1823"/>
      <c r="BL174" s="1823"/>
      <c r="BM174" s="1823"/>
      <c r="BN174" s="1823"/>
      <c r="BO174" s="1823"/>
      <c r="BP174" s="1823"/>
      <c r="BQ174" s="1824" t="str">
        <f>IF(ISNA('D4.5Why''s-D5-D6'!BZ52),"",'D4.5Why''s-D5-D6'!BZ52)</f>
        <v/>
      </c>
      <c r="BR174" s="1824"/>
      <c r="BS174" s="1824"/>
      <c r="BT174" s="1824"/>
      <c r="BU174" s="1824"/>
      <c r="BV174" s="1824"/>
      <c r="BW174" s="1824"/>
      <c r="BX174" s="1824"/>
      <c r="BY174" s="1824"/>
      <c r="BZ174" s="1825" t="str">
        <f>IF(ISNA('D4.5Why''s-D5-D6'!CA52),"",'D4.5Why''s-D5-D6'!CA52)</f>
        <v/>
      </c>
      <c r="CA174" s="1825"/>
      <c r="CB174" s="1825"/>
      <c r="CC174" s="1825"/>
      <c r="CD174" s="1825"/>
      <c r="CE174" s="1825"/>
      <c r="CF174" s="1825"/>
      <c r="CG174" s="1825" t="str">
        <f>IF(ISNA('D4.5Why''s-D5-D6'!CB52),"",'D4.5Why''s-D5-D6'!CB52)</f>
        <v/>
      </c>
      <c r="CH174" s="1825"/>
      <c r="CI174" s="1825"/>
      <c r="CJ174" s="1825"/>
      <c r="CK174" s="1825"/>
      <c r="CL174" s="1825"/>
      <c r="CM174" s="1825"/>
      <c r="CN174" s="305"/>
      <c r="CO174" s="1826" t="str">
        <f>IF(ISNA('Risk assesment (for D3 &amp; D5)'!CF50),"",'Risk assesment (for D3 &amp; D5)'!CF50)</f>
        <v/>
      </c>
      <c r="CP174" s="1826"/>
      <c r="CQ174" s="1826"/>
      <c r="CR174" s="1826"/>
      <c r="CS174" s="1826"/>
      <c r="CT174" s="1826"/>
      <c r="CU174" s="1826"/>
      <c r="CV174" s="1826"/>
      <c r="CW174" s="1826"/>
      <c r="CX174" s="1826"/>
      <c r="CY174" s="1826"/>
      <c r="CZ174" s="1826"/>
      <c r="DA174" s="1826"/>
      <c r="DB174" s="1826"/>
      <c r="DC174" s="1826"/>
      <c r="DD174" s="1820" t="str">
        <f>IF(ISNA('Risk assesment (for D3 &amp; D5)'!CG50),"",'Risk assesment (for D3 &amp; D5)'!CG50)</f>
        <v/>
      </c>
      <c r="DE174" s="1820"/>
      <c r="DF174" s="1820"/>
      <c r="DG174" s="1820"/>
      <c r="DH174" s="1817" t="str">
        <f>IF(ISNA('Risk assesment (for D3 &amp; D5)'!CH50),"",'Risk assesment (for D3 &amp; D5)'!CH50)</f>
        <v/>
      </c>
      <c r="DI174" s="1818"/>
      <c r="DJ174" s="1818"/>
      <c r="DK174" s="1818"/>
      <c r="DL174" s="1818"/>
      <c r="DM174" s="1818"/>
      <c r="DN174" s="1818"/>
      <c r="DO174" s="1818"/>
      <c r="DP174" s="1818"/>
      <c r="DQ174" s="1818"/>
      <c r="DR174" s="1819"/>
      <c r="DS174" s="880"/>
      <c r="DT174" s="315"/>
    </row>
    <row r="175" spans="2:124" ht="27" customHeight="1">
      <c r="B175" s="321"/>
      <c r="C175" s="293"/>
      <c r="D175" s="1821" t="str">
        <f>IF(ISNA('D4.5Why''s-D5-D6'!BW53),"",'D4.5Why''s-D5-D6'!BW53)</f>
        <v/>
      </c>
      <c r="E175" s="1821"/>
      <c r="F175" s="1821"/>
      <c r="G175" s="1821"/>
      <c r="H175" s="1821" t="str">
        <f>IF(ISNA('D4.5Why''s-D5-D6'!BX53),"",'D4.5Why''s-D5-D6'!BX53)</f>
        <v/>
      </c>
      <c r="I175" s="1822" t="str">
        <f>IF(ISNA('D4.5Why''s-D5-D6'!BX53),"",'D4.5Why''s-D5-D6'!BX53)</f>
        <v/>
      </c>
      <c r="J175" s="1822"/>
      <c r="K175" s="1822"/>
      <c r="L175" s="1822"/>
      <c r="M175" s="1822"/>
      <c r="N175" s="1822"/>
      <c r="O175" s="1822"/>
      <c r="P175" s="1822"/>
      <c r="Q175" s="1822"/>
      <c r="R175" s="1822"/>
      <c r="S175" s="1822"/>
      <c r="T175" s="1822"/>
      <c r="U175" s="1822"/>
      <c r="V175" s="1822"/>
      <c r="W175" s="1822"/>
      <c r="X175" s="1822"/>
      <c r="Y175" s="1822"/>
      <c r="Z175" s="1822"/>
      <c r="AA175" s="1822"/>
      <c r="AB175" s="1822" t="str">
        <f>IF(ISNA('D4.5Why''s-D5-D6'!BY53),"",'D4.5Why''s-D5-D6'!BY53)</f>
        <v/>
      </c>
      <c r="AC175" s="1823" t="str">
        <f>IF(ISNA('D4.5Why''s-D5-D6'!BY53),"",'D4.5Why''s-D5-D6'!BY53)</f>
        <v/>
      </c>
      <c r="AD175" s="1823"/>
      <c r="AE175" s="1823"/>
      <c r="AF175" s="1823"/>
      <c r="AG175" s="1823"/>
      <c r="AH175" s="1823"/>
      <c r="AI175" s="1823"/>
      <c r="AJ175" s="1823"/>
      <c r="AK175" s="1823"/>
      <c r="AL175" s="1823"/>
      <c r="AM175" s="1823"/>
      <c r="AN175" s="1823"/>
      <c r="AO175" s="1823"/>
      <c r="AP175" s="1823"/>
      <c r="AQ175" s="1823"/>
      <c r="AR175" s="1823"/>
      <c r="AS175" s="1823"/>
      <c r="AT175" s="1823"/>
      <c r="AU175" s="1823"/>
      <c r="AV175" s="1823"/>
      <c r="AW175" s="1823"/>
      <c r="AX175" s="1823"/>
      <c r="AY175" s="1823"/>
      <c r="AZ175" s="1823"/>
      <c r="BA175" s="1823"/>
      <c r="BB175" s="1823"/>
      <c r="BC175" s="1823"/>
      <c r="BD175" s="1823"/>
      <c r="BE175" s="1823"/>
      <c r="BF175" s="1823"/>
      <c r="BG175" s="1823"/>
      <c r="BH175" s="1823"/>
      <c r="BI175" s="1823"/>
      <c r="BJ175" s="1823"/>
      <c r="BK175" s="1823"/>
      <c r="BL175" s="1823"/>
      <c r="BM175" s="1823"/>
      <c r="BN175" s="1823"/>
      <c r="BO175" s="1823"/>
      <c r="BP175" s="1823"/>
      <c r="BQ175" s="1824" t="str">
        <f>IF(ISNA('D4.5Why''s-D5-D6'!BZ53),"",'D4.5Why''s-D5-D6'!BZ53)</f>
        <v/>
      </c>
      <c r="BR175" s="1824"/>
      <c r="BS175" s="1824"/>
      <c r="BT175" s="1824"/>
      <c r="BU175" s="1824"/>
      <c r="BV175" s="1824"/>
      <c r="BW175" s="1824"/>
      <c r="BX175" s="1824"/>
      <c r="BY175" s="1824"/>
      <c r="BZ175" s="1825" t="str">
        <f>IF(ISNA('D4.5Why''s-D5-D6'!CA53),"",'D4.5Why''s-D5-D6'!CA53)</f>
        <v/>
      </c>
      <c r="CA175" s="1825"/>
      <c r="CB175" s="1825"/>
      <c r="CC175" s="1825"/>
      <c r="CD175" s="1825"/>
      <c r="CE175" s="1825"/>
      <c r="CF175" s="1825"/>
      <c r="CG175" s="1825" t="str">
        <f>IF(ISNA('D4.5Why''s-D5-D6'!CB53),"",'D4.5Why''s-D5-D6'!CB53)</f>
        <v/>
      </c>
      <c r="CH175" s="1825"/>
      <c r="CI175" s="1825"/>
      <c r="CJ175" s="1825"/>
      <c r="CK175" s="1825"/>
      <c r="CL175" s="1825"/>
      <c r="CM175" s="1825"/>
      <c r="CN175" s="305"/>
      <c r="CO175" s="1826" t="str">
        <f>IF(ISNA('Risk assesment (for D3 &amp; D5)'!CF51),"",'Risk assesment (for D3 &amp; D5)'!CF51)</f>
        <v/>
      </c>
      <c r="CP175" s="1826"/>
      <c r="CQ175" s="1826"/>
      <c r="CR175" s="1826"/>
      <c r="CS175" s="1826"/>
      <c r="CT175" s="1826"/>
      <c r="CU175" s="1826"/>
      <c r="CV175" s="1826"/>
      <c r="CW175" s="1826"/>
      <c r="CX175" s="1826"/>
      <c r="CY175" s="1826"/>
      <c r="CZ175" s="1826"/>
      <c r="DA175" s="1826"/>
      <c r="DB175" s="1826"/>
      <c r="DC175" s="1826"/>
      <c r="DD175" s="1820" t="str">
        <f>IF(ISNA('Risk assesment (for D3 &amp; D5)'!CG51),"",'Risk assesment (for D3 &amp; D5)'!CG51)</f>
        <v/>
      </c>
      <c r="DE175" s="1820"/>
      <c r="DF175" s="1820"/>
      <c r="DG175" s="1820"/>
      <c r="DH175" s="1817" t="str">
        <f>IF(ISNA('Risk assesment (for D3 &amp; D5)'!CH51),"",'Risk assesment (for D3 &amp; D5)'!CH51)</f>
        <v/>
      </c>
      <c r="DI175" s="1818"/>
      <c r="DJ175" s="1818"/>
      <c r="DK175" s="1818"/>
      <c r="DL175" s="1818"/>
      <c r="DM175" s="1818"/>
      <c r="DN175" s="1818"/>
      <c r="DO175" s="1818"/>
      <c r="DP175" s="1818"/>
      <c r="DQ175" s="1818"/>
      <c r="DR175" s="1819"/>
      <c r="DS175" s="880"/>
      <c r="DT175" s="315"/>
    </row>
    <row r="176" spans="2:124" ht="6" customHeight="1">
      <c r="B176" s="321"/>
      <c r="C176" s="293"/>
      <c r="D176" s="813"/>
      <c r="E176" s="813"/>
      <c r="F176" s="813"/>
      <c r="G176" s="813"/>
      <c r="H176" s="813"/>
      <c r="I176" s="813"/>
      <c r="J176" s="813"/>
      <c r="K176" s="813"/>
      <c r="L176" s="813"/>
      <c r="M176" s="813"/>
      <c r="N176" s="813"/>
      <c r="O176" s="813"/>
      <c r="P176" s="813"/>
      <c r="Q176" s="813"/>
      <c r="R176" s="813"/>
      <c r="S176" s="813"/>
      <c r="T176" s="813"/>
      <c r="U176" s="813"/>
      <c r="V176" s="813"/>
      <c r="W176" s="813"/>
      <c r="X176" s="813"/>
      <c r="Y176" s="813"/>
      <c r="Z176" s="813"/>
      <c r="AA176" s="813"/>
      <c r="AB176" s="813"/>
      <c r="AC176" s="813"/>
      <c r="AD176" s="813"/>
      <c r="AE176" s="813"/>
      <c r="AF176" s="813"/>
      <c r="AG176" s="813"/>
      <c r="AH176" s="813"/>
      <c r="AI176" s="813"/>
      <c r="AJ176" s="813"/>
      <c r="AK176" s="813"/>
      <c r="AL176" s="813"/>
      <c r="AM176" s="813"/>
      <c r="AN176" s="813"/>
      <c r="AO176" s="813"/>
      <c r="AP176" s="813"/>
      <c r="AQ176" s="813"/>
      <c r="AR176" s="813"/>
      <c r="AS176" s="813"/>
      <c r="AT176" s="813"/>
      <c r="AU176" s="813"/>
      <c r="AV176" s="813"/>
      <c r="AW176" s="813"/>
      <c r="AX176" s="813"/>
      <c r="AY176" s="813"/>
      <c r="AZ176" s="813"/>
      <c r="BA176" s="813"/>
      <c r="BB176" s="813"/>
      <c r="BC176" s="813"/>
      <c r="BD176" s="813"/>
      <c r="BE176" s="813"/>
      <c r="BF176" s="813"/>
      <c r="BG176" s="813"/>
      <c r="BH176" s="813"/>
      <c r="BI176" s="813"/>
      <c r="BJ176" s="813"/>
      <c r="BK176" s="813"/>
      <c r="BL176" s="813"/>
      <c r="BM176" s="813"/>
      <c r="BN176" s="813"/>
      <c r="BO176" s="813"/>
      <c r="BP176" s="813"/>
      <c r="BQ176" s="813"/>
      <c r="BR176" s="813"/>
      <c r="BS176" s="813"/>
      <c r="BT176" s="813"/>
      <c r="BU176" s="813"/>
      <c r="BV176" s="813"/>
      <c r="BW176" s="813"/>
      <c r="BX176" s="813"/>
      <c r="BY176" s="813"/>
      <c r="BZ176" s="813"/>
      <c r="CA176" s="813"/>
      <c r="CB176" s="813"/>
      <c r="CC176" s="813"/>
      <c r="CD176" s="813"/>
      <c r="CE176" s="813"/>
      <c r="CF176" s="813"/>
      <c r="CG176" s="813"/>
      <c r="CH176" s="813"/>
      <c r="CI176" s="813"/>
      <c r="CJ176" s="813"/>
      <c r="CK176" s="813"/>
      <c r="CL176" s="813"/>
      <c r="CM176" s="813"/>
      <c r="CN176" s="813"/>
      <c r="CO176" s="813"/>
      <c r="CP176" s="813"/>
      <c r="CQ176" s="813"/>
      <c r="CR176" s="813"/>
      <c r="CS176" s="813"/>
      <c r="CT176" s="813"/>
      <c r="CU176" s="813"/>
      <c r="CV176" s="813"/>
      <c r="CW176" s="813"/>
      <c r="CX176" s="813"/>
      <c r="CY176" s="813"/>
      <c r="CZ176" s="813"/>
      <c r="DA176" s="813"/>
      <c r="DB176" s="813"/>
      <c r="DC176" s="813"/>
      <c r="DD176" s="813"/>
      <c r="DE176" s="813"/>
      <c r="DF176" s="813"/>
      <c r="DG176" s="813"/>
      <c r="DH176" s="813"/>
      <c r="DI176" s="813"/>
      <c r="DJ176" s="813"/>
      <c r="DK176" s="813"/>
      <c r="DL176" s="813"/>
      <c r="DM176" s="813"/>
      <c r="DN176" s="813"/>
      <c r="DO176" s="813"/>
      <c r="DP176" s="813"/>
      <c r="DQ176" s="813"/>
      <c r="DR176" s="813"/>
      <c r="DS176" s="813"/>
      <c r="DT176" s="315"/>
    </row>
    <row r="177" spans="2:124" ht="6" customHeight="1">
      <c r="B177" s="321"/>
      <c r="C177" s="309"/>
      <c r="D177" s="309"/>
      <c r="E177" s="309"/>
      <c r="F177" s="309"/>
      <c r="G177" s="309"/>
      <c r="H177" s="309"/>
      <c r="I177" s="309"/>
      <c r="J177" s="309"/>
      <c r="K177" s="309"/>
      <c r="L177" s="309"/>
      <c r="M177" s="309"/>
      <c r="N177" s="309"/>
      <c r="O177" s="309"/>
      <c r="P177" s="309"/>
      <c r="Q177" s="309"/>
      <c r="R177" s="309"/>
      <c r="S177" s="309"/>
      <c r="T177" s="309"/>
      <c r="U177" s="309"/>
      <c r="V177" s="309"/>
      <c r="W177" s="309"/>
      <c r="X177" s="309"/>
      <c r="Y177" s="309"/>
      <c r="Z177" s="309"/>
      <c r="AA177" s="309"/>
      <c r="AB177" s="309"/>
      <c r="AC177" s="309"/>
      <c r="AD177" s="309"/>
      <c r="AE177" s="309"/>
      <c r="AF177" s="309"/>
      <c r="AG177" s="309"/>
      <c r="AH177" s="309"/>
      <c r="AI177" s="309"/>
      <c r="AJ177" s="309"/>
      <c r="AK177" s="309"/>
      <c r="AL177" s="309"/>
      <c r="AM177" s="309"/>
      <c r="AN177" s="309"/>
      <c r="AO177" s="309"/>
      <c r="AP177" s="309"/>
      <c r="AQ177" s="309"/>
      <c r="AR177" s="309"/>
      <c r="AS177" s="309"/>
      <c r="AT177" s="309"/>
      <c r="AU177" s="309"/>
      <c r="AV177" s="309"/>
      <c r="AW177" s="309"/>
      <c r="AX177" s="309"/>
      <c r="AY177" s="309"/>
      <c r="AZ177" s="309"/>
      <c r="BA177" s="309"/>
      <c r="BB177" s="309"/>
      <c r="BC177" s="309"/>
      <c r="BD177" s="309"/>
      <c r="BE177" s="309"/>
      <c r="BF177" s="309"/>
      <c r="BG177" s="309"/>
      <c r="BH177" s="309"/>
      <c r="BI177" s="309"/>
      <c r="BJ177" s="309"/>
      <c r="BK177" s="309"/>
      <c r="BL177" s="309"/>
      <c r="BM177" s="309"/>
      <c r="BN177" s="309"/>
      <c r="BO177" s="309"/>
      <c r="BP177" s="309"/>
      <c r="BQ177" s="309"/>
      <c r="BR177" s="309"/>
      <c r="BS177" s="309"/>
      <c r="BT177" s="309"/>
      <c r="BU177" s="309"/>
      <c r="BV177" s="309"/>
      <c r="BW177" s="309"/>
      <c r="BX177" s="309"/>
      <c r="BY177" s="309"/>
      <c r="BZ177" s="309"/>
      <c r="CA177" s="309"/>
      <c r="CB177" s="309"/>
      <c r="CC177" s="309"/>
      <c r="CD177" s="309"/>
      <c r="CE177" s="309"/>
      <c r="CF177" s="309"/>
      <c r="CG177" s="309"/>
      <c r="CH177" s="309"/>
      <c r="CI177" s="309"/>
      <c r="CJ177" s="309"/>
      <c r="CK177" s="309"/>
      <c r="CL177" s="309"/>
      <c r="CM177" s="309"/>
      <c r="CN177" s="309"/>
      <c r="CO177" s="309"/>
      <c r="CP177" s="309"/>
      <c r="CQ177" s="309"/>
      <c r="CR177" s="309"/>
      <c r="CS177" s="309"/>
      <c r="CT177" s="309"/>
      <c r="CU177" s="309"/>
      <c r="CV177" s="309"/>
      <c r="CW177" s="309"/>
      <c r="CX177" s="309"/>
      <c r="CY177" s="309"/>
      <c r="CZ177" s="309"/>
      <c r="DA177" s="309"/>
      <c r="DB177" s="309"/>
      <c r="DC177" s="309"/>
      <c r="DD177" s="309"/>
      <c r="DE177" s="309"/>
      <c r="DF177" s="309"/>
      <c r="DG177" s="309"/>
      <c r="DH177" s="309"/>
      <c r="DI177" s="309"/>
      <c r="DJ177" s="309"/>
      <c r="DK177" s="309"/>
      <c r="DL177" s="309"/>
      <c r="DM177" s="309"/>
      <c r="DN177" s="309"/>
      <c r="DO177" s="309"/>
      <c r="DP177" s="309"/>
      <c r="DQ177" s="309"/>
      <c r="DR177" s="309"/>
      <c r="DS177" s="309"/>
      <c r="DT177" s="315"/>
    </row>
    <row r="178" spans="2:124" ht="24.9" customHeight="1">
      <c r="B178" s="211"/>
      <c r="C178" s="659" t="str">
        <f ca="1">'D6.Verification-D7-D8'!D7</f>
        <v>Verification of effectiveness of corrective actions</v>
      </c>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310"/>
      <c r="AF178" s="310"/>
      <c r="AG178" s="310"/>
      <c r="AH178" s="310"/>
      <c r="AI178" s="310"/>
      <c r="AJ178" s="310"/>
      <c r="AK178" s="310"/>
      <c r="AL178" s="310"/>
      <c r="AM178" s="310"/>
      <c r="AN178" s="310"/>
      <c r="AO178" s="310"/>
      <c r="AP178" s="310"/>
      <c r="AQ178" s="310"/>
      <c r="AR178" s="310"/>
      <c r="AS178" s="310"/>
      <c r="AT178" s="310"/>
      <c r="AU178" s="310"/>
      <c r="AV178" s="310"/>
      <c r="AW178" s="310"/>
      <c r="AX178" s="310"/>
      <c r="AY178" s="310"/>
      <c r="AZ178" s="310"/>
      <c r="BA178" s="213"/>
      <c r="BB178" s="310"/>
      <c r="BC178" s="310"/>
      <c r="BD178" s="310"/>
      <c r="BE178" s="310"/>
      <c r="BF178" s="310"/>
      <c r="BG178" s="310"/>
      <c r="BH178" s="310"/>
      <c r="BI178" s="310"/>
      <c r="BJ178" s="310"/>
      <c r="BK178" s="310"/>
      <c r="BL178" s="310"/>
      <c r="BM178" s="310"/>
      <c r="BN178" s="310"/>
      <c r="BO178" s="310"/>
      <c r="BP178" s="310"/>
      <c r="BQ178" s="77"/>
      <c r="BR178" s="77"/>
      <c r="BS178" s="77"/>
      <c r="BT178" s="77"/>
      <c r="BU178" s="77"/>
      <c r="BV178" s="77"/>
      <c r="BW178" s="77"/>
      <c r="BX178" s="635"/>
      <c r="BY178" s="635"/>
      <c r="BZ178" s="635"/>
      <c r="CA178" s="635"/>
      <c r="CB178" s="635"/>
      <c r="CC178" s="635"/>
      <c r="CD178" s="635"/>
      <c r="CE178" s="635"/>
      <c r="CF178" s="635"/>
      <c r="CG178" s="635"/>
      <c r="CH178" s="635"/>
      <c r="CI178" s="635"/>
      <c r="CJ178" s="635"/>
      <c r="CK178" s="309"/>
      <c r="CL178" s="199"/>
      <c r="CM178" s="309"/>
      <c r="CN178" s="309"/>
      <c r="CO178" s="309"/>
      <c r="CP178" s="309"/>
      <c r="CQ178" s="309"/>
      <c r="CR178" s="310"/>
      <c r="CS178" s="310"/>
      <c r="CT178" s="310"/>
      <c r="CU178" s="310"/>
      <c r="CV178" s="310"/>
      <c r="CW178" s="310"/>
      <c r="CX178" s="310"/>
      <c r="CY178" s="310"/>
      <c r="CZ178" s="522"/>
      <c r="DA178" s="522"/>
      <c r="DB178" s="522"/>
      <c r="DC178" s="309"/>
      <c r="DD178" s="309"/>
      <c r="DE178" s="309"/>
      <c r="DF178" s="310"/>
      <c r="DG178" s="310"/>
      <c r="DH178" s="310"/>
      <c r="DI178" s="521"/>
      <c r="DJ178" s="537"/>
      <c r="DK178" s="537"/>
      <c r="DL178" s="537"/>
      <c r="DM178" s="537"/>
      <c r="DN178" s="537"/>
      <c r="DO178" s="537"/>
      <c r="DP178" s="537"/>
      <c r="DQ178" s="537"/>
      <c r="DR178" s="537"/>
      <c r="DS178" s="310"/>
      <c r="DT178" s="311"/>
    </row>
    <row r="179" spans="2:124" ht="6" customHeight="1">
      <c r="B179" s="207"/>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c r="AA179" s="208"/>
      <c r="AB179" s="208"/>
      <c r="AC179" s="208"/>
      <c r="AD179" s="208"/>
      <c r="AE179" s="309"/>
      <c r="AF179" s="309"/>
      <c r="AG179" s="309"/>
      <c r="AH179" s="309"/>
      <c r="AI179" s="309"/>
      <c r="AJ179" s="309"/>
      <c r="AK179" s="309"/>
      <c r="AL179" s="309"/>
      <c r="AM179" s="309"/>
      <c r="AN179" s="309"/>
      <c r="AO179" s="309"/>
      <c r="AP179" s="309"/>
      <c r="AQ179" s="309"/>
      <c r="AR179" s="309"/>
      <c r="AS179" s="309"/>
      <c r="AT179" s="309"/>
      <c r="AU179" s="309"/>
      <c r="AV179" s="309"/>
      <c r="AW179" s="309"/>
      <c r="AX179" s="309"/>
      <c r="AY179" s="309"/>
      <c r="AZ179" s="309"/>
      <c r="BA179" s="309"/>
      <c r="BB179" s="309"/>
      <c r="BC179" s="309"/>
      <c r="BD179" s="309"/>
      <c r="BE179" s="309"/>
      <c r="BF179" s="309"/>
      <c r="BG179" s="309"/>
      <c r="BH179" s="309"/>
      <c r="BI179" s="309"/>
      <c r="BJ179" s="309"/>
      <c r="BK179" s="309"/>
      <c r="BL179" s="309"/>
      <c r="BM179" s="309"/>
      <c r="BN179" s="309"/>
      <c r="BO179" s="309"/>
      <c r="BP179" s="309"/>
      <c r="BQ179" s="309"/>
      <c r="BR179" s="309"/>
      <c r="BS179" s="309"/>
      <c r="BT179" s="309"/>
      <c r="BU179" s="309"/>
      <c r="BV179" s="309"/>
      <c r="BW179" s="309"/>
      <c r="BX179" s="309"/>
      <c r="BY179" s="309"/>
      <c r="BZ179" s="309"/>
      <c r="CA179" s="309"/>
      <c r="CB179" s="309"/>
      <c r="CC179" s="309"/>
      <c r="CD179" s="309"/>
      <c r="CE179" s="309"/>
      <c r="CF179" s="309"/>
      <c r="CG179" s="309"/>
      <c r="CH179" s="309"/>
      <c r="CI179" s="309"/>
      <c r="CJ179" s="309"/>
      <c r="CK179" s="309"/>
      <c r="CL179" s="309"/>
      <c r="CM179" s="309"/>
      <c r="CN179" s="309"/>
      <c r="CO179" s="309"/>
      <c r="CP179" s="309"/>
      <c r="CQ179" s="309"/>
      <c r="CR179" s="309"/>
      <c r="CS179" s="309"/>
      <c r="CT179" s="309"/>
      <c r="CU179" s="309"/>
      <c r="CV179" s="309"/>
      <c r="CW179" s="309"/>
      <c r="CX179" s="309"/>
      <c r="CY179" s="309"/>
      <c r="CZ179" s="309"/>
      <c r="DA179" s="309"/>
      <c r="DB179" s="309"/>
      <c r="DC179" s="309"/>
      <c r="DD179" s="309"/>
      <c r="DE179" s="309"/>
      <c r="DF179" s="309"/>
      <c r="DG179" s="309"/>
      <c r="DH179" s="309"/>
      <c r="DI179" s="309"/>
      <c r="DJ179" s="309"/>
      <c r="DK179" s="309"/>
      <c r="DL179" s="309"/>
      <c r="DM179" s="309"/>
      <c r="DN179" s="309"/>
      <c r="DO179" s="309"/>
      <c r="DP179" s="309"/>
      <c r="DQ179" s="309"/>
      <c r="DR179" s="309"/>
      <c r="DS179" s="309"/>
      <c r="DT179" s="315"/>
    </row>
    <row r="180" spans="2:124" ht="6" customHeight="1">
      <c r="B180" s="312"/>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313"/>
      <c r="Z180" s="313"/>
      <c r="AA180" s="313"/>
      <c r="AB180" s="313"/>
      <c r="AC180" s="313"/>
      <c r="AD180" s="313"/>
      <c r="AE180" s="313"/>
      <c r="AF180" s="313"/>
      <c r="AG180" s="313"/>
      <c r="AH180" s="313"/>
      <c r="AI180" s="313"/>
      <c r="AJ180" s="313"/>
      <c r="AK180" s="313"/>
      <c r="AL180" s="313"/>
      <c r="AM180" s="313"/>
      <c r="AN180" s="313"/>
      <c r="AO180" s="313"/>
      <c r="AP180" s="313"/>
      <c r="AQ180" s="313"/>
      <c r="AR180" s="313"/>
      <c r="AS180" s="313"/>
      <c r="AT180" s="313"/>
      <c r="AU180" s="313"/>
      <c r="AV180" s="313"/>
      <c r="AW180" s="313"/>
      <c r="AX180" s="313"/>
      <c r="AY180" s="313"/>
      <c r="AZ180" s="313"/>
      <c r="BA180" s="313"/>
      <c r="BB180" s="313"/>
      <c r="BC180" s="313"/>
      <c r="BD180" s="313"/>
      <c r="BE180" s="313"/>
      <c r="BF180" s="313"/>
      <c r="BG180" s="313"/>
      <c r="BH180" s="313"/>
      <c r="BI180" s="313"/>
      <c r="BJ180" s="313"/>
      <c r="BK180" s="313"/>
      <c r="BL180" s="313"/>
      <c r="BM180" s="313"/>
      <c r="BN180" s="313"/>
      <c r="BO180" s="313"/>
      <c r="BP180" s="313"/>
      <c r="BQ180" s="313"/>
      <c r="BR180" s="313"/>
      <c r="BS180" s="313"/>
      <c r="BT180" s="313"/>
      <c r="BU180" s="313"/>
      <c r="BV180" s="313"/>
      <c r="BW180" s="313"/>
      <c r="BX180" s="313"/>
      <c r="BY180" s="313"/>
      <c r="BZ180" s="313"/>
      <c r="CA180" s="313"/>
      <c r="CB180" s="313"/>
      <c r="CC180" s="313"/>
      <c r="CD180" s="313"/>
      <c r="CE180" s="313"/>
      <c r="CF180" s="313"/>
      <c r="CG180" s="313"/>
      <c r="CH180" s="313"/>
      <c r="CI180" s="313"/>
      <c r="CJ180" s="313"/>
      <c r="CK180" s="313"/>
      <c r="CL180" s="313"/>
      <c r="CM180" s="313"/>
      <c r="CN180" s="313"/>
      <c r="CO180" s="313"/>
      <c r="CP180" s="313"/>
      <c r="CQ180" s="313"/>
      <c r="CR180" s="313"/>
      <c r="CS180" s="313"/>
      <c r="CT180" s="313"/>
      <c r="CU180" s="313"/>
      <c r="CV180" s="313"/>
      <c r="CW180" s="313"/>
      <c r="CX180" s="313"/>
      <c r="CY180" s="313"/>
      <c r="CZ180" s="313"/>
      <c r="DA180" s="313"/>
      <c r="DB180" s="313"/>
      <c r="DC180" s="313"/>
      <c r="DD180" s="313"/>
      <c r="DE180" s="313"/>
      <c r="DF180" s="313"/>
      <c r="DG180" s="313"/>
      <c r="DH180" s="313"/>
      <c r="DI180" s="313"/>
      <c r="DJ180" s="313"/>
      <c r="DK180" s="313"/>
      <c r="DL180" s="313"/>
      <c r="DM180" s="313"/>
      <c r="DN180" s="313"/>
      <c r="DO180" s="313"/>
      <c r="DP180" s="313"/>
      <c r="DQ180" s="313"/>
      <c r="DR180" s="313"/>
      <c r="DS180" s="313"/>
      <c r="DT180" s="311"/>
    </row>
    <row r="181" spans="2:124" ht="30" customHeight="1">
      <c r="B181" s="312"/>
      <c r="C181" s="313"/>
      <c r="D181" s="2067" t="str">
        <f ca="1">INDIRECT('D1-D2-D3'!$J$4&amp;"!C149")</f>
        <v>Factors identification</v>
      </c>
      <c r="E181" s="2067"/>
      <c r="F181" s="2067"/>
      <c r="G181" s="2067"/>
      <c r="H181" s="2046" t="str">
        <f ca="1">INDIRECT('D1-D2-D3'!$J$4&amp;"!C192")</f>
        <v>Result and evidence of effectiveness check and comment</v>
      </c>
      <c r="I181" s="2047"/>
      <c r="J181" s="2047"/>
      <c r="K181" s="2047"/>
      <c r="L181" s="2047"/>
      <c r="M181" s="2047"/>
      <c r="N181" s="2047"/>
      <c r="O181" s="2047"/>
      <c r="P181" s="2047"/>
      <c r="Q181" s="2047"/>
      <c r="R181" s="2047"/>
      <c r="S181" s="2047"/>
      <c r="T181" s="2047"/>
      <c r="U181" s="2047"/>
      <c r="V181" s="2047"/>
      <c r="W181" s="2047"/>
      <c r="X181" s="2047"/>
      <c r="Y181" s="2047"/>
      <c r="Z181" s="2047"/>
      <c r="AA181" s="2047"/>
      <c r="AB181" s="2047"/>
      <c r="AC181" s="2047"/>
      <c r="AD181" s="2047"/>
      <c r="AE181" s="2047"/>
      <c r="AF181" s="2047"/>
      <c r="AG181" s="2047"/>
      <c r="AH181" s="2047"/>
      <c r="AI181" s="2047"/>
      <c r="AJ181" s="2047"/>
      <c r="AK181" s="2047"/>
      <c r="AL181" s="2047"/>
      <c r="AM181" s="2047"/>
      <c r="AN181" s="2047"/>
      <c r="AO181" s="2047"/>
      <c r="AP181" s="2047"/>
      <c r="AQ181" s="2047"/>
      <c r="AR181" s="2047"/>
      <c r="AS181" s="2047"/>
      <c r="AT181" s="2047"/>
      <c r="AU181" s="2047"/>
      <c r="AV181" s="2047"/>
      <c r="AW181" s="2047"/>
      <c r="AX181" s="2047"/>
      <c r="AY181" s="2047"/>
      <c r="AZ181" s="2047"/>
      <c r="BA181" s="2047"/>
      <c r="BB181" s="2047"/>
      <c r="BC181" s="2047"/>
      <c r="BD181" s="2047"/>
      <c r="BE181" s="2047"/>
      <c r="BF181" s="2047"/>
      <c r="BG181" s="2047"/>
      <c r="BH181" s="2047"/>
      <c r="BI181" s="2047"/>
      <c r="BJ181" s="2047"/>
      <c r="BK181" s="2047"/>
      <c r="BL181" s="2047"/>
      <c r="BM181" s="2047"/>
      <c r="BN181" s="2047"/>
      <c r="BO181" s="2047"/>
      <c r="BP181" s="2047"/>
      <c r="BQ181" s="2047"/>
      <c r="BR181" s="2047"/>
      <c r="BS181" s="2047"/>
      <c r="BT181" s="2047"/>
      <c r="BU181" s="2047"/>
      <c r="BV181" s="2047"/>
      <c r="BW181" s="2047"/>
      <c r="BX181" s="2047"/>
      <c r="BY181" s="2047"/>
      <c r="BZ181" s="2047"/>
      <c r="CA181" s="2047"/>
      <c r="CB181" s="2047"/>
      <c r="CC181" s="2047"/>
      <c r="CD181" s="2047"/>
      <c r="CE181" s="2047"/>
      <c r="CF181" s="2047"/>
      <c r="CG181" s="2047"/>
      <c r="CH181" s="2047"/>
      <c r="CI181" s="2047"/>
      <c r="CJ181" s="2047"/>
      <c r="CK181" s="2047"/>
      <c r="CL181" s="2047"/>
      <c r="CM181" s="2047"/>
      <c r="CN181" s="2047"/>
      <c r="CO181" s="2047"/>
      <c r="CP181" s="2047"/>
      <c r="CQ181" s="2047"/>
      <c r="CR181" s="2047"/>
      <c r="CS181" s="2047"/>
      <c r="CT181" s="2047"/>
      <c r="CU181" s="2047"/>
      <c r="CV181" s="2047"/>
      <c r="CW181" s="2047"/>
      <c r="CX181" s="2047"/>
      <c r="CY181" s="2047"/>
      <c r="CZ181" s="2047"/>
      <c r="DA181" s="2047"/>
      <c r="DB181" s="2047"/>
      <c r="DC181" s="2047"/>
      <c r="DD181" s="2047"/>
      <c r="DE181" s="2047"/>
      <c r="DF181" s="2047"/>
      <c r="DG181" s="2047"/>
      <c r="DH181" s="2047"/>
      <c r="DI181" s="2047"/>
      <c r="DJ181" s="2047"/>
      <c r="DK181" s="2047"/>
      <c r="DL181" s="2047"/>
      <c r="DM181" s="2047"/>
      <c r="DN181" s="2047"/>
      <c r="DO181" s="2047"/>
      <c r="DP181" s="2047"/>
      <c r="DQ181" s="2047"/>
      <c r="DR181" s="2048"/>
      <c r="DS181" s="313"/>
      <c r="DT181" s="311"/>
    </row>
    <row r="182" spans="2:124" ht="30" customHeight="1">
      <c r="B182" s="312"/>
      <c r="C182" s="313"/>
      <c r="D182" s="2068" t="str">
        <f ca="1">INDIRECT('D1-D2-D3'!$J$4&amp;"!C139")</f>
        <v>Occurrence</v>
      </c>
      <c r="E182" s="2068"/>
      <c r="F182" s="2068"/>
      <c r="G182" s="2068"/>
      <c r="H182" s="2058"/>
      <c r="I182" s="2059"/>
      <c r="J182" s="2059"/>
      <c r="K182" s="2059"/>
      <c r="L182" s="2059"/>
      <c r="M182" s="2059"/>
      <c r="N182" s="2059"/>
      <c r="O182" s="2059"/>
      <c r="P182" s="2059"/>
      <c r="Q182" s="2059"/>
      <c r="R182" s="2059"/>
      <c r="S182" s="2059"/>
      <c r="T182" s="2059"/>
      <c r="U182" s="2059"/>
      <c r="V182" s="2059"/>
      <c r="W182" s="2059"/>
      <c r="X182" s="2059"/>
      <c r="Y182" s="2059"/>
      <c r="Z182" s="2059"/>
      <c r="AA182" s="2059"/>
      <c r="AB182" s="2059"/>
      <c r="AC182" s="2059"/>
      <c r="AD182" s="2059"/>
      <c r="AE182" s="2059"/>
      <c r="AF182" s="2059"/>
      <c r="AG182" s="2059"/>
      <c r="AH182" s="2059"/>
      <c r="AI182" s="2059"/>
      <c r="AJ182" s="2059"/>
      <c r="AK182" s="2059"/>
      <c r="AL182" s="2059"/>
      <c r="AM182" s="2059"/>
      <c r="AN182" s="2059"/>
      <c r="AO182" s="2059"/>
      <c r="AP182" s="2059"/>
      <c r="AQ182" s="2059"/>
      <c r="AR182" s="2059"/>
      <c r="AS182" s="2059"/>
      <c r="AT182" s="2059"/>
      <c r="AU182" s="2059"/>
      <c r="AV182" s="2059"/>
      <c r="AW182" s="2059"/>
      <c r="AX182" s="2059"/>
      <c r="AY182" s="2059"/>
      <c r="AZ182" s="2059"/>
      <c r="BA182" s="2059"/>
      <c r="BB182" s="2059"/>
      <c r="BC182" s="2059"/>
      <c r="BD182" s="2059"/>
      <c r="BE182" s="2059"/>
      <c r="BF182" s="2059"/>
      <c r="BG182" s="2059"/>
      <c r="BH182" s="2059"/>
      <c r="BI182" s="2059"/>
      <c r="BJ182" s="2059"/>
      <c r="BK182" s="2059"/>
      <c r="BL182" s="2059"/>
      <c r="BM182" s="2059"/>
      <c r="BN182" s="2059"/>
      <c r="BO182" s="2059"/>
      <c r="BP182" s="2059"/>
      <c r="BQ182" s="2059"/>
      <c r="BR182" s="2059"/>
      <c r="BS182" s="2059"/>
      <c r="BT182" s="2059"/>
      <c r="BU182" s="2059"/>
      <c r="BV182" s="2059"/>
      <c r="BW182" s="2059"/>
      <c r="BX182" s="2059"/>
      <c r="BY182" s="2059"/>
      <c r="BZ182" s="2059"/>
      <c r="CA182" s="2059"/>
      <c r="CB182" s="2059"/>
      <c r="CC182" s="2059"/>
      <c r="CD182" s="2059"/>
      <c r="CE182" s="2059"/>
      <c r="CF182" s="2059"/>
      <c r="CG182" s="2059"/>
      <c r="CH182" s="2059"/>
      <c r="CI182" s="2059"/>
      <c r="CJ182" s="2059"/>
      <c r="CK182" s="2059"/>
      <c r="CL182" s="2059"/>
      <c r="CM182" s="2059"/>
      <c r="CN182" s="2059"/>
      <c r="CO182" s="2059"/>
      <c r="CP182" s="2059"/>
      <c r="CQ182" s="2059"/>
      <c r="CR182" s="2059"/>
      <c r="CS182" s="2059"/>
      <c r="CT182" s="2059"/>
      <c r="CU182" s="2059"/>
      <c r="CV182" s="2059"/>
      <c r="CW182" s="2059"/>
      <c r="CX182" s="2059"/>
      <c r="CY182" s="2059"/>
      <c r="CZ182" s="2059"/>
      <c r="DA182" s="2059"/>
      <c r="DB182" s="2059"/>
      <c r="DC182" s="2059"/>
      <c r="DD182" s="2059"/>
      <c r="DE182" s="2059"/>
      <c r="DF182" s="2059"/>
      <c r="DG182" s="2059"/>
      <c r="DH182" s="2059"/>
      <c r="DI182" s="2059"/>
      <c r="DJ182" s="2059"/>
      <c r="DK182" s="2059"/>
      <c r="DL182" s="2059"/>
      <c r="DM182" s="2059"/>
      <c r="DN182" s="2059"/>
      <c r="DO182" s="2059"/>
      <c r="DP182" s="2059"/>
      <c r="DQ182" s="2059"/>
      <c r="DR182" s="2060"/>
      <c r="DS182" s="313"/>
      <c r="DT182" s="311"/>
    </row>
    <row r="183" spans="2:124" ht="30" customHeight="1">
      <c r="B183" s="312"/>
      <c r="C183" s="313"/>
      <c r="D183" s="2068"/>
      <c r="E183" s="2068"/>
      <c r="F183" s="2068"/>
      <c r="G183" s="2068"/>
      <c r="H183" s="2061"/>
      <c r="I183" s="2062"/>
      <c r="J183" s="2062"/>
      <c r="K183" s="2062"/>
      <c r="L183" s="2062"/>
      <c r="M183" s="2062"/>
      <c r="N183" s="2062"/>
      <c r="O183" s="2062"/>
      <c r="P183" s="2062"/>
      <c r="Q183" s="2062"/>
      <c r="R183" s="2062"/>
      <c r="S183" s="2062"/>
      <c r="T183" s="2062"/>
      <c r="U183" s="2062"/>
      <c r="V183" s="2062"/>
      <c r="W183" s="2062"/>
      <c r="X183" s="2062"/>
      <c r="Y183" s="2062"/>
      <c r="Z183" s="2062"/>
      <c r="AA183" s="2062"/>
      <c r="AB183" s="2062"/>
      <c r="AC183" s="2062"/>
      <c r="AD183" s="2062"/>
      <c r="AE183" s="2062"/>
      <c r="AF183" s="2062"/>
      <c r="AG183" s="2062"/>
      <c r="AH183" s="2062"/>
      <c r="AI183" s="2062"/>
      <c r="AJ183" s="2062"/>
      <c r="AK183" s="2062"/>
      <c r="AL183" s="2062"/>
      <c r="AM183" s="2062"/>
      <c r="AN183" s="2062"/>
      <c r="AO183" s="2062"/>
      <c r="AP183" s="2062"/>
      <c r="AQ183" s="2062"/>
      <c r="AR183" s="2062"/>
      <c r="AS183" s="2062"/>
      <c r="AT183" s="2062"/>
      <c r="AU183" s="2062"/>
      <c r="AV183" s="2062"/>
      <c r="AW183" s="2062"/>
      <c r="AX183" s="2062"/>
      <c r="AY183" s="2062"/>
      <c r="AZ183" s="2062"/>
      <c r="BA183" s="2062"/>
      <c r="BB183" s="2062"/>
      <c r="BC183" s="2062"/>
      <c r="BD183" s="2062"/>
      <c r="BE183" s="2062"/>
      <c r="BF183" s="2062"/>
      <c r="BG183" s="2062"/>
      <c r="BH183" s="2062"/>
      <c r="BI183" s="2062"/>
      <c r="BJ183" s="2062"/>
      <c r="BK183" s="2062"/>
      <c r="BL183" s="2062"/>
      <c r="BM183" s="2062"/>
      <c r="BN183" s="2062"/>
      <c r="BO183" s="2062"/>
      <c r="BP183" s="2062"/>
      <c r="BQ183" s="2062"/>
      <c r="BR183" s="2062"/>
      <c r="BS183" s="2062"/>
      <c r="BT183" s="2062"/>
      <c r="BU183" s="2062"/>
      <c r="BV183" s="2062"/>
      <c r="BW183" s="2062"/>
      <c r="BX183" s="2062"/>
      <c r="BY183" s="2062"/>
      <c r="BZ183" s="2062"/>
      <c r="CA183" s="2062"/>
      <c r="CB183" s="2062"/>
      <c r="CC183" s="2062"/>
      <c r="CD183" s="2062"/>
      <c r="CE183" s="2062"/>
      <c r="CF183" s="2062"/>
      <c r="CG183" s="2062"/>
      <c r="CH183" s="2062"/>
      <c r="CI183" s="2062"/>
      <c r="CJ183" s="2062"/>
      <c r="CK183" s="2062"/>
      <c r="CL183" s="2062"/>
      <c r="CM183" s="2062"/>
      <c r="CN183" s="2062"/>
      <c r="CO183" s="2062"/>
      <c r="CP183" s="2062"/>
      <c r="CQ183" s="2062"/>
      <c r="CR183" s="2062"/>
      <c r="CS183" s="2062"/>
      <c r="CT183" s="2062"/>
      <c r="CU183" s="2062"/>
      <c r="CV183" s="2062"/>
      <c r="CW183" s="2062"/>
      <c r="CX183" s="2062"/>
      <c r="CY183" s="2062"/>
      <c r="CZ183" s="2062"/>
      <c r="DA183" s="2062"/>
      <c r="DB183" s="2062"/>
      <c r="DC183" s="2062"/>
      <c r="DD183" s="2062"/>
      <c r="DE183" s="2062"/>
      <c r="DF183" s="2062"/>
      <c r="DG183" s="2062"/>
      <c r="DH183" s="2062"/>
      <c r="DI183" s="2062"/>
      <c r="DJ183" s="2062"/>
      <c r="DK183" s="2062"/>
      <c r="DL183" s="2062"/>
      <c r="DM183" s="2062"/>
      <c r="DN183" s="2062"/>
      <c r="DO183" s="2062"/>
      <c r="DP183" s="2062"/>
      <c r="DQ183" s="2062"/>
      <c r="DR183" s="2063"/>
      <c r="DS183" s="313"/>
      <c r="DT183" s="311"/>
    </row>
    <row r="184" spans="2:124" ht="30" customHeight="1">
      <c r="B184" s="312"/>
      <c r="C184" s="313"/>
      <c r="D184" s="2068"/>
      <c r="E184" s="2068"/>
      <c r="F184" s="2068"/>
      <c r="G184" s="2068"/>
      <c r="H184" s="2061"/>
      <c r="I184" s="2062"/>
      <c r="J184" s="2062"/>
      <c r="K184" s="2062"/>
      <c r="L184" s="2062"/>
      <c r="M184" s="2062"/>
      <c r="N184" s="2062"/>
      <c r="O184" s="2062"/>
      <c r="P184" s="2062"/>
      <c r="Q184" s="2062"/>
      <c r="R184" s="2062"/>
      <c r="S184" s="2062"/>
      <c r="T184" s="2062"/>
      <c r="U184" s="2062"/>
      <c r="V184" s="2062"/>
      <c r="W184" s="2062"/>
      <c r="X184" s="2062"/>
      <c r="Y184" s="2062"/>
      <c r="Z184" s="2062"/>
      <c r="AA184" s="2062"/>
      <c r="AB184" s="2062"/>
      <c r="AC184" s="2062"/>
      <c r="AD184" s="2062"/>
      <c r="AE184" s="2062"/>
      <c r="AF184" s="2062"/>
      <c r="AG184" s="2062"/>
      <c r="AH184" s="2062"/>
      <c r="AI184" s="2062"/>
      <c r="AJ184" s="2062"/>
      <c r="AK184" s="2062"/>
      <c r="AL184" s="2062"/>
      <c r="AM184" s="2062"/>
      <c r="AN184" s="2062"/>
      <c r="AO184" s="2062"/>
      <c r="AP184" s="2062"/>
      <c r="AQ184" s="2062"/>
      <c r="AR184" s="2062"/>
      <c r="AS184" s="2062"/>
      <c r="AT184" s="2062"/>
      <c r="AU184" s="2062"/>
      <c r="AV184" s="2062"/>
      <c r="AW184" s="2062"/>
      <c r="AX184" s="2062"/>
      <c r="AY184" s="2062"/>
      <c r="AZ184" s="2062"/>
      <c r="BA184" s="2062"/>
      <c r="BB184" s="2062"/>
      <c r="BC184" s="2062"/>
      <c r="BD184" s="2062"/>
      <c r="BE184" s="2062"/>
      <c r="BF184" s="2062"/>
      <c r="BG184" s="2062"/>
      <c r="BH184" s="2062"/>
      <c r="BI184" s="2062"/>
      <c r="BJ184" s="2062"/>
      <c r="BK184" s="2062"/>
      <c r="BL184" s="2062"/>
      <c r="BM184" s="2062"/>
      <c r="BN184" s="2062"/>
      <c r="BO184" s="2062"/>
      <c r="BP184" s="2062"/>
      <c r="BQ184" s="2062"/>
      <c r="BR184" s="2062"/>
      <c r="BS184" s="2062"/>
      <c r="BT184" s="2062"/>
      <c r="BU184" s="2062"/>
      <c r="BV184" s="2062"/>
      <c r="BW184" s="2062"/>
      <c r="BX184" s="2062"/>
      <c r="BY184" s="2062"/>
      <c r="BZ184" s="2062"/>
      <c r="CA184" s="2062"/>
      <c r="CB184" s="2062"/>
      <c r="CC184" s="2062"/>
      <c r="CD184" s="2062"/>
      <c r="CE184" s="2062"/>
      <c r="CF184" s="2062"/>
      <c r="CG184" s="2062"/>
      <c r="CH184" s="2062"/>
      <c r="CI184" s="2062"/>
      <c r="CJ184" s="2062"/>
      <c r="CK184" s="2062"/>
      <c r="CL184" s="2062"/>
      <c r="CM184" s="2062"/>
      <c r="CN184" s="2062"/>
      <c r="CO184" s="2062"/>
      <c r="CP184" s="2062"/>
      <c r="CQ184" s="2062"/>
      <c r="CR184" s="2062"/>
      <c r="CS184" s="2062"/>
      <c r="CT184" s="2062"/>
      <c r="CU184" s="2062"/>
      <c r="CV184" s="2062"/>
      <c r="CW184" s="2062"/>
      <c r="CX184" s="2062"/>
      <c r="CY184" s="2062"/>
      <c r="CZ184" s="2062"/>
      <c r="DA184" s="2062"/>
      <c r="DB184" s="2062"/>
      <c r="DC184" s="2062"/>
      <c r="DD184" s="2062"/>
      <c r="DE184" s="2062"/>
      <c r="DF184" s="2062"/>
      <c r="DG184" s="2062"/>
      <c r="DH184" s="2062"/>
      <c r="DI184" s="2062"/>
      <c r="DJ184" s="2062"/>
      <c r="DK184" s="2062"/>
      <c r="DL184" s="2062"/>
      <c r="DM184" s="2062"/>
      <c r="DN184" s="2062"/>
      <c r="DO184" s="2062"/>
      <c r="DP184" s="2062"/>
      <c r="DQ184" s="2062"/>
      <c r="DR184" s="2063"/>
      <c r="DS184" s="313"/>
      <c r="DT184" s="311"/>
    </row>
    <row r="185" spans="2:124" ht="30" customHeight="1">
      <c r="B185" s="312"/>
      <c r="C185" s="313"/>
      <c r="D185" s="2068"/>
      <c r="E185" s="2068"/>
      <c r="F185" s="2068"/>
      <c r="G185" s="2068"/>
      <c r="H185" s="2061"/>
      <c r="I185" s="2062"/>
      <c r="J185" s="2062"/>
      <c r="K185" s="2062"/>
      <c r="L185" s="2062"/>
      <c r="M185" s="2062"/>
      <c r="N185" s="2062"/>
      <c r="O185" s="2062"/>
      <c r="P185" s="2062"/>
      <c r="Q185" s="2062"/>
      <c r="R185" s="2062"/>
      <c r="S185" s="2062"/>
      <c r="T185" s="2062"/>
      <c r="U185" s="2062"/>
      <c r="V185" s="2062"/>
      <c r="W185" s="2062"/>
      <c r="X185" s="2062"/>
      <c r="Y185" s="2062"/>
      <c r="Z185" s="2062"/>
      <c r="AA185" s="2062"/>
      <c r="AB185" s="2062"/>
      <c r="AC185" s="2062"/>
      <c r="AD185" s="2062"/>
      <c r="AE185" s="2062"/>
      <c r="AF185" s="2062"/>
      <c r="AG185" s="2062"/>
      <c r="AH185" s="2062"/>
      <c r="AI185" s="2062"/>
      <c r="AJ185" s="2062"/>
      <c r="AK185" s="2062"/>
      <c r="AL185" s="2062"/>
      <c r="AM185" s="2062"/>
      <c r="AN185" s="2062"/>
      <c r="AO185" s="2062"/>
      <c r="AP185" s="2062"/>
      <c r="AQ185" s="2062"/>
      <c r="AR185" s="2062"/>
      <c r="AS185" s="2062"/>
      <c r="AT185" s="2062"/>
      <c r="AU185" s="2062"/>
      <c r="AV185" s="2062"/>
      <c r="AW185" s="2062"/>
      <c r="AX185" s="2062"/>
      <c r="AY185" s="2062"/>
      <c r="AZ185" s="2062"/>
      <c r="BA185" s="2062"/>
      <c r="BB185" s="2062"/>
      <c r="BC185" s="2062"/>
      <c r="BD185" s="2062"/>
      <c r="BE185" s="2062"/>
      <c r="BF185" s="2062"/>
      <c r="BG185" s="2062"/>
      <c r="BH185" s="2062"/>
      <c r="BI185" s="2062"/>
      <c r="BJ185" s="2062"/>
      <c r="BK185" s="2062"/>
      <c r="BL185" s="2062"/>
      <c r="BM185" s="2062"/>
      <c r="BN185" s="2062"/>
      <c r="BO185" s="2062"/>
      <c r="BP185" s="2062"/>
      <c r="BQ185" s="2062"/>
      <c r="BR185" s="2062"/>
      <c r="BS185" s="2062"/>
      <c r="BT185" s="2062"/>
      <c r="BU185" s="2062"/>
      <c r="BV185" s="2062"/>
      <c r="BW185" s="2062"/>
      <c r="BX185" s="2062"/>
      <c r="BY185" s="2062"/>
      <c r="BZ185" s="2062"/>
      <c r="CA185" s="2062"/>
      <c r="CB185" s="2062"/>
      <c r="CC185" s="2062"/>
      <c r="CD185" s="2062"/>
      <c r="CE185" s="2062"/>
      <c r="CF185" s="2062"/>
      <c r="CG185" s="2062"/>
      <c r="CH185" s="2062"/>
      <c r="CI185" s="2062"/>
      <c r="CJ185" s="2062"/>
      <c r="CK185" s="2062"/>
      <c r="CL185" s="2062"/>
      <c r="CM185" s="2062"/>
      <c r="CN185" s="2062"/>
      <c r="CO185" s="2062"/>
      <c r="CP185" s="2062"/>
      <c r="CQ185" s="2062"/>
      <c r="CR185" s="2062"/>
      <c r="CS185" s="2062"/>
      <c r="CT185" s="2062"/>
      <c r="CU185" s="2062"/>
      <c r="CV185" s="2062"/>
      <c r="CW185" s="2062"/>
      <c r="CX185" s="2062"/>
      <c r="CY185" s="2062"/>
      <c r="CZ185" s="2062"/>
      <c r="DA185" s="2062"/>
      <c r="DB185" s="2062"/>
      <c r="DC185" s="2062"/>
      <c r="DD185" s="2062"/>
      <c r="DE185" s="2062"/>
      <c r="DF185" s="2062"/>
      <c r="DG185" s="2062"/>
      <c r="DH185" s="2062"/>
      <c r="DI185" s="2062"/>
      <c r="DJ185" s="2062"/>
      <c r="DK185" s="2062"/>
      <c r="DL185" s="2062"/>
      <c r="DM185" s="2062"/>
      <c r="DN185" s="2062"/>
      <c r="DO185" s="2062"/>
      <c r="DP185" s="2062"/>
      <c r="DQ185" s="2062"/>
      <c r="DR185" s="2063"/>
      <c r="DS185" s="313"/>
      <c r="DT185" s="311"/>
    </row>
    <row r="186" spans="2:124" ht="30" customHeight="1">
      <c r="B186" s="312"/>
      <c r="C186" s="313"/>
      <c r="D186" s="2068"/>
      <c r="E186" s="2068"/>
      <c r="F186" s="2068"/>
      <c r="G186" s="2068"/>
      <c r="H186" s="2061"/>
      <c r="I186" s="2062"/>
      <c r="J186" s="2062"/>
      <c r="K186" s="2062"/>
      <c r="L186" s="2062"/>
      <c r="M186" s="2062"/>
      <c r="N186" s="2062"/>
      <c r="O186" s="2062"/>
      <c r="P186" s="2062"/>
      <c r="Q186" s="2062"/>
      <c r="R186" s="2062"/>
      <c r="S186" s="2062"/>
      <c r="T186" s="2062"/>
      <c r="U186" s="2062"/>
      <c r="V186" s="2062"/>
      <c r="W186" s="2062"/>
      <c r="X186" s="2062"/>
      <c r="Y186" s="2062"/>
      <c r="Z186" s="2062"/>
      <c r="AA186" s="2062"/>
      <c r="AB186" s="2062"/>
      <c r="AC186" s="2062"/>
      <c r="AD186" s="2062"/>
      <c r="AE186" s="2062"/>
      <c r="AF186" s="2062"/>
      <c r="AG186" s="2062"/>
      <c r="AH186" s="2062"/>
      <c r="AI186" s="2062"/>
      <c r="AJ186" s="2062"/>
      <c r="AK186" s="2062"/>
      <c r="AL186" s="2062"/>
      <c r="AM186" s="2062"/>
      <c r="AN186" s="2062"/>
      <c r="AO186" s="2062"/>
      <c r="AP186" s="2062"/>
      <c r="AQ186" s="2062"/>
      <c r="AR186" s="2062"/>
      <c r="AS186" s="2062"/>
      <c r="AT186" s="2062"/>
      <c r="AU186" s="2062"/>
      <c r="AV186" s="2062"/>
      <c r="AW186" s="2062"/>
      <c r="AX186" s="2062"/>
      <c r="AY186" s="2062"/>
      <c r="AZ186" s="2062"/>
      <c r="BA186" s="2062"/>
      <c r="BB186" s="2062"/>
      <c r="BC186" s="2062"/>
      <c r="BD186" s="2062"/>
      <c r="BE186" s="2062"/>
      <c r="BF186" s="2062"/>
      <c r="BG186" s="2062"/>
      <c r="BH186" s="2062"/>
      <c r="BI186" s="2062"/>
      <c r="BJ186" s="2062"/>
      <c r="BK186" s="2062"/>
      <c r="BL186" s="2062"/>
      <c r="BM186" s="2062"/>
      <c r="BN186" s="2062"/>
      <c r="BO186" s="2062"/>
      <c r="BP186" s="2062"/>
      <c r="BQ186" s="2062"/>
      <c r="BR186" s="2062"/>
      <c r="BS186" s="2062"/>
      <c r="BT186" s="2062"/>
      <c r="BU186" s="2062"/>
      <c r="BV186" s="2062"/>
      <c r="BW186" s="2062"/>
      <c r="BX186" s="2062"/>
      <c r="BY186" s="2062"/>
      <c r="BZ186" s="2062"/>
      <c r="CA186" s="2062"/>
      <c r="CB186" s="2062"/>
      <c r="CC186" s="2062"/>
      <c r="CD186" s="2062"/>
      <c r="CE186" s="2062"/>
      <c r="CF186" s="2062"/>
      <c r="CG186" s="2062"/>
      <c r="CH186" s="2062"/>
      <c r="CI186" s="2062"/>
      <c r="CJ186" s="2062"/>
      <c r="CK186" s="2062"/>
      <c r="CL186" s="2062"/>
      <c r="CM186" s="2062"/>
      <c r="CN186" s="2062"/>
      <c r="CO186" s="2062"/>
      <c r="CP186" s="2062"/>
      <c r="CQ186" s="2062"/>
      <c r="CR186" s="2062"/>
      <c r="CS186" s="2062"/>
      <c r="CT186" s="2062"/>
      <c r="CU186" s="2062"/>
      <c r="CV186" s="2062"/>
      <c r="CW186" s="2062"/>
      <c r="CX186" s="2062"/>
      <c r="CY186" s="2062"/>
      <c r="CZ186" s="2062"/>
      <c r="DA186" s="2062"/>
      <c r="DB186" s="2062"/>
      <c r="DC186" s="2062"/>
      <c r="DD186" s="2062"/>
      <c r="DE186" s="2062"/>
      <c r="DF186" s="2062"/>
      <c r="DG186" s="2062"/>
      <c r="DH186" s="2062"/>
      <c r="DI186" s="2062"/>
      <c r="DJ186" s="2062"/>
      <c r="DK186" s="2062"/>
      <c r="DL186" s="2062"/>
      <c r="DM186" s="2062"/>
      <c r="DN186" s="2062"/>
      <c r="DO186" s="2062"/>
      <c r="DP186" s="2062"/>
      <c r="DQ186" s="2062"/>
      <c r="DR186" s="2063"/>
      <c r="DS186" s="313"/>
      <c r="DT186" s="311"/>
    </row>
    <row r="187" spans="2:124" ht="30" customHeight="1">
      <c r="B187" s="312"/>
      <c r="C187" s="313"/>
      <c r="D187" s="2068"/>
      <c r="E187" s="2068"/>
      <c r="F187" s="2068"/>
      <c r="G187" s="2068"/>
      <c r="H187" s="2061"/>
      <c r="I187" s="2062"/>
      <c r="J187" s="2062"/>
      <c r="K187" s="2062"/>
      <c r="L187" s="2062"/>
      <c r="M187" s="2062"/>
      <c r="N187" s="2062"/>
      <c r="O187" s="2062"/>
      <c r="P187" s="2062"/>
      <c r="Q187" s="2062"/>
      <c r="R187" s="2062"/>
      <c r="S187" s="2062"/>
      <c r="T187" s="2062"/>
      <c r="U187" s="2062"/>
      <c r="V187" s="2062"/>
      <c r="W187" s="2062"/>
      <c r="X187" s="2062"/>
      <c r="Y187" s="2062"/>
      <c r="Z187" s="2062"/>
      <c r="AA187" s="2062"/>
      <c r="AB187" s="2062"/>
      <c r="AC187" s="2062"/>
      <c r="AD187" s="2062"/>
      <c r="AE187" s="2062"/>
      <c r="AF187" s="2062"/>
      <c r="AG187" s="2062"/>
      <c r="AH187" s="2062"/>
      <c r="AI187" s="2062"/>
      <c r="AJ187" s="2062"/>
      <c r="AK187" s="2062"/>
      <c r="AL187" s="2062"/>
      <c r="AM187" s="2062"/>
      <c r="AN187" s="2062"/>
      <c r="AO187" s="2062"/>
      <c r="AP187" s="2062"/>
      <c r="AQ187" s="2062"/>
      <c r="AR187" s="2062"/>
      <c r="AS187" s="2062"/>
      <c r="AT187" s="2062"/>
      <c r="AU187" s="2062"/>
      <c r="AV187" s="2062"/>
      <c r="AW187" s="2062"/>
      <c r="AX187" s="2062"/>
      <c r="AY187" s="2062"/>
      <c r="AZ187" s="2062"/>
      <c r="BA187" s="2062"/>
      <c r="BB187" s="2062"/>
      <c r="BC187" s="2062"/>
      <c r="BD187" s="2062"/>
      <c r="BE187" s="2062"/>
      <c r="BF187" s="2062"/>
      <c r="BG187" s="2062"/>
      <c r="BH187" s="2062"/>
      <c r="BI187" s="2062"/>
      <c r="BJ187" s="2062"/>
      <c r="BK187" s="2062"/>
      <c r="BL187" s="2062"/>
      <c r="BM187" s="2062"/>
      <c r="BN187" s="2062"/>
      <c r="BO187" s="2062"/>
      <c r="BP187" s="2062"/>
      <c r="BQ187" s="2062"/>
      <c r="BR187" s="2062"/>
      <c r="BS187" s="2062"/>
      <c r="BT187" s="2062"/>
      <c r="BU187" s="2062"/>
      <c r="BV187" s="2062"/>
      <c r="BW187" s="2062"/>
      <c r="BX187" s="2062"/>
      <c r="BY187" s="2062"/>
      <c r="BZ187" s="2062"/>
      <c r="CA187" s="2062"/>
      <c r="CB187" s="2062"/>
      <c r="CC187" s="2062"/>
      <c r="CD187" s="2062"/>
      <c r="CE187" s="2062"/>
      <c r="CF187" s="2062"/>
      <c r="CG187" s="2062"/>
      <c r="CH187" s="2062"/>
      <c r="CI187" s="2062"/>
      <c r="CJ187" s="2062"/>
      <c r="CK187" s="2062"/>
      <c r="CL187" s="2062"/>
      <c r="CM187" s="2062"/>
      <c r="CN187" s="2062"/>
      <c r="CO187" s="2062"/>
      <c r="CP187" s="2062"/>
      <c r="CQ187" s="2062"/>
      <c r="CR187" s="2062"/>
      <c r="CS187" s="2062"/>
      <c r="CT187" s="2062"/>
      <c r="CU187" s="2062"/>
      <c r="CV187" s="2062"/>
      <c r="CW187" s="2062"/>
      <c r="CX187" s="2062"/>
      <c r="CY187" s="2062"/>
      <c r="CZ187" s="2062"/>
      <c r="DA187" s="2062"/>
      <c r="DB187" s="2062"/>
      <c r="DC187" s="2062"/>
      <c r="DD187" s="2062"/>
      <c r="DE187" s="2062"/>
      <c r="DF187" s="2062"/>
      <c r="DG187" s="2062"/>
      <c r="DH187" s="2062"/>
      <c r="DI187" s="2062"/>
      <c r="DJ187" s="2062"/>
      <c r="DK187" s="2062"/>
      <c r="DL187" s="2062"/>
      <c r="DM187" s="2062"/>
      <c r="DN187" s="2062"/>
      <c r="DO187" s="2062"/>
      <c r="DP187" s="2062"/>
      <c r="DQ187" s="2062"/>
      <c r="DR187" s="2063"/>
      <c r="DS187" s="313"/>
      <c r="DT187" s="311"/>
    </row>
    <row r="188" spans="2:124" ht="30" customHeight="1">
      <c r="B188" s="312"/>
      <c r="C188" s="313"/>
      <c r="D188" s="2068"/>
      <c r="E188" s="2068"/>
      <c r="F188" s="2068"/>
      <c r="G188" s="2068"/>
      <c r="H188" s="2064"/>
      <c r="I188" s="2065"/>
      <c r="J188" s="2065"/>
      <c r="K188" s="2065"/>
      <c r="L188" s="2065"/>
      <c r="M188" s="2065"/>
      <c r="N188" s="2065"/>
      <c r="O188" s="2065"/>
      <c r="P188" s="2065"/>
      <c r="Q188" s="2065"/>
      <c r="R188" s="2065"/>
      <c r="S188" s="2065"/>
      <c r="T188" s="2065"/>
      <c r="U188" s="2065"/>
      <c r="V188" s="2065"/>
      <c r="W188" s="2065"/>
      <c r="X188" s="2065"/>
      <c r="Y188" s="2065"/>
      <c r="Z188" s="2065"/>
      <c r="AA188" s="2065"/>
      <c r="AB188" s="2065"/>
      <c r="AC188" s="2065"/>
      <c r="AD188" s="2065"/>
      <c r="AE188" s="2065"/>
      <c r="AF188" s="2065"/>
      <c r="AG188" s="2065"/>
      <c r="AH188" s="2065"/>
      <c r="AI188" s="2065"/>
      <c r="AJ188" s="2065"/>
      <c r="AK188" s="2065"/>
      <c r="AL188" s="2065"/>
      <c r="AM188" s="2065"/>
      <c r="AN188" s="2065"/>
      <c r="AO188" s="2065"/>
      <c r="AP188" s="2065"/>
      <c r="AQ188" s="2065"/>
      <c r="AR188" s="2065"/>
      <c r="AS188" s="2065"/>
      <c r="AT188" s="2065"/>
      <c r="AU188" s="2065"/>
      <c r="AV188" s="2065"/>
      <c r="AW188" s="2065"/>
      <c r="AX188" s="2065"/>
      <c r="AY188" s="2065"/>
      <c r="AZ188" s="2065"/>
      <c r="BA188" s="2065"/>
      <c r="BB188" s="2065"/>
      <c r="BC188" s="2065"/>
      <c r="BD188" s="2065"/>
      <c r="BE188" s="2065"/>
      <c r="BF188" s="2065"/>
      <c r="BG188" s="2065"/>
      <c r="BH188" s="2065"/>
      <c r="BI188" s="2065"/>
      <c r="BJ188" s="2065"/>
      <c r="BK188" s="2065"/>
      <c r="BL188" s="2065"/>
      <c r="BM188" s="2065"/>
      <c r="BN188" s="2065"/>
      <c r="BO188" s="2065"/>
      <c r="BP188" s="2065"/>
      <c r="BQ188" s="2065"/>
      <c r="BR188" s="2065"/>
      <c r="BS188" s="2065"/>
      <c r="BT188" s="2065"/>
      <c r="BU188" s="2065"/>
      <c r="BV188" s="2065"/>
      <c r="BW188" s="2065"/>
      <c r="BX188" s="2065"/>
      <c r="BY188" s="2065"/>
      <c r="BZ188" s="2065"/>
      <c r="CA188" s="2065"/>
      <c r="CB188" s="2065"/>
      <c r="CC188" s="2065"/>
      <c r="CD188" s="2065"/>
      <c r="CE188" s="2065"/>
      <c r="CF188" s="2065"/>
      <c r="CG188" s="2065"/>
      <c r="CH188" s="2065"/>
      <c r="CI188" s="2065"/>
      <c r="CJ188" s="2065"/>
      <c r="CK188" s="2065"/>
      <c r="CL188" s="2065"/>
      <c r="CM188" s="2065"/>
      <c r="CN188" s="2065"/>
      <c r="CO188" s="2065"/>
      <c r="CP188" s="2065"/>
      <c r="CQ188" s="2065"/>
      <c r="CR188" s="2065"/>
      <c r="CS188" s="2065"/>
      <c r="CT188" s="2065"/>
      <c r="CU188" s="2065"/>
      <c r="CV188" s="2065"/>
      <c r="CW188" s="2065"/>
      <c r="CX188" s="2065"/>
      <c r="CY188" s="2065"/>
      <c r="CZ188" s="2065"/>
      <c r="DA188" s="2065"/>
      <c r="DB188" s="2065"/>
      <c r="DC188" s="2065"/>
      <c r="DD188" s="2065"/>
      <c r="DE188" s="2065"/>
      <c r="DF188" s="2065"/>
      <c r="DG188" s="2065"/>
      <c r="DH188" s="2065"/>
      <c r="DI188" s="2065"/>
      <c r="DJ188" s="2065"/>
      <c r="DK188" s="2065"/>
      <c r="DL188" s="2065"/>
      <c r="DM188" s="2065"/>
      <c r="DN188" s="2065"/>
      <c r="DO188" s="2065"/>
      <c r="DP188" s="2065"/>
      <c r="DQ188" s="2065"/>
      <c r="DR188" s="2066"/>
      <c r="DS188" s="313"/>
      <c r="DT188" s="311"/>
    </row>
    <row r="189" spans="2:124" ht="6" customHeight="1">
      <c r="B189" s="312"/>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313"/>
      <c r="Z189" s="313"/>
      <c r="AA189" s="313"/>
      <c r="AB189" s="313"/>
      <c r="AC189" s="313"/>
      <c r="AD189" s="313"/>
      <c r="AE189" s="313"/>
      <c r="AF189" s="313"/>
      <c r="AG189" s="313"/>
      <c r="AH189" s="313"/>
      <c r="AI189" s="313"/>
      <c r="AJ189" s="313"/>
      <c r="AK189" s="313"/>
      <c r="AL189" s="313"/>
      <c r="AM189" s="313"/>
      <c r="AN189" s="313"/>
      <c r="AO189" s="313"/>
      <c r="AP189" s="313"/>
      <c r="AQ189" s="313"/>
      <c r="AR189" s="313"/>
      <c r="AS189" s="313"/>
      <c r="AT189" s="313"/>
      <c r="AU189" s="313"/>
      <c r="AV189" s="313"/>
      <c r="AW189" s="313"/>
      <c r="AX189" s="313"/>
      <c r="AY189" s="313"/>
      <c r="AZ189" s="313"/>
      <c r="BA189" s="313"/>
      <c r="BB189" s="313"/>
      <c r="BC189" s="313"/>
      <c r="BD189" s="313"/>
      <c r="BE189" s="313"/>
      <c r="BF189" s="313"/>
      <c r="BG189" s="313"/>
      <c r="BH189" s="313"/>
      <c r="BI189" s="313"/>
      <c r="BJ189" s="313"/>
      <c r="BK189" s="313"/>
      <c r="BL189" s="313"/>
      <c r="BM189" s="313"/>
      <c r="BN189" s="313"/>
      <c r="BO189" s="313"/>
      <c r="BP189" s="313"/>
      <c r="BQ189" s="313"/>
      <c r="BR189" s="313"/>
      <c r="BS189" s="313"/>
      <c r="BT189" s="313"/>
      <c r="BU189" s="313"/>
      <c r="BV189" s="313"/>
      <c r="BW189" s="313"/>
      <c r="BX189" s="313"/>
      <c r="BY189" s="313"/>
      <c r="BZ189" s="313"/>
      <c r="CA189" s="313"/>
      <c r="CB189" s="313"/>
      <c r="CC189" s="313"/>
      <c r="CD189" s="313"/>
      <c r="CE189" s="313"/>
      <c r="CF189" s="313"/>
      <c r="CG189" s="313"/>
      <c r="CH189" s="313"/>
      <c r="CI189" s="313"/>
      <c r="CJ189" s="313"/>
      <c r="CK189" s="313"/>
      <c r="CL189" s="313"/>
      <c r="CM189" s="313"/>
      <c r="CN189" s="313"/>
      <c r="CO189" s="313"/>
      <c r="CP189" s="313"/>
      <c r="CQ189" s="313"/>
      <c r="CR189" s="313"/>
      <c r="CS189" s="313"/>
      <c r="CT189" s="313"/>
      <c r="CU189" s="313"/>
      <c r="CV189" s="313"/>
      <c r="CW189" s="313"/>
      <c r="CX189" s="313"/>
      <c r="CY189" s="313"/>
      <c r="CZ189" s="313"/>
      <c r="DA189" s="313"/>
      <c r="DB189" s="313"/>
      <c r="DC189" s="313"/>
      <c r="DD189" s="313"/>
      <c r="DE189" s="313"/>
      <c r="DF189" s="313"/>
      <c r="DG189" s="313"/>
      <c r="DH189" s="313"/>
      <c r="DI189" s="313"/>
      <c r="DJ189" s="313"/>
      <c r="DK189" s="313"/>
      <c r="DL189" s="313"/>
      <c r="DM189" s="313"/>
      <c r="DN189" s="313"/>
      <c r="DO189" s="313"/>
      <c r="DP189" s="313"/>
      <c r="DQ189" s="313"/>
      <c r="DR189" s="313"/>
      <c r="DS189" s="313"/>
      <c r="DT189" s="311"/>
    </row>
    <row r="190" spans="2:124" ht="30" customHeight="1">
      <c r="B190" s="312"/>
      <c r="C190" s="313"/>
      <c r="D190" s="2068" t="str">
        <f ca="1">INDIRECT('D1-D2-D3'!$J$4&amp;"!C140")</f>
        <v>Non-detection</v>
      </c>
      <c r="E190" s="2068"/>
      <c r="F190" s="2068"/>
      <c r="G190" s="2068"/>
      <c r="H190" s="2058"/>
      <c r="I190" s="2059"/>
      <c r="J190" s="2059"/>
      <c r="K190" s="2059"/>
      <c r="L190" s="2059"/>
      <c r="M190" s="2059"/>
      <c r="N190" s="2059"/>
      <c r="O190" s="2059"/>
      <c r="P190" s="2059"/>
      <c r="Q190" s="2059"/>
      <c r="R190" s="2059"/>
      <c r="S190" s="2059"/>
      <c r="T190" s="2059"/>
      <c r="U190" s="2059"/>
      <c r="V190" s="2059"/>
      <c r="W190" s="2059"/>
      <c r="X190" s="2059"/>
      <c r="Y190" s="2059"/>
      <c r="Z190" s="2059"/>
      <c r="AA190" s="2059"/>
      <c r="AB190" s="2059"/>
      <c r="AC190" s="2059"/>
      <c r="AD190" s="2059"/>
      <c r="AE190" s="2059"/>
      <c r="AF190" s="2059"/>
      <c r="AG190" s="2059"/>
      <c r="AH190" s="2059"/>
      <c r="AI190" s="2059"/>
      <c r="AJ190" s="2059"/>
      <c r="AK190" s="2059"/>
      <c r="AL190" s="2059"/>
      <c r="AM190" s="2059"/>
      <c r="AN190" s="2059"/>
      <c r="AO190" s="2059"/>
      <c r="AP190" s="2059"/>
      <c r="AQ190" s="2059"/>
      <c r="AR190" s="2059"/>
      <c r="AS190" s="2059"/>
      <c r="AT190" s="2059"/>
      <c r="AU190" s="2059"/>
      <c r="AV190" s="2059"/>
      <c r="AW190" s="2059"/>
      <c r="AX190" s="2059"/>
      <c r="AY190" s="2059"/>
      <c r="AZ190" s="2059"/>
      <c r="BA190" s="2059"/>
      <c r="BB190" s="2059"/>
      <c r="BC190" s="2059"/>
      <c r="BD190" s="2059"/>
      <c r="BE190" s="2059"/>
      <c r="BF190" s="2059"/>
      <c r="BG190" s="2059"/>
      <c r="BH190" s="2059"/>
      <c r="BI190" s="2059"/>
      <c r="BJ190" s="2059"/>
      <c r="BK190" s="2059"/>
      <c r="BL190" s="2059"/>
      <c r="BM190" s="2059"/>
      <c r="BN190" s="2059"/>
      <c r="BO190" s="2059"/>
      <c r="BP190" s="2059"/>
      <c r="BQ190" s="2059"/>
      <c r="BR190" s="2059"/>
      <c r="BS190" s="2059"/>
      <c r="BT190" s="2059"/>
      <c r="BU190" s="2059"/>
      <c r="BV190" s="2059"/>
      <c r="BW190" s="2059"/>
      <c r="BX190" s="2059"/>
      <c r="BY190" s="2059"/>
      <c r="BZ190" s="2059"/>
      <c r="CA190" s="2059"/>
      <c r="CB190" s="2059"/>
      <c r="CC190" s="2059"/>
      <c r="CD190" s="2059"/>
      <c r="CE190" s="2059"/>
      <c r="CF190" s="2059"/>
      <c r="CG190" s="2059"/>
      <c r="CH190" s="2059"/>
      <c r="CI190" s="2059"/>
      <c r="CJ190" s="2059"/>
      <c r="CK190" s="2059"/>
      <c r="CL190" s="2059"/>
      <c r="CM190" s="2059"/>
      <c r="CN190" s="2059"/>
      <c r="CO190" s="2059"/>
      <c r="CP190" s="2059"/>
      <c r="CQ190" s="2059"/>
      <c r="CR190" s="2059"/>
      <c r="CS190" s="2059"/>
      <c r="CT190" s="2059"/>
      <c r="CU190" s="2059"/>
      <c r="CV190" s="2059"/>
      <c r="CW190" s="2059"/>
      <c r="CX190" s="2059"/>
      <c r="CY190" s="2059"/>
      <c r="CZ190" s="2059"/>
      <c r="DA190" s="2059"/>
      <c r="DB190" s="2059"/>
      <c r="DC190" s="2059"/>
      <c r="DD190" s="2059"/>
      <c r="DE190" s="2059"/>
      <c r="DF190" s="2059"/>
      <c r="DG190" s="2059"/>
      <c r="DH190" s="2059"/>
      <c r="DI190" s="2059"/>
      <c r="DJ190" s="2059"/>
      <c r="DK190" s="2059"/>
      <c r="DL190" s="2059"/>
      <c r="DM190" s="2059"/>
      <c r="DN190" s="2059"/>
      <c r="DO190" s="2059"/>
      <c r="DP190" s="2059"/>
      <c r="DQ190" s="2059"/>
      <c r="DR190" s="2060"/>
      <c r="DS190" s="313"/>
      <c r="DT190" s="311"/>
    </row>
    <row r="191" spans="2:124" ht="30" customHeight="1">
      <c r="B191" s="312"/>
      <c r="C191" s="313"/>
      <c r="D191" s="2068"/>
      <c r="E191" s="2068"/>
      <c r="F191" s="2068"/>
      <c r="G191" s="2068"/>
      <c r="H191" s="2061"/>
      <c r="I191" s="2062"/>
      <c r="J191" s="2062"/>
      <c r="K191" s="2062"/>
      <c r="L191" s="2062"/>
      <c r="M191" s="2062"/>
      <c r="N191" s="2062"/>
      <c r="O191" s="2062"/>
      <c r="P191" s="2062"/>
      <c r="Q191" s="2062"/>
      <c r="R191" s="2062"/>
      <c r="S191" s="2062"/>
      <c r="T191" s="2062"/>
      <c r="U191" s="2062"/>
      <c r="V191" s="2062"/>
      <c r="W191" s="2062"/>
      <c r="X191" s="2062"/>
      <c r="Y191" s="2062"/>
      <c r="Z191" s="2062"/>
      <c r="AA191" s="2062"/>
      <c r="AB191" s="2062"/>
      <c r="AC191" s="2062"/>
      <c r="AD191" s="2062"/>
      <c r="AE191" s="2062"/>
      <c r="AF191" s="2062"/>
      <c r="AG191" s="2062"/>
      <c r="AH191" s="2062"/>
      <c r="AI191" s="2062"/>
      <c r="AJ191" s="2062"/>
      <c r="AK191" s="2062"/>
      <c r="AL191" s="2062"/>
      <c r="AM191" s="2062"/>
      <c r="AN191" s="2062"/>
      <c r="AO191" s="2062"/>
      <c r="AP191" s="2062"/>
      <c r="AQ191" s="2062"/>
      <c r="AR191" s="2062"/>
      <c r="AS191" s="2062"/>
      <c r="AT191" s="2062"/>
      <c r="AU191" s="2062"/>
      <c r="AV191" s="2062"/>
      <c r="AW191" s="2062"/>
      <c r="AX191" s="2062"/>
      <c r="AY191" s="2062"/>
      <c r="AZ191" s="2062"/>
      <c r="BA191" s="2062"/>
      <c r="BB191" s="2062"/>
      <c r="BC191" s="2062"/>
      <c r="BD191" s="2062"/>
      <c r="BE191" s="2062"/>
      <c r="BF191" s="2062"/>
      <c r="BG191" s="2062"/>
      <c r="BH191" s="2062"/>
      <c r="BI191" s="2062"/>
      <c r="BJ191" s="2062"/>
      <c r="BK191" s="2062"/>
      <c r="BL191" s="2062"/>
      <c r="BM191" s="2062"/>
      <c r="BN191" s="2062"/>
      <c r="BO191" s="2062"/>
      <c r="BP191" s="2062"/>
      <c r="BQ191" s="2062"/>
      <c r="BR191" s="2062"/>
      <c r="BS191" s="2062"/>
      <c r="BT191" s="2062"/>
      <c r="BU191" s="2062"/>
      <c r="BV191" s="2062"/>
      <c r="BW191" s="2062"/>
      <c r="BX191" s="2062"/>
      <c r="BY191" s="2062"/>
      <c r="BZ191" s="2062"/>
      <c r="CA191" s="2062"/>
      <c r="CB191" s="2062"/>
      <c r="CC191" s="2062"/>
      <c r="CD191" s="2062"/>
      <c r="CE191" s="2062"/>
      <c r="CF191" s="2062"/>
      <c r="CG191" s="2062"/>
      <c r="CH191" s="2062"/>
      <c r="CI191" s="2062"/>
      <c r="CJ191" s="2062"/>
      <c r="CK191" s="2062"/>
      <c r="CL191" s="2062"/>
      <c r="CM191" s="2062"/>
      <c r="CN191" s="2062"/>
      <c r="CO191" s="2062"/>
      <c r="CP191" s="2062"/>
      <c r="CQ191" s="2062"/>
      <c r="CR191" s="2062"/>
      <c r="CS191" s="2062"/>
      <c r="CT191" s="2062"/>
      <c r="CU191" s="2062"/>
      <c r="CV191" s="2062"/>
      <c r="CW191" s="2062"/>
      <c r="CX191" s="2062"/>
      <c r="CY191" s="2062"/>
      <c r="CZ191" s="2062"/>
      <c r="DA191" s="2062"/>
      <c r="DB191" s="2062"/>
      <c r="DC191" s="2062"/>
      <c r="DD191" s="2062"/>
      <c r="DE191" s="2062"/>
      <c r="DF191" s="2062"/>
      <c r="DG191" s="2062"/>
      <c r="DH191" s="2062"/>
      <c r="DI191" s="2062"/>
      <c r="DJ191" s="2062"/>
      <c r="DK191" s="2062"/>
      <c r="DL191" s="2062"/>
      <c r="DM191" s="2062"/>
      <c r="DN191" s="2062"/>
      <c r="DO191" s="2062"/>
      <c r="DP191" s="2062"/>
      <c r="DQ191" s="2062"/>
      <c r="DR191" s="2063"/>
      <c r="DS191" s="313"/>
      <c r="DT191" s="311"/>
    </row>
    <row r="192" spans="2:124" ht="30" customHeight="1">
      <c r="B192" s="312"/>
      <c r="C192" s="313"/>
      <c r="D192" s="2068"/>
      <c r="E192" s="2068"/>
      <c r="F192" s="2068"/>
      <c r="G192" s="2068"/>
      <c r="H192" s="2061"/>
      <c r="I192" s="2062"/>
      <c r="J192" s="2062"/>
      <c r="K192" s="2062"/>
      <c r="L192" s="2062"/>
      <c r="M192" s="2062"/>
      <c r="N192" s="2062"/>
      <c r="O192" s="2062"/>
      <c r="P192" s="2062"/>
      <c r="Q192" s="2062"/>
      <c r="R192" s="2062"/>
      <c r="S192" s="2062"/>
      <c r="T192" s="2062"/>
      <c r="U192" s="2062"/>
      <c r="V192" s="2062"/>
      <c r="W192" s="2062"/>
      <c r="X192" s="2062"/>
      <c r="Y192" s="2062"/>
      <c r="Z192" s="2062"/>
      <c r="AA192" s="2062"/>
      <c r="AB192" s="2062"/>
      <c r="AC192" s="2062"/>
      <c r="AD192" s="2062"/>
      <c r="AE192" s="2062"/>
      <c r="AF192" s="2062"/>
      <c r="AG192" s="2062"/>
      <c r="AH192" s="2062"/>
      <c r="AI192" s="2062"/>
      <c r="AJ192" s="2062"/>
      <c r="AK192" s="2062"/>
      <c r="AL192" s="2062"/>
      <c r="AM192" s="2062"/>
      <c r="AN192" s="2062"/>
      <c r="AO192" s="2062"/>
      <c r="AP192" s="2062"/>
      <c r="AQ192" s="2062"/>
      <c r="AR192" s="2062"/>
      <c r="AS192" s="2062"/>
      <c r="AT192" s="2062"/>
      <c r="AU192" s="2062"/>
      <c r="AV192" s="2062"/>
      <c r="AW192" s="2062"/>
      <c r="AX192" s="2062"/>
      <c r="AY192" s="2062"/>
      <c r="AZ192" s="2062"/>
      <c r="BA192" s="2062"/>
      <c r="BB192" s="2062"/>
      <c r="BC192" s="2062"/>
      <c r="BD192" s="2062"/>
      <c r="BE192" s="2062"/>
      <c r="BF192" s="2062"/>
      <c r="BG192" s="2062"/>
      <c r="BH192" s="2062"/>
      <c r="BI192" s="2062"/>
      <c r="BJ192" s="2062"/>
      <c r="BK192" s="2062"/>
      <c r="BL192" s="2062"/>
      <c r="BM192" s="2062"/>
      <c r="BN192" s="2062"/>
      <c r="BO192" s="2062"/>
      <c r="BP192" s="2062"/>
      <c r="BQ192" s="2062"/>
      <c r="BR192" s="2062"/>
      <c r="BS192" s="2062"/>
      <c r="BT192" s="2062"/>
      <c r="BU192" s="2062"/>
      <c r="BV192" s="2062"/>
      <c r="BW192" s="2062"/>
      <c r="BX192" s="2062"/>
      <c r="BY192" s="2062"/>
      <c r="BZ192" s="2062"/>
      <c r="CA192" s="2062"/>
      <c r="CB192" s="2062"/>
      <c r="CC192" s="2062"/>
      <c r="CD192" s="2062"/>
      <c r="CE192" s="2062"/>
      <c r="CF192" s="2062"/>
      <c r="CG192" s="2062"/>
      <c r="CH192" s="2062"/>
      <c r="CI192" s="2062"/>
      <c r="CJ192" s="2062"/>
      <c r="CK192" s="2062"/>
      <c r="CL192" s="2062"/>
      <c r="CM192" s="2062"/>
      <c r="CN192" s="2062"/>
      <c r="CO192" s="2062"/>
      <c r="CP192" s="2062"/>
      <c r="CQ192" s="2062"/>
      <c r="CR192" s="2062"/>
      <c r="CS192" s="2062"/>
      <c r="CT192" s="2062"/>
      <c r="CU192" s="2062"/>
      <c r="CV192" s="2062"/>
      <c r="CW192" s="2062"/>
      <c r="CX192" s="2062"/>
      <c r="CY192" s="2062"/>
      <c r="CZ192" s="2062"/>
      <c r="DA192" s="2062"/>
      <c r="DB192" s="2062"/>
      <c r="DC192" s="2062"/>
      <c r="DD192" s="2062"/>
      <c r="DE192" s="2062"/>
      <c r="DF192" s="2062"/>
      <c r="DG192" s="2062"/>
      <c r="DH192" s="2062"/>
      <c r="DI192" s="2062"/>
      <c r="DJ192" s="2062"/>
      <c r="DK192" s="2062"/>
      <c r="DL192" s="2062"/>
      <c r="DM192" s="2062"/>
      <c r="DN192" s="2062"/>
      <c r="DO192" s="2062"/>
      <c r="DP192" s="2062"/>
      <c r="DQ192" s="2062"/>
      <c r="DR192" s="2063"/>
      <c r="DS192" s="313"/>
      <c r="DT192" s="311"/>
    </row>
    <row r="193" spans="2:124" ht="30" customHeight="1">
      <c r="B193" s="319"/>
      <c r="C193" s="313"/>
      <c r="D193" s="2068"/>
      <c r="E193" s="2068"/>
      <c r="F193" s="2068"/>
      <c r="G193" s="2068"/>
      <c r="H193" s="2061"/>
      <c r="I193" s="2062"/>
      <c r="J193" s="2062"/>
      <c r="K193" s="2062"/>
      <c r="L193" s="2062"/>
      <c r="M193" s="2062"/>
      <c r="N193" s="2062"/>
      <c r="O193" s="2062"/>
      <c r="P193" s="2062"/>
      <c r="Q193" s="2062"/>
      <c r="R193" s="2062"/>
      <c r="S193" s="2062"/>
      <c r="T193" s="2062"/>
      <c r="U193" s="2062"/>
      <c r="V193" s="2062"/>
      <c r="W193" s="2062"/>
      <c r="X193" s="2062"/>
      <c r="Y193" s="2062"/>
      <c r="Z193" s="2062"/>
      <c r="AA193" s="2062"/>
      <c r="AB193" s="2062"/>
      <c r="AC193" s="2062"/>
      <c r="AD193" s="2062"/>
      <c r="AE193" s="2062"/>
      <c r="AF193" s="2062"/>
      <c r="AG193" s="2062"/>
      <c r="AH193" s="2062"/>
      <c r="AI193" s="2062"/>
      <c r="AJ193" s="2062"/>
      <c r="AK193" s="2062"/>
      <c r="AL193" s="2062"/>
      <c r="AM193" s="2062"/>
      <c r="AN193" s="2062"/>
      <c r="AO193" s="2062"/>
      <c r="AP193" s="2062"/>
      <c r="AQ193" s="2062"/>
      <c r="AR193" s="2062"/>
      <c r="AS193" s="2062"/>
      <c r="AT193" s="2062"/>
      <c r="AU193" s="2062"/>
      <c r="AV193" s="2062"/>
      <c r="AW193" s="2062"/>
      <c r="AX193" s="2062"/>
      <c r="AY193" s="2062"/>
      <c r="AZ193" s="2062"/>
      <c r="BA193" s="2062"/>
      <c r="BB193" s="2062"/>
      <c r="BC193" s="2062"/>
      <c r="BD193" s="2062"/>
      <c r="BE193" s="2062"/>
      <c r="BF193" s="2062"/>
      <c r="BG193" s="2062"/>
      <c r="BH193" s="2062"/>
      <c r="BI193" s="2062"/>
      <c r="BJ193" s="2062"/>
      <c r="BK193" s="2062"/>
      <c r="BL193" s="2062"/>
      <c r="BM193" s="2062"/>
      <c r="BN193" s="2062"/>
      <c r="BO193" s="2062"/>
      <c r="BP193" s="2062"/>
      <c r="BQ193" s="2062"/>
      <c r="BR193" s="2062"/>
      <c r="BS193" s="2062"/>
      <c r="BT193" s="2062"/>
      <c r="BU193" s="2062"/>
      <c r="BV193" s="2062"/>
      <c r="BW193" s="2062"/>
      <c r="BX193" s="2062"/>
      <c r="BY193" s="2062"/>
      <c r="BZ193" s="2062"/>
      <c r="CA193" s="2062"/>
      <c r="CB193" s="2062"/>
      <c r="CC193" s="2062"/>
      <c r="CD193" s="2062"/>
      <c r="CE193" s="2062"/>
      <c r="CF193" s="2062"/>
      <c r="CG193" s="2062"/>
      <c r="CH193" s="2062"/>
      <c r="CI193" s="2062"/>
      <c r="CJ193" s="2062"/>
      <c r="CK193" s="2062"/>
      <c r="CL193" s="2062"/>
      <c r="CM193" s="2062"/>
      <c r="CN193" s="2062"/>
      <c r="CO193" s="2062"/>
      <c r="CP193" s="2062"/>
      <c r="CQ193" s="2062"/>
      <c r="CR193" s="2062"/>
      <c r="CS193" s="2062"/>
      <c r="CT193" s="2062"/>
      <c r="CU193" s="2062"/>
      <c r="CV193" s="2062"/>
      <c r="CW193" s="2062"/>
      <c r="CX193" s="2062"/>
      <c r="CY193" s="2062"/>
      <c r="CZ193" s="2062"/>
      <c r="DA193" s="2062"/>
      <c r="DB193" s="2062"/>
      <c r="DC193" s="2062"/>
      <c r="DD193" s="2062"/>
      <c r="DE193" s="2062"/>
      <c r="DF193" s="2062"/>
      <c r="DG193" s="2062"/>
      <c r="DH193" s="2062"/>
      <c r="DI193" s="2062"/>
      <c r="DJ193" s="2062"/>
      <c r="DK193" s="2062"/>
      <c r="DL193" s="2062"/>
      <c r="DM193" s="2062"/>
      <c r="DN193" s="2062"/>
      <c r="DO193" s="2062"/>
      <c r="DP193" s="2062"/>
      <c r="DQ193" s="2062"/>
      <c r="DR193" s="2063"/>
      <c r="DS193" s="313"/>
      <c r="DT193" s="311"/>
    </row>
    <row r="194" spans="2:124" ht="30" customHeight="1">
      <c r="B194" s="319"/>
      <c r="C194" s="313"/>
      <c r="D194" s="2068"/>
      <c r="E194" s="2068"/>
      <c r="F194" s="2068"/>
      <c r="G194" s="2068"/>
      <c r="H194" s="2061"/>
      <c r="I194" s="2062"/>
      <c r="J194" s="2062"/>
      <c r="K194" s="2062"/>
      <c r="L194" s="2062"/>
      <c r="M194" s="2062"/>
      <c r="N194" s="2062"/>
      <c r="O194" s="2062"/>
      <c r="P194" s="2062"/>
      <c r="Q194" s="2062"/>
      <c r="R194" s="2062"/>
      <c r="S194" s="2062"/>
      <c r="T194" s="2062"/>
      <c r="U194" s="2062"/>
      <c r="V194" s="2062"/>
      <c r="W194" s="2062"/>
      <c r="X194" s="2062"/>
      <c r="Y194" s="2062"/>
      <c r="Z194" s="2062"/>
      <c r="AA194" s="2062"/>
      <c r="AB194" s="2062"/>
      <c r="AC194" s="2062"/>
      <c r="AD194" s="2062"/>
      <c r="AE194" s="2062"/>
      <c r="AF194" s="2062"/>
      <c r="AG194" s="2062"/>
      <c r="AH194" s="2062"/>
      <c r="AI194" s="2062"/>
      <c r="AJ194" s="2062"/>
      <c r="AK194" s="2062"/>
      <c r="AL194" s="2062"/>
      <c r="AM194" s="2062"/>
      <c r="AN194" s="2062"/>
      <c r="AO194" s="2062"/>
      <c r="AP194" s="2062"/>
      <c r="AQ194" s="2062"/>
      <c r="AR194" s="2062"/>
      <c r="AS194" s="2062"/>
      <c r="AT194" s="2062"/>
      <c r="AU194" s="2062"/>
      <c r="AV194" s="2062"/>
      <c r="AW194" s="2062"/>
      <c r="AX194" s="2062"/>
      <c r="AY194" s="2062"/>
      <c r="AZ194" s="2062"/>
      <c r="BA194" s="2062"/>
      <c r="BB194" s="2062"/>
      <c r="BC194" s="2062"/>
      <c r="BD194" s="2062"/>
      <c r="BE194" s="2062"/>
      <c r="BF194" s="2062"/>
      <c r="BG194" s="2062"/>
      <c r="BH194" s="2062"/>
      <c r="BI194" s="2062"/>
      <c r="BJ194" s="2062"/>
      <c r="BK194" s="2062"/>
      <c r="BL194" s="2062"/>
      <c r="BM194" s="2062"/>
      <c r="BN194" s="2062"/>
      <c r="BO194" s="2062"/>
      <c r="BP194" s="2062"/>
      <c r="BQ194" s="2062"/>
      <c r="BR194" s="2062"/>
      <c r="BS194" s="2062"/>
      <c r="BT194" s="2062"/>
      <c r="BU194" s="2062"/>
      <c r="BV194" s="2062"/>
      <c r="BW194" s="2062"/>
      <c r="BX194" s="2062"/>
      <c r="BY194" s="2062"/>
      <c r="BZ194" s="2062"/>
      <c r="CA194" s="2062"/>
      <c r="CB194" s="2062"/>
      <c r="CC194" s="2062"/>
      <c r="CD194" s="2062"/>
      <c r="CE194" s="2062"/>
      <c r="CF194" s="2062"/>
      <c r="CG194" s="2062"/>
      <c r="CH194" s="2062"/>
      <c r="CI194" s="2062"/>
      <c r="CJ194" s="2062"/>
      <c r="CK194" s="2062"/>
      <c r="CL194" s="2062"/>
      <c r="CM194" s="2062"/>
      <c r="CN194" s="2062"/>
      <c r="CO194" s="2062"/>
      <c r="CP194" s="2062"/>
      <c r="CQ194" s="2062"/>
      <c r="CR194" s="2062"/>
      <c r="CS194" s="2062"/>
      <c r="CT194" s="2062"/>
      <c r="CU194" s="2062"/>
      <c r="CV194" s="2062"/>
      <c r="CW194" s="2062"/>
      <c r="CX194" s="2062"/>
      <c r="CY194" s="2062"/>
      <c r="CZ194" s="2062"/>
      <c r="DA194" s="2062"/>
      <c r="DB194" s="2062"/>
      <c r="DC194" s="2062"/>
      <c r="DD194" s="2062"/>
      <c r="DE194" s="2062"/>
      <c r="DF194" s="2062"/>
      <c r="DG194" s="2062"/>
      <c r="DH194" s="2062"/>
      <c r="DI194" s="2062"/>
      <c r="DJ194" s="2062"/>
      <c r="DK194" s="2062"/>
      <c r="DL194" s="2062"/>
      <c r="DM194" s="2062"/>
      <c r="DN194" s="2062"/>
      <c r="DO194" s="2062"/>
      <c r="DP194" s="2062"/>
      <c r="DQ194" s="2062"/>
      <c r="DR194" s="2063"/>
      <c r="DS194" s="313"/>
      <c r="DT194" s="311"/>
    </row>
    <row r="195" spans="2:124" ht="30" customHeight="1">
      <c r="B195" s="319"/>
      <c r="C195" s="313"/>
      <c r="D195" s="2068"/>
      <c r="E195" s="2068"/>
      <c r="F195" s="2068"/>
      <c r="G195" s="2068"/>
      <c r="H195" s="2061"/>
      <c r="I195" s="2062"/>
      <c r="J195" s="2062"/>
      <c r="K195" s="2062"/>
      <c r="L195" s="2062"/>
      <c r="M195" s="2062"/>
      <c r="N195" s="2062"/>
      <c r="O195" s="2062"/>
      <c r="P195" s="2062"/>
      <c r="Q195" s="2062"/>
      <c r="R195" s="2062"/>
      <c r="S195" s="2062"/>
      <c r="T195" s="2062"/>
      <c r="U195" s="2062"/>
      <c r="V195" s="2062"/>
      <c r="W195" s="2062"/>
      <c r="X195" s="2062"/>
      <c r="Y195" s="2062"/>
      <c r="Z195" s="2062"/>
      <c r="AA195" s="2062"/>
      <c r="AB195" s="2062"/>
      <c r="AC195" s="2062"/>
      <c r="AD195" s="2062"/>
      <c r="AE195" s="2062"/>
      <c r="AF195" s="2062"/>
      <c r="AG195" s="2062"/>
      <c r="AH195" s="2062"/>
      <c r="AI195" s="2062"/>
      <c r="AJ195" s="2062"/>
      <c r="AK195" s="2062"/>
      <c r="AL195" s="2062"/>
      <c r="AM195" s="2062"/>
      <c r="AN195" s="2062"/>
      <c r="AO195" s="2062"/>
      <c r="AP195" s="2062"/>
      <c r="AQ195" s="2062"/>
      <c r="AR195" s="2062"/>
      <c r="AS195" s="2062"/>
      <c r="AT195" s="2062"/>
      <c r="AU195" s="2062"/>
      <c r="AV195" s="2062"/>
      <c r="AW195" s="2062"/>
      <c r="AX195" s="2062"/>
      <c r="AY195" s="2062"/>
      <c r="AZ195" s="2062"/>
      <c r="BA195" s="2062"/>
      <c r="BB195" s="2062"/>
      <c r="BC195" s="2062"/>
      <c r="BD195" s="2062"/>
      <c r="BE195" s="2062"/>
      <c r="BF195" s="2062"/>
      <c r="BG195" s="2062"/>
      <c r="BH195" s="2062"/>
      <c r="BI195" s="2062"/>
      <c r="BJ195" s="2062"/>
      <c r="BK195" s="2062"/>
      <c r="BL195" s="2062"/>
      <c r="BM195" s="2062"/>
      <c r="BN195" s="2062"/>
      <c r="BO195" s="2062"/>
      <c r="BP195" s="2062"/>
      <c r="BQ195" s="2062"/>
      <c r="BR195" s="2062"/>
      <c r="BS195" s="2062"/>
      <c r="BT195" s="2062"/>
      <c r="BU195" s="2062"/>
      <c r="BV195" s="2062"/>
      <c r="BW195" s="2062"/>
      <c r="BX195" s="2062"/>
      <c r="BY195" s="2062"/>
      <c r="BZ195" s="2062"/>
      <c r="CA195" s="2062"/>
      <c r="CB195" s="2062"/>
      <c r="CC195" s="2062"/>
      <c r="CD195" s="2062"/>
      <c r="CE195" s="2062"/>
      <c r="CF195" s="2062"/>
      <c r="CG195" s="2062"/>
      <c r="CH195" s="2062"/>
      <c r="CI195" s="2062"/>
      <c r="CJ195" s="2062"/>
      <c r="CK195" s="2062"/>
      <c r="CL195" s="2062"/>
      <c r="CM195" s="2062"/>
      <c r="CN195" s="2062"/>
      <c r="CO195" s="2062"/>
      <c r="CP195" s="2062"/>
      <c r="CQ195" s="2062"/>
      <c r="CR195" s="2062"/>
      <c r="CS195" s="2062"/>
      <c r="CT195" s="2062"/>
      <c r="CU195" s="2062"/>
      <c r="CV195" s="2062"/>
      <c r="CW195" s="2062"/>
      <c r="CX195" s="2062"/>
      <c r="CY195" s="2062"/>
      <c r="CZ195" s="2062"/>
      <c r="DA195" s="2062"/>
      <c r="DB195" s="2062"/>
      <c r="DC195" s="2062"/>
      <c r="DD195" s="2062"/>
      <c r="DE195" s="2062"/>
      <c r="DF195" s="2062"/>
      <c r="DG195" s="2062"/>
      <c r="DH195" s="2062"/>
      <c r="DI195" s="2062"/>
      <c r="DJ195" s="2062"/>
      <c r="DK195" s="2062"/>
      <c r="DL195" s="2062"/>
      <c r="DM195" s="2062"/>
      <c r="DN195" s="2062"/>
      <c r="DO195" s="2062"/>
      <c r="DP195" s="2062"/>
      <c r="DQ195" s="2062"/>
      <c r="DR195" s="2063"/>
      <c r="DS195" s="313"/>
      <c r="DT195" s="311"/>
    </row>
    <row r="196" spans="2:124" ht="30" customHeight="1">
      <c r="B196" s="319"/>
      <c r="C196" s="313"/>
      <c r="D196" s="2068"/>
      <c r="E196" s="2068"/>
      <c r="F196" s="2068"/>
      <c r="G196" s="2068"/>
      <c r="H196" s="2064"/>
      <c r="I196" s="2065"/>
      <c r="J196" s="2065"/>
      <c r="K196" s="2065"/>
      <c r="L196" s="2065"/>
      <c r="M196" s="2065"/>
      <c r="N196" s="2065"/>
      <c r="O196" s="2065"/>
      <c r="P196" s="2065"/>
      <c r="Q196" s="2065"/>
      <c r="R196" s="2065"/>
      <c r="S196" s="2065"/>
      <c r="T196" s="2065"/>
      <c r="U196" s="2065"/>
      <c r="V196" s="2065"/>
      <c r="W196" s="2065"/>
      <c r="X196" s="2065"/>
      <c r="Y196" s="2065"/>
      <c r="Z196" s="2065"/>
      <c r="AA196" s="2065"/>
      <c r="AB196" s="2065"/>
      <c r="AC196" s="2065"/>
      <c r="AD196" s="2065"/>
      <c r="AE196" s="2065"/>
      <c r="AF196" s="2065"/>
      <c r="AG196" s="2065"/>
      <c r="AH196" s="2065"/>
      <c r="AI196" s="2065"/>
      <c r="AJ196" s="2065"/>
      <c r="AK196" s="2065"/>
      <c r="AL196" s="2065"/>
      <c r="AM196" s="2065"/>
      <c r="AN196" s="2065"/>
      <c r="AO196" s="2065"/>
      <c r="AP196" s="2065"/>
      <c r="AQ196" s="2065"/>
      <c r="AR196" s="2065"/>
      <c r="AS196" s="2065"/>
      <c r="AT196" s="2065"/>
      <c r="AU196" s="2065"/>
      <c r="AV196" s="2065"/>
      <c r="AW196" s="2065"/>
      <c r="AX196" s="2065"/>
      <c r="AY196" s="2065"/>
      <c r="AZ196" s="2065"/>
      <c r="BA196" s="2065"/>
      <c r="BB196" s="2065"/>
      <c r="BC196" s="2065"/>
      <c r="BD196" s="2065"/>
      <c r="BE196" s="2065"/>
      <c r="BF196" s="2065"/>
      <c r="BG196" s="2065"/>
      <c r="BH196" s="2065"/>
      <c r="BI196" s="2065"/>
      <c r="BJ196" s="2065"/>
      <c r="BK196" s="2065"/>
      <c r="BL196" s="2065"/>
      <c r="BM196" s="2065"/>
      <c r="BN196" s="2065"/>
      <c r="BO196" s="2065"/>
      <c r="BP196" s="2065"/>
      <c r="BQ196" s="2065"/>
      <c r="BR196" s="2065"/>
      <c r="BS196" s="2065"/>
      <c r="BT196" s="2065"/>
      <c r="BU196" s="2065"/>
      <c r="BV196" s="2065"/>
      <c r="BW196" s="2065"/>
      <c r="BX196" s="2065"/>
      <c r="BY196" s="2065"/>
      <c r="BZ196" s="2065"/>
      <c r="CA196" s="2065"/>
      <c r="CB196" s="2065"/>
      <c r="CC196" s="2065"/>
      <c r="CD196" s="2065"/>
      <c r="CE196" s="2065"/>
      <c r="CF196" s="2065"/>
      <c r="CG196" s="2065"/>
      <c r="CH196" s="2065"/>
      <c r="CI196" s="2065"/>
      <c r="CJ196" s="2065"/>
      <c r="CK196" s="2065"/>
      <c r="CL196" s="2065"/>
      <c r="CM196" s="2065"/>
      <c r="CN196" s="2065"/>
      <c r="CO196" s="2065"/>
      <c r="CP196" s="2065"/>
      <c r="CQ196" s="2065"/>
      <c r="CR196" s="2065"/>
      <c r="CS196" s="2065"/>
      <c r="CT196" s="2065"/>
      <c r="CU196" s="2065"/>
      <c r="CV196" s="2065"/>
      <c r="CW196" s="2065"/>
      <c r="CX196" s="2065"/>
      <c r="CY196" s="2065"/>
      <c r="CZ196" s="2065"/>
      <c r="DA196" s="2065"/>
      <c r="DB196" s="2065"/>
      <c r="DC196" s="2065"/>
      <c r="DD196" s="2065"/>
      <c r="DE196" s="2065"/>
      <c r="DF196" s="2065"/>
      <c r="DG196" s="2065"/>
      <c r="DH196" s="2065"/>
      <c r="DI196" s="2065"/>
      <c r="DJ196" s="2065"/>
      <c r="DK196" s="2065"/>
      <c r="DL196" s="2065"/>
      <c r="DM196" s="2065"/>
      <c r="DN196" s="2065"/>
      <c r="DO196" s="2065"/>
      <c r="DP196" s="2065"/>
      <c r="DQ196" s="2065"/>
      <c r="DR196" s="2066"/>
      <c r="DS196" s="313"/>
      <c r="DT196" s="311"/>
    </row>
    <row r="197" spans="2:124" ht="6" customHeight="1">
      <c r="B197" s="321"/>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c r="AA197" s="313"/>
      <c r="AB197" s="313"/>
      <c r="AC197" s="313"/>
      <c r="AD197" s="313"/>
      <c r="AE197" s="313"/>
      <c r="AF197" s="313"/>
      <c r="AG197" s="313"/>
      <c r="AH197" s="313"/>
      <c r="AI197" s="313"/>
      <c r="AJ197" s="313"/>
      <c r="AK197" s="313"/>
      <c r="AL197" s="313"/>
      <c r="AM197" s="313"/>
      <c r="AN197" s="313"/>
      <c r="AO197" s="313"/>
      <c r="AP197" s="313"/>
      <c r="AQ197" s="313"/>
      <c r="AR197" s="313"/>
      <c r="AS197" s="313"/>
      <c r="AT197" s="313"/>
      <c r="AU197" s="313"/>
      <c r="AV197" s="313"/>
      <c r="AW197" s="313"/>
      <c r="AX197" s="313"/>
      <c r="AY197" s="313"/>
      <c r="AZ197" s="313"/>
      <c r="BA197" s="313"/>
      <c r="BB197" s="313"/>
      <c r="BC197" s="313"/>
      <c r="BD197" s="313"/>
      <c r="BE197" s="313"/>
      <c r="BF197" s="313"/>
      <c r="BG197" s="313"/>
      <c r="BH197" s="313"/>
      <c r="BI197" s="313"/>
      <c r="BJ197" s="313"/>
      <c r="BK197" s="313"/>
      <c r="BL197" s="313"/>
      <c r="BM197" s="313"/>
      <c r="BN197" s="313"/>
      <c r="BO197" s="313"/>
      <c r="BP197" s="313"/>
      <c r="BQ197" s="313"/>
      <c r="BR197" s="313"/>
      <c r="BS197" s="313"/>
      <c r="BT197" s="313"/>
      <c r="BU197" s="313"/>
      <c r="BV197" s="313"/>
      <c r="BW197" s="313"/>
      <c r="BX197" s="313"/>
      <c r="BY197" s="313"/>
      <c r="BZ197" s="313"/>
      <c r="CA197" s="313"/>
      <c r="CB197" s="313"/>
      <c r="CC197" s="313"/>
      <c r="CD197" s="313"/>
      <c r="CE197" s="313"/>
      <c r="CF197" s="313"/>
      <c r="CG197" s="313"/>
      <c r="CH197" s="313"/>
      <c r="CI197" s="313"/>
      <c r="CJ197" s="313"/>
      <c r="CK197" s="313"/>
      <c r="CL197" s="313"/>
      <c r="CM197" s="313"/>
      <c r="CN197" s="313"/>
      <c r="CO197" s="313"/>
      <c r="CP197" s="313"/>
      <c r="CQ197" s="313"/>
      <c r="CR197" s="313"/>
      <c r="CS197" s="313"/>
      <c r="CT197" s="313"/>
      <c r="CU197" s="313"/>
      <c r="CV197" s="313"/>
      <c r="CW197" s="313"/>
      <c r="CX197" s="313"/>
      <c r="CY197" s="313"/>
      <c r="CZ197" s="313"/>
      <c r="DA197" s="313"/>
      <c r="DB197" s="313"/>
      <c r="DC197" s="313"/>
      <c r="DD197" s="313"/>
      <c r="DE197" s="313"/>
      <c r="DF197" s="313"/>
      <c r="DG197" s="313"/>
      <c r="DH197" s="313"/>
      <c r="DI197" s="313"/>
      <c r="DJ197" s="313"/>
      <c r="DK197" s="313"/>
      <c r="DL197" s="313"/>
      <c r="DM197" s="313"/>
      <c r="DN197" s="313"/>
      <c r="DO197" s="313"/>
      <c r="DP197" s="313"/>
      <c r="DQ197" s="313"/>
      <c r="DR197" s="313"/>
      <c r="DS197" s="313"/>
      <c r="DT197" s="315"/>
    </row>
    <row r="198" spans="2:124" ht="6" customHeight="1" thickBot="1">
      <c r="B198" s="322"/>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c r="AB198" s="323"/>
      <c r="AC198" s="323"/>
      <c r="AD198" s="323"/>
      <c r="AE198" s="323"/>
      <c r="AF198" s="323"/>
      <c r="AG198" s="323"/>
      <c r="AH198" s="323"/>
      <c r="AI198" s="323"/>
      <c r="AJ198" s="323"/>
      <c r="AK198" s="323"/>
      <c r="AL198" s="323"/>
      <c r="AM198" s="323"/>
      <c r="AN198" s="323"/>
      <c r="AO198" s="323"/>
      <c r="AP198" s="323"/>
      <c r="AQ198" s="323"/>
      <c r="AR198" s="323"/>
      <c r="AS198" s="323"/>
      <c r="AT198" s="323"/>
      <c r="AU198" s="323"/>
      <c r="AV198" s="323"/>
      <c r="AW198" s="323"/>
      <c r="AX198" s="323"/>
      <c r="AY198" s="323"/>
      <c r="AZ198" s="323"/>
      <c r="BA198" s="323"/>
      <c r="BB198" s="323"/>
      <c r="BC198" s="323"/>
      <c r="BD198" s="323"/>
      <c r="BE198" s="323"/>
      <c r="BF198" s="323"/>
      <c r="BG198" s="323"/>
      <c r="BH198" s="323"/>
      <c r="BI198" s="323"/>
      <c r="BJ198" s="323"/>
      <c r="BK198" s="323"/>
      <c r="BL198" s="323"/>
      <c r="BM198" s="323"/>
      <c r="BN198" s="323"/>
      <c r="BO198" s="323"/>
      <c r="BP198" s="323"/>
      <c r="BQ198" s="323"/>
      <c r="BR198" s="323"/>
      <c r="BS198" s="323"/>
      <c r="BT198" s="323"/>
      <c r="BU198" s="323"/>
      <c r="BV198" s="323"/>
      <c r="BW198" s="323"/>
      <c r="BX198" s="323"/>
      <c r="BY198" s="323"/>
      <c r="BZ198" s="323"/>
      <c r="CA198" s="323"/>
      <c r="CB198" s="323"/>
      <c r="CC198" s="323"/>
      <c r="CD198" s="323"/>
      <c r="CE198" s="323"/>
      <c r="CF198" s="323"/>
      <c r="CG198" s="323"/>
      <c r="CH198" s="323"/>
      <c r="CI198" s="323"/>
      <c r="CJ198" s="323"/>
      <c r="CK198" s="323"/>
      <c r="CL198" s="323"/>
      <c r="CM198" s="323"/>
      <c r="CN198" s="323"/>
      <c r="CO198" s="323"/>
      <c r="CP198" s="323"/>
      <c r="CQ198" s="323"/>
      <c r="CR198" s="323"/>
      <c r="CS198" s="323"/>
      <c r="CT198" s="323"/>
      <c r="CU198" s="323"/>
      <c r="CV198" s="323"/>
      <c r="CW198" s="323"/>
      <c r="CX198" s="323"/>
      <c r="CY198" s="323"/>
      <c r="CZ198" s="323"/>
      <c r="DA198" s="323"/>
      <c r="DB198" s="323"/>
      <c r="DC198" s="323"/>
      <c r="DD198" s="323"/>
      <c r="DE198" s="323"/>
      <c r="DF198" s="323"/>
      <c r="DG198" s="323"/>
      <c r="DH198" s="323"/>
      <c r="DI198" s="323"/>
      <c r="DJ198" s="323"/>
      <c r="DK198" s="323"/>
      <c r="DL198" s="323"/>
      <c r="DM198" s="323"/>
      <c r="DN198" s="323"/>
      <c r="DO198" s="323"/>
      <c r="DP198" s="323"/>
      <c r="DQ198" s="323"/>
      <c r="DR198" s="323"/>
      <c r="DS198" s="323"/>
      <c r="DT198" s="324"/>
    </row>
    <row r="199" spans="2:124" ht="6" customHeight="1">
      <c r="B199" s="205"/>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c r="AC199" s="206"/>
      <c r="AD199" s="206"/>
      <c r="AE199" s="307"/>
      <c r="AF199" s="307"/>
      <c r="AG199" s="307"/>
      <c r="AH199" s="307"/>
      <c r="AI199" s="307"/>
      <c r="AJ199" s="307"/>
      <c r="AK199" s="307"/>
      <c r="AL199" s="307"/>
      <c r="AM199" s="307"/>
      <c r="AN199" s="307"/>
      <c r="AO199" s="307"/>
      <c r="AP199" s="307"/>
      <c r="AQ199" s="307"/>
      <c r="AR199" s="307"/>
      <c r="AS199" s="307"/>
      <c r="AT199" s="307"/>
      <c r="AU199" s="307"/>
      <c r="AV199" s="307"/>
      <c r="AW199" s="307"/>
      <c r="AX199" s="307"/>
      <c r="AY199" s="307"/>
      <c r="AZ199" s="307"/>
      <c r="BA199" s="307"/>
      <c r="BB199" s="307"/>
      <c r="BC199" s="307"/>
      <c r="BD199" s="307"/>
      <c r="BE199" s="307"/>
      <c r="BF199" s="307"/>
      <c r="BG199" s="307"/>
      <c r="BH199" s="307"/>
      <c r="BI199" s="307"/>
      <c r="BJ199" s="307"/>
      <c r="BK199" s="307"/>
      <c r="BL199" s="307"/>
      <c r="BM199" s="307"/>
      <c r="BN199" s="307"/>
      <c r="BO199" s="307"/>
      <c r="BP199" s="307"/>
      <c r="BQ199" s="307"/>
      <c r="BR199" s="307"/>
      <c r="BS199" s="307"/>
      <c r="BT199" s="307"/>
      <c r="BU199" s="307"/>
      <c r="BV199" s="307"/>
      <c r="BW199" s="307"/>
      <c r="BX199" s="307"/>
      <c r="BY199" s="307"/>
      <c r="BZ199" s="307"/>
      <c r="CA199" s="307"/>
      <c r="CB199" s="307"/>
      <c r="CC199" s="307"/>
      <c r="CD199" s="307"/>
      <c r="CE199" s="307"/>
      <c r="CF199" s="307"/>
      <c r="CG199" s="307"/>
      <c r="CH199" s="307"/>
      <c r="CI199" s="307"/>
      <c r="CJ199" s="307"/>
      <c r="CK199" s="307"/>
      <c r="CL199" s="307"/>
      <c r="CM199" s="307"/>
      <c r="CN199" s="307"/>
      <c r="CO199" s="307"/>
      <c r="CP199" s="307"/>
      <c r="CQ199" s="307"/>
      <c r="CR199" s="307"/>
      <c r="CS199" s="307"/>
      <c r="CT199" s="307"/>
      <c r="CU199" s="307"/>
      <c r="CV199" s="307"/>
      <c r="CW199" s="307"/>
      <c r="CX199" s="307"/>
      <c r="CY199" s="307"/>
      <c r="CZ199" s="307"/>
      <c r="DA199" s="307"/>
      <c r="DB199" s="307"/>
      <c r="DC199" s="307"/>
      <c r="DD199" s="307"/>
      <c r="DE199" s="307"/>
      <c r="DF199" s="307"/>
      <c r="DG199" s="307"/>
      <c r="DH199" s="307"/>
      <c r="DI199" s="307"/>
      <c r="DJ199" s="307"/>
      <c r="DK199" s="307"/>
      <c r="DL199" s="307"/>
      <c r="DM199" s="307"/>
      <c r="DN199" s="307"/>
      <c r="DO199" s="307"/>
      <c r="DP199" s="307"/>
      <c r="DQ199" s="307"/>
      <c r="DR199" s="307"/>
      <c r="DS199" s="307"/>
      <c r="DT199" s="308"/>
    </row>
    <row r="200" spans="2:124" ht="24.9" customHeight="1">
      <c r="B200" s="536" t="str">
        <f ca="1">'D6.Verification-D7-D8'!B44</f>
        <v>D7 - Preventive Actions</v>
      </c>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310"/>
      <c r="AF200" s="310"/>
      <c r="AG200" s="310"/>
      <c r="AH200" s="310"/>
      <c r="AI200" s="310"/>
      <c r="AJ200" s="310"/>
      <c r="AK200" s="310"/>
      <c r="AL200" s="310"/>
      <c r="AM200" s="310"/>
      <c r="AN200" s="310"/>
      <c r="AO200" s="310"/>
      <c r="AP200" s="310"/>
      <c r="AQ200" s="310"/>
      <c r="AR200" s="310"/>
      <c r="AS200" s="310"/>
      <c r="AT200" s="310"/>
      <c r="AU200" s="310"/>
      <c r="AV200" s="310"/>
      <c r="AW200" s="310"/>
      <c r="AX200" s="310"/>
      <c r="AY200" s="310"/>
      <c r="AZ200" s="310"/>
      <c r="BA200" s="213"/>
      <c r="BB200" s="310"/>
      <c r="BC200" s="310"/>
      <c r="BD200" s="310"/>
      <c r="BE200" s="310"/>
      <c r="BF200" s="310"/>
      <c r="BG200" s="310"/>
      <c r="BH200" s="310"/>
      <c r="BI200" s="310"/>
      <c r="BJ200" s="310"/>
      <c r="BK200" s="310"/>
      <c r="BL200" s="310"/>
      <c r="BM200" s="310"/>
      <c r="BN200" s="310"/>
      <c r="BO200" s="310"/>
      <c r="BP200" s="310"/>
      <c r="BQ200" s="199"/>
      <c r="BR200" s="1105" t="str">
        <f ca="1">'D6.Verification-D7-D8'!O46</f>
        <v>Status:</v>
      </c>
      <c r="BS200" s="1105"/>
      <c r="BT200" s="1105"/>
      <c r="BU200" s="1105"/>
      <c r="BV200" s="1105"/>
      <c r="BW200" s="1843"/>
      <c r="BX200" s="1840" t="str">
        <f>IF('D6.Verification-D7-D8'!R46="","",'D6.Verification-D7-D8'!R46)</f>
        <v/>
      </c>
      <c r="BY200" s="1841"/>
      <c r="BZ200" s="1841"/>
      <c r="CA200" s="1841"/>
      <c r="CB200" s="1841"/>
      <c r="CC200" s="1841"/>
      <c r="CD200" s="1841"/>
      <c r="CE200" s="1841"/>
      <c r="CF200" s="1841"/>
      <c r="CG200" s="1841"/>
      <c r="CH200" s="1841"/>
      <c r="CI200" s="1841"/>
      <c r="CJ200" s="1841"/>
      <c r="CK200" s="1841"/>
      <c r="CL200" s="1842"/>
      <c r="CM200" s="309"/>
      <c r="CN200" s="309"/>
      <c r="CO200" s="309"/>
      <c r="CP200" s="309"/>
      <c r="CQ200" s="309"/>
      <c r="CR200" s="310"/>
      <c r="CS200" s="310"/>
      <c r="CT200" s="310"/>
      <c r="CU200" s="310"/>
      <c r="CV200" s="310"/>
      <c r="CW200" s="310"/>
      <c r="CX200" s="310"/>
      <c r="CY200" s="310"/>
      <c r="CZ200" s="1839" t="str">
        <f>IF('D6.Verification-D7-D8'!Y46="","",'D6.Verification-D7-D8'!$Y$46)</f>
        <v/>
      </c>
      <c r="DA200" s="1839"/>
      <c r="DB200" s="1839"/>
      <c r="DC200" s="309"/>
      <c r="DD200" s="209"/>
      <c r="DE200" s="309"/>
      <c r="DF200" s="310"/>
      <c r="DG200" s="310"/>
      <c r="DH200" s="310"/>
      <c r="DI200" s="521" t="str">
        <f ca="1">'D1-D2-D3'!CZ66</f>
        <v>Date</v>
      </c>
      <c r="DJ200" s="1844" t="str">
        <f>IF('D6.Verification-D7-D8'!AB46="","",'D6.Verification-D7-D8'!AB46)</f>
        <v/>
      </c>
      <c r="DK200" s="1844"/>
      <c r="DL200" s="1844"/>
      <c r="DM200" s="1844"/>
      <c r="DN200" s="1844"/>
      <c r="DO200" s="1844"/>
      <c r="DP200" s="1844"/>
      <c r="DQ200" s="1844"/>
      <c r="DR200" s="1844"/>
      <c r="DS200" s="310"/>
      <c r="DT200" s="311"/>
    </row>
    <row r="201" spans="2:124" ht="6" customHeight="1">
      <c r="B201" s="207"/>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309"/>
      <c r="AF201" s="309"/>
      <c r="AG201" s="309"/>
      <c r="AH201" s="309"/>
      <c r="AI201" s="309"/>
      <c r="AJ201" s="309"/>
      <c r="AK201" s="309"/>
      <c r="AL201" s="309"/>
      <c r="AM201" s="309"/>
      <c r="AN201" s="309"/>
      <c r="AO201" s="309"/>
      <c r="AP201" s="309"/>
      <c r="AQ201" s="309"/>
      <c r="AR201" s="309"/>
      <c r="AS201" s="309"/>
      <c r="AT201" s="309"/>
      <c r="AU201" s="309"/>
      <c r="AV201" s="309"/>
      <c r="AW201" s="309"/>
      <c r="AX201" s="309"/>
      <c r="AY201" s="309"/>
      <c r="AZ201" s="309"/>
      <c r="BA201" s="309"/>
      <c r="BB201" s="309"/>
      <c r="BC201" s="309"/>
      <c r="BD201" s="309"/>
      <c r="BE201" s="309"/>
      <c r="BF201" s="309"/>
      <c r="BG201" s="309"/>
      <c r="BH201" s="309"/>
      <c r="BI201" s="309"/>
      <c r="BJ201" s="309"/>
      <c r="BK201" s="309"/>
      <c r="BL201" s="309"/>
      <c r="BM201" s="309"/>
      <c r="BN201" s="309"/>
      <c r="BO201" s="309"/>
      <c r="BP201" s="309"/>
      <c r="BQ201" s="309"/>
      <c r="BR201" s="309"/>
      <c r="BS201" s="309"/>
      <c r="BT201" s="309"/>
      <c r="BU201" s="309"/>
      <c r="BV201" s="309"/>
      <c r="BW201" s="309"/>
      <c r="BX201" s="309"/>
      <c r="BY201" s="309"/>
      <c r="BZ201" s="309"/>
      <c r="CA201" s="309"/>
      <c r="CB201" s="309"/>
      <c r="CC201" s="309"/>
      <c r="CD201" s="309"/>
      <c r="CE201" s="309"/>
      <c r="CF201" s="309"/>
      <c r="CG201" s="309"/>
      <c r="CH201" s="309"/>
      <c r="CI201" s="309"/>
      <c r="CJ201" s="309"/>
      <c r="CK201" s="309"/>
      <c r="CL201" s="309"/>
      <c r="CM201" s="309"/>
      <c r="CN201" s="309"/>
      <c r="CO201" s="309"/>
      <c r="CP201" s="309"/>
      <c r="CQ201" s="309"/>
      <c r="CR201" s="309"/>
      <c r="CS201" s="309"/>
      <c r="CT201" s="309"/>
      <c r="CU201" s="309"/>
      <c r="CV201" s="309"/>
      <c r="CW201" s="309"/>
      <c r="CX201" s="309"/>
      <c r="CY201" s="309"/>
      <c r="CZ201" s="309"/>
      <c r="DA201" s="309"/>
      <c r="DB201" s="309"/>
      <c r="DC201" s="309"/>
      <c r="DD201" s="309"/>
      <c r="DE201" s="309"/>
      <c r="DF201" s="309"/>
      <c r="DG201" s="309"/>
      <c r="DH201" s="309"/>
      <c r="DI201" s="309"/>
      <c r="DJ201" s="309"/>
      <c r="DK201" s="309"/>
      <c r="DL201" s="309"/>
      <c r="DM201" s="309"/>
      <c r="DN201" s="309"/>
      <c r="DO201" s="309"/>
      <c r="DP201" s="309"/>
      <c r="DQ201" s="309"/>
      <c r="DR201" s="309"/>
      <c r="DS201" s="309"/>
      <c r="DT201" s="315"/>
    </row>
    <row r="202" spans="2:124" ht="24.9" customHeight="1">
      <c r="B202" s="211"/>
      <c r="C202" s="212"/>
      <c r="D202" s="526" t="str">
        <f ca="1">'D6.Verification-D7-D8'!D46</f>
        <v>Documentation - Standard updates</v>
      </c>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0"/>
      <c r="AM202" s="310"/>
      <c r="AN202" s="310"/>
      <c r="AO202" s="310"/>
      <c r="AP202" s="310"/>
      <c r="AQ202" s="310"/>
      <c r="AR202" s="310"/>
      <c r="AS202" s="310"/>
      <c r="AT202" s="310"/>
      <c r="AU202" s="310"/>
      <c r="AV202" s="310"/>
      <c r="AW202" s="310"/>
      <c r="AX202" s="310"/>
      <c r="AY202" s="310"/>
      <c r="AZ202" s="310"/>
      <c r="BA202" s="310"/>
      <c r="BB202" s="310"/>
      <c r="BC202" s="310"/>
      <c r="BD202" s="310"/>
      <c r="BE202" s="310"/>
      <c r="BF202" s="310"/>
      <c r="BG202" s="310"/>
      <c r="BH202" s="310"/>
      <c r="BI202" s="310"/>
      <c r="BJ202" s="310"/>
      <c r="BK202" s="310"/>
      <c r="BL202" s="310"/>
      <c r="BM202" s="310"/>
      <c r="BN202" s="310"/>
      <c r="BO202" s="310"/>
      <c r="BP202" s="310"/>
      <c r="BQ202" s="310"/>
      <c r="BR202" s="310"/>
      <c r="BS202" s="310"/>
      <c r="BT202" s="310"/>
      <c r="BU202" s="310"/>
      <c r="BV202" s="310"/>
      <c r="BW202" s="310"/>
      <c r="BX202" s="310"/>
      <c r="BY202" s="310"/>
      <c r="BZ202" s="310"/>
      <c r="CA202" s="310"/>
      <c r="CB202" s="310"/>
      <c r="CC202" s="310"/>
      <c r="CD202" s="310"/>
      <c r="CE202" s="310"/>
      <c r="CF202" s="310"/>
      <c r="CG202" s="310"/>
      <c r="CH202" s="310"/>
      <c r="CI202" s="310"/>
      <c r="CJ202" s="310"/>
      <c r="CK202" s="310"/>
      <c r="CL202" s="310"/>
      <c r="CM202" s="310"/>
      <c r="CN202" s="310"/>
      <c r="CO202" s="310"/>
      <c r="CP202" s="310"/>
      <c r="CQ202" s="310"/>
      <c r="CR202" s="310"/>
      <c r="CS202" s="310"/>
      <c r="CT202" s="310"/>
      <c r="CU202" s="310"/>
      <c r="CV202" s="310"/>
      <c r="CW202" s="310"/>
      <c r="CX202" s="310"/>
      <c r="CY202" s="310"/>
      <c r="CZ202" s="310"/>
      <c r="DA202" s="310"/>
      <c r="DB202" s="310"/>
      <c r="DC202" s="310"/>
      <c r="DD202" s="310"/>
      <c r="DE202" s="310"/>
      <c r="DF202" s="310"/>
      <c r="DG202" s="310"/>
      <c r="DH202" s="310"/>
      <c r="DI202" s="310"/>
      <c r="DJ202" s="310"/>
      <c r="DK202" s="310"/>
      <c r="DL202" s="310"/>
      <c r="DM202" s="310"/>
      <c r="DN202" s="310"/>
      <c r="DO202" s="310"/>
      <c r="DP202" s="310"/>
      <c r="DQ202" s="310"/>
      <c r="DR202" s="310"/>
      <c r="DS202" s="310"/>
      <c r="DT202" s="311"/>
    </row>
    <row r="203" spans="2:124" ht="6" customHeight="1">
      <c r="B203" s="211"/>
      <c r="C203" s="212"/>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c r="AH203" s="310"/>
      <c r="AI203" s="310"/>
      <c r="AJ203" s="310"/>
      <c r="AK203" s="310"/>
      <c r="AL203" s="310"/>
      <c r="AM203" s="310"/>
      <c r="AN203" s="310"/>
      <c r="AO203" s="310"/>
      <c r="AP203" s="310"/>
      <c r="AQ203" s="310"/>
      <c r="AR203" s="310"/>
      <c r="AS203" s="310"/>
      <c r="AT203" s="310"/>
      <c r="AU203" s="310"/>
      <c r="AV203" s="310"/>
      <c r="AW203" s="310"/>
      <c r="AX203" s="310"/>
      <c r="AY203" s="310"/>
      <c r="AZ203" s="310"/>
      <c r="BA203" s="310"/>
      <c r="BB203" s="310"/>
      <c r="BC203" s="310"/>
      <c r="BD203" s="310"/>
      <c r="BE203" s="310"/>
      <c r="BF203" s="310"/>
      <c r="BG203" s="310"/>
      <c r="BH203" s="310"/>
      <c r="BI203" s="310"/>
      <c r="BJ203" s="310"/>
      <c r="BK203" s="310"/>
      <c r="BL203" s="310"/>
      <c r="BM203" s="310"/>
      <c r="BN203" s="310"/>
      <c r="BO203" s="310"/>
      <c r="BP203" s="310"/>
      <c r="BQ203" s="310"/>
      <c r="BR203" s="310"/>
      <c r="BS203" s="310"/>
      <c r="BT203" s="310"/>
      <c r="BU203" s="310"/>
      <c r="BV203" s="310"/>
      <c r="BW203" s="310"/>
      <c r="BX203" s="310"/>
      <c r="BY203" s="310"/>
      <c r="BZ203" s="310"/>
      <c r="CA203" s="310"/>
      <c r="CB203" s="310"/>
      <c r="CC203" s="310"/>
      <c r="CD203" s="310"/>
      <c r="CE203" s="310"/>
      <c r="CF203" s="310"/>
      <c r="CG203" s="310"/>
      <c r="CH203" s="310"/>
      <c r="CI203" s="310"/>
      <c r="CJ203" s="310"/>
      <c r="CK203" s="310"/>
      <c r="CL203" s="310"/>
      <c r="CM203" s="310"/>
      <c r="CN203" s="310"/>
      <c r="CO203" s="310"/>
      <c r="CP203" s="310"/>
      <c r="CQ203" s="310"/>
      <c r="CR203" s="310"/>
      <c r="CS203" s="310"/>
      <c r="CT203" s="310"/>
      <c r="CU203" s="310"/>
      <c r="CV203" s="310"/>
      <c r="CW203" s="310"/>
      <c r="CX203" s="310"/>
      <c r="CY203" s="310"/>
      <c r="CZ203" s="310"/>
      <c r="DA203" s="310"/>
      <c r="DB203" s="310"/>
      <c r="DC203" s="310"/>
      <c r="DD203" s="310"/>
      <c r="DE203" s="310"/>
      <c r="DF203" s="310"/>
      <c r="DG203" s="310"/>
      <c r="DH203" s="310"/>
      <c r="DI203" s="310"/>
      <c r="DJ203" s="310"/>
      <c r="DK203" s="310"/>
      <c r="DL203" s="310"/>
      <c r="DM203" s="310"/>
      <c r="DN203" s="310"/>
      <c r="DO203" s="310"/>
      <c r="DP203" s="310"/>
      <c r="DQ203" s="310"/>
      <c r="DR203" s="310"/>
      <c r="DS203" s="310"/>
      <c r="DT203" s="311"/>
    </row>
    <row r="204" spans="2:124" ht="6" customHeight="1">
      <c r="B204" s="312"/>
      <c r="C204" s="19"/>
      <c r="D204" s="19"/>
      <c r="E204" s="20"/>
      <c r="F204" s="20"/>
      <c r="G204" s="20"/>
      <c r="H204" s="20"/>
      <c r="I204" s="20"/>
      <c r="J204" s="20"/>
      <c r="K204" s="20"/>
      <c r="L204" s="20"/>
      <c r="M204" s="20"/>
      <c r="N204" s="20"/>
      <c r="O204" s="20"/>
      <c r="P204" s="21"/>
      <c r="Q204" s="20"/>
      <c r="R204" s="20"/>
      <c r="S204" s="20"/>
      <c r="T204" s="20"/>
      <c r="U204" s="20"/>
      <c r="V204" s="20"/>
      <c r="W204" s="20"/>
      <c r="X204" s="20"/>
      <c r="Y204" s="20"/>
      <c r="Z204" s="20"/>
      <c r="AA204" s="20"/>
      <c r="AB204" s="20"/>
      <c r="AC204" s="20"/>
      <c r="AD204" s="20"/>
      <c r="AE204" s="20"/>
      <c r="AF204" s="305"/>
      <c r="AG204" s="305"/>
      <c r="AH204" s="305"/>
      <c r="AI204" s="305"/>
      <c r="AJ204" s="305"/>
      <c r="AK204" s="305"/>
      <c r="AL204" s="305"/>
      <c r="AM204" s="305"/>
      <c r="AN204" s="305"/>
      <c r="AO204" s="305"/>
      <c r="AP204" s="305"/>
      <c r="AQ204" s="305"/>
      <c r="AR204" s="305"/>
      <c r="AS204" s="305"/>
      <c r="AT204" s="305"/>
      <c r="AU204" s="305"/>
      <c r="AV204" s="305"/>
      <c r="AW204" s="305"/>
      <c r="AX204" s="305"/>
      <c r="AY204" s="305"/>
      <c r="AZ204" s="305"/>
      <c r="BA204" s="305"/>
      <c r="BB204" s="305"/>
      <c r="BC204" s="305"/>
      <c r="BD204" s="305"/>
      <c r="BE204" s="305"/>
      <c r="BF204" s="305"/>
      <c r="BG204" s="305"/>
      <c r="BH204" s="305"/>
      <c r="BI204" s="305"/>
      <c r="BJ204" s="305"/>
      <c r="BK204" s="305"/>
      <c r="BL204" s="305"/>
      <c r="BM204" s="305"/>
      <c r="BN204" s="305"/>
      <c r="BO204" s="305"/>
      <c r="BP204" s="305"/>
      <c r="BQ204" s="305"/>
      <c r="BR204" s="305"/>
      <c r="BS204" s="305"/>
      <c r="BT204" s="305"/>
      <c r="BU204" s="305"/>
      <c r="BV204" s="305"/>
      <c r="BW204" s="305"/>
      <c r="BX204" s="305"/>
      <c r="BY204" s="305"/>
      <c r="BZ204" s="305"/>
      <c r="CA204" s="305"/>
      <c r="CB204" s="305"/>
      <c r="CC204" s="305"/>
      <c r="CD204" s="305"/>
      <c r="CE204" s="305"/>
      <c r="CF204" s="305"/>
      <c r="CG204" s="305"/>
      <c r="CH204" s="305"/>
      <c r="CI204" s="305"/>
      <c r="CJ204" s="305"/>
      <c r="CK204" s="305"/>
      <c r="CL204" s="305"/>
      <c r="CM204" s="305"/>
      <c r="CN204" s="305"/>
      <c r="CO204" s="305"/>
      <c r="CP204" s="305"/>
      <c r="CQ204" s="305"/>
      <c r="CR204" s="305"/>
      <c r="CS204" s="305"/>
      <c r="CT204" s="305"/>
      <c r="CU204" s="305"/>
      <c r="CV204" s="305"/>
      <c r="CW204" s="305"/>
      <c r="CX204" s="305"/>
      <c r="CY204" s="305"/>
      <c r="CZ204" s="305"/>
      <c r="DA204" s="305"/>
      <c r="DB204" s="305"/>
      <c r="DC204" s="305"/>
      <c r="DD204" s="305"/>
      <c r="DE204" s="305"/>
      <c r="DF204" s="305"/>
      <c r="DG204" s="305"/>
      <c r="DH204" s="305"/>
      <c r="DI204" s="305"/>
      <c r="DJ204" s="305"/>
      <c r="DK204" s="305"/>
      <c r="DL204" s="305"/>
      <c r="DM204" s="305"/>
      <c r="DN204" s="305"/>
      <c r="DO204" s="305"/>
      <c r="DP204" s="305"/>
      <c r="DQ204" s="305"/>
      <c r="DR204" s="305"/>
      <c r="DS204" s="305"/>
      <c r="DT204" s="311"/>
    </row>
    <row r="205" spans="2:124" ht="24.9" customHeight="1">
      <c r="B205" s="312"/>
      <c r="C205" s="293"/>
      <c r="D205" s="1932" t="str">
        <f ca="1">'D6.Verification-D7-D8'!D50:F50</f>
        <v>Documentation</v>
      </c>
      <c r="E205" s="1932"/>
      <c r="F205" s="1932"/>
      <c r="G205" s="1932"/>
      <c r="H205" s="1932"/>
      <c r="I205" s="1932"/>
      <c r="J205" s="1932"/>
      <c r="K205" s="1932"/>
      <c r="L205" s="1932"/>
      <c r="M205" s="1932"/>
      <c r="N205" s="1932"/>
      <c r="O205" s="1932"/>
      <c r="P205" s="1932"/>
      <c r="Q205" s="2028" t="str">
        <f ca="1">'D6.Verification-D7-D8'!G50</f>
        <v>New/
Updated</v>
      </c>
      <c r="R205" s="2029"/>
      <c r="S205" s="2029"/>
      <c r="T205" s="2029"/>
      <c r="U205" s="2029"/>
      <c r="V205" s="2030"/>
      <c r="W205" s="1739" t="str">
        <f ca="1">'D6.Verification-D7-D8'!I50</f>
        <v>Designation</v>
      </c>
      <c r="X205" s="1740"/>
      <c r="Y205" s="1740"/>
      <c r="Z205" s="1740"/>
      <c r="AA205" s="1740"/>
      <c r="AB205" s="1740"/>
      <c r="AC205" s="1740"/>
      <c r="AD205" s="1740"/>
      <c r="AE205" s="1740"/>
      <c r="AF205" s="1740"/>
      <c r="AG205" s="1740"/>
      <c r="AH205" s="1740"/>
      <c r="AI205" s="1740"/>
      <c r="AJ205" s="1741"/>
      <c r="AK205" s="1851" t="str">
        <f ca="1">'D6.Verification-D7-D8'!O50</f>
        <v>Target Date</v>
      </c>
      <c r="AL205" s="1851"/>
      <c r="AM205" s="1851"/>
      <c r="AN205" s="1851"/>
      <c r="AO205" s="1851"/>
      <c r="AP205" s="1851"/>
      <c r="AQ205" s="1851"/>
      <c r="AR205" s="1851"/>
      <c r="AS205" s="1851" t="str">
        <f ca="1">'D6.Verification-D7-D8'!R50</f>
        <v>Impl. Date</v>
      </c>
      <c r="AT205" s="1851"/>
      <c r="AU205" s="1851"/>
      <c r="AV205" s="1851"/>
      <c r="AW205" s="1851"/>
      <c r="AX205" s="1851"/>
      <c r="AY205" s="1851"/>
      <c r="AZ205" s="1851"/>
      <c r="BA205" s="1299" t="str">
        <f ca="1">'D6.Verification-D7-D8'!U50</f>
        <v>Responsible</v>
      </c>
      <c r="BB205" s="1300"/>
      <c r="BC205" s="1300"/>
      <c r="BD205" s="1300"/>
      <c r="BE205" s="1300"/>
      <c r="BF205" s="1300"/>
      <c r="BG205" s="1300"/>
      <c r="BH205" s="1300"/>
      <c r="BI205" s="1301"/>
      <c r="BJ205" s="365"/>
      <c r="BK205" s="1761" t="str">
        <f ca="1">'D6.Verification-D7-D8'!D50</f>
        <v>Documentation</v>
      </c>
      <c r="BL205" s="1762"/>
      <c r="BM205" s="1762"/>
      <c r="BN205" s="1762"/>
      <c r="BO205" s="1762"/>
      <c r="BP205" s="1762"/>
      <c r="BQ205" s="1762"/>
      <c r="BR205" s="1762"/>
      <c r="BS205" s="1762"/>
      <c r="BT205" s="1762"/>
      <c r="BU205" s="1762"/>
      <c r="BV205" s="1762"/>
      <c r="BW205" s="1762"/>
      <c r="BX205" s="1763"/>
      <c r="BY205" s="2032" t="str">
        <f ca="1">'D6.Verification-D7-D8'!G50</f>
        <v>New/
Updated</v>
      </c>
      <c r="BZ205" s="2033"/>
      <c r="CA205" s="2033"/>
      <c r="CB205" s="2033"/>
      <c r="CC205" s="2033"/>
      <c r="CD205" s="2034"/>
      <c r="CE205" s="1852" t="str">
        <f ca="1">'D6.Verification-D7-D8'!I50</f>
        <v>Designation</v>
      </c>
      <c r="CF205" s="1852"/>
      <c r="CG205" s="1852"/>
      <c r="CH205" s="1852"/>
      <c r="CI205" s="1852"/>
      <c r="CJ205" s="1852"/>
      <c r="CK205" s="1852"/>
      <c r="CL205" s="1852"/>
      <c r="CM205" s="1852"/>
      <c r="CN205" s="1852"/>
      <c r="CO205" s="1852"/>
      <c r="CP205" s="1852"/>
      <c r="CQ205" s="1852"/>
      <c r="CR205" s="1852"/>
      <c r="CS205" s="1852"/>
      <c r="CT205" s="1851" t="str">
        <f ca="1">'D6.Verification-D7-D8'!O50</f>
        <v>Target Date</v>
      </c>
      <c r="CU205" s="1851"/>
      <c r="CV205" s="1851"/>
      <c r="CW205" s="1851"/>
      <c r="CX205" s="1851"/>
      <c r="CY205" s="1851"/>
      <c r="CZ205" s="1851"/>
      <c r="DA205" s="1851"/>
      <c r="DB205" s="1764" t="str">
        <f ca="1">'D6.Verification-D7-D8'!R50</f>
        <v>Impl. Date</v>
      </c>
      <c r="DC205" s="1765"/>
      <c r="DD205" s="1765"/>
      <c r="DE205" s="1765"/>
      <c r="DF205" s="1765"/>
      <c r="DG205" s="1765"/>
      <c r="DH205" s="1765"/>
      <c r="DI205" s="1766"/>
      <c r="DJ205" s="1543" t="str">
        <f ca="1">'D6.Verification-D7-D8'!U50</f>
        <v>Responsible</v>
      </c>
      <c r="DK205" s="1543"/>
      <c r="DL205" s="1543"/>
      <c r="DM205" s="1543"/>
      <c r="DN205" s="1543"/>
      <c r="DO205" s="1543"/>
      <c r="DP205" s="1543"/>
      <c r="DQ205" s="1543"/>
      <c r="DR205" s="1543"/>
      <c r="DS205" s="305"/>
      <c r="DT205" s="311"/>
    </row>
    <row r="206" spans="2:124" ht="24.9" customHeight="1">
      <c r="B206" s="312"/>
      <c r="C206" s="320"/>
      <c r="D206" s="1739" t="str">
        <f ca="1">'D6.Verification-D7-D8'!D51:F51</f>
        <v>FMEA</v>
      </c>
      <c r="E206" s="1740"/>
      <c r="F206" s="1740"/>
      <c r="G206" s="1740"/>
      <c r="H206" s="1740"/>
      <c r="I206" s="1740"/>
      <c r="J206" s="1740"/>
      <c r="K206" s="1740"/>
      <c r="L206" s="1740"/>
      <c r="M206" s="1740"/>
      <c r="N206" s="1740"/>
      <c r="O206" s="1740"/>
      <c r="P206" s="1741"/>
      <c r="Q206" s="2015" t="str">
        <f>IF('D6.Verification-D7-D8'!G51="","",'D6.Verification-D7-D8'!G51)</f>
        <v/>
      </c>
      <c r="R206" s="2015"/>
      <c r="S206" s="2015"/>
      <c r="T206" s="2015"/>
      <c r="U206" s="2015"/>
      <c r="V206" s="2015"/>
      <c r="W206" s="1857" t="str">
        <f>IF('D6.Verification-D7-D8'!I51="","",'D6.Verification-D7-D8'!I51)</f>
        <v/>
      </c>
      <c r="X206" s="1858"/>
      <c r="Y206" s="1858"/>
      <c r="Z206" s="1858"/>
      <c r="AA206" s="1858"/>
      <c r="AB206" s="1858"/>
      <c r="AC206" s="1858"/>
      <c r="AD206" s="1858"/>
      <c r="AE206" s="1858"/>
      <c r="AF206" s="1858"/>
      <c r="AG206" s="1858"/>
      <c r="AH206" s="1858"/>
      <c r="AI206" s="1858"/>
      <c r="AJ206" s="1859"/>
      <c r="AK206" s="1838" t="str">
        <f>IF('D6.Verification-D7-D8'!O51="","",'D6.Verification-D7-D8'!O51)</f>
        <v/>
      </c>
      <c r="AL206" s="1838"/>
      <c r="AM206" s="1838"/>
      <c r="AN206" s="1838"/>
      <c r="AO206" s="1838"/>
      <c r="AP206" s="1838"/>
      <c r="AQ206" s="1838"/>
      <c r="AR206" s="1838"/>
      <c r="AS206" s="1838" t="str">
        <f>IF('D6.Verification-D7-D8'!R51="","",'D6.Verification-D7-D8'!R51)</f>
        <v/>
      </c>
      <c r="AT206" s="1838"/>
      <c r="AU206" s="1838"/>
      <c r="AV206" s="1838"/>
      <c r="AW206" s="1838"/>
      <c r="AX206" s="1838"/>
      <c r="AY206" s="1838"/>
      <c r="AZ206" s="1838"/>
      <c r="BA206" s="1848" t="str">
        <f>IF('D6.Verification-D7-D8'!U51="","",'D6.Verification-D7-D8'!U51)</f>
        <v/>
      </c>
      <c r="BB206" s="1849"/>
      <c r="BC206" s="1849"/>
      <c r="BD206" s="1849"/>
      <c r="BE206" s="1849"/>
      <c r="BF206" s="1849"/>
      <c r="BG206" s="1849"/>
      <c r="BH206" s="1849"/>
      <c r="BI206" s="1850"/>
      <c r="BJ206" s="814"/>
      <c r="BK206" s="1739" t="str">
        <f ca="1">'D6.Verification-D7-D8'!D56</f>
        <v>Lessons Learned Card</v>
      </c>
      <c r="BL206" s="1740"/>
      <c r="BM206" s="1740"/>
      <c r="BN206" s="1740"/>
      <c r="BO206" s="1740"/>
      <c r="BP206" s="1740"/>
      <c r="BQ206" s="1740"/>
      <c r="BR206" s="1740"/>
      <c r="BS206" s="1740"/>
      <c r="BT206" s="1740"/>
      <c r="BU206" s="1740"/>
      <c r="BV206" s="1740"/>
      <c r="BW206" s="1740"/>
      <c r="BX206" s="1741"/>
      <c r="BY206" s="1837" t="str">
        <f>IF('D6.Verification-D7-D8'!G56="","",'D6.Verification-D7-D8'!G56)</f>
        <v/>
      </c>
      <c r="BZ206" s="1837"/>
      <c r="CA206" s="1837"/>
      <c r="CB206" s="1837"/>
      <c r="CC206" s="1837"/>
      <c r="CD206" s="1837"/>
      <c r="CE206" s="1857" t="str">
        <f>IF('D6.Verification-D7-D8'!I56="","",'D6.Verification-D7-D8'!I56)</f>
        <v/>
      </c>
      <c r="CF206" s="1858"/>
      <c r="CG206" s="1858"/>
      <c r="CH206" s="1858"/>
      <c r="CI206" s="1858"/>
      <c r="CJ206" s="1858"/>
      <c r="CK206" s="1858"/>
      <c r="CL206" s="1858"/>
      <c r="CM206" s="1858"/>
      <c r="CN206" s="1858"/>
      <c r="CO206" s="1858"/>
      <c r="CP206" s="1858"/>
      <c r="CQ206" s="1858"/>
      <c r="CR206" s="1858"/>
      <c r="CS206" s="1859"/>
      <c r="CT206" s="1854" t="str">
        <f>IF('D6.Verification-D7-D8'!O56="","",'D6.Verification-D7-D8'!O56)</f>
        <v/>
      </c>
      <c r="CU206" s="1855"/>
      <c r="CV206" s="1855"/>
      <c r="CW206" s="1855"/>
      <c r="CX206" s="1855"/>
      <c r="CY206" s="1855"/>
      <c r="CZ206" s="1855"/>
      <c r="DA206" s="1856"/>
      <c r="DB206" s="1845" t="str">
        <f>IF('D6.Verification-D7-D8'!R56="","",'D6.Verification-D7-D8'!R56)</f>
        <v/>
      </c>
      <c r="DC206" s="1846"/>
      <c r="DD206" s="1846"/>
      <c r="DE206" s="1846"/>
      <c r="DF206" s="1846"/>
      <c r="DG206" s="1846"/>
      <c r="DH206" s="1846"/>
      <c r="DI206" s="1847"/>
      <c r="DJ206" s="1853" t="str">
        <f>IF('D6.Verification-D7-D8'!U56="","",'D6.Verification-D7-D8'!U56)</f>
        <v/>
      </c>
      <c r="DK206" s="1853"/>
      <c r="DL206" s="1853"/>
      <c r="DM206" s="1853"/>
      <c r="DN206" s="1853"/>
      <c r="DO206" s="1853"/>
      <c r="DP206" s="1853"/>
      <c r="DQ206" s="1853"/>
      <c r="DR206" s="1853"/>
      <c r="DS206" s="305"/>
      <c r="DT206" s="311"/>
    </row>
    <row r="207" spans="2:124" ht="24.9" customHeight="1">
      <c r="B207" s="312"/>
      <c r="C207" s="320"/>
      <c r="D207" s="1739" t="str">
        <f ca="1">'D6.Verification-D7-D8'!D52:F52</f>
        <v>PCP</v>
      </c>
      <c r="E207" s="1740"/>
      <c r="F207" s="1740"/>
      <c r="G207" s="1740"/>
      <c r="H207" s="1740"/>
      <c r="I207" s="1740"/>
      <c r="J207" s="1740"/>
      <c r="K207" s="1740"/>
      <c r="L207" s="1740"/>
      <c r="M207" s="1740"/>
      <c r="N207" s="1740"/>
      <c r="O207" s="1740"/>
      <c r="P207" s="1741"/>
      <c r="Q207" s="2015" t="str">
        <f>IF('D6.Verification-D7-D8'!G52="","",'D6.Verification-D7-D8'!G52)</f>
        <v/>
      </c>
      <c r="R207" s="2015"/>
      <c r="S207" s="2015"/>
      <c r="T207" s="2015"/>
      <c r="U207" s="2015"/>
      <c r="V207" s="2015"/>
      <c r="W207" s="1857" t="str">
        <f>IF('D6.Verification-D7-D8'!I52="","",'D6.Verification-D7-D8'!I52)</f>
        <v/>
      </c>
      <c r="X207" s="1858"/>
      <c r="Y207" s="1858"/>
      <c r="Z207" s="1858"/>
      <c r="AA207" s="1858"/>
      <c r="AB207" s="1858"/>
      <c r="AC207" s="1858"/>
      <c r="AD207" s="1858"/>
      <c r="AE207" s="1858"/>
      <c r="AF207" s="1858"/>
      <c r="AG207" s="1858"/>
      <c r="AH207" s="1858"/>
      <c r="AI207" s="1858"/>
      <c r="AJ207" s="1859"/>
      <c r="AK207" s="1838" t="str">
        <f>IF('D6.Verification-D7-D8'!O52="","",'D6.Verification-D7-D8'!O52)</f>
        <v/>
      </c>
      <c r="AL207" s="1838"/>
      <c r="AM207" s="1838"/>
      <c r="AN207" s="1838"/>
      <c r="AO207" s="1838"/>
      <c r="AP207" s="1838"/>
      <c r="AQ207" s="1838"/>
      <c r="AR207" s="1838"/>
      <c r="AS207" s="1838" t="str">
        <f>IF('D6.Verification-D7-D8'!R52="","",'D6.Verification-D7-D8'!R52)</f>
        <v/>
      </c>
      <c r="AT207" s="1838"/>
      <c r="AU207" s="1838"/>
      <c r="AV207" s="1838"/>
      <c r="AW207" s="1838"/>
      <c r="AX207" s="1838"/>
      <c r="AY207" s="1838"/>
      <c r="AZ207" s="1838"/>
      <c r="BA207" s="1848" t="str">
        <f>IF('D6.Verification-D7-D8'!U52="","",'D6.Verification-D7-D8'!U52)</f>
        <v/>
      </c>
      <c r="BB207" s="1849"/>
      <c r="BC207" s="1849"/>
      <c r="BD207" s="1849"/>
      <c r="BE207" s="1849"/>
      <c r="BF207" s="1849"/>
      <c r="BG207" s="1849"/>
      <c r="BH207" s="1849"/>
      <c r="BI207" s="1850"/>
      <c r="BJ207" s="293"/>
      <c r="BK207" s="1739" t="str">
        <f ca="1">'D6.Verification-D7-D8'!D57</f>
        <v>Training standard</v>
      </c>
      <c r="BL207" s="1740"/>
      <c r="BM207" s="1740"/>
      <c r="BN207" s="1740"/>
      <c r="BO207" s="1740"/>
      <c r="BP207" s="1740"/>
      <c r="BQ207" s="1740"/>
      <c r="BR207" s="1740"/>
      <c r="BS207" s="1740"/>
      <c r="BT207" s="1740"/>
      <c r="BU207" s="1740"/>
      <c r="BV207" s="1740"/>
      <c r="BW207" s="1740" t="str">
        <f>IF('D6.Verification-D7-D8'!G57="","",'D6.Verification-D7-D8'!G57)</f>
        <v/>
      </c>
      <c r="BX207" s="1741"/>
      <c r="BY207" s="1837" t="str">
        <f>IF('D6.Verification-D7-D8'!G57="","",'D6.Verification-D7-D8'!G57)</f>
        <v/>
      </c>
      <c r="BZ207" s="1837"/>
      <c r="CA207" s="1837"/>
      <c r="CB207" s="1837"/>
      <c r="CC207" s="1837"/>
      <c r="CD207" s="1837"/>
      <c r="CE207" s="1857" t="str">
        <f>IF('D6.Verification-D7-D8'!I57="","",'D6.Verification-D7-D8'!I57)</f>
        <v/>
      </c>
      <c r="CF207" s="1858"/>
      <c r="CG207" s="1858"/>
      <c r="CH207" s="1858"/>
      <c r="CI207" s="1858"/>
      <c r="CJ207" s="1858"/>
      <c r="CK207" s="1858"/>
      <c r="CL207" s="1858"/>
      <c r="CM207" s="1858"/>
      <c r="CN207" s="1858"/>
      <c r="CO207" s="1858"/>
      <c r="CP207" s="1858"/>
      <c r="CQ207" s="1858"/>
      <c r="CR207" s="1858"/>
      <c r="CS207" s="1859"/>
      <c r="CT207" s="1854" t="str">
        <f>IF('D6.Verification-D7-D8'!O57="","",'D6.Verification-D7-D8'!O57)</f>
        <v/>
      </c>
      <c r="CU207" s="1855"/>
      <c r="CV207" s="1855"/>
      <c r="CW207" s="1855"/>
      <c r="CX207" s="1855"/>
      <c r="CY207" s="1855"/>
      <c r="CZ207" s="1855"/>
      <c r="DA207" s="1856"/>
      <c r="DB207" s="1845" t="str">
        <f>IF('D6.Verification-D7-D8'!R57="","",'D6.Verification-D7-D8'!R57)</f>
        <v/>
      </c>
      <c r="DC207" s="1846"/>
      <c r="DD207" s="1846"/>
      <c r="DE207" s="1846"/>
      <c r="DF207" s="1846"/>
      <c r="DG207" s="1846"/>
      <c r="DH207" s="1846"/>
      <c r="DI207" s="1847"/>
      <c r="DJ207" s="1853" t="str">
        <f>IF('D6.Verification-D7-D8'!U57="","",'D6.Verification-D7-D8'!U57)</f>
        <v/>
      </c>
      <c r="DK207" s="1853"/>
      <c r="DL207" s="1853"/>
      <c r="DM207" s="1853"/>
      <c r="DN207" s="1853"/>
      <c r="DO207" s="1853"/>
      <c r="DP207" s="1853"/>
      <c r="DQ207" s="1853"/>
      <c r="DR207" s="1853"/>
      <c r="DS207" s="305"/>
      <c r="DT207" s="311"/>
    </row>
    <row r="208" spans="2:124" ht="24.9" customHeight="1">
      <c r="B208" s="312"/>
      <c r="C208" s="320"/>
      <c r="D208" s="1739" t="str">
        <f ca="1">'D6.Verification-D7-D8'!D53:F53</f>
        <v>WI</v>
      </c>
      <c r="E208" s="1740"/>
      <c r="F208" s="1740"/>
      <c r="G208" s="1740"/>
      <c r="H208" s="1740"/>
      <c r="I208" s="1740"/>
      <c r="J208" s="1740"/>
      <c r="K208" s="1740"/>
      <c r="L208" s="1740"/>
      <c r="M208" s="1740"/>
      <c r="N208" s="1740"/>
      <c r="O208" s="1740"/>
      <c r="P208" s="1741"/>
      <c r="Q208" s="2015" t="str">
        <f>IF('D6.Verification-D7-D8'!G53="","",'D6.Verification-D7-D8'!G53)</f>
        <v/>
      </c>
      <c r="R208" s="2015"/>
      <c r="S208" s="2015"/>
      <c r="T208" s="2015"/>
      <c r="U208" s="2015"/>
      <c r="V208" s="2015"/>
      <c r="W208" s="1857" t="str">
        <f>IF('D6.Verification-D7-D8'!I53="","",'D6.Verification-D7-D8'!I53)</f>
        <v/>
      </c>
      <c r="X208" s="1858"/>
      <c r="Y208" s="1858"/>
      <c r="Z208" s="1858"/>
      <c r="AA208" s="1858"/>
      <c r="AB208" s="1858"/>
      <c r="AC208" s="1858"/>
      <c r="AD208" s="1858"/>
      <c r="AE208" s="1858"/>
      <c r="AF208" s="1858"/>
      <c r="AG208" s="1858"/>
      <c r="AH208" s="1858"/>
      <c r="AI208" s="1858"/>
      <c r="AJ208" s="1859"/>
      <c r="AK208" s="1838" t="str">
        <f>IF('D6.Verification-D7-D8'!O53="","",'D6.Verification-D7-D8'!O53)</f>
        <v/>
      </c>
      <c r="AL208" s="1838"/>
      <c r="AM208" s="1838"/>
      <c r="AN208" s="1838"/>
      <c r="AO208" s="1838"/>
      <c r="AP208" s="1838"/>
      <c r="AQ208" s="1838"/>
      <c r="AR208" s="1838"/>
      <c r="AS208" s="1838" t="str">
        <f>IF('D6.Verification-D7-D8'!R53="","",'D6.Verification-D7-D8'!R53)</f>
        <v/>
      </c>
      <c r="AT208" s="1838"/>
      <c r="AU208" s="1838"/>
      <c r="AV208" s="1838"/>
      <c r="AW208" s="1838"/>
      <c r="AX208" s="1838"/>
      <c r="AY208" s="1838"/>
      <c r="AZ208" s="1838"/>
      <c r="BA208" s="1848" t="str">
        <f>IF('D6.Verification-D7-D8'!U53="","",'D6.Verification-D7-D8'!U53)</f>
        <v/>
      </c>
      <c r="BB208" s="1849"/>
      <c r="BC208" s="1849"/>
      <c r="BD208" s="1849"/>
      <c r="BE208" s="1849"/>
      <c r="BF208" s="1849"/>
      <c r="BG208" s="1849"/>
      <c r="BH208" s="1849"/>
      <c r="BI208" s="1850"/>
      <c r="BJ208" s="293"/>
      <c r="BK208" s="1739" t="str">
        <f ca="1">'D6.Verification-D7-D8'!D58</f>
        <v>Procedure</v>
      </c>
      <c r="BL208" s="1740"/>
      <c r="BM208" s="1740"/>
      <c r="BN208" s="1740"/>
      <c r="BO208" s="1740"/>
      <c r="BP208" s="1740"/>
      <c r="BQ208" s="1740"/>
      <c r="BR208" s="1740"/>
      <c r="BS208" s="1740"/>
      <c r="BT208" s="1740"/>
      <c r="BU208" s="1740"/>
      <c r="BV208" s="1740"/>
      <c r="BW208" s="1740" t="str">
        <f>IF('D6.Verification-D7-D8'!G58="","",'D6.Verification-D7-D8'!G58)</f>
        <v/>
      </c>
      <c r="BX208" s="1741"/>
      <c r="BY208" s="1837" t="str">
        <f>IF('D6.Verification-D7-D8'!G58="","",'D6.Verification-D7-D8'!G58)</f>
        <v/>
      </c>
      <c r="BZ208" s="1837"/>
      <c r="CA208" s="1837"/>
      <c r="CB208" s="1837"/>
      <c r="CC208" s="1837"/>
      <c r="CD208" s="1837"/>
      <c r="CE208" s="1857" t="str">
        <f>IF('D6.Verification-D7-D8'!I58="","",'D6.Verification-D7-D8'!I58)</f>
        <v/>
      </c>
      <c r="CF208" s="1858"/>
      <c r="CG208" s="1858"/>
      <c r="CH208" s="1858"/>
      <c r="CI208" s="1858"/>
      <c r="CJ208" s="1858"/>
      <c r="CK208" s="1858"/>
      <c r="CL208" s="1858"/>
      <c r="CM208" s="1858"/>
      <c r="CN208" s="1858"/>
      <c r="CO208" s="1858"/>
      <c r="CP208" s="1858"/>
      <c r="CQ208" s="1858"/>
      <c r="CR208" s="1858"/>
      <c r="CS208" s="1859"/>
      <c r="CT208" s="1854" t="str">
        <f>IF('D6.Verification-D7-D8'!O58="","",'D6.Verification-D7-D8'!O58)</f>
        <v/>
      </c>
      <c r="CU208" s="1855"/>
      <c r="CV208" s="1855"/>
      <c r="CW208" s="1855"/>
      <c r="CX208" s="1855"/>
      <c r="CY208" s="1855"/>
      <c r="CZ208" s="1855"/>
      <c r="DA208" s="1856"/>
      <c r="DB208" s="1845" t="str">
        <f>IF('D6.Verification-D7-D8'!R58="","",'D6.Verification-D7-D8'!R58)</f>
        <v/>
      </c>
      <c r="DC208" s="1846"/>
      <c r="DD208" s="1846"/>
      <c r="DE208" s="1846"/>
      <c r="DF208" s="1846"/>
      <c r="DG208" s="1846"/>
      <c r="DH208" s="1846"/>
      <c r="DI208" s="1847"/>
      <c r="DJ208" s="1853" t="str">
        <f>IF('D6.Verification-D7-D8'!U58="","",'D6.Verification-D7-D8'!U58)</f>
        <v/>
      </c>
      <c r="DK208" s="1853"/>
      <c r="DL208" s="1853"/>
      <c r="DM208" s="1853"/>
      <c r="DN208" s="1853"/>
      <c r="DO208" s="1853"/>
      <c r="DP208" s="1853"/>
      <c r="DQ208" s="1853"/>
      <c r="DR208" s="1853"/>
      <c r="DS208" s="305"/>
      <c r="DT208" s="311"/>
    </row>
    <row r="209" spans="2:124" ht="24.9" customHeight="1">
      <c r="B209" s="312"/>
      <c r="C209" s="320"/>
      <c r="D209" s="1739" t="str">
        <f ca="1">'D6.Verification-D7-D8'!D54:F54</f>
        <v>Maintenance Plan</v>
      </c>
      <c r="E209" s="1740"/>
      <c r="F209" s="1740"/>
      <c r="G209" s="1740"/>
      <c r="H209" s="1740"/>
      <c r="I209" s="1740"/>
      <c r="J209" s="1740"/>
      <c r="K209" s="1740"/>
      <c r="L209" s="1740"/>
      <c r="M209" s="1740"/>
      <c r="N209" s="1740"/>
      <c r="O209" s="1740"/>
      <c r="P209" s="1741"/>
      <c r="Q209" s="2015" t="str">
        <f>IF('D6.Verification-D7-D8'!G54="","",'D6.Verification-D7-D8'!G54)</f>
        <v/>
      </c>
      <c r="R209" s="2015"/>
      <c r="S209" s="2015"/>
      <c r="T209" s="2015"/>
      <c r="U209" s="2015"/>
      <c r="V209" s="2015"/>
      <c r="W209" s="1857" t="str">
        <f>IF('D6.Verification-D7-D8'!I54="","",'D6.Verification-D7-D8'!I54)</f>
        <v/>
      </c>
      <c r="X209" s="1858"/>
      <c r="Y209" s="1858"/>
      <c r="Z209" s="1858"/>
      <c r="AA209" s="1858"/>
      <c r="AB209" s="1858"/>
      <c r="AC209" s="1858"/>
      <c r="AD209" s="1858"/>
      <c r="AE209" s="1858"/>
      <c r="AF209" s="1858"/>
      <c r="AG209" s="1858"/>
      <c r="AH209" s="1858"/>
      <c r="AI209" s="1858"/>
      <c r="AJ209" s="1859"/>
      <c r="AK209" s="1838" t="str">
        <f>IF('D6.Verification-D7-D8'!O54="","",'D6.Verification-D7-D8'!O54)</f>
        <v/>
      </c>
      <c r="AL209" s="1838"/>
      <c r="AM209" s="1838"/>
      <c r="AN209" s="1838"/>
      <c r="AO209" s="1838"/>
      <c r="AP209" s="1838"/>
      <c r="AQ209" s="1838"/>
      <c r="AR209" s="1838"/>
      <c r="AS209" s="1838" t="str">
        <f>IF('D6.Verification-D7-D8'!R54="","",'D6.Verification-D7-D8'!R54)</f>
        <v/>
      </c>
      <c r="AT209" s="1838"/>
      <c r="AU209" s="1838"/>
      <c r="AV209" s="1838"/>
      <c r="AW209" s="1838"/>
      <c r="AX209" s="1838"/>
      <c r="AY209" s="1838"/>
      <c r="AZ209" s="1838"/>
      <c r="BA209" s="1848" t="str">
        <f>IF('D6.Verification-D7-D8'!U54="","",'D6.Verification-D7-D8'!U54)</f>
        <v/>
      </c>
      <c r="BB209" s="1849"/>
      <c r="BC209" s="1849"/>
      <c r="BD209" s="1849"/>
      <c r="BE209" s="1849"/>
      <c r="BF209" s="1849"/>
      <c r="BG209" s="1849"/>
      <c r="BH209" s="1849"/>
      <c r="BI209" s="1850"/>
      <c r="BJ209" s="293"/>
      <c r="BK209" s="1739" t="str">
        <f ca="1">'D6.Verification-D7-D8'!D59</f>
        <v>Specification</v>
      </c>
      <c r="BL209" s="1740"/>
      <c r="BM209" s="1740"/>
      <c r="BN209" s="1740"/>
      <c r="BO209" s="1740"/>
      <c r="BP209" s="1740"/>
      <c r="BQ209" s="1740"/>
      <c r="BR209" s="1740"/>
      <c r="BS209" s="1740"/>
      <c r="BT209" s="1740"/>
      <c r="BU209" s="1740"/>
      <c r="BV209" s="1740"/>
      <c r="BW209" s="1740" t="str">
        <f>IF('D6.Verification-D7-D8'!G59="","",'D6.Verification-D7-D8'!G59)</f>
        <v/>
      </c>
      <c r="BX209" s="1741"/>
      <c r="BY209" s="1837" t="str">
        <f>IF('D6.Verification-D7-D8'!G59="","",'D6.Verification-D7-D8'!G59)</f>
        <v/>
      </c>
      <c r="BZ209" s="1837"/>
      <c r="CA209" s="1837"/>
      <c r="CB209" s="1837"/>
      <c r="CC209" s="1837"/>
      <c r="CD209" s="1837"/>
      <c r="CE209" s="1857" t="str">
        <f>IF('D6.Verification-D7-D8'!I59="","",'D6.Verification-D7-D8'!I59)</f>
        <v/>
      </c>
      <c r="CF209" s="1858"/>
      <c r="CG209" s="1858"/>
      <c r="CH209" s="1858"/>
      <c r="CI209" s="1858"/>
      <c r="CJ209" s="1858"/>
      <c r="CK209" s="1858"/>
      <c r="CL209" s="1858"/>
      <c r="CM209" s="1858"/>
      <c r="CN209" s="1858"/>
      <c r="CO209" s="1858"/>
      <c r="CP209" s="1858"/>
      <c r="CQ209" s="1858"/>
      <c r="CR209" s="1858"/>
      <c r="CS209" s="1859"/>
      <c r="CT209" s="1854" t="str">
        <f>IF('D6.Verification-D7-D8'!O59="","",'D6.Verification-D7-D8'!O59)</f>
        <v/>
      </c>
      <c r="CU209" s="1855"/>
      <c r="CV209" s="1855"/>
      <c r="CW209" s="1855"/>
      <c r="CX209" s="1855"/>
      <c r="CY209" s="1855"/>
      <c r="CZ209" s="1855"/>
      <c r="DA209" s="1856"/>
      <c r="DB209" s="1845" t="str">
        <f>IF('D6.Verification-D7-D8'!R59="","",'D6.Verification-D7-D8'!R59)</f>
        <v/>
      </c>
      <c r="DC209" s="1846"/>
      <c r="DD209" s="1846"/>
      <c r="DE209" s="1846"/>
      <c r="DF209" s="1846"/>
      <c r="DG209" s="1846"/>
      <c r="DH209" s="1846"/>
      <c r="DI209" s="1847"/>
      <c r="DJ209" s="1853" t="str">
        <f>IF('D6.Verification-D7-D8'!U59="","",'D6.Verification-D7-D8'!U59)</f>
        <v/>
      </c>
      <c r="DK209" s="1853"/>
      <c r="DL209" s="1853"/>
      <c r="DM209" s="1853"/>
      <c r="DN209" s="1853"/>
      <c r="DO209" s="1853"/>
      <c r="DP209" s="1853"/>
      <c r="DQ209" s="1853"/>
      <c r="DR209" s="1853"/>
      <c r="DS209" s="305"/>
      <c r="DT209" s="311"/>
    </row>
    <row r="210" spans="2:124" ht="24.9" customHeight="1">
      <c r="B210" s="312"/>
      <c r="C210" s="320"/>
      <c r="D210" s="1739" t="str">
        <f ca="1">'D6.Verification-D7-D8'!D55:F55</f>
        <v>Drawing</v>
      </c>
      <c r="E210" s="1740"/>
      <c r="F210" s="1740"/>
      <c r="G210" s="1740"/>
      <c r="H210" s="1740"/>
      <c r="I210" s="1740"/>
      <c r="J210" s="1740"/>
      <c r="K210" s="1740"/>
      <c r="L210" s="1740"/>
      <c r="M210" s="1740"/>
      <c r="N210" s="1740"/>
      <c r="O210" s="1740"/>
      <c r="P210" s="1741"/>
      <c r="Q210" s="2015" t="str">
        <f>IF('D6.Verification-D7-D8'!G55="","",'D6.Verification-D7-D8'!G55)</f>
        <v/>
      </c>
      <c r="R210" s="2015"/>
      <c r="S210" s="2015"/>
      <c r="T210" s="2015"/>
      <c r="U210" s="2015"/>
      <c r="V210" s="2015"/>
      <c r="W210" s="1857" t="str">
        <f>IF('D6.Verification-D7-D8'!I55="","",'D6.Verification-D7-D8'!I55)</f>
        <v/>
      </c>
      <c r="X210" s="1858"/>
      <c r="Y210" s="1858"/>
      <c r="Z210" s="1858"/>
      <c r="AA210" s="1858"/>
      <c r="AB210" s="1858"/>
      <c r="AC210" s="1858"/>
      <c r="AD210" s="1858"/>
      <c r="AE210" s="1858"/>
      <c r="AF210" s="1858"/>
      <c r="AG210" s="1858"/>
      <c r="AH210" s="1858"/>
      <c r="AI210" s="1858"/>
      <c r="AJ210" s="1859"/>
      <c r="AK210" s="1838" t="str">
        <f>IF('D6.Verification-D7-D8'!O55="","",'D6.Verification-D7-D8'!O55)</f>
        <v/>
      </c>
      <c r="AL210" s="1838"/>
      <c r="AM210" s="1838"/>
      <c r="AN210" s="1838"/>
      <c r="AO210" s="1838"/>
      <c r="AP210" s="1838"/>
      <c r="AQ210" s="1838"/>
      <c r="AR210" s="1838"/>
      <c r="AS210" s="1838" t="str">
        <f>IF('D6.Verification-D7-D8'!R55="","",'D6.Verification-D7-D8'!R55)</f>
        <v/>
      </c>
      <c r="AT210" s="1838"/>
      <c r="AU210" s="1838"/>
      <c r="AV210" s="1838"/>
      <c r="AW210" s="1838"/>
      <c r="AX210" s="1838"/>
      <c r="AY210" s="1838"/>
      <c r="AZ210" s="1838"/>
      <c r="BA210" s="1848" t="str">
        <f>IF('D6.Verification-D7-D8'!U55="","",'D6.Verification-D7-D8'!U55)</f>
        <v/>
      </c>
      <c r="BB210" s="1849"/>
      <c r="BC210" s="1849"/>
      <c r="BD210" s="1849"/>
      <c r="BE210" s="1849"/>
      <c r="BF210" s="1849"/>
      <c r="BG210" s="1849"/>
      <c r="BH210" s="1849"/>
      <c r="BI210" s="1850"/>
      <c r="BJ210" s="293"/>
      <c r="BK210" s="1739" t="str">
        <f ca="1">'D6.Verification-D7-D8'!D60</f>
        <v>Others</v>
      </c>
      <c r="BL210" s="1740"/>
      <c r="BM210" s="1740"/>
      <c r="BN210" s="1740"/>
      <c r="BO210" s="1740"/>
      <c r="BP210" s="1740"/>
      <c r="BQ210" s="1740"/>
      <c r="BR210" s="1740"/>
      <c r="BS210" s="1740"/>
      <c r="BT210" s="1740"/>
      <c r="BU210" s="1740"/>
      <c r="BV210" s="1740"/>
      <c r="BW210" s="1740" t="str">
        <f>IF('D6.Verification-D7-D8'!G60="","",'D6.Verification-D7-D8'!G60)</f>
        <v/>
      </c>
      <c r="BX210" s="1741"/>
      <c r="BY210" s="1837" t="str">
        <f>IF('D6.Verification-D7-D8'!G60="","",'D6.Verification-D7-D8'!G60)</f>
        <v/>
      </c>
      <c r="BZ210" s="1837"/>
      <c r="CA210" s="1837"/>
      <c r="CB210" s="1837"/>
      <c r="CC210" s="1837"/>
      <c r="CD210" s="1837"/>
      <c r="CE210" s="1857" t="str">
        <f>IF('D6.Verification-D7-D8'!I60="","",'D6.Verification-D7-D8'!I60)</f>
        <v/>
      </c>
      <c r="CF210" s="1858"/>
      <c r="CG210" s="1858"/>
      <c r="CH210" s="1858"/>
      <c r="CI210" s="1858"/>
      <c r="CJ210" s="1858"/>
      <c r="CK210" s="1858"/>
      <c r="CL210" s="1858"/>
      <c r="CM210" s="1858"/>
      <c r="CN210" s="1858"/>
      <c r="CO210" s="1858"/>
      <c r="CP210" s="1858"/>
      <c r="CQ210" s="1858"/>
      <c r="CR210" s="1858"/>
      <c r="CS210" s="1859"/>
      <c r="CT210" s="1854" t="str">
        <f>IF('D6.Verification-D7-D8'!O60="","",'D6.Verification-D7-D8'!O60)</f>
        <v/>
      </c>
      <c r="CU210" s="1855"/>
      <c r="CV210" s="1855"/>
      <c r="CW210" s="1855"/>
      <c r="CX210" s="1855"/>
      <c r="CY210" s="1855"/>
      <c r="CZ210" s="1855"/>
      <c r="DA210" s="1856"/>
      <c r="DB210" s="1845" t="str">
        <f>IF('D6.Verification-D7-D8'!R60="","",'D6.Verification-D7-D8'!R60)</f>
        <v/>
      </c>
      <c r="DC210" s="1846"/>
      <c r="DD210" s="1846"/>
      <c r="DE210" s="1846"/>
      <c r="DF210" s="1846"/>
      <c r="DG210" s="1846"/>
      <c r="DH210" s="1846"/>
      <c r="DI210" s="1847"/>
      <c r="DJ210" s="1853" t="str">
        <f>IF('D6.Verification-D7-D8'!U60="","",'D6.Verification-D7-D8'!U60)</f>
        <v/>
      </c>
      <c r="DK210" s="1853"/>
      <c r="DL210" s="1853"/>
      <c r="DM210" s="1853"/>
      <c r="DN210" s="1853"/>
      <c r="DO210" s="1853"/>
      <c r="DP210" s="1853"/>
      <c r="DQ210" s="1853"/>
      <c r="DR210" s="1853"/>
      <c r="DS210" s="305"/>
      <c r="DT210" s="311"/>
    </row>
    <row r="211" spans="2:124" ht="6" customHeight="1">
      <c r="B211" s="312"/>
      <c r="C211" s="320"/>
      <c r="D211" s="293"/>
      <c r="E211" s="293"/>
      <c r="F211" s="293"/>
      <c r="G211" s="293"/>
      <c r="H211" s="293"/>
      <c r="I211" s="293"/>
      <c r="J211" s="293"/>
      <c r="K211" s="293"/>
      <c r="L211" s="293"/>
      <c r="M211" s="293"/>
      <c r="N211" s="293"/>
      <c r="O211" s="293"/>
      <c r="P211" s="293"/>
      <c r="Q211" s="293"/>
      <c r="R211" s="293"/>
      <c r="S211" s="293"/>
      <c r="T211" s="293"/>
      <c r="U211" s="293"/>
      <c r="V211" s="293"/>
      <c r="W211" s="293"/>
      <c r="X211" s="293"/>
      <c r="Y211" s="293"/>
      <c r="Z211" s="293"/>
      <c r="AA211" s="293"/>
      <c r="AB211" s="293"/>
      <c r="AC211" s="293"/>
      <c r="AD211" s="293"/>
      <c r="AE211" s="293"/>
      <c r="AF211" s="293"/>
      <c r="AG211" s="293"/>
      <c r="AH211" s="293"/>
      <c r="AI211" s="293"/>
      <c r="AJ211" s="293"/>
      <c r="AK211" s="293"/>
      <c r="AL211" s="293"/>
      <c r="AM211" s="293"/>
      <c r="AN211" s="293"/>
      <c r="AO211" s="293"/>
      <c r="AP211" s="293"/>
      <c r="AQ211" s="293"/>
      <c r="AR211" s="293"/>
      <c r="AS211" s="293"/>
      <c r="AT211" s="293"/>
      <c r="AU211" s="293"/>
      <c r="AV211" s="293"/>
      <c r="AW211" s="293"/>
      <c r="AX211" s="293"/>
      <c r="AY211" s="293"/>
      <c r="AZ211" s="293"/>
      <c r="BA211" s="293"/>
      <c r="BB211" s="293"/>
      <c r="BC211" s="293"/>
      <c r="BD211" s="293"/>
      <c r="BE211" s="293"/>
      <c r="BF211" s="293"/>
      <c r="BG211" s="293"/>
      <c r="BH211" s="293"/>
      <c r="BI211" s="293"/>
      <c r="BJ211" s="293"/>
      <c r="BK211" s="293"/>
      <c r="BL211" s="293"/>
      <c r="BM211" s="293"/>
      <c r="BN211" s="293"/>
      <c r="BO211" s="293"/>
      <c r="BP211" s="293"/>
      <c r="BQ211" s="293"/>
      <c r="BR211" s="293"/>
      <c r="BS211" s="293"/>
      <c r="BT211" s="293"/>
      <c r="BU211" s="293"/>
      <c r="BV211" s="293"/>
      <c r="BW211" s="293"/>
      <c r="BX211" s="293"/>
      <c r="BY211" s="293"/>
      <c r="BZ211" s="293"/>
      <c r="CA211" s="293"/>
      <c r="CB211" s="293"/>
      <c r="CC211" s="293"/>
      <c r="CD211" s="293"/>
      <c r="CE211" s="293"/>
      <c r="CF211" s="293"/>
      <c r="CG211" s="293"/>
      <c r="CH211" s="293"/>
      <c r="CI211" s="293"/>
      <c r="CJ211" s="293"/>
      <c r="CK211" s="293"/>
      <c r="CL211" s="293"/>
      <c r="CM211" s="293"/>
      <c r="CN211" s="293"/>
      <c r="CO211" s="293"/>
      <c r="CP211" s="293"/>
      <c r="CQ211" s="293"/>
      <c r="CR211" s="293"/>
      <c r="CS211" s="293"/>
      <c r="CT211" s="293"/>
      <c r="CU211" s="293"/>
      <c r="CV211" s="293"/>
      <c r="CW211" s="293"/>
      <c r="CX211" s="293"/>
      <c r="CY211" s="293"/>
      <c r="CZ211" s="293"/>
      <c r="DA211" s="293"/>
      <c r="DB211" s="293"/>
      <c r="DC211" s="293"/>
      <c r="DD211" s="293"/>
      <c r="DE211" s="293"/>
      <c r="DF211" s="293"/>
      <c r="DG211" s="293"/>
      <c r="DH211" s="293"/>
      <c r="DI211" s="293"/>
      <c r="DJ211" s="293"/>
      <c r="DK211" s="293"/>
      <c r="DL211" s="293"/>
      <c r="DM211" s="293"/>
      <c r="DN211" s="293"/>
      <c r="DO211" s="293"/>
      <c r="DP211" s="293"/>
      <c r="DQ211" s="293"/>
      <c r="DR211" s="293"/>
      <c r="DS211" s="305"/>
      <c r="DT211" s="311"/>
    </row>
    <row r="212" spans="2:124" ht="24.9" customHeight="1">
      <c r="B212" s="319"/>
      <c r="C212" s="2021" t="str">
        <f ca="1">INDIRECT('D1-D2-D3'!$J$4&amp;"!C206")</f>
        <v>Implementation of measures to similar processes/products</v>
      </c>
      <c r="D212" s="2021"/>
      <c r="E212" s="2021"/>
      <c r="F212" s="2021"/>
      <c r="G212" s="2021"/>
      <c r="H212" s="2021"/>
      <c r="I212" s="2021"/>
      <c r="J212" s="2021"/>
      <c r="K212" s="2021"/>
      <c r="L212" s="2021"/>
      <c r="M212" s="2021"/>
      <c r="N212" s="2021"/>
      <c r="O212" s="2021"/>
      <c r="P212" s="2021"/>
      <c r="Q212" s="2021"/>
      <c r="R212" s="2021"/>
      <c r="S212" s="2021"/>
      <c r="T212" s="2021"/>
      <c r="U212" s="2021"/>
      <c r="V212" s="2021"/>
      <c r="W212" s="2021"/>
      <c r="X212" s="2021"/>
      <c r="Y212" s="2021"/>
      <c r="Z212" s="2021"/>
      <c r="AA212" s="2021"/>
      <c r="AB212" s="2021"/>
      <c r="AC212" s="2021"/>
      <c r="AD212" s="2021"/>
      <c r="AE212" s="2021"/>
      <c r="AF212" s="2021"/>
      <c r="AG212" s="2021"/>
      <c r="AH212" s="2021"/>
      <c r="AI212" s="2021"/>
      <c r="AJ212" s="2021"/>
      <c r="AK212" s="2021"/>
      <c r="AL212" s="2021"/>
      <c r="AM212" s="2021"/>
      <c r="AN212" s="2021"/>
      <c r="AO212" s="2021"/>
      <c r="AP212" s="2021"/>
      <c r="AQ212" s="2021"/>
      <c r="AR212" s="2021"/>
      <c r="AS212" s="310"/>
      <c r="AT212" s="310"/>
      <c r="AU212" s="310"/>
      <c r="AV212" s="310"/>
      <c r="AW212" s="310"/>
      <c r="AX212" s="310"/>
      <c r="AY212" s="310"/>
      <c r="AZ212" s="310"/>
      <c r="BA212" s="310"/>
      <c r="BB212" s="310"/>
      <c r="BC212" s="310"/>
      <c r="BD212" s="310"/>
      <c r="BE212" s="310"/>
      <c r="BF212" s="310"/>
      <c r="BG212" s="310"/>
      <c r="BH212" s="310"/>
      <c r="BI212" s="310"/>
      <c r="BJ212" s="310"/>
      <c r="BK212" s="310"/>
      <c r="BL212" s="310"/>
      <c r="BM212" s="310"/>
      <c r="BN212" s="310"/>
      <c r="BO212" s="310"/>
      <c r="BP212" s="310"/>
      <c r="BQ212" s="310"/>
      <c r="BR212" s="310"/>
      <c r="BS212" s="310"/>
      <c r="BT212" s="310"/>
      <c r="BU212" s="310"/>
      <c r="BV212" s="310"/>
      <c r="BW212" s="310"/>
      <c r="BX212" s="310"/>
      <c r="BY212" s="310"/>
      <c r="BZ212" s="310"/>
      <c r="CA212" s="310"/>
      <c r="CB212" s="310"/>
      <c r="CC212" s="310"/>
      <c r="CD212" s="310"/>
      <c r="CE212" s="310"/>
      <c r="CF212" s="310"/>
      <c r="CG212" s="310"/>
      <c r="CH212" s="310"/>
      <c r="CI212" s="310"/>
      <c r="CJ212" s="310"/>
      <c r="CK212" s="310"/>
      <c r="CL212" s="310"/>
      <c r="CM212" s="310"/>
      <c r="CN212" s="310"/>
      <c r="CO212" s="310"/>
      <c r="CP212" s="310"/>
      <c r="CQ212" s="310"/>
      <c r="CR212" s="310"/>
      <c r="CS212" s="310"/>
      <c r="CT212" s="310"/>
      <c r="CU212" s="310"/>
      <c r="CV212" s="310"/>
      <c r="CW212" s="310"/>
      <c r="CX212" s="310"/>
      <c r="CY212" s="310"/>
      <c r="CZ212" s="310"/>
      <c r="DA212" s="310"/>
      <c r="DB212" s="310"/>
      <c r="DC212" s="310"/>
      <c r="DD212" s="310"/>
      <c r="DE212" s="310"/>
      <c r="DF212" s="310"/>
      <c r="DG212" s="310"/>
      <c r="DH212" s="310"/>
      <c r="DI212" s="310"/>
      <c r="DJ212" s="310"/>
      <c r="DK212" s="310"/>
      <c r="DL212" s="310"/>
      <c r="DM212" s="310"/>
      <c r="DN212" s="310"/>
      <c r="DO212" s="310"/>
      <c r="DP212" s="310"/>
      <c r="DQ212" s="310"/>
      <c r="DR212" s="310"/>
      <c r="DS212" s="310"/>
      <c r="DT212" s="311"/>
    </row>
    <row r="213" spans="2:124" ht="6" customHeight="1">
      <c r="B213" s="319"/>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c r="AA213" s="305"/>
      <c r="AB213" s="305"/>
      <c r="AC213" s="305"/>
      <c r="AD213" s="305"/>
      <c r="AE213" s="305"/>
      <c r="AF213" s="305"/>
      <c r="AG213" s="305"/>
      <c r="AH213" s="305"/>
      <c r="AI213" s="305"/>
      <c r="AJ213" s="305"/>
      <c r="AK213" s="305"/>
      <c r="AL213" s="305"/>
      <c r="AM213" s="305"/>
      <c r="AN213" s="305"/>
      <c r="AO213" s="305"/>
      <c r="AP213" s="305"/>
      <c r="AQ213" s="305"/>
      <c r="AR213" s="305"/>
      <c r="AS213" s="305"/>
      <c r="AT213" s="305"/>
      <c r="AU213" s="305"/>
      <c r="AV213" s="305"/>
      <c r="AW213" s="305"/>
      <c r="AX213" s="305"/>
      <c r="AY213" s="305"/>
      <c r="AZ213" s="305"/>
      <c r="BA213" s="305"/>
      <c r="BB213" s="305"/>
      <c r="BC213" s="305"/>
      <c r="BD213" s="305"/>
      <c r="BE213" s="305"/>
      <c r="BF213" s="305"/>
      <c r="BG213" s="305"/>
      <c r="BH213" s="305"/>
      <c r="BI213" s="305"/>
      <c r="BJ213" s="305"/>
      <c r="BK213" s="305"/>
      <c r="BL213" s="305"/>
      <c r="BM213" s="305"/>
      <c r="BN213" s="305"/>
      <c r="BO213" s="305"/>
      <c r="BP213" s="305"/>
      <c r="BQ213" s="305"/>
      <c r="BR213" s="305"/>
      <c r="BS213" s="305"/>
      <c r="BT213" s="305"/>
      <c r="BU213" s="305"/>
      <c r="BV213" s="305"/>
      <c r="BW213" s="305"/>
      <c r="BX213" s="305"/>
      <c r="BY213" s="305"/>
      <c r="BZ213" s="305"/>
      <c r="CA213" s="305"/>
      <c r="CB213" s="305"/>
      <c r="CC213" s="305"/>
      <c r="CD213" s="305"/>
      <c r="CE213" s="305"/>
      <c r="CF213" s="305"/>
      <c r="CG213" s="305"/>
      <c r="CH213" s="305"/>
      <c r="CI213" s="305"/>
      <c r="CJ213" s="305"/>
      <c r="CK213" s="305"/>
      <c r="CL213" s="305"/>
      <c r="CM213" s="305"/>
      <c r="CN213" s="305"/>
      <c r="CO213" s="305"/>
      <c r="CP213" s="305"/>
      <c r="CQ213" s="305"/>
      <c r="CR213" s="305"/>
      <c r="CS213" s="305"/>
      <c r="CT213" s="305"/>
      <c r="CU213" s="305"/>
      <c r="CV213" s="305"/>
      <c r="CW213" s="305"/>
      <c r="CX213" s="305"/>
      <c r="CY213" s="305"/>
      <c r="CZ213" s="305"/>
      <c r="DA213" s="305"/>
      <c r="DB213" s="305"/>
      <c r="DC213" s="305"/>
      <c r="DD213" s="305"/>
      <c r="DE213" s="305"/>
      <c r="DF213" s="305"/>
      <c r="DG213" s="305"/>
      <c r="DH213" s="305"/>
      <c r="DI213" s="305"/>
      <c r="DJ213" s="305"/>
      <c r="DK213" s="305"/>
      <c r="DL213" s="305"/>
      <c r="DM213" s="305"/>
      <c r="DN213" s="305"/>
      <c r="DO213" s="305"/>
      <c r="DP213" s="305"/>
      <c r="DQ213" s="305"/>
      <c r="DR213" s="305"/>
      <c r="DS213" s="305"/>
      <c r="DT213" s="311"/>
    </row>
    <row r="214" spans="2:124" ht="24.9" customHeight="1">
      <c r="B214" s="319"/>
      <c r="C214" s="1755" t="str">
        <f ca="1">INDIRECT('D1-D2-D3'!$J$4&amp;"!C207")</f>
        <v>Processes</v>
      </c>
      <c r="D214" s="1755"/>
      <c r="E214" s="1755"/>
      <c r="F214" s="1755"/>
      <c r="G214" s="1755"/>
      <c r="H214" s="1755"/>
      <c r="I214" s="1755"/>
      <c r="J214" s="1755"/>
      <c r="K214" s="1755"/>
      <c r="L214" s="1755"/>
      <c r="M214" s="1755"/>
      <c r="N214" s="1755"/>
      <c r="O214" s="1755"/>
      <c r="P214" s="1755"/>
      <c r="Q214" s="1755"/>
      <c r="R214" s="1970"/>
      <c r="S214" s="2020" t="str">
        <f>IF('D6.Verification-D7-D8'!F64="","",'D6.Verification-D7-D8'!F64)</f>
        <v/>
      </c>
      <c r="T214" s="2020"/>
      <c r="U214" s="2020"/>
      <c r="V214" s="2020"/>
      <c r="W214" s="2020"/>
      <c r="X214" s="2020"/>
      <c r="Y214" s="1803"/>
      <c r="Z214" s="1803"/>
      <c r="AA214" s="273"/>
      <c r="AB214" s="500"/>
      <c r="AC214" s="500"/>
      <c r="AD214" s="274"/>
      <c r="AE214" s="357"/>
      <c r="AF214" s="129"/>
      <c r="AG214" s="129"/>
      <c r="AH214" s="129"/>
      <c r="AI214" s="129"/>
      <c r="AJ214" s="129"/>
      <c r="AK214" s="305"/>
      <c r="AL214" s="305"/>
      <c r="AM214" s="305"/>
      <c r="AN214" s="305"/>
      <c r="AO214" s="305"/>
      <c r="AP214" s="305"/>
      <c r="AQ214" s="305"/>
      <c r="AR214" s="305"/>
      <c r="AS214" s="305"/>
      <c r="AT214" s="305"/>
      <c r="AU214" s="305"/>
      <c r="AV214" s="305"/>
      <c r="AW214" s="305"/>
      <c r="AX214" s="305"/>
      <c r="AY214" s="305"/>
      <c r="AZ214" s="305"/>
      <c r="BA214" s="305"/>
      <c r="BB214" s="305"/>
      <c r="BC214" s="305"/>
      <c r="BD214" s="305"/>
      <c r="BE214" s="305"/>
      <c r="BF214" s="305"/>
      <c r="BG214" s="305"/>
      <c r="BH214" s="305"/>
      <c r="BI214" s="305"/>
      <c r="BJ214" s="305"/>
      <c r="BK214" s="305"/>
      <c r="BL214" s="305"/>
      <c r="BM214" s="305"/>
      <c r="BN214" s="305"/>
      <c r="BO214" s="305"/>
      <c r="BP214" s="305"/>
      <c r="BQ214" s="305"/>
      <c r="BR214" s="305"/>
      <c r="BS214" s="305"/>
      <c r="BT214" s="305"/>
      <c r="BU214" s="305"/>
      <c r="BV214" s="305"/>
      <c r="BW214" s="305"/>
      <c r="BX214" s="305"/>
      <c r="BY214" s="305"/>
      <c r="BZ214" s="305"/>
      <c r="CA214" s="305"/>
      <c r="CB214" s="305"/>
      <c r="CC214" s="305"/>
      <c r="CD214" s="305"/>
      <c r="CE214" s="305"/>
      <c r="CF214" s="305"/>
      <c r="CG214" s="305"/>
      <c r="CH214" s="305"/>
      <c r="CI214" s="305"/>
      <c r="CJ214" s="305"/>
      <c r="CK214" s="305"/>
      <c r="CL214" s="305"/>
      <c r="CM214" s="912" t="str">
        <f ca="1">INDIRECT('D1-D2-D3'!$J$4&amp;"!C265")</f>
        <v>Inform Prevention-Team</v>
      </c>
      <c r="CN214" s="305"/>
      <c r="CO214" s="357" t="s">
        <v>847</v>
      </c>
      <c r="CP214" s="357"/>
      <c r="CQ214" s="585"/>
      <c r="CR214" s="585"/>
      <c r="CS214" s="585"/>
      <c r="CT214" s="585"/>
      <c r="CU214" s="585"/>
      <c r="CV214" s="2023" t="s">
        <v>931</v>
      </c>
      <c r="CW214" s="2023"/>
      <c r="CX214" s="2023"/>
      <c r="CY214" s="2023"/>
      <c r="CZ214" s="2023"/>
      <c r="DA214" s="2023"/>
      <c r="DB214" s="2023"/>
      <c r="DC214" s="2023"/>
      <c r="DD214" s="2023"/>
      <c r="DE214" s="2023"/>
      <c r="DF214" s="2023"/>
      <c r="DG214" s="2023"/>
      <c r="DH214" s="2023"/>
      <c r="DI214" s="2023"/>
      <c r="DJ214" s="2023"/>
      <c r="DK214" s="2023"/>
      <c r="DL214" s="2024"/>
      <c r="DM214" s="2022" t="str">
        <f>IF('D6.Verification-D7-D8'!AC64="","",'D6.Verification-D7-D8'!AC64)</f>
        <v/>
      </c>
      <c r="DN214" s="2022"/>
      <c r="DO214" s="2022"/>
      <c r="DP214" s="2022"/>
      <c r="DQ214" s="2022"/>
      <c r="DR214" s="2022"/>
      <c r="DS214" s="305"/>
      <c r="DT214" s="311"/>
    </row>
    <row r="215" spans="2:124" ht="6" customHeight="1">
      <c r="B215" s="319"/>
      <c r="C215" s="129"/>
      <c r="D215" s="129"/>
      <c r="E215" s="810"/>
      <c r="F215" s="129"/>
      <c r="G215" s="129"/>
      <c r="H215" s="23"/>
      <c r="I215" s="23"/>
      <c r="J215" s="23"/>
      <c r="K215" s="23"/>
      <c r="L215" s="23"/>
      <c r="M215" s="23"/>
      <c r="N215" s="23"/>
      <c r="O215" s="23"/>
      <c r="P215" s="23"/>
      <c r="Q215" s="23"/>
      <c r="R215" s="23"/>
      <c r="S215" s="23"/>
      <c r="T215" s="23"/>
      <c r="U215" s="23"/>
      <c r="V215" s="23"/>
      <c r="W215" s="23"/>
      <c r="X215" s="23"/>
      <c r="Y215" s="810"/>
      <c r="Z215" s="810"/>
      <c r="AA215" s="129"/>
      <c r="AB215" s="500"/>
      <c r="AC215" s="500"/>
      <c r="AD215" s="129"/>
      <c r="AE215" s="129"/>
      <c r="AF215" s="129"/>
      <c r="AG215" s="129"/>
      <c r="AH215" s="129"/>
      <c r="AI215" s="129"/>
      <c r="AJ215" s="129"/>
      <c r="AK215" s="305"/>
      <c r="AL215" s="305"/>
      <c r="AM215" s="305"/>
      <c r="AN215" s="305"/>
      <c r="AO215" s="305"/>
      <c r="AP215" s="305"/>
      <c r="AQ215" s="305"/>
      <c r="AR215" s="305"/>
      <c r="AS215" s="305"/>
      <c r="AT215" s="305"/>
      <c r="AU215" s="305"/>
      <c r="AV215" s="305"/>
      <c r="AW215" s="305"/>
      <c r="AX215" s="305"/>
      <c r="AY215" s="305"/>
      <c r="AZ215" s="305"/>
      <c r="BA215" s="305"/>
      <c r="BB215" s="305"/>
      <c r="BC215" s="305"/>
      <c r="BD215" s="305"/>
      <c r="BE215" s="305"/>
      <c r="BF215" s="305"/>
      <c r="BG215" s="305"/>
      <c r="BH215" s="305"/>
      <c r="BI215" s="305"/>
      <c r="BJ215" s="305"/>
      <c r="BK215" s="305"/>
      <c r="BL215" s="305"/>
      <c r="BM215" s="305"/>
      <c r="BN215" s="305"/>
      <c r="BO215" s="305"/>
      <c r="BP215" s="305"/>
      <c r="BQ215" s="305"/>
      <c r="BR215" s="305"/>
      <c r="BS215" s="305"/>
      <c r="BT215" s="305"/>
      <c r="BU215" s="305"/>
      <c r="BV215" s="305"/>
      <c r="BW215" s="305"/>
      <c r="BX215" s="305"/>
      <c r="BY215" s="305"/>
      <c r="BZ215" s="305"/>
      <c r="CA215" s="305"/>
      <c r="CB215" s="305"/>
      <c r="CC215" s="305"/>
      <c r="CD215" s="305"/>
      <c r="CE215" s="305"/>
      <c r="CF215" s="305"/>
      <c r="CG215" s="305"/>
      <c r="CH215" s="305"/>
      <c r="CI215" s="305"/>
      <c r="CJ215" s="305"/>
      <c r="CK215" s="305"/>
      <c r="CL215" s="305"/>
      <c r="CM215" s="305"/>
      <c r="CN215" s="305"/>
      <c r="CO215" s="305"/>
      <c r="CP215" s="305"/>
      <c r="CQ215" s="305"/>
      <c r="CR215" s="305"/>
      <c r="CS215" s="305"/>
      <c r="CT215" s="305"/>
      <c r="CU215" s="305"/>
      <c r="CV215" s="305"/>
      <c r="CW215" s="305"/>
      <c r="CX215" s="305"/>
      <c r="CY215" s="305"/>
      <c r="CZ215" s="305"/>
      <c r="DA215" s="305"/>
      <c r="DB215" s="305"/>
      <c r="DC215" s="305"/>
      <c r="DD215" s="305"/>
      <c r="DE215" s="305"/>
      <c r="DF215" s="305"/>
      <c r="DG215" s="305"/>
      <c r="DH215" s="305"/>
      <c r="DI215" s="305"/>
      <c r="DJ215" s="305"/>
      <c r="DK215" s="305"/>
      <c r="DL215" s="305"/>
      <c r="DM215" s="305"/>
      <c r="DN215" s="305"/>
      <c r="DO215" s="305"/>
      <c r="DP215" s="305"/>
      <c r="DQ215" s="305"/>
      <c r="DR215" s="325"/>
      <c r="DS215" s="305"/>
      <c r="DT215" s="311"/>
    </row>
    <row r="216" spans="2:124" ht="24.9" customHeight="1">
      <c r="B216" s="319"/>
      <c r="C216" s="129"/>
      <c r="D216" s="1932" t="str">
        <f ca="1">INDIRECT('D1-D2-D3'!$J$4&amp;"!C208")</f>
        <v>Concerned processes</v>
      </c>
      <c r="E216" s="1932"/>
      <c r="F216" s="1932"/>
      <c r="G216" s="1932"/>
      <c r="H216" s="1932"/>
      <c r="I216" s="1932"/>
      <c r="J216" s="1932"/>
      <c r="K216" s="1932"/>
      <c r="L216" s="1932"/>
      <c r="M216" s="1932"/>
      <c r="N216" s="1932"/>
      <c r="O216" s="1932"/>
      <c r="P216" s="1932"/>
      <c r="Q216" s="1932"/>
      <c r="R216" s="1932"/>
      <c r="S216" s="1932"/>
      <c r="T216" s="1932"/>
      <c r="U216" s="1932"/>
      <c r="V216" s="1932"/>
      <c r="W216" s="1932"/>
      <c r="X216" s="1932"/>
      <c r="Y216" s="1932" t="str">
        <f ca="1">INDIRECT('D1-D2-D3'!$J$4&amp;"!C80")</f>
        <v>Action</v>
      </c>
      <c r="Z216" s="1932"/>
      <c r="AA216" s="1932"/>
      <c r="AB216" s="1932"/>
      <c r="AC216" s="1932"/>
      <c r="AD216" s="1932"/>
      <c r="AE216" s="1932"/>
      <c r="AF216" s="1932"/>
      <c r="AG216" s="1932"/>
      <c r="AH216" s="1932"/>
      <c r="AI216" s="1932"/>
      <c r="AJ216" s="1932"/>
      <c r="AK216" s="1932"/>
      <c r="AL216" s="1932"/>
      <c r="AM216" s="1932"/>
      <c r="AN216" s="1932"/>
      <c r="AO216" s="1932"/>
      <c r="AP216" s="1932"/>
      <c r="AQ216" s="1932"/>
      <c r="AR216" s="1932"/>
      <c r="AS216" s="1932"/>
      <c r="AT216" s="1932"/>
      <c r="AU216" s="1932"/>
      <c r="AV216" s="1932"/>
      <c r="AW216" s="1932"/>
      <c r="AX216" s="1932"/>
      <c r="AY216" s="1932"/>
      <c r="AZ216" s="1932"/>
      <c r="BA216" s="1932"/>
      <c r="BB216" s="1932"/>
      <c r="BC216" s="1932"/>
      <c r="BD216" s="1932"/>
      <c r="BE216" s="1932"/>
      <c r="BF216" s="1932"/>
      <c r="BG216" s="1932"/>
      <c r="BH216" s="1932"/>
      <c r="BI216" s="1932"/>
      <c r="BJ216" s="1932"/>
      <c r="BK216" s="1932"/>
      <c r="BL216" s="1932"/>
      <c r="BM216" s="1932"/>
      <c r="BN216" s="1932"/>
      <c r="BO216" s="1932"/>
      <c r="BP216" s="1932"/>
      <c r="BQ216" s="1932"/>
      <c r="BR216" s="1932"/>
      <c r="BS216" s="1932"/>
      <c r="BT216" s="1932"/>
      <c r="BU216" s="1932"/>
      <c r="BV216" s="1932"/>
      <c r="BW216" s="1932"/>
      <c r="BX216" s="1932"/>
      <c r="BY216" s="1932"/>
      <c r="BZ216" s="1932"/>
      <c r="CA216" s="1932"/>
      <c r="CB216" s="1932"/>
      <c r="CC216" s="1932"/>
      <c r="CD216" s="1932"/>
      <c r="CE216" s="1932"/>
      <c r="CF216" s="1932"/>
      <c r="CG216" s="1932"/>
      <c r="CH216" s="1932"/>
      <c r="CI216" s="1932"/>
      <c r="CJ216" s="1932"/>
      <c r="CK216" s="1932"/>
      <c r="CL216" s="1932"/>
      <c r="CM216" s="1932"/>
      <c r="CN216" s="1932"/>
      <c r="CO216" s="1761" t="str">
        <f ca="1">INDIRECT('D1-D2-D3'!$J$4&amp;"!C83")</f>
        <v>Responsible</v>
      </c>
      <c r="CP216" s="1762"/>
      <c r="CQ216" s="1762"/>
      <c r="CR216" s="1762"/>
      <c r="CS216" s="1762"/>
      <c r="CT216" s="1762"/>
      <c r="CU216" s="1762"/>
      <c r="CV216" s="1762"/>
      <c r="CW216" s="1762"/>
      <c r="CX216" s="1762"/>
      <c r="CY216" s="1762"/>
      <c r="CZ216" s="1762"/>
      <c r="DA216" s="1763"/>
      <c r="DB216" s="1946" t="str">
        <f ca="1">INDIRECT('D1-D2-D3'!$J$4&amp;"!C211")&amp;" - "&amp;INDIRECT('D1-D2-D3'!$J$4&amp;"!C69")</f>
        <v>E-mail sent to responsible - Date</v>
      </c>
      <c r="DC216" s="1947"/>
      <c r="DD216" s="1947"/>
      <c r="DE216" s="1947"/>
      <c r="DF216" s="1947"/>
      <c r="DG216" s="1947"/>
      <c r="DH216" s="1947"/>
      <c r="DI216" s="1947"/>
      <c r="DJ216" s="1947"/>
      <c r="DK216" s="1947"/>
      <c r="DL216" s="1947"/>
      <c r="DM216" s="1947"/>
      <c r="DN216" s="1947"/>
      <c r="DO216" s="1947"/>
      <c r="DP216" s="1947"/>
      <c r="DQ216" s="1947"/>
      <c r="DR216" s="1948"/>
      <c r="DS216" s="305"/>
      <c r="DT216" s="311"/>
    </row>
    <row r="217" spans="2:124" ht="24.9" customHeight="1">
      <c r="B217" s="319"/>
      <c r="C217" s="129"/>
      <c r="D217" s="1943" t="str">
        <f>IF('D6.Verification-D7-D8'!D67="","",'D6.Verification-D7-D8'!D67)</f>
        <v/>
      </c>
      <c r="E217" s="1943"/>
      <c r="F217" s="1943"/>
      <c r="G217" s="1943"/>
      <c r="H217" s="1943"/>
      <c r="I217" s="1943"/>
      <c r="J217" s="1943"/>
      <c r="K217" s="1943"/>
      <c r="L217" s="1943"/>
      <c r="M217" s="1943"/>
      <c r="N217" s="1943"/>
      <c r="O217" s="1943"/>
      <c r="P217" s="1943"/>
      <c r="Q217" s="1943"/>
      <c r="R217" s="1943"/>
      <c r="S217" s="1943"/>
      <c r="T217" s="1943"/>
      <c r="U217" s="1943"/>
      <c r="V217" s="1943"/>
      <c r="W217" s="1943"/>
      <c r="X217" s="1943"/>
      <c r="Y217" s="1949" t="str">
        <f>IF('D6.Verification-D7-D8'!I67="","",'D6.Verification-D7-D8'!I67)</f>
        <v/>
      </c>
      <c r="Z217" s="1949"/>
      <c r="AA217" s="1949"/>
      <c r="AB217" s="1949"/>
      <c r="AC217" s="1949"/>
      <c r="AD217" s="1949"/>
      <c r="AE217" s="1949"/>
      <c r="AF217" s="1949"/>
      <c r="AG217" s="1949"/>
      <c r="AH217" s="1949"/>
      <c r="AI217" s="1949"/>
      <c r="AJ217" s="1949"/>
      <c r="AK217" s="1949"/>
      <c r="AL217" s="1949"/>
      <c r="AM217" s="1949"/>
      <c r="AN217" s="1949"/>
      <c r="AO217" s="1949"/>
      <c r="AP217" s="1949"/>
      <c r="AQ217" s="1949"/>
      <c r="AR217" s="1949"/>
      <c r="AS217" s="1949"/>
      <c r="AT217" s="1949"/>
      <c r="AU217" s="1949"/>
      <c r="AV217" s="1949"/>
      <c r="AW217" s="1949"/>
      <c r="AX217" s="1949"/>
      <c r="AY217" s="1949"/>
      <c r="AZ217" s="1949"/>
      <c r="BA217" s="1949"/>
      <c r="BB217" s="1949"/>
      <c r="BC217" s="1949"/>
      <c r="BD217" s="1949"/>
      <c r="BE217" s="1949"/>
      <c r="BF217" s="1949"/>
      <c r="BG217" s="1949"/>
      <c r="BH217" s="1949"/>
      <c r="BI217" s="1949"/>
      <c r="BJ217" s="1949"/>
      <c r="BK217" s="1949"/>
      <c r="BL217" s="1949"/>
      <c r="BM217" s="1949"/>
      <c r="BN217" s="1949"/>
      <c r="BO217" s="1949"/>
      <c r="BP217" s="1949"/>
      <c r="BQ217" s="1949"/>
      <c r="BR217" s="1949"/>
      <c r="BS217" s="1949"/>
      <c r="BT217" s="1949"/>
      <c r="BU217" s="1949"/>
      <c r="BV217" s="1949"/>
      <c r="BW217" s="1949"/>
      <c r="BX217" s="1949"/>
      <c r="BY217" s="1949"/>
      <c r="BZ217" s="1949"/>
      <c r="CA217" s="1949"/>
      <c r="CB217" s="1949"/>
      <c r="CC217" s="1949"/>
      <c r="CD217" s="1949"/>
      <c r="CE217" s="1949"/>
      <c r="CF217" s="1949"/>
      <c r="CG217" s="1949"/>
      <c r="CH217" s="1949"/>
      <c r="CI217" s="1949"/>
      <c r="CJ217" s="1949"/>
      <c r="CK217" s="1949"/>
      <c r="CL217" s="1949"/>
      <c r="CM217" s="1949"/>
      <c r="CN217" s="1949"/>
      <c r="CO217" s="1837" t="str">
        <f>IF('D6.Verification-D7-D8'!U67="","",'D6.Verification-D7-D8'!U67)</f>
        <v/>
      </c>
      <c r="CP217" s="1837"/>
      <c r="CQ217" s="1837"/>
      <c r="CR217" s="1837"/>
      <c r="CS217" s="1837"/>
      <c r="CT217" s="1837"/>
      <c r="CU217" s="1837"/>
      <c r="CV217" s="1837"/>
      <c r="CW217" s="1837"/>
      <c r="CX217" s="1837"/>
      <c r="CY217" s="1837"/>
      <c r="CZ217" s="1837"/>
      <c r="DA217" s="1837"/>
      <c r="DB217" s="1838" t="str">
        <f>IF('D6.Verification-D7-D8'!Y67="","",'D6.Verification-D7-D8'!Y67)</f>
        <v/>
      </c>
      <c r="DC217" s="1838"/>
      <c r="DD217" s="1838"/>
      <c r="DE217" s="1838"/>
      <c r="DF217" s="1838"/>
      <c r="DG217" s="1838"/>
      <c r="DH217" s="1838"/>
      <c r="DI217" s="1838"/>
      <c r="DJ217" s="1838"/>
      <c r="DK217" s="1838"/>
      <c r="DL217" s="1838"/>
      <c r="DM217" s="1838"/>
      <c r="DN217" s="1838"/>
      <c r="DO217" s="1838"/>
      <c r="DP217" s="1838"/>
      <c r="DQ217" s="1838"/>
      <c r="DR217" s="1838"/>
      <c r="DS217" s="305"/>
      <c r="DT217" s="311"/>
    </row>
    <row r="218" spans="2:124" ht="24.9" customHeight="1">
      <c r="B218" s="319"/>
      <c r="C218" s="129"/>
      <c r="D218" s="1943" t="str">
        <f>IF('D6.Verification-D7-D8'!D68="","",'D6.Verification-D7-D8'!D68)</f>
        <v/>
      </c>
      <c r="E218" s="1943"/>
      <c r="F218" s="1943"/>
      <c r="G218" s="1943"/>
      <c r="H218" s="1943"/>
      <c r="I218" s="1943"/>
      <c r="J218" s="1943"/>
      <c r="K218" s="1943"/>
      <c r="L218" s="1943"/>
      <c r="M218" s="1943"/>
      <c r="N218" s="1943"/>
      <c r="O218" s="1943"/>
      <c r="P218" s="1943"/>
      <c r="Q218" s="1943"/>
      <c r="R218" s="1943"/>
      <c r="S218" s="1943"/>
      <c r="T218" s="1943"/>
      <c r="U218" s="1943"/>
      <c r="V218" s="1943"/>
      <c r="W218" s="1943"/>
      <c r="X218" s="1943"/>
      <c r="Y218" s="1949" t="str">
        <f>IF('D6.Verification-D7-D8'!I68="","",'D6.Verification-D7-D8'!I68)</f>
        <v/>
      </c>
      <c r="Z218" s="1949"/>
      <c r="AA218" s="1949"/>
      <c r="AB218" s="1949"/>
      <c r="AC218" s="1949"/>
      <c r="AD218" s="1949"/>
      <c r="AE218" s="1949"/>
      <c r="AF218" s="1949"/>
      <c r="AG218" s="1949"/>
      <c r="AH218" s="1949"/>
      <c r="AI218" s="1949"/>
      <c r="AJ218" s="1949"/>
      <c r="AK218" s="1949"/>
      <c r="AL218" s="1949"/>
      <c r="AM218" s="1949"/>
      <c r="AN218" s="1949"/>
      <c r="AO218" s="1949"/>
      <c r="AP218" s="1949"/>
      <c r="AQ218" s="1949"/>
      <c r="AR218" s="1949"/>
      <c r="AS218" s="1949"/>
      <c r="AT218" s="1949"/>
      <c r="AU218" s="1949"/>
      <c r="AV218" s="1949"/>
      <c r="AW218" s="1949"/>
      <c r="AX218" s="1949"/>
      <c r="AY218" s="1949"/>
      <c r="AZ218" s="1949"/>
      <c r="BA218" s="1949"/>
      <c r="BB218" s="1949"/>
      <c r="BC218" s="1949"/>
      <c r="BD218" s="1949"/>
      <c r="BE218" s="1949"/>
      <c r="BF218" s="1949"/>
      <c r="BG218" s="1949"/>
      <c r="BH218" s="1949"/>
      <c r="BI218" s="1949"/>
      <c r="BJ218" s="1949"/>
      <c r="BK218" s="1949"/>
      <c r="BL218" s="1949"/>
      <c r="BM218" s="1949"/>
      <c r="BN218" s="1949"/>
      <c r="BO218" s="1949"/>
      <c r="BP218" s="1949"/>
      <c r="BQ218" s="1949"/>
      <c r="BR218" s="1949"/>
      <c r="BS218" s="1949"/>
      <c r="BT218" s="1949"/>
      <c r="BU218" s="1949"/>
      <c r="BV218" s="1949"/>
      <c r="BW218" s="1949"/>
      <c r="BX218" s="1949"/>
      <c r="BY218" s="1949"/>
      <c r="BZ218" s="1949"/>
      <c r="CA218" s="1949"/>
      <c r="CB218" s="1949"/>
      <c r="CC218" s="1949"/>
      <c r="CD218" s="1949"/>
      <c r="CE218" s="1949"/>
      <c r="CF218" s="1949"/>
      <c r="CG218" s="1949"/>
      <c r="CH218" s="1949"/>
      <c r="CI218" s="1949"/>
      <c r="CJ218" s="1949"/>
      <c r="CK218" s="1949"/>
      <c r="CL218" s="1949"/>
      <c r="CM218" s="1949"/>
      <c r="CN218" s="1949"/>
      <c r="CO218" s="1837" t="str">
        <f>IF('D6.Verification-D7-D8'!U68="","",'D6.Verification-D7-D8'!U68)</f>
        <v/>
      </c>
      <c r="CP218" s="1837"/>
      <c r="CQ218" s="1837"/>
      <c r="CR218" s="1837"/>
      <c r="CS218" s="1837"/>
      <c r="CT218" s="1837"/>
      <c r="CU218" s="1837"/>
      <c r="CV218" s="1837"/>
      <c r="CW218" s="1837"/>
      <c r="CX218" s="1837"/>
      <c r="CY218" s="1837"/>
      <c r="CZ218" s="1837"/>
      <c r="DA218" s="1837"/>
      <c r="DB218" s="1838" t="str">
        <f>IF('D6.Verification-D7-D8'!Y68="","",'D6.Verification-D7-D8'!Y68)</f>
        <v/>
      </c>
      <c r="DC218" s="1838"/>
      <c r="DD218" s="1838"/>
      <c r="DE218" s="1838"/>
      <c r="DF218" s="1838"/>
      <c r="DG218" s="1838"/>
      <c r="DH218" s="1838"/>
      <c r="DI218" s="1838"/>
      <c r="DJ218" s="1838"/>
      <c r="DK218" s="1838"/>
      <c r="DL218" s="1838"/>
      <c r="DM218" s="1838"/>
      <c r="DN218" s="1838"/>
      <c r="DO218" s="1838"/>
      <c r="DP218" s="1838"/>
      <c r="DQ218" s="1838"/>
      <c r="DR218" s="1838"/>
      <c r="DS218" s="305"/>
      <c r="DT218" s="311"/>
    </row>
    <row r="219" spans="2:124" ht="24.9" customHeight="1">
      <c r="B219" s="319"/>
      <c r="C219" s="129"/>
      <c r="D219" s="1943" t="str">
        <f>IF('D6.Verification-D7-D8'!D69="","",'D6.Verification-D7-D8'!D69)</f>
        <v/>
      </c>
      <c r="E219" s="1943"/>
      <c r="F219" s="1943"/>
      <c r="G219" s="1943"/>
      <c r="H219" s="1943"/>
      <c r="I219" s="1943"/>
      <c r="J219" s="1943"/>
      <c r="K219" s="1943"/>
      <c r="L219" s="1943"/>
      <c r="M219" s="1943"/>
      <c r="N219" s="1943"/>
      <c r="O219" s="1943"/>
      <c r="P219" s="1943"/>
      <c r="Q219" s="1943"/>
      <c r="R219" s="1943"/>
      <c r="S219" s="1943"/>
      <c r="T219" s="1943"/>
      <c r="U219" s="1943"/>
      <c r="V219" s="1943"/>
      <c r="W219" s="1943"/>
      <c r="X219" s="1943"/>
      <c r="Y219" s="1949" t="str">
        <f>IF('D6.Verification-D7-D8'!I69="","",'D6.Verification-D7-D8'!I69)</f>
        <v/>
      </c>
      <c r="Z219" s="1949"/>
      <c r="AA219" s="1949"/>
      <c r="AB219" s="1949"/>
      <c r="AC219" s="1949"/>
      <c r="AD219" s="1949"/>
      <c r="AE219" s="1949"/>
      <c r="AF219" s="1949"/>
      <c r="AG219" s="1949"/>
      <c r="AH219" s="1949"/>
      <c r="AI219" s="1949"/>
      <c r="AJ219" s="1949"/>
      <c r="AK219" s="1949"/>
      <c r="AL219" s="1949"/>
      <c r="AM219" s="1949"/>
      <c r="AN219" s="1949"/>
      <c r="AO219" s="1949"/>
      <c r="AP219" s="1949"/>
      <c r="AQ219" s="1949"/>
      <c r="AR219" s="1949"/>
      <c r="AS219" s="1949"/>
      <c r="AT219" s="1949"/>
      <c r="AU219" s="1949"/>
      <c r="AV219" s="1949"/>
      <c r="AW219" s="1949"/>
      <c r="AX219" s="1949"/>
      <c r="AY219" s="1949"/>
      <c r="AZ219" s="1949"/>
      <c r="BA219" s="1949"/>
      <c r="BB219" s="1949"/>
      <c r="BC219" s="1949"/>
      <c r="BD219" s="1949"/>
      <c r="BE219" s="1949"/>
      <c r="BF219" s="1949"/>
      <c r="BG219" s="1949"/>
      <c r="BH219" s="1949"/>
      <c r="BI219" s="1949"/>
      <c r="BJ219" s="1949"/>
      <c r="BK219" s="1949"/>
      <c r="BL219" s="1949"/>
      <c r="BM219" s="1949"/>
      <c r="BN219" s="1949"/>
      <c r="BO219" s="1949"/>
      <c r="BP219" s="1949"/>
      <c r="BQ219" s="1949"/>
      <c r="BR219" s="1949"/>
      <c r="BS219" s="1949"/>
      <c r="BT219" s="1949"/>
      <c r="BU219" s="1949"/>
      <c r="BV219" s="1949"/>
      <c r="BW219" s="1949"/>
      <c r="BX219" s="1949"/>
      <c r="BY219" s="1949"/>
      <c r="BZ219" s="1949"/>
      <c r="CA219" s="1949"/>
      <c r="CB219" s="1949"/>
      <c r="CC219" s="1949"/>
      <c r="CD219" s="1949"/>
      <c r="CE219" s="1949"/>
      <c r="CF219" s="1949"/>
      <c r="CG219" s="1949"/>
      <c r="CH219" s="1949"/>
      <c r="CI219" s="1949"/>
      <c r="CJ219" s="1949"/>
      <c r="CK219" s="1949"/>
      <c r="CL219" s="1949"/>
      <c r="CM219" s="1949"/>
      <c r="CN219" s="1949"/>
      <c r="CO219" s="1837" t="str">
        <f>IF('D6.Verification-D7-D8'!U69="","",'D6.Verification-D7-D8'!U69)</f>
        <v/>
      </c>
      <c r="CP219" s="1837"/>
      <c r="CQ219" s="1837"/>
      <c r="CR219" s="1837"/>
      <c r="CS219" s="1837"/>
      <c r="CT219" s="1837"/>
      <c r="CU219" s="1837"/>
      <c r="CV219" s="1837"/>
      <c r="CW219" s="1837"/>
      <c r="CX219" s="1837"/>
      <c r="CY219" s="1837"/>
      <c r="CZ219" s="1837"/>
      <c r="DA219" s="1837"/>
      <c r="DB219" s="1838" t="str">
        <f>IF('D6.Verification-D7-D8'!Y69="","",'D6.Verification-D7-D8'!Y69)</f>
        <v/>
      </c>
      <c r="DC219" s="1838"/>
      <c r="DD219" s="1838"/>
      <c r="DE219" s="1838"/>
      <c r="DF219" s="1838"/>
      <c r="DG219" s="1838"/>
      <c r="DH219" s="1838"/>
      <c r="DI219" s="1838"/>
      <c r="DJ219" s="1838"/>
      <c r="DK219" s="1838"/>
      <c r="DL219" s="1838"/>
      <c r="DM219" s="1838"/>
      <c r="DN219" s="1838"/>
      <c r="DO219" s="1838"/>
      <c r="DP219" s="1838"/>
      <c r="DQ219" s="1838"/>
      <c r="DR219" s="1838"/>
      <c r="DS219" s="305"/>
      <c r="DT219" s="311"/>
    </row>
    <row r="220" spans="2:124" ht="6" customHeight="1">
      <c r="B220" s="319"/>
      <c r="C220" s="19"/>
      <c r="D220" s="20"/>
      <c r="E220" s="20"/>
      <c r="F220" s="20"/>
      <c r="G220" s="20"/>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305"/>
      <c r="AG220" s="305"/>
      <c r="AH220" s="305"/>
      <c r="AI220" s="305"/>
      <c r="AJ220" s="305"/>
      <c r="AK220" s="305"/>
      <c r="AL220" s="305"/>
      <c r="AM220" s="305"/>
      <c r="AN220" s="305"/>
      <c r="AO220" s="305"/>
      <c r="AP220" s="305"/>
      <c r="AQ220" s="305"/>
      <c r="AR220" s="305"/>
      <c r="AS220" s="305"/>
      <c r="AT220" s="305"/>
      <c r="AU220" s="305"/>
      <c r="AV220" s="305"/>
      <c r="AW220" s="305"/>
      <c r="AX220" s="305"/>
      <c r="AY220" s="305"/>
      <c r="AZ220" s="305"/>
      <c r="BA220" s="305"/>
      <c r="BB220" s="305"/>
      <c r="BC220" s="305"/>
      <c r="BD220" s="305"/>
      <c r="BE220" s="305"/>
      <c r="BF220" s="305"/>
      <c r="BG220" s="305"/>
      <c r="BH220" s="305"/>
      <c r="BI220" s="305"/>
      <c r="BJ220" s="305"/>
      <c r="BK220" s="305"/>
      <c r="BL220" s="305"/>
      <c r="BM220" s="305"/>
      <c r="BN220" s="305"/>
      <c r="BO220" s="305"/>
      <c r="BP220" s="305"/>
      <c r="BQ220" s="305"/>
      <c r="BR220" s="305"/>
      <c r="BS220" s="305"/>
      <c r="BT220" s="305"/>
      <c r="BU220" s="305"/>
      <c r="BV220" s="305"/>
      <c r="BW220" s="305"/>
      <c r="BX220" s="305"/>
      <c r="BY220" s="305"/>
      <c r="BZ220" s="305"/>
      <c r="CA220" s="305"/>
      <c r="CB220" s="305"/>
      <c r="CC220" s="305"/>
      <c r="CD220" s="305"/>
      <c r="CE220" s="305"/>
      <c r="CF220" s="305"/>
      <c r="CG220" s="305"/>
      <c r="CH220" s="305"/>
      <c r="CI220" s="305"/>
      <c r="CJ220" s="305"/>
      <c r="CK220" s="305"/>
      <c r="CL220" s="305"/>
      <c r="CM220" s="305"/>
      <c r="CN220" s="305"/>
      <c r="CO220" s="305"/>
      <c r="CP220" s="305"/>
      <c r="CQ220" s="305"/>
      <c r="CR220" s="305"/>
      <c r="CS220" s="305"/>
      <c r="CT220" s="305"/>
      <c r="CU220" s="305"/>
      <c r="CV220" s="305"/>
      <c r="CW220" s="305"/>
      <c r="CX220" s="305"/>
      <c r="CY220" s="305"/>
      <c r="CZ220" s="305"/>
      <c r="DA220" s="305"/>
      <c r="DB220" s="305"/>
      <c r="DC220" s="305"/>
      <c r="DD220" s="305"/>
      <c r="DE220" s="305"/>
      <c r="DF220" s="305"/>
      <c r="DG220" s="305"/>
      <c r="DH220" s="305"/>
      <c r="DI220" s="305"/>
      <c r="DJ220" s="305"/>
      <c r="DK220" s="305"/>
      <c r="DL220" s="305"/>
      <c r="DM220" s="305"/>
      <c r="DN220" s="305"/>
      <c r="DO220" s="305"/>
      <c r="DP220" s="305"/>
      <c r="DQ220" s="305"/>
      <c r="DR220" s="325"/>
      <c r="DS220" s="305"/>
      <c r="DT220" s="311"/>
    </row>
    <row r="221" spans="2:124" ht="24.9" customHeight="1">
      <c r="B221" s="319"/>
      <c r="C221" s="1755" t="str">
        <f ca="1">INDIRECT('D1-D2-D3'!$J$4&amp;"!C212")</f>
        <v>Products</v>
      </c>
      <c r="D221" s="1755"/>
      <c r="E221" s="1755"/>
      <c r="F221" s="1755"/>
      <c r="G221" s="1755"/>
      <c r="H221" s="1755"/>
      <c r="I221" s="1755"/>
      <c r="J221" s="1755"/>
      <c r="K221" s="1755"/>
      <c r="L221" s="1755"/>
      <c r="M221" s="1755"/>
      <c r="N221" s="1755"/>
      <c r="O221" s="1755"/>
      <c r="P221" s="1755"/>
      <c r="Q221" s="1755"/>
      <c r="R221" s="1970"/>
      <c r="S221" s="2020" t="str">
        <f>IF('D6.Verification-D7-D8'!F71="","",'D6.Verification-D7-D8'!F71)</f>
        <v/>
      </c>
      <c r="T221" s="2020"/>
      <c r="U221" s="2020"/>
      <c r="V221" s="2020"/>
      <c r="W221" s="2020"/>
      <c r="X221" s="2020"/>
      <c r="Y221" s="23"/>
      <c r="Z221" s="23"/>
      <c r="AA221" s="23"/>
      <c r="AB221" s="23"/>
      <c r="AC221" s="23"/>
      <c r="AD221" s="23"/>
      <c r="AE221" s="23"/>
      <c r="AF221" s="305"/>
      <c r="AG221" s="305"/>
      <c r="AH221" s="305"/>
      <c r="AI221" s="305"/>
      <c r="AJ221" s="305"/>
      <c r="AK221" s="305"/>
      <c r="AL221" s="305"/>
      <c r="AM221" s="305"/>
      <c r="AN221" s="305"/>
      <c r="AO221" s="305"/>
      <c r="AP221" s="305"/>
      <c r="AQ221" s="305"/>
      <c r="AR221" s="305"/>
      <c r="AS221" s="305"/>
      <c r="AT221" s="305"/>
      <c r="AU221" s="305"/>
      <c r="AV221" s="305"/>
      <c r="AW221" s="305"/>
      <c r="AX221" s="305"/>
      <c r="AY221" s="305"/>
      <c r="AZ221" s="305"/>
      <c r="BA221" s="305"/>
      <c r="BB221" s="305"/>
      <c r="BC221" s="305"/>
      <c r="BD221" s="305"/>
      <c r="BE221" s="305"/>
      <c r="BF221" s="305"/>
      <c r="BG221" s="305"/>
      <c r="BH221" s="305"/>
      <c r="BI221" s="305"/>
      <c r="BJ221" s="305"/>
      <c r="BK221" s="305"/>
      <c r="BL221" s="305"/>
      <c r="BM221" s="305"/>
      <c r="BN221" s="305"/>
      <c r="BO221" s="305"/>
      <c r="BP221" s="305"/>
      <c r="BQ221" s="305"/>
      <c r="BR221" s="305"/>
      <c r="BS221" s="305"/>
      <c r="BT221" s="305"/>
      <c r="BU221" s="305"/>
      <c r="BV221" s="305"/>
      <c r="BW221" s="305"/>
      <c r="BX221" s="305"/>
      <c r="BY221" s="305"/>
      <c r="BZ221" s="305"/>
      <c r="CA221" s="305"/>
      <c r="CB221" s="305"/>
      <c r="CC221" s="305"/>
      <c r="CD221" s="305"/>
      <c r="CE221" s="305"/>
      <c r="CF221" s="305"/>
      <c r="CG221" s="305"/>
      <c r="CH221" s="305"/>
      <c r="CI221" s="305"/>
      <c r="CJ221" s="305"/>
      <c r="CK221" s="305"/>
      <c r="CL221" s="305"/>
      <c r="CM221" s="305"/>
      <c r="CN221" s="305"/>
      <c r="CO221" s="305"/>
      <c r="CP221" s="305"/>
      <c r="CQ221" s="305"/>
      <c r="CR221" s="305"/>
      <c r="CS221" s="305"/>
      <c r="CT221" s="305"/>
      <c r="CU221" s="305"/>
      <c r="CV221" s="305"/>
      <c r="CW221" s="305"/>
      <c r="CX221" s="305"/>
      <c r="CY221" s="305"/>
      <c r="CZ221" s="305"/>
      <c r="DA221" s="305"/>
      <c r="DB221" s="305"/>
      <c r="DC221" s="305"/>
      <c r="DD221" s="305"/>
      <c r="DE221" s="305"/>
      <c r="DF221" s="305"/>
      <c r="DG221" s="305"/>
      <c r="DH221" s="305"/>
      <c r="DI221" s="305"/>
      <c r="DJ221" s="305"/>
      <c r="DK221" s="305"/>
      <c r="DL221" s="305"/>
      <c r="DM221" s="305"/>
      <c r="DN221" s="305"/>
      <c r="DO221" s="305"/>
      <c r="DP221" s="305"/>
      <c r="DQ221" s="305"/>
      <c r="DR221" s="305"/>
      <c r="DS221" s="305"/>
      <c r="DT221" s="311"/>
    </row>
    <row r="222" spans="2:124" ht="6" customHeight="1">
      <c r="B222" s="319"/>
      <c r="C222" s="129"/>
      <c r="D222" s="129"/>
      <c r="E222" s="810"/>
      <c r="F222" s="129"/>
      <c r="G222" s="129"/>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305"/>
      <c r="AG222" s="305"/>
      <c r="AH222" s="305"/>
      <c r="AI222" s="305"/>
      <c r="AJ222" s="305"/>
      <c r="AK222" s="305"/>
      <c r="AL222" s="305"/>
      <c r="AM222" s="305"/>
      <c r="AN222" s="305"/>
      <c r="AO222" s="305"/>
      <c r="AP222" s="305"/>
      <c r="AQ222" s="305"/>
      <c r="AR222" s="305"/>
      <c r="AS222" s="305"/>
      <c r="AT222" s="305"/>
      <c r="AU222" s="305"/>
      <c r="AV222" s="305"/>
      <c r="AW222" s="305"/>
      <c r="AX222" s="305"/>
      <c r="AY222" s="305"/>
      <c r="AZ222" s="305"/>
      <c r="BA222" s="305"/>
      <c r="BB222" s="305"/>
      <c r="BC222" s="305"/>
      <c r="BD222" s="305"/>
      <c r="BE222" s="305"/>
      <c r="BF222" s="305"/>
      <c r="BG222" s="305"/>
      <c r="BH222" s="305"/>
      <c r="BI222" s="305"/>
      <c r="BJ222" s="305"/>
      <c r="BK222" s="305"/>
      <c r="BL222" s="305"/>
      <c r="BM222" s="305"/>
      <c r="BN222" s="305"/>
      <c r="BO222" s="305"/>
      <c r="BP222" s="305"/>
      <c r="BQ222" s="305"/>
      <c r="BR222" s="305"/>
      <c r="BS222" s="305"/>
      <c r="BT222" s="305"/>
      <c r="BU222" s="305"/>
      <c r="BV222" s="305"/>
      <c r="BW222" s="305"/>
      <c r="BX222" s="305"/>
      <c r="BY222" s="305"/>
      <c r="BZ222" s="305"/>
      <c r="CA222" s="305"/>
      <c r="CB222" s="305"/>
      <c r="CC222" s="305"/>
      <c r="CD222" s="305"/>
      <c r="CE222" s="305"/>
      <c r="CF222" s="305"/>
      <c r="CG222" s="305"/>
      <c r="CH222" s="305"/>
      <c r="CI222" s="305"/>
      <c r="CJ222" s="305"/>
      <c r="CK222" s="305"/>
      <c r="CL222" s="305"/>
      <c r="CM222" s="305"/>
      <c r="CN222" s="305"/>
      <c r="CO222" s="305"/>
      <c r="CP222" s="305"/>
      <c r="CQ222" s="305"/>
      <c r="CR222" s="305"/>
      <c r="CS222" s="305"/>
      <c r="CT222" s="305"/>
      <c r="CU222" s="305"/>
      <c r="CV222" s="305"/>
      <c r="CW222" s="305"/>
      <c r="CX222" s="305"/>
      <c r="CY222" s="305"/>
      <c r="CZ222" s="305"/>
      <c r="DA222" s="305"/>
      <c r="DB222" s="305"/>
      <c r="DC222" s="305"/>
      <c r="DD222" s="305"/>
      <c r="DE222" s="305"/>
      <c r="DF222" s="305"/>
      <c r="DG222" s="305"/>
      <c r="DH222" s="305"/>
      <c r="DI222" s="305"/>
      <c r="DJ222" s="305"/>
      <c r="DK222" s="305"/>
      <c r="DL222" s="305"/>
      <c r="DM222" s="305"/>
      <c r="DN222" s="305"/>
      <c r="DO222" s="305"/>
      <c r="DP222" s="305"/>
      <c r="DQ222" s="305"/>
      <c r="DR222" s="325"/>
      <c r="DS222" s="305"/>
      <c r="DT222" s="311"/>
    </row>
    <row r="223" spans="2:124" ht="24.9" customHeight="1">
      <c r="B223" s="319"/>
      <c r="C223" s="129"/>
      <c r="D223" s="1932" t="str">
        <f ca="1">INDIRECT('D1-D2-D3'!$J$4&amp;"!C210")</f>
        <v>Concerned products</v>
      </c>
      <c r="E223" s="1932"/>
      <c r="F223" s="1932"/>
      <c r="G223" s="1932"/>
      <c r="H223" s="1932"/>
      <c r="I223" s="1932"/>
      <c r="J223" s="1932"/>
      <c r="K223" s="1932"/>
      <c r="L223" s="1932"/>
      <c r="M223" s="1932"/>
      <c r="N223" s="1932"/>
      <c r="O223" s="1932"/>
      <c r="P223" s="1932"/>
      <c r="Q223" s="1932"/>
      <c r="R223" s="1932"/>
      <c r="S223" s="1932"/>
      <c r="T223" s="1932"/>
      <c r="U223" s="1932"/>
      <c r="V223" s="1932"/>
      <c r="W223" s="1932"/>
      <c r="X223" s="1932"/>
      <c r="Y223" s="1932" t="str">
        <f ca="1">INDIRECT('D1-D2-D3'!$J$4&amp;"!C80")</f>
        <v>Action</v>
      </c>
      <c r="Z223" s="1932"/>
      <c r="AA223" s="1932"/>
      <c r="AB223" s="1932"/>
      <c r="AC223" s="1932"/>
      <c r="AD223" s="1932"/>
      <c r="AE223" s="1932"/>
      <c r="AF223" s="1932"/>
      <c r="AG223" s="1932"/>
      <c r="AH223" s="1932"/>
      <c r="AI223" s="1932"/>
      <c r="AJ223" s="1932"/>
      <c r="AK223" s="1932"/>
      <c r="AL223" s="1932"/>
      <c r="AM223" s="1932"/>
      <c r="AN223" s="1932"/>
      <c r="AO223" s="1932"/>
      <c r="AP223" s="1932"/>
      <c r="AQ223" s="1932"/>
      <c r="AR223" s="1932"/>
      <c r="AS223" s="1932"/>
      <c r="AT223" s="1932"/>
      <c r="AU223" s="1932"/>
      <c r="AV223" s="1932"/>
      <c r="AW223" s="1932"/>
      <c r="AX223" s="1932"/>
      <c r="AY223" s="1932"/>
      <c r="AZ223" s="1932"/>
      <c r="BA223" s="1932"/>
      <c r="BB223" s="1932"/>
      <c r="BC223" s="1932"/>
      <c r="BD223" s="1932"/>
      <c r="BE223" s="1932"/>
      <c r="BF223" s="1932"/>
      <c r="BG223" s="1932"/>
      <c r="BH223" s="1932"/>
      <c r="BI223" s="1932"/>
      <c r="BJ223" s="1932"/>
      <c r="BK223" s="1932"/>
      <c r="BL223" s="1932"/>
      <c r="BM223" s="1932"/>
      <c r="BN223" s="1932"/>
      <c r="BO223" s="1932"/>
      <c r="BP223" s="1932"/>
      <c r="BQ223" s="1932"/>
      <c r="BR223" s="1932"/>
      <c r="BS223" s="1932"/>
      <c r="BT223" s="1932"/>
      <c r="BU223" s="1932"/>
      <c r="BV223" s="1932"/>
      <c r="BW223" s="1932"/>
      <c r="BX223" s="1932"/>
      <c r="BY223" s="1932"/>
      <c r="BZ223" s="1932"/>
      <c r="CA223" s="1932"/>
      <c r="CB223" s="1932"/>
      <c r="CC223" s="1932"/>
      <c r="CD223" s="1932"/>
      <c r="CE223" s="1932"/>
      <c r="CF223" s="1932"/>
      <c r="CG223" s="1932"/>
      <c r="CH223" s="1932"/>
      <c r="CI223" s="1932"/>
      <c r="CJ223" s="1932"/>
      <c r="CK223" s="1932"/>
      <c r="CL223" s="1932"/>
      <c r="CM223" s="1932"/>
      <c r="CN223" s="1932"/>
      <c r="CO223" s="1761" t="str">
        <f ca="1">INDIRECT('D1-D2-D3'!$J$4&amp;"!C83")</f>
        <v>Responsible</v>
      </c>
      <c r="CP223" s="1762"/>
      <c r="CQ223" s="1762"/>
      <c r="CR223" s="1762"/>
      <c r="CS223" s="1762"/>
      <c r="CT223" s="1762"/>
      <c r="CU223" s="1762"/>
      <c r="CV223" s="1762"/>
      <c r="CW223" s="1762"/>
      <c r="CX223" s="1762"/>
      <c r="CY223" s="1762"/>
      <c r="CZ223" s="1762"/>
      <c r="DA223" s="1763"/>
      <c r="DB223" s="1946" t="str">
        <f ca="1">INDIRECT('D1-D2-D3'!$J$4&amp;"!C211")&amp;" - "&amp;INDIRECT('D1-D2-D3'!$J$4&amp;"!C69")</f>
        <v>E-mail sent to responsible - Date</v>
      </c>
      <c r="DC223" s="1947"/>
      <c r="DD223" s="1947"/>
      <c r="DE223" s="1947"/>
      <c r="DF223" s="1947"/>
      <c r="DG223" s="1947"/>
      <c r="DH223" s="1947"/>
      <c r="DI223" s="1947"/>
      <c r="DJ223" s="1947"/>
      <c r="DK223" s="1947"/>
      <c r="DL223" s="1947"/>
      <c r="DM223" s="1947"/>
      <c r="DN223" s="1947"/>
      <c r="DO223" s="1947"/>
      <c r="DP223" s="1947"/>
      <c r="DQ223" s="1947"/>
      <c r="DR223" s="1948"/>
      <c r="DS223" s="305"/>
      <c r="DT223" s="311"/>
    </row>
    <row r="224" spans="2:124" ht="24.9" customHeight="1">
      <c r="B224" s="319"/>
      <c r="C224" s="129"/>
      <c r="D224" s="1943" t="str">
        <f>IF('D6.Verification-D7-D8'!D74="","",'D6.Verification-D7-D8'!D74)</f>
        <v/>
      </c>
      <c r="E224" s="1943"/>
      <c r="F224" s="1943"/>
      <c r="G224" s="1943"/>
      <c r="H224" s="1943"/>
      <c r="I224" s="1943"/>
      <c r="J224" s="1943"/>
      <c r="K224" s="1943"/>
      <c r="L224" s="1943"/>
      <c r="M224" s="1943"/>
      <c r="N224" s="1943"/>
      <c r="O224" s="1943"/>
      <c r="P224" s="1943"/>
      <c r="Q224" s="1943"/>
      <c r="R224" s="1943"/>
      <c r="S224" s="1943"/>
      <c r="T224" s="1943"/>
      <c r="U224" s="1943"/>
      <c r="V224" s="1943"/>
      <c r="W224" s="1943"/>
      <c r="X224" s="1943"/>
      <c r="Y224" s="1949" t="str">
        <f>IF('D6.Verification-D7-D8'!I74="","",'D6.Verification-D7-D8'!I74)</f>
        <v/>
      </c>
      <c r="Z224" s="1949"/>
      <c r="AA224" s="1949"/>
      <c r="AB224" s="1949"/>
      <c r="AC224" s="1949"/>
      <c r="AD224" s="1949"/>
      <c r="AE224" s="1949"/>
      <c r="AF224" s="1949"/>
      <c r="AG224" s="1949"/>
      <c r="AH224" s="1949"/>
      <c r="AI224" s="1949"/>
      <c r="AJ224" s="1949"/>
      <c r="AK224" s="1949"/>
      <c r="AL224" s="1949"/>
      <c r="AM224" s="1949"/>
      <c r="AN224" s="1949"/>
      <c r="AO224" s="1949"/>
      <c r="AP224" s="1949"/>
      <c r="AQ224" s="1949"/>
      <c r="AR224" s="1949"/>
      <c r="AS224" s="1949"/>
      <c r="AT224" s="1949"/>
      <c r="AU224" s="1949"/>
      <c r="AV224" s="1949"/>
      <c r="AW224" s="1949"/>
      <c r="AX224" s="1949"/>
      <c r="AY224" s="1949"/>
      <c r="AZ224" s="1949"/>
      <c r="BA224" s="1949"/>
      <c r="BB224" s="1949"/>
      <c r="BC224" s="1949"/>
      <c r="BD224" s="1949"/>
      <c r="BE224" s="1949"/>
      <c r="BF224" s="1949"/>
      <c r="BG224" s="1949"/>
      <c r="BH224" s="1949"/>
      <c r="BI224" s="1949"/>
      <c r="BJ224" s="1949"/>
      <c r="BK224" s="1949"/>
      <c r="BL224" s="1949"/>
      <c r="BM224" s="1949"/>
      <c r="BN224" s="1949"/>
      <c r="BO224" s="1949"/>
      <c r="BP224" s="1949"/>
      <c r="BQ224" s="1949"/>
      <c r="BR224" s="1949"/>
      <c r="BS224" s="1949"/>
      <c r="BT224" s="1949"/>
      <c r="BU224" s="1949"/>
      <c r="BV224" s="1949"/>
      <c r="BW224" s="1949"/>
      <c r="BX224" s="1949"/>
      <c r="BY224" s="1949"/>
      <c r="BZ224" s="1949"/>
      <c r="CA224" s="1949"/>
      <c r="CB224" s="1949"/>
      <c r="CC224" s="1949"/>
      <c r="CD224" s="1949"/>
      <c r="CE224" s="1949"/>
      <c r="CF224" s="1949"/>
      <c r="CG224" s="1949"/>
      <c r="CH224" s="1949"/>
      <c r="CI224" s="1949"/>
      <c r="CJ224" s="1949"/>
      <c r="CK224" s="1949"/>
      <c r="CL224" s="1949"/>
      <c r="CM224" s="1949"/>
      <c r="CN224" s="1949"/>
      <c r="CO224" s="1837" t="str">
        <f>IF('D6.Verification-D7-D8'!U74="","",'D6.Verification-D7-D8'!U74)</f>
        <v/>
      </c>
      <c r="CP224" s="1837"/>
      <c r="CQ224" s="1837"/>
      <c r="CR224" s="1837"/>
      <c r="CS224" s="1837"/>
      <c r="CT224" s="1837"/>
      <c r="CU224" s="1837"/>
      <c r="CV224" s="1837"/>
      <c r="CW224" s="1837"/>
      <c r="CX224" s="1837"/>
      <c r="CY224" s="1837"/>
      <c r="CZ224" s="1837"/>
      <c r="DA224" s="1837"/>
      <c r="DB224" s="1838" t="str">
        <f>IF('D6.Verification-D7-D8'!Y74="","",'D6.Verification-D7-D8'!Y74)</f>
        <v/>
      </c>
      <c r="DC224" s="1838"/>
      <c r="DD224" s="1838"/>
      <c r="DE224" s="1838"/>
      <c r="DF224" s="1838"/>
      <c r="DG224" s="1838"/>
      <c r="DH224" s="1838"/>
      <c r="DI224" s="1838"/>
      <c r="DJ224" s="1838"/>
      <c r="DK224" s="1838"/>
      <c r="DL224" s="1838"/>
      <c r="DM224" s="1838"/>
      <c r="DN224" s="1838"/>
      <c r="DO224" s="1838"/>
      <c r="DP224" s="1838"/>
      <c r="DQ224" s="1838"/>
      <c r="DR224" s="1838"/>
      <c r="DS224" s="305"/>
      <c r="DT224" s="311"/>
    </row>
    <row r="225" spans="1:124" ht="24.9" customHeight="1">
      <c r="B225" s="319"/>
      <c r="C225" s="129"/>
      <c r="D225" s="1943" t="str">
        <f>IF('D6.Verification-D7-D8'!D75="","",'D6.Verification-D7-D8'!D75)</f>
        <v/>
      </c>
      <c r="E225" s="1943"/>
      <c r="F225" s="1943"/>
      <c r="G225" s="1943"/>
      <c r="H225" s="1943"/>
      <c r="I225" s="1943"/>
      <c r="J225" s="1943"/>
      <c r="K225" s="1943"/>
      <c r="L225" s="1943"/>
      <c r="M225" s="1943"/>
      <c r="N225" s="1943"/>
      <c r="O225" s="1943"/>
      <c r="P225" s="1943"/>
      <c r="Q225" s="1943"/>
      <c r="R225" s="1943"/>
      <c r="S225" s="1943"/>
      <c r="T225" s="1943"/>
      <c r="U225" s="1943"/>
      <c r="V225" s="1943"/>
      <c r="W225" s="1943"/>
      <c r="X225" s="1943"/>
      <c r="Y225" s="1949" t="str">
        <f>IF('D6.Verification-D7-D8'!I75="","",'D6.Verification-D7-D8'!I75)</f>
        <v/>
      </c>
      <c r="Z225" s="1949"/>
      <c r="AA225" s="1949"/>
      <c r="AB225" s="1949"/>
      <c r="AC225" s="1949"/>
      <c r="AD225" s="1949"/>
      <c r="AE225" s="1949"/>
      <c r="AF225" s="1949"/>
      <c r="AG225" s="1949"/>
      <c r="AH225" s="1949"/>
      <c r="AI225" s="1949"/>
      <c r="AJ225" s="1949"/>
      <c r="AK225" s="1949"/>
      <c r="AL225" s="1949"/>
      <c r="AM225" s="1949"/>
      <c r="AN225" s="1949"/>
      <c r="AO225" s="1949"/>
      <c r="AP225" s="1949"/>
      <c r="AQ225" s="1949"/>
      <c r="AR225" s="1949"/>
      <c r="AS225" s="1949"/>
      <c r="AT225" s="1949"/>
      <c r="AU225" s="1949"/>
      <c r="AV225" s="1949"/>
      <c r="AW225" s="1949"/>
      <c r="AX225" s="1949"/>
      <c r="AY225" s="1949"/>
      <c r="AZ225" s="1949"/>
      <c r="BA225" s="1949"/>
      <c r="BB225" s="1949"/>
      <c r="BC225" s="1949"/>
      <c r="BD225" s="1949"/>
      <c r="BE225" s="1949"/>
      <c r="BF225" s="1949"/>
      <c r="BG225" s="1949"/>
      <c r="BH225" s="1949"/>
      <c r="BI225" s="1949"/>
      <c r="BJ225" s="1949"/>
      <c r="BK225" s="1949"/>
      <c r="BL225" s="1949"/>
      <c r="BM225" s="1949"/>
      <c r="BN225" s="1949"/>
      <c r="BO225" s="1949"/>
      <c r="BP225" s="1949"/>
      <c r="BQ225" s="1949"/>
      <c r="BR225" s="1949"/>
      <c r="BS225" s="1949"/>
      <c r="BT225" s="1949"/>
      <c r="BU225" s="1949"/>
      <c r="BV225" s="1949"/>
      <c r="BW225" s="1949"/>
      <c r="BX225" s="1949"/>
      <c r="BY225" s="1949"/>
      <c r="BZ225" s="1949"/>
      <c r="CA225" s="1949"/>
      <c r="CB225" s="1949"/>
      <c r="CC225" s="1949"/>
      <c r="CD225" s="1949"/>
      <c r="CE225" s="1949"/>
      <c r="CF225" s="1949"/>
      <c r="CG225" s="1949"/>
      <c r="CH225" s="1949"/>
      <c r="CI225" s="1949"/>
      <c r="CJ225" s="1949"/>
      <c r="CK225" s="1949"/>
      <c r="CL225" s="1949"/>
      <c r="CM225" s="1949"/>
      <c r="CN225" s="1949"/>
      <c r="CO225" s="1837" t="str">
        <f>IF('D6.Verification-D7-D8'!U75="","",'D6.Verification-D7-D8'!U75)</f>
        <v/>
      </c>
      <c r="CP225" s="1837"/>
      <c r="CQ225" s="1837"/>
      <c r="CR225" s="1837"/>
      <c r="CS225" s="1837"/>
      <c r="CT225" s="1837"/>
      <c r="CU225" s="1837"/>
      <c r="CV225" s="1837"/>
      <c r="CW225" s="1837"/>
      <c r="CX225" s="1837"/>
      <c r="CY225" s="1837"/>
      <c r="CZ225" s="1837"/>
      <c r="DA225" s="1837"/>
      <c r="DB225" s="1838" t="str">
        <f>IF('D6.Verification-D7-D8'!Y75="","",'D6.Verification-D7-D8'!Y75)</f>
        <v/>
      </c>
      <c r="DC225" s="1838"/>
      <c r="DD225" s="1838"/>
      <c r="DE225" s="1838"/>
      <c r="DF225" s="1838"/>
      <c r="DG225" s="1838"/>
      <c r="DH225" s="1838"/>
      <c r="DI225" s="1838"/>
      <c r="DJ225" s="1838"/>
      <c r="DK225" s="1838"/>
      <c r="DL225" s="1838"/>
      <c r="DM225" s="1838"/>
      <c r="DN225" s="1838"/>
      <c r="DO225" s="1838"/>
      <c r="DP225" s="1838"/>
      <c r="DQ225" s="1838"/>
      <c r="DR225" s="1838"/>
      <c r="DS225" s="305"/>
      <c r="DT225" s="311"/>
    </row>
    <row r="226" spans="1:124" ht="24.9" customHeight="1">
      <c r="B226" s="319"/>
      <c r="C226" s="129"/>
      <c r="D226" s="1943" t="str">
        <f>IF('D6.Verification-D7-D8'!D76="","",'D6.Verification-D7-D8'!D76)</f>
        <v/>
      </c>
      <c r="E226" s="1943"/>
      <c r="F226" s="1943"/>
      <c r="G226" s="1943"/>
      <c r="H226" s="1943"/>
      <c r="I226" s="1943"/>
      <c r="J226" s="1943"/>
      <c r="K226" s="1943"/>
      <c r="L226" s="1943"/>
      <c r="M226" s="1943"/>
      <c r="N226" s="1943"/>
      <c r="O226" s="1943"/>
      <c r="P226" s="1943"/>
      <c r="Q226" s="1943"/>
      <c r="R226" s="1943"/>
      <c r="S226" s="1943"/>
      <c r="T226" s="1943"/>
      <c r="U226" s="1943"/>
      <c r="V226" s="1943"/>
      <c r="W226" s="1943"/>
      <c r="X226" s="1943"/>
      <c r="Y226" s="1949" t="str">
        <f>IF('D6.Verification-D7-D8'!I76="","",'D6.Verification-D7-D8'!I76)</f>
        <v/>
      </c>
      <c r="Z226" s="1949"/>
      <c r="AA226" s="1949"/>
      <c r="AB226" s="1949"/>
      <c r="AC226" s="1949"/>
      <c r="AD226" s="1949"/>
      <c r="AE226" s="1949"/>
      <c r="AF226" s="1949"/>
      <c r="AG226" s="1949"/>
      <c r="AH226" s="1949"/>
      <c r="AI226" s="1949"/>
      <c r="AJ226" s="1949"/>
      <c r="AK226" s="1949"/>
      <c r="AL226" s="1949"/>
      <c r="AM226" s="1949"/>
      <c r="AN226" s="1949"/>
      <c r="AO226" s="1949"/>
      <c r="AP226" s="1949"/>
      <c r="AQ226" s="1949"/>
      <c r="AR226" s="1949"/>
      <c r="AS226" s="1949"/>
      <c r="AT226" s="1949"/>
      <c r="AU226" s="1949"/>
      <c r="AV226" s="1949"/>
      <c r="AW226" s="1949"/>
      <c r="AX226" s="1949"/>
      <c r="AY226" s="1949"/>
      <c r="AZ226" s="1949"/>
      <c r="BA226" s="1949"/>
      <c r="BB226" s="1949"/>
      <c r="BC226" s="1949"/>
      <c r="BD226" s="1949"/>
      <c r="BE226" s="1949"/>
      <c r="BF226" s="1949"/>
      <c r="BG226" s="1949"/>
      <c r="BH226" s="1949"/>
      <c r="BI226" s="1949"/>
      <c r="BJ226" s="1949"/>
      <c r="BK226" s="1949"/>
      <c r="BL226" s="1949"/>
      <c r="BM226" s="1949"/>
      <c r="BN226" s="1949"/>
      <c r="BO226" s="1949"/>
      <c r="BP226" s="1949"/>
      <c r="BQ226" s="1949"/>
      <c r="BR226" s="1949"/>
      <c r="BS226" s="1949"/>
      <c r="BT226" s="1949"/>
      <c r="BU226" s="1949"/>
      <c r="BV226" s="1949"/>
      <c r="BW226" s="1949"/>
      <c r="BX226" s="1949"/>
      <c r="BY226" s="1949"/>
      <c r="BZ226" s="1949"/>
      <c r="CA226" s="1949"/>
      <c r="CB226" s="1949"/>
      <c r="CC226" s="1949"/>
      <c r="CD226" s="1949"/>
      <c r="CE226" s="1949"/>
      <c r="CF226" s="1949"/>
      <c r="CG226" s="1949"/>
      <c r="CH226" s="1949"/>
      <c r="CI226" s="1949"/>
      <c r="CJ226" s="1949"/>
      <c r="CK226" s="1949"/>
      <c r="CL226" s="1949"/>
      <c r="CM226" s="1949"/>
      <c r="CN226" s="1949"/>
      <c r="CO226" s="1837" t="str">
        <f>IF('D6.Verification-D7-D8'!U76="","",'D6.Verification-D7-D8'!U76)</f>
        <v/>
      </c>
      <c r="CP226" s="1837"/>
      <c r="CQ226" s="1837"/>
      <c r="CR226" s="1837"/>
      <c r="CS226" s="1837"/>
      <c r="CT226" s="1837"/>
      <c r="CU226" s="1837"/>
      <c r="CV226" s="1837"/>
      <c r="CW226" s="1837"/>
      <c r="CX226" s="1837"/>
      <c r="CY226" s="1837"/>
      <c r="CZ226" s="1837"/>
      <c r="DA226" s="1837"/>
      <c r="DB226" s="1838" t="str">
        <f>IF('D6.Verification-D7-D8'!Y76="","",'D6.Verification-D7-D8'!Y76)</f>
        <v/>
      </c>
      <c r="DC226" s="1838"/>
      <c r="DD226" s="1838"/>
      <c r="DE226" s="1838"/>
      <c r="DF226" s="1838"/>
      <c r="DG226" s="1838"/>
      <c r="DH226" s="1838"/>
      <c r="DI226" s="1838"/>
      <c r="DJ226" s="1838"/>
      <c r="DK226" s="1838"/>
      <c r="DL226" s="1838"/>
      <c r="DM226" s="1838"/>
      <c r="DN226" s="1838"/>
      <c r="DO226" s="1838"/>
      <c r="DP226" s="1838"/>
      <c r="DQ226" s="1838"/>
      <c r="DR226" s="1838"/>
      <c r="DS226" s="305"/>
      <c r="DT226" s="311"/>
    </row>
    <row r="227" spans="1:124" ht="6" customHeight="1">
      <c r="B227" s="319"/>
      <c r="C227" s="129"/>
      <c r="D227" s="23"/>
      <c r="E227" s="23"/>
      <c r="F227" s="23"/>
      <c r="G227" s="23"/>
      <c r="H227" s="23"/>
      <c r="I227" s="23"/>
      <c r="J227" s="23"/>
      <c r="K227" s="23"/>
      <c r="L227" s="23"/>
      <c r="M227" s="23"/>
      <c r="N227" s="23"/>
      <c r="O227" s="23"/>
      <c r="P227" s="23"/>
      <c r="Q227" s="23"/>
      <c r="R227" s="23"/>
      <c r="S227" s="23"/>
      <c r="T227" s="23"/>
      <c r="U227" s="23"/>
      <c r="W227" s="305"/>
      <c r="X227" s="305"/>
      <c r="Y227" s="305"/>
      <c r="Z227" s="305"/>
      <c r="AA227" s="305"/>
      <c r="AB227" s="305"/>
      <c r="AC227" s="23"/>
      <c r="AD227" s="23"/>
      <c r="AE227" s="23"/>
      <c r="AF227" s="305"/>
      <c r="AG227" s="305"/>
      <c r="AH227" s="305"/>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305"/>
      <c r="BH227" s="305"/>
      <c r="BI227" s="305"/>
      <c r="BJ227" s="305"/>
      <c r="BK227" s="305"/>
      <c r="BL227" s="305"/>
      <c r="BM227" s="305"/>
      <c r="BN227" s="305"/>
      <c r="BO227" s="305"/>
      <c r="BP227" s="305"/>
      <c r="BQ227" s="305"/>
      <c r="BR227" s="305"/>
      <c r="BS227" s="305"/>
      <c r="BT227" s="305"/>
      <c r="BU227" s="305"/>
      <c r="BV227" s="305"/>
      <c r="BW227" s="305"/>
      <c r="BX227" s="305"/>
      <c r="BY227" s="305"/>
      <c r="BZ227" s="305"/>
      <c r="CA227" s="305"/>
      <c r="CB227" s="305"/>
      <c r="CC227" s="305"/>
      <c r="CD227" s="305"/>
      <c r="CE227" s="305"/>
      <c r="CF227" s="305"/>
      <c r="CG227" s="305"/>
      <c r="CH227" s="305"/>
      <c r="CI227" s="305"/>
      <c r="CJ227" s="305"/>
      <c r="CK227" s="305"/>
      <c r="CL227" s="305"/>
      <c r="CM227" s="305"/>
      <c r="CN227" s="305"/>
      <c r="CO227" s="305"/>
      <c r="CP227" s="305"/>
      <c r="CQ227" s="305"/>
      <c r="CR227" s="305"/>
      <c r="CS227" s="305"/>
      <c r="CT227" s="305"/>
      <c r="CU227" s="305"/>
      <c r="CV227" s="305"/>
      <c r="CW227" s="305"/>
      <c r="CX227" s="305"/>
      <c r="CY227" s="305"/>
      <c r="CZ227" s="305"/>
      <c r="DA227" s="305"/>
      <c r="DB227" s="305"/>
      <c r="DC227" s="305"/>
      <c r="DD227" s="305"/>
      <c r="DE227" s="305"/>
      <c r="DF227" s="305"/>
      <c r="DG227" s="305"/>
      <c r="DH227" s="305"/>
      <c r="DI227" s="305"/>
      <c r="DJ227" s="305"/>
      <c r="DK227" s="305"/>
      <c r="DL227" s="305"/>
      <c r="DM227" s="305"/>
      <c r="DN227" s="305"/>
      <c r="DO227" s="305"/>
      <c r="DP227" s="305"/>
      <c r="DQ227" s="305"/>
      <c r="DR227" s="325"/>
      <c r="DS227" s="305"/>
      <c r="DT227" s="311"/>
    </row>
    <row r="228" spans="1:124" ht="6" customHeight="1" thickBot="1">
      <c r="B228" s="322"/>
      <c r="C228" s="323"/>
      <c r="D228" s="323"/>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c r="AA228" s="323"/>
      <c r="AB228" s="323"/>
      <c r="AC228" s="323"/>
      <c r="AD228" s="323"/>
      <c r="AE228" s="323"/>
      <c r="AF228" s="323"/>
      <c r="AG228" s="323"/>
      <c r="AH228" s="323"/>
      <c r="AI228" s="323"/>
      <c r="AJ228" s="323"/>
      <c r="AK228" s="323"/>
      <c r="AL228" s="323"/>
      <c r="AM228" s="323"/>
      <c r="AN228" s="323"/>
      <c r="AO228" s="323"/>
      <c r="AP228" s="323"/>
      <c r="AQ228" s="323"/>
      <c r="AR228" s="323"/>
      <c r="AS228" s="323"/>
      <c r="AT228" s="323"/>
      <c r="AU228" s="323"/>
      <c r="AV228" s="323"/>
      <c r="AW228" s="323"/>
      <c r="AX228" s="323"/>
      <c r="AY228" s="323"/>
      <c r="AZ228" s="323"/>
      <c r="BA228" s="323"/>
      <c r="BB228" s="323"/>
      <c r="BC228" s="323"/>
      <c r="BD228" s="323"/>
      <c r="BE228" s="323"/>
      <c r="BF228" s="323"/>
      <c r="BG228" s="323"/>
      <c r="BH228" s="323"/>
      <c r="BI228" s="323"/>
      <c r="BJ228" s="323"/>
      <c r="BK228" s="323"/>
      <c r="BL228" s="323"/>
      <c r="BM228" s="323"/>
      <c r="BN228" s="323"/>
      <c r="BO228" s="323"/>
      <c r="BP228" s="323"/>
      <c r="BQ228" s="323"/>
      <c r="BR228" s="323"/>
      <c r="BS228" s="323"/>
      <c r="BT228" s="323"/>
      <c r="BU228" s="323"/>
      <c r="BV228" s="323"/>
      <c r="BW228" s="323"/>
      <c r="BX228" s="323"/>
      <c r="BY228" s="323"/>
      <c r="BZ228" s="323"/>
      <c r="CA228" s="323"/>
      <c r="CB228" s="323"/>
      <c r="CC228" s="323"/>
      <c r="CD228" s="323"/>
      <c r="CE228" s="323"/>
      <c r="CF228" s="323"/>
      <c r="CG228" s="323"/>
      <c r="CH228" s="323"/>
      <c r="CI228" s="323"/>
      <c r="CJ228" s="323"/>
      <c r="CK228" s="323"/>
      <c r="CL228" s="323"/>
      <c r="CM228" s="323"/>
      <c r="CN228" s="323"/>
      <c r="CO228" s="323"/>
      <c r="CP228" s="323"/>
      <c r="CQ228" s="323"/>
      <c r="CR228" s="323"/>
      <c r="CS228" s="323"/>
      <c r="CT228" s="323"/>
      <c r="CU228" s="323"/>
      <c r="CV228" s="323"/>
      <c r="CW228" s="323"/>
      <c r="CX228" s="323"/>
      <c r="CY228" s="323"/>
      <c r="CZ228" s="323"/>
      <c r="DA228" s="323"/>
      <c r="DB228" s="323"/>
      <c r="DC228" s="323"/>
      <c r="DD228" s="323"/>
      <c r="DE228" s="323"/>
      <c r="DF228" s="323"/>
      <c r="DG228" s="323"/>
      <c r="DH228" s="323"/>
      <c r="DI228" s="323"/>
      <c r="DJ228" s="323"/>
      <c r="DK228" s="323"/>
      <c r="DL228" s="323"/>
      <c r="DM228" s="323"/>
      <c r="DN228" s="323"/>
      <c r="DO228" s="323"/>
      <c r="DP228" s="323"/>
      <c r="DQ228" s="323"/>
      <c r="DR228" s="323"/>
      <c r="DS228" s="323"/>
      <c r="DT228" s="324"/>
    </row>
    <row r="229" spans="1:124" ht="6" customHeight="1">
      <c r="B229" s="205"/>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c r="AB229" s="206"/>
      <c r="AC229" s="206"/>
      <c r="AD229" s="206"/>
      <c r="AE229" s="307"/>
      <c r="AF229" s="307"/>
      <c r="AG229" s="307"/>
      <c r="AH229" s="307"/>
      <c r="AI229" s="307"/>
      <c r="AJ229" s="307"/>
      <c r="AK229" s="307"/>
      <c r="AL229" s="307"/>
      <c r="AM229" s="307"/>
      <c r="AN229" s="307"/>
      <c r="AO229" s="307"/>
      <c r="AP229" s="307"/>
      <c r="AQ229" s="307"/>
      <c r="AR229" s="307"/>
      <c r="AS229" s="307"/>
      <c r="AT229" s="307"/>
      <c r="AU229" s="307"/>
      <c r="AV229" s="307"/>
      <c r="AW229" s="307"/>
      <c r="AX229" s="307"/>
      <c r="AY229" s="307"/>
      <c r="AZ229" s="307"/>
      <c r="BA229" s="307"/>
      <c r="BB229" s="307"/>
      <c r="BC229" s="307"/>
      <c r="BD229" s="307"/>
      <c r="BE229" s="307"/>
      <c r="BF229" s="307"/>
      <c r="BG229" s="307"/>
      <c r="BH229" s="307"/>
      <c r="BI229" s="307"/>
      <c r="BJ229" s="307"/>
      <c r="BK229" s="307"/>
      <c r="BL229" s="307"/>
      <c r="BM229" s="307"/>
      <c r="BN229" s="307"/>
      <c r="BO229" s="307"/>
      <c r="BP229" s="307"/>
      <c r="BQ229" s="307"/>
      <c r="BR229" s="307"/>
      <c r="BS229" s="307"/>
      <c r="BT229" s="307"/>
      <c r="BU229" s="307"/>
      <c r="BV229" s="307"/>
      <c r="BW229" s="307"/>
      <c r="BX229" s="307"/>
      <c r="BY229" s="307"/>
      <c r="BZ229" s="307"/>
      <c r="CA229" s="307"/>
      <c r="CB229" s="307"/>
      <c r="CC229" s="307"/>
      <c r="CD229" s="307"/>
      <c r="CE229" s="307"/>
      <c r="CF229" s="307"/>
      <c r="CG229" s="307"/>
      <c r="CH229" s="307"/>
      <c r="CI229" s="307"/>
      <c r="CJ229" s="307"/>
      <c r="CK229" s="307"/>
      <c r="CL229" s="307"/>
      <c r="CM229" s="307"/>
      <c r="CN229" s="307"/>
      <c r="CO229" s="307"/>
      <c r="CP229" s="307"/>
      <c r="CQ229" s="307"/>
      <c r="CR229" s="307"/>
      <c r="CS229" s="307"/>
      <c r="CT229" s="307"/>
      <c r="CU229" s="307"/>
      <c r="CV229" s="307"/>
      <c r="CW229" s="307"/>
      <c r="CX229" s="307"/>
      <c r="CY229" s="307"/>
      <c r="CZ229" s="307"/>
      <c r="DA229" s="307"/>
      <c r="DB229" s="307"/>
      <c r="DC229" s="307"/>
      <c r="DD229" s="307"/>
      <c r="DE229" s="307"/>
      <c r="DF229" s="307"/>
      <c r="DG229" s="307"/>
      <c r="DH229" s="307"/>
      <c r="DI229" s="307"/>
      <c r="DJ229" s="307"/>
      <c r="DK229" s="307"/>
      <c r="DL229" s="307"/>
      <c r="DM229" s="307"/>
      <c r="DN229" s="307"/>
      <c r="DO229" s="307"/>
      <c r="DP229" s="307"/>
      <c r="DQ229" s="307"/>
      <c r="DR229" s="307"/>
      <c r="DS229" s="307"/>
      <c r="DT229" s="308"/>
    </row>
    <row r="230" spans="1:124" ht="24.9" customHeight="1">
      <c r="B230" s="536" t="str">
        <f ca="1">'D6.Verification-D7-D8'!B79</f>
        <v>D8 - PSS closure  and appreciation of team's success</v>
      </c>
      <c r="C230" s="208"/>
      <c r="D230" s="208"/>
      <c r="E230" s="208"/>
      <c r="F230" s="208"/>
      <c r="G230" s="208"/>
      <c r="H230" s="208"/>
      <c r="I230" s="208"/>
      <c r="J230" s="208"/>
      <c r="K230" s="208"/>
      <c r="L230" s="208"/>
      <c r="M230" s="208"/>
      <c r="N230" s="208"/>
      <c r="O230" s="208"/>
      <c r="P230" s="208"/>
      <c r="Q230" s="208"/>
      <c r="R230" s="208"/>
      <c r="S230" s="208"/>
      <c r="T230" s="208"/>
      <c r="U230" s="309"/>
      <c r="V230" s="208"/>
      <c r="W230" s="208"/>
      <c r="X230" s="208"/>
      <c r="Y230" s="208"/>
      <c r="Z230" s="208"/>
      <c r="AA230" s="208"/>
      <c r="AB230" s="208"/>
      <c r="AC230" s="208"/>
      <c r="AD230" s="208"/>
      <c r="AE230" s="310"/>
      <c r="AF230" s="310"/>
      <c r="AG230" s="310"/>
      <c r="AH230" s="310"/>
      <c r="AI230" s="521"/>
      <c r="AJ230" s="310"/>
      <c r="AK230" s="310"/>
      <c r="AL230" s="310"/>
      <c r="AM230" s="310"/>
      <c r="AN230" s="310"/>
      <c r="AO230" s="310"/>
      <c r="AP230" s="310"/>
      <c r="AQ230" s="310"/>
      <c r="AR230" s="310"/>
      <c r="AS230" s="310"/>
      <c r="AT230" s="310"/>
      <c r="AU230" s="310"/>
      <c r="AV230" s="310"/>
      <c r="AW230" s="310"/>
      <c r="AX230" s="310"/>
      <c r="AY230" s="310"/>
      <c r="AZ230" s="310"/>
      <c r="BA230" s="310"/>
      <c r="BB230" s="310"/>
      <c r="BC230" s="310"/>
      <c r="BD230" s="310"/>
      <c r="BE230" s="310"/>
      <c r="BF230" s="521" t="str">
        <f ca="1">('D6.Verification-D7-D8'!L81)&amp;":"</f>
        <v>Status of complaint:</v>
      </c>
      <c r="BG230" s="1834" t="str">
        <f>IF('D6.Verification-D7-D8'!N81="","",'D6.Verification-D7-D8'!N81)</f>
        <v/>
      </c>
      <c r="BH230" s="1835"/>
      <c r="BI230" s="1835"/>
      <c r="BJ230" s="1835"/>
      <c r="BK230" s="1835"/>
      <c r="BL230" s="1835"/>
      <c r="BM230" s="1835"/>
      <c r="BN230" s="1835"/>
      <c r="BO230" s="1835"/>
      <c r="BP230" s="1835"/>
      <c r="BQ230" s="1835"/>
      <c r="BR230" s="1835"/>
      <c r="BS230" s="1835"/>
      <c r="BT230" s="1835"/>
      <c r="BU230" s="1835"/>
      <c r="BV230" s="1835"/>
      <c r="BW230" s="1835"/>
      <c r="BX230" s="1835"/>
      <c r="BY230" s="1835"/>
      <c r="BZ230" s="1835"/>
      <c r="CA230" s="1835"/>
      <c r="CB230" s="1835"/>
      <c r="CC230" s="1835"/>
      <c r="CD230" s="1835"/>
      <c r="CE230" s="1835"/>
      <c r="CF230" s="1835"/>
      <c r="CG230" s="1835"/>
      <c r="CH230" s="1835"/>
      <c r="CI230" s="1835"/>
      <c r="CJ230" s="1835"/>
      <c r="CK230" s="1835"/>
      <c r="CL230" s="1835"/>
      <c r="CM230" s="1835"/>
      <c r="CN230" s="1835"/>
      <c r="CO230" s="1835"/>
      <c r="CP230" s="1835"/>
      <c r="CQ230" s="1835"/>
      <c r="CR230" s="1835"/>
      <c r="CS230" s="1835"/>
      <c r="CT230" s="1835"/>
      <c r="CU230" s="1835"/>
      <c r="CV230" s="1835"/>
      <c r="CW230" s="1835"/>
      <c r="CX230" s="1835"/>
      <c r="CY230" s="1836"/>
      <c r="CZ230" s="309"/>
      <c r="DA230" s="309"/>
      <c r="DB230" s="309"/>
      <c r="DC230" s="309"/>
      <c r="DD230" s="309"/>
      <c r="DE230" s="309"/>
      <c r="DF230" s="309"/>
      <c r="DG230" s="309"/>
      <c r="DH230" s="309"/>
      <c r="DI230" s="521" t="str">
        <f ca="1">'D6.Verification-D7-D8'!D81</f>
        <v>Last Update</v>
      </c>
      <c r="DJ230" s="1945" t="str">
        <f>IF('D6.Verification-D7-D8'!G81="","",'D6.Verification-D7-D8'!G81)</f>
        <v/>
      </c>
      <c r="DK230" s="1945"/>
      <c r="DL230" s="1945"/>
      <c r="DM230" s="1945"/>
      <c r="DN230" s="1945"/>
      <c r="DO230" s="1945"/>
      <c r="DP230" s="1945"/>
      <c r="DQ230" s="1945"/>
      <c r="DR230" s="1945"/>
      <c r="DS230" s="310"/>
      <c r="DT230" s="311"/>
    </row>
    <row r="231" spans="1:124" ht="6" customHeight="1">
      <c r="B231" s="211"/>
      <c r="C231" s="212"/>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c r="AH231" s="310"/>
      <c r="AI231" s="310"/>
      <c r="AJ231" s="310"/>
      <c r="AK231" s="310"/>
      <c r="AL231" s="310"/>
      <c r="AM231" s="310"/>
      <c r="AN231" s="310"/>
      <c r="AO231" s="310"/>
      <c r="AP231" s="310"/>
      <c r="AQ231" s="310"/>
      <c r="AR231" s="310"/>
      <c r="AS231" s="310"/>
      <c r="AT231" s="310"/>
      <c r="AU231" s="310"/>
      <c r="AV231" s="310"/>
      <c r="AW231" s="310"/>
      <c r="AX231" s="310"/>
      <c r="AY231" s="310"/>
      <c r="AZ231" s="310"/>
      <c r="BA231" s="310"/>
      <c r="BB231" s="310"/>
      <c r="BC231" s="310"/>
      <c r="BD231" s="310"/>
      <c r="BE231" s="310"/>
      <c r="BF231" s="310"/>
      <c r="BG231" s="310"/>
      <c r="BH231" s="310"/>
      <c r="BI231" s="310"/>
      <c r="BJ231" s="310"/>
      <c r="BK231" s="310"/>
      <c r="BL231" s="310"/>
      <c r="BM231" s="310"/>
      <c r="BN231" s="310"/>
      <c r="BO231" s="310"/>
      <c r="BP231" s="310"/>
      <c r="BQ231" s="310"/>
      <c r="BR231" s="310"/>
      <c r="BS231" s="310"/>
      <c r="BT231" s="310"/>
      <c r="BU231" s="310"/>
      <c r="BV231" s="310"/>
      <c r="BW231" s="310"/>
      <c r="BX231" s="310"/>
      <c r="BY231" s="310"/>
      <c r="BZ231" s="310"/>
      <c r="CA231" s="310"/>
      <c r="CB231" s="310"/>
      <c r="CC231" s="310"/>
      <c r="CD231" s="310"/>
      <c r="CE231" s="310"/>
      <c r="CF231" s="310"/>
      <c r="CG231" s="310"/>
      <c r="CH231" s="310"/>
      <c r="CI231" s="310"/>
      <c r="CJ231" s="310"/>
      <c r="CK231" s="310"/>
      <c r="CL231" s="310"/>
      <c r="CM231" s="310"/>
      <c r="CN231" s="310"/>
      <c r="CO231" s="310"/>
      <c r="CP231" s="310"/>
      <c r="CQ231" s="310"/>
      <c r="CR231" s="310"/>
      <c r="CS231" s="310"/>
      <c r="CT231" s="310"/>
      <c r="CU231" s="310"/>
      <c r="CV231" s="310"/>
      <c r="CW231" s="310"/>
      <c r="CX231" s="310"/>
      <c r="CY231" s="310"/>
      <c r="CZ231" s="310"/>
      <c r="DA231" s="310"/>
      <c r="DB231" s="310"/>
      <c r="DC231" s="310"/>
      <c r="DD231" s="310"/>
      <c r="DE231" s="310"/>
      <c r="DF231" s="310"/>
      <c r="DG231" s="310"/>
      <c r="DH231" s="310"/>
      <c r="DI231" s="310"/>
      <c r="DJ231" s="310"/>
      <c r="DK231" s="310"/>
      <c r="DL231" s="310"/>
      <c r="DM231" s="310"/>
      <c r="DN231" s="310"/>
      <c r="DO231" s="310"/>
      <c r="DP231" s="310"/>
      <c r="DQ231" s="310"/>
      <c r="DR231" s="310"/>
      <c r="DS231" s="310"/>
      <c r="DT231" s="311"/>
    </row>
    <row r="232" spans="1:124" ht="6" customHeight="1">
      <c r="B232" s="312"/>
      <c r="C232" s="19"/>
      <c r="D232" s="19"/>
      <c r="E232" s="20"/>
      <c r="F232" s="20"/>
      <c r="G232" s="20"/>
      <c r="H232" s="20"/>
      <c r="I232" s="20"/>
      <c r="J232" s="20"/>
      <c r="K232" s="20"/>
      <c r="L232" s="20"/>
      <c r="M232" s="20"/>
      <c r="N232" s="20"/>
      <c r="O232" s="20"/>
      <c r="P232" s="21"/>
      <c r="Q232" s="20"/>
      <c r="R232" s="20"/>
      <c r="S232" s="20"/>
      <c r="T232" s="20"/>
      <c r="U232" s="20"/>
      <c r="V232" s="20"/>
      <c r="W232" s="20"/>
      <c r="X232" s="20"/>
      <c r="Y232" s="20"/>
      <c r="Z232" s="20"/>
      <c r="AA232" s="20"/>
      <c r="AB232" s="20"/>
      <c r="AC232" s="20"/>
      <c r="AD232" s="293"/>
      <c r="AE232" s="293"/>
      <c r="AF232" s="293"/>
      <c r="AG232" s="293"/>
      <c r="AH232" s="293"/>
      <c r="AI232" s="293"/>
      <c r="AJ232" s="293"/>
      <c r="AK232" s="293"/>
      <c r="AL232" s="293"/>
      <c r="AM232" s="293"/>
      <c r="AN232" s="293"/>
      <c r="AO232" s="293"/>
      <c r="AP232" s="293"/>
      <c r="AQ232" s="293"/>
      <c r="AR232" s="293"/>
      <c r="AS232" s="293"/>
      <c r="AT232" s="293"/>
      <c r="AU232" s="293"/>
      <c r="AV232" s="293"/>
      <c r="AW232" s="293"/>
      <c r="AX232" s="293"/>
      <c r="AY232" s="293"/>
      <c r="AZ232" s="293"/>
      <c r="BA232" s="293"/>
      <c r="BB232" s="293"/>
      <c r="BC232" s="293"/>
      <c r="BD232" s="293"/>
      <c r="BE232" s="293"/>
      <c r="BF232" s="293"/>
      <c r="BG232" s="293"/>
      <c r="BH232" s="293"/>
      <c r="BI232" s="293"/>
      <c r="BJ232" s="293"/>
      <c r="BK232" s="293"/>
      <c r="BL232" s="293"/>
      <c r="BM232" s="293"/>
      <c r="BN232" s="293"/>
      <c r="BO232" s="293"/>
      <c r="BP232" s="293"/>
      <c r="BQ232" s="293"/>
      <c r="BR232" s="293"/>
      <c r="BS232" s="293"/>
      <c r="BT232" s="293"/>
      <c r="BU232" s="293"/>
      <c r="BV232" s="293"/>
      <c r="BW232" s="293"/>
      <c r="BX232" s="293"/>
      <c r="BY232" s="293"/>
      <c r="BZ232" s="293"/>
      <c r="CA232" s="293"/>
      <c r="CB232" s="293"/>
      <c r="CC232" s="293"/>
      <c r="CD232" s="293"/>
      <c r="CE232" s="293"/>
      <c r="CF232" s="293"/>
      <c r="CG232" s="293"/>
      <c r="CH232" s="293"/>
      <c r="CI232" s="293"/>
      <c r="CJ232" s="293"/>
      <c r="CK232" s="293"/>
      <c r="CL232" s="293"/>
      <c r="CM232" s="293"/>
      <c r="CN232" s="293"/>
      <c r="CO232" s="293"/>
      <c r="CP232" s="293"/>
      <c r="CQ232" s="293"/>
      <c r="CR232" s="293"/>
      <c r="CS232" s="293"/>
      <c r="CT232" s="293"/>
      <c r="CU232" s="293"/>
      <c r="CV232" s="293"/>
      <c r="CW232" s="293"/>
      <c r="CX232" s="293"/>
      <c r="CY232" s="293"/>
      <c r="CZ232" s="293"/>
      <c r="DA232" s="293"/>
      <c r="DB232" s="293"/>
      <c r="DC232" s="293"/>
      <c r="DD232" s="293"/>
      <c r="DE232" s="293"/>
      <c r="DF232" s="293"/>
      <c r="DG232" s="293"/>
      <c r="DH232" s="293"/>
      <c r="DI232" s="293"/>
      <c r="DJ232" s="293"/>
      <c r="DK232" s="293"/>
      <c r="DL232" s="293"/>
      <c r="DM232" s="293"/>
      <c r="DN232" s="293"/>
      <c r="DO232" s="293"/>
      <c r="DP232" s="293"/>
      <c r="DQ232" s="293"/>
      <c r="DR232" s="293"/>
      <c r="DS232" s="293"/>
      <c r="DT232" s="311"/>
    </row>
    <row r="233" spans="1:124" ht="24.9" customHeight="1">
      <c r="B233" s="312"/>
      <c r="C233" s="19"/>
      <c r="D233" s="1761" t="str">
        <f ca="1">'D6.Verification-D7-D8'!D83:F83</f>
        <v>Position</v>
      </c>
      <c r="E233" s="1762"/>
      <c r="F233" s="1762"/>
      <c r="G233" s="1762"/>
      <c r="H233" s="1762"/>
      <c r="I233" s="1762"/>
      <c r="J233" s="1762"/>
      <c r="K233" s="1762"/>
      <c r="L233" s="1762"/>
      <c r="M233" s="1762"/>
      <c r="N233" s="1762"/>
      <c r="O233" s="1762"/>
      <c r="P233" s="1762"/>
      <c r="Q233" s="1762"/>
      <c r="R233" s="1762"/>
      <c r="S233" s="1762"/>
      <c r="T233" s="1762"/>
      <c r="U233" s="1762"/>
      <c r="V233" s="1762"/>
      <c r="W233" s="1762"/>
      <c r="X233" s="1762"/>
      <c r="Y233" s="1932" t="str">
        <f ca="1">'D6.Verification-D7-D8'!G83</f>
        <v>Name, prename</v>
      </c>
      <c r="Z233" s="1932"/>
      <c r="AA233" s="1932"/>
      <c r="AB233" s="1932"/>
      <c r="AC233" s="1932"/>
      <c r="AD233" s="1932"/>
      <c r="AE233" s="1932"/>
      <c r="AF233" s="1932"/>
      <c r="AG233" s="1932"/>
      <c r="AH233" s="1932"/>
      <c r="AI233" s="1932"/>
      <c r="AJ233" s="1932"/>
      <c r="AK233" s="1932"/>
      <c r="AL233" s="1932"/>
      <c r="AM233" s="1932"/>
      <c r="AN233" s="1932"/>
      <c r="AO233" s="1932"/>
      <c r="AP233" s="1932"/>
      <c r="AQ233" s="1932"/>
      <c r="AR233" s="1932"/>
      <c r="AS233" s="1932"/>
      <c r="AT233" s="1932"/>
      <c r="AU233" s="1932"/>
      <c r="AV233" s="1932" t="str">
        <f ca="1">'D6.Verification-D7-D8'!L83</f>
        <v>Date</v>
      </c>
      <c r="AW233" s="1932"/>
      <c r="AX233" s="1932"/>
      <c r="AY233" s="1932"/>
      <c r="AZ233" s="1932"/>
      <c r="BA233" s="1932"/>
      <c r="BB233" s="1932"/>
      <c r="BC233" s="1932"/>
      <c r="BD233" s="1932"/>
      <c r="BE233" s="1932"/>
      <c r="BF233" s="1932"/>
      <c r="BG233" s="1932"/>
      <c r="BH233" s="1932"/>
      <c r="BI233" s="1932"/>
      <c r="BJ233" s="1932"/>
      <c r="BK233" s="1932"/>
      <c r="BL233" s="1932"/>
      <c r="BM233" s="1932"/>
      <c r="BN233" s="1932"/>
      <c r="BO233" s="1932"/>
      <c r="BP233" s="1932"/>
      <c r="BQ233" s="1932"/>
      <c r="BR233" s="1932"/>
      <c r="BS233" s="1932"/>
      <c r="BT233" s="1932"/>
      <c r="BU233" s="1932"/>
      <c r="BV233" s="1932"/>
      <c r="BW233" s="1932" t="str">
        <f ca="1">'D6.Verification-D7-D8'!N83</f>
        <v>Comments, conclusion (result of final discussion)</v>
      </c>
      <c r="BX233" s="1932"/>
      <c r="BY233" s="1932"/>
      <c r="BZ233" s="1932"/>
      <c r="CA233" s="1932"/>
      <c r="CB233" s="1932"/>
      <c r="CC233" s="1932"/>
      <c r="CD233" s="1932"/>
      <c r="CE233" s="1932"/>
      <c r="CF233" s="1932"/>
      <c r="CG233" s="1932"/>
      <c r="CH233" s="1932"/>
      <c r="CI233" s="1932"/>
      <c r="CJ233" s="1932"/>
      <c r="CK233" s="1932"/>
      <c r="CL233" s="1932"/>
      <c r="CM233" s="1932"/>
      <c r="CN233" s="1932"/>
      <c r="CO233" s="1932"/>
      <c r="CP233" s="1932"/>
      <c r="CQ233" s="1932"/>
      <c r="CR233" s="1932"/>
      <c r="CS233" s="1932"/>
      <c r="CT233" s="1932"/>
      <c r="CU233" s="1932"/>
      <c r="CV233" s="1932"/>
      <c r="CW233" s="1932"/>
      <c r="CX233" s="1932"/>
      <c r="CY233" s="1932"/>
      <c r="CZ233" s="1932"/>
      <c r="DA233" s="1932"/>
      <c r="DB233" s="1932"/>
      <c r="DC233" s="1932"/>
      <c r="DD233" s="1932"/>
      <c r="DE233" s="1932"/>
      <c r="DF233" s="1932"/>
      <c r="DG233" s="1932"/>
      <c r="DH233" s="1932"/>
      <c r="DI233" s="1932"/>
      <c r="DJ233" s="1932"/>
      <c r="DK233" s="1932"/>
      <c r="DL233" s="1932"/>
      <c r="DM233" s="1932"/>
      <c r="DN233" s="1932"/>
      <c r="DO233" s="1932"/>
      <c r="DP233" s="1932"/>
      <c r="DQ233" s="1932"/>
      <c r="DR233" s="1932"/>
      <c r="DS233" s="293"/>
      <c r="DT233" s="311"/>
    </row>
    <row r="234" spans="1:124" ht="24.9" customHeight="1">
      <c r="B234" s="312"/>
      <c r="C234" s="293"/>
      <c r="D234" s="1932" t="str">
        <f ca="1">'D6.Verification-D7-D8'!D84</f>
        <v>PSC</v>
      </c>
      <c r="E234" s="1932"/>
      <c r="F234" s="1932"/>
      <c r="G234" s="1932"/>
      <c r="H234" s="1932"/>
      <c r="I234" s="1932"/>
      <c r="J234" s="1932"/>
      <c r="K234" s="1932"/>
      <c r="L234" s="1932"/>
      <c r="M234" s="1932"/>
      <c r="N234" s="1932"/>
      <c r="O234" s="1932"/>
      <c r="P234" s="1932"/>
      <c r="Q234" s="1932"/>
      <c r="R234" s="1932"/>
      <c r="S234" s="1932"/>
      <c r="T234" s="1932"/>
      <c r="U234" s="1932"/>
      <c r="V234" s="1932"/>
      <c r="W234" s="1932"/>
      <c r="X234" s="1932"/>
      <c r="Y234" s="1940" t="str">
        <f>IF('D6.Verification-D7-D8'!G84="","",'D6.Verification-D7-D8'!$G$84)</f>
        <v/>
      </c>
      <c r="Z234" s="1941"/>
      <c r="AA234" s="1941"/>
      <c r="AB234" s="1941"/>
      <c r="AC234" s="1941"/>
      <c r="AD234" s="1941"/>
      <c r="AE234" s="1941"/>
      <c r="AF234" s="1941"/>
      <c r="AG234" s="1941"/>
      <c r="AH234" s="1941"/>
      <c r="AI234" s="1941"/>
      <c r="AJ234" s="1941"/>
      <c r="AK234" s="1941"/>
      <c r="AL234" s="1941"/>
      <c r="AM234" s="1941"/>
      <c r="AN234" s="1941"/>
      <c r="AO234" s="1941"/>
      <c r="AP234" s="1941"/>
      <c r="AQ234" s="1941"/>
      <c r="AR234" s="1941"/>
      <c r="AS234" s="1941"/>
      <c r="AT234" s="1941"/>
      <c r="AU234" s="1942"/>
      <c r="AV234" s="1933" t="str">
        <f ca="1">'D6.Verification-D7-D8'!L84</f>
        <v>informed on</v>
      </c>
      <c r="AW234" s="1933"/>
      <c r="AX234" s="1933"/>
      <c r="AY234" s="1933"/>
      <c r="AZ234" s="1933"/>
      <c r="BA234" s="1933"/>
      <c r="BB234" s="1933"/>
      <c r="BC234" s="1933"/>
      <c r="BD234" s="1933"/>
      <c r="BE234" s="1933"/>
      <c r="BF234" s="1933"/>
      <c r="BG234" s="1933"/>
      <c r="BH234" s="1933"/>
      <c r="BI234" s="1933"/>
      <c r="BJ234" s="1934" t="str">
        <f>IF('D6.Verification-D7-D8'!M84="","",'D6.Verification-D7-D8'!M84)</f>
        <v/>
      </c>
      <c r="BK234" s="1934"/>
      <c r="BL234" s="1934"/>
      <c r="BM234" s="1934"/>
      <c r="BN234" s="1934"/>
      <c r="BO234" s="1934"/>
      <c r="BP234" s="1934"/>
      <c r="BQ234" s="1934"/>
      <c r="BR234" s="1934"/>
      <c r="BS234" s="1934"/>
      <c r="BT234" s="1934"/>
      <c r="BU234" s="1934"/>
      <c r="BV234" s="1934"/>
      <c r="BW234" s="1943" t="str">
        <f>IF('D6.Verification-D7-D8'!N84="","",'D6.Verification-D7-D8'!$N$84)</f>
        <v/>
      </c>
      <c r="BX234" s="1943"/>
      <c r="BY234" s="1943"/>
      <c r="BZ234" s="1943"/>
      <c r="CA234" s="1943"/>
      <c r="CB234" s="1943"/>
      <c r="CC234" s="1943"/>
      <c r="CD234" s="1943"/>
      <c r="CE234" s="1943"/>
      <c r="CF234" s="1943"/>
      <c r="CG234" s="1943"/>
      <c r="CH234" s="1943"/>
      <c r="CI234" s="1943"/>
      <c r="CJ234" s="1943"/>
      <c r="CK234" s="1943"/>
      <c r="CL234" s="1943"/>
      <c r="CM234" s="1943"/>
      <c r="CN234" s="1943"/>
      <c r="CO234" s="1943"/>
      <c r="CP234" s="1943"/>
      <c r="CQ234" s="1943"/>
      <c r="CR234" s="1943"/>
      <c r="CS234" s="1943"/>
      <c r="CT234" s="1943"/>
      <c r="CU234" s="1943"/>
      <c r="CV234" s="1943"/>
      <c r="CW234" s="1943"/>
      <c r="CX234" s="1943"/>
      <c r="CY234" s="1943"/>
      <c r="CZ234" s="1943"/>
      <c r="DA234" s="1943"/>
      <c r="DB234" s="1943"/>
      <c r="DC234" s="1943"/>
      <c r="DD234" s="1943"/>
      <c r="DE234" s="1943"/>
      <c r="DF234" s="1943"/>
      <c r="DG234" s="1943"/>
      <c r="DH234" s="1943"/>
      <c r="DI234" s="1943"/>
      <c r="DJ234" s="1943"/>
      <c r="DK234" s="1943"/>
      <c r="DL234" s="1943"/>
      <c r="DM234" s="1943"/>
      <c r="DN234" s="1943"/>
      <c r="DO234" s="1943"/>
      <c r="DP234" s="1943"/>
      <c r="DQ234" s="1943"/>
      <c r="DR234" s="1943"/>
      <c r="DS234" s="293"/>
      <c r="DT234" s="311"/>
    </row>
    <row r="235" spans="1:124" ht="24.9" customHeight="1">
      <c r="B235" s="312"/>
      <c r="C235" s="320"/>
      <c r="D235" s="1932" t="str">
        <f ca="1">'D6.Verification-D7-D8'!D85</f>
        <v>Responsible Q</v>
      </c>
      <c r="E235" s="1932"/>
      <c r="F235" s="1932"/>
      <c r="G235" s="1932"/>
      <c r="H235" s="1932"/>
      <c r="I235" s="1932"/>
      <c r="J235" s="1932"/>
      <c r="K235" s="1932"/>
      <c r="L235" s="1932"/>
      <c r="M235" s="1932"/>
      <c r="N235" s="1932"/>
      <c r="O235" s="1932"/>
      <c r="P235" s="1932"/>
      <c r="Q235" s="1932"/>
      <c r="R235" s="1932"/>
      <c r="S235" s="1932"/>
      <c r="T235" s="1932"/>
      <c r="U235" s="1932"/>
      <c r="V235" s="1932"/>
      <c r="W235" s="1932"/>
      <c r="X235" s="1932"/>
      <c r="Y235" s="1940" t="str">
        <f>IF('D6.Verification-D7-D8'!G85="","",'D6.Verification-D7-D8'!$G$85)</f>
        <v/>
      </c>
      <c r="Z235" s="1941"/>
      <c r="AA235" s="1941"/>
      <c r="AB235" s="1941"/>
      <c r="AC235" s="1941"/>
      <c r="AD235" s="1941"/>
      <c r="AE235" s="1941"/>
      <c r="AF235" s="1941"/>
      <c r="AG235" s="1941"/>
      <c r="AH235" s="1941"/>
      <c r="AI235" s="1941"/>
      <c r="AJ235" s="1941"/>
      <c r="AK235" s="1941"/>
      <c r="AL235" s="1941"/>
      <c r="AM235" s="1941"/>
      <c r="AN235" s="1941"/>
      <c r="AO235" s="1941"/>
      <c r="AP235" s="1941"/>
      <c r="AQ235" s="1941"/>
      <c r="AR235" s="1941"/>
      <c r="AS235" s="1941"/>
      <c r="AT235" s="1941"/>
      <c r="AU235" s="1942"/>
      <c r="AV235" s="1933" t="str">
        <f ca="1">'D6.Verification-D7-D8'!L85</f>
        <v>informed on</v>
      </c>
      <c r="AW235" s="1933"/>
      <c r="AX235" s="1933"/>
      <c r="AY235" s="1933"/>
      <c r="AZ235" s="1933"/>
      <c r="BA235" s="1933"/>
      <c r="BB235" s="1933"/>
      <c r="BC235" s="1933"/>
      <c r="BD235" s="1933"/>
      <c r="BE235" s="1933"/>
      <c r="BF235" s="1933"/>
      <c r="BG235" s="1933"/>
      <c r="BH235" s="1933"/>
      <c r="BI235" s="1933"/>
      <c r="BJ235" s="1838" t="str">
        <f>IF('D6.Verification-D7-D8'!M85="","",'D6.Verification-D7-D8'!M85)</f>
        <v/>
      </c>
      <c r="BK235" s="1838"/>
      <c r="BL235" s="1838"/>
      <c r="BM235" s="1838"/>
      <c r="BN235" s="1838"/>
      <c r="BO235" s="1838"/>
      <c r="BP235" s="1838"/>
      <c r="BQ235" s="1838"/>
      <c r="BR235" s="1838"/>
      <c r="BS235" s="1838"/>
      <c r="BT235" s="1838"/>
      <c r="BU235" s="1838"/>
      <c r="BV235" s="1838"/>
      <c r="BW235" s="1944" t="str">
        <f>IF('D6.Verification-D7-D8'!N85="","",'D6.Verification-D7-D8'!$N$85)</f>
        <v/>
      </c>
      <c r="BX235" s="1944"/>
      <c r="BY235" s="1944"/>
      <c r="BZ235" s="1944"/>
      <c r="CA235" s="1944"/>
      <c r="CB235" s="1944"/>
      <c r="CC235" s="1944"/>
      <c r="CD235" s="1944"/>
      <c r="CE235" s="1944"/>
      <c r="CF235" s="1944"/>
      <c r="CG235" s="1944"/>
      <c r="CH235" s="1944"/>
      <c r="CI235" s="1944"/>
      <c r="CJ235" s="1944"/>
      <c r="CK235" s="1944"/>
      <c r="CL235" s="1944"/>
      <c r="CM235" s="1944"/>
      <c r="CN235" s="1944"/>
      <c r="CO235" s="1944"/>
      <c r="CP235" s="1944"/>
      <c r="CQ235" s="1944"/>
      <c r="CR235" s="1944"/>
      <c r="CS235" s="1944"/>
      <c r="CT235" s="1944"/>
      <c r="CU235" s="1944"/>
      <c r="CV235" s="1944"/>
      <c r="CW235" s="1944"/>
      <c r="CX235" s="1944"/>
      <c r="CY235" s="1944"/>
      <c r="CZ235" s="1944"/>
      <c r="DA235" s="1944"/>
      <c r="DB235" s="1944"/>
      <c r="DC235" s="1944"/>
      <c r="DD235" s="1944"/>
      <c r="DE235" s="1944"/>
      <c r="DF235" s="1944"/>
      <c r="DG235" s="1944"/>
      <c r="DH235" s="1944"/>
      <c r="DI235" s="1944"/>
      <c r="DJ235" s="1944"/>
      <c r="DK235" s="1944"/>
      <c r="DL235" s="1944"/>
      <c r="DM235" s="1944"/>
      <c r="DN235" s="1944"/>
      <c r="DO235" s="1944"/>
      <c r="DP235" s="1944"/>
      <c r="DQ235" s="1944"/>
      <c r="DR235" s="1944"/>
      <c r="DS235" s="293"/>
      <c r="DT235" s="311"/>
    </row>
    <row r="236" spans="1:124" ht="24.9" customHeight="1">
      <c r="B236" s="312"/>
      <c r="C236" s="320"/>
      <c r="D236" s="1932" t="str">
        <f ca="1">'D6.Verification-D7-D8'!D86</f>
        <v>AP-team leader</v>
      </c>
      <c r="E236" s="1932"/>
      <c r="F236" s="1932"/>
      <c r="G236" s="1932"/>
      <c r="H236" s="1932"/>
      <c r="I236" s="1932"/>
      <c r="J236" s="1932"/>
      <c r="K236" s="1932"/>
      <c r="L236" s="1932"/>
      <c r="M236" s="1932"/>
      <c r="N236" s="1932"/>
      <c r="O236" s="1932"/>
      <c r="P236" s="1932"/>
      <c r="Q236" s="1932"/>
      <c r="R236" s="1932"/>
      <c r="S236" s="1932"/>
      <c r="T236" s="1932"/>
      <c r="U236" s="1932"/>
      <c r="V236" s="1932"/>
      <c r="W236" s="1932"/>
      <c r="X236" s="1932"/>
      <c r="Y236" s="1940" t="str">
        <f>IF('D6.Verification-D7-D8'!G86="","",'D6.Verification-D7-D8'!$G$86)</f>
        <v/>
      </c>
      <c r="Z236" s="1941"/>
      <c r="AA236" s="1941"/>
      <c r="AB236" s="1941"/>
      <c r="AC236" s="1941"/>
      <c r="AD236" s="1941"/>
      <c r="AE236" s="1941"/>
      <c r="AF236" s="1941"/>
      <c r="AG236" s="1941"/>
      <c r="AH236" s="1941"/>
      <c r="AI236" s="1941"/>
      <c r="AJ236" s="1941"/>
      <c r="AK236" s="1941"/>
      <c r="AL236" s="1941"/>
      <c r="AM236" s="1941"/>
      <c r="AN236" s="1941"/>
      <c r="AO236" s="1941"/>
      <c r="AP236" s="1941"/>
      <c r="AQ236" s="1941"/>
      <c r="AR236" s="1941"/>
      <c r="AS236" s="1941"/>
      <c r="AT236" s="1941"/>
      <c r="AU236" s="1942"/>
      <c r="AV236" s="1933" t="str">
        <f ca="1">'D6.Verification-D7-D8'!L86</f>
        <v>verified on</v>
      </c>
      <c r="AW236" s="1933"/>
      <c r="AX236" s="1933"/>
      <c r="AY236" s="1933"/>
      <c r="AZ236" s="1933"/>
      <c r="BA236" s="1933"/>
      <c r="BB236" s="1933"/>
      <c r="BC236" s="1933"/>
      <c r="BD236" s="1933"/>
      <c r="BE236" s="1933"/>
      <c r="BF236" s="1933"/>
      <c r="BG236" s="1933"/>
      <c r="BH236" s="1933"/>
      <c r="BI236" s="1933"/>
      <c r="BJ236" s="1838" t="str">
        <f>IF('D6.Verification-D7-D8'!M86="","",'D6.Verification-D7-D8'!M86)</f>
        <v/>
      </c>
      <c r="BK236" s="1838"/>
      <c r="BL236" s="1838"/>
      <c r="BM236" s="1838"/>
      <c r="BN236" s="1838"/>
      <c r="BO236" s="1838"/>
      <c r="BP236" s="1838"/>
      <c r="BQ236" s="1838"/>
      <c r="BR236" s="1838"/>
      <c r="BS236" s="1838"/>
      <c r="BT236" s="1838"/>
      <c r="BU236" s="1838"/>
      <c r="BV236" s="1838"/>
      <c r="BW236" s="1944" t="str">
        <f>IF('D6.Verification-D7-D8'!N86="","",'D6.Verification-D7-D8'!$N$86)</f>
        <v/>
      </c>
      <c r="BX236" s="1944"/>
      <c r="BY236" s="1944"/>
      <c r="BZ236" s="1944"/>
      <c r="CA236" s="1944"/>
      <c r="CB236" s="1944"/>
      <c r="CC236" s="1944"/>
      <c r="CD236" s="1944"/>
      <c r="CE236" s="1944"/>
      <c r="CF236" s="1944"/>
      <c r="CG236" s="1944"/>
      <c r="CH236" s="1944"/>
      <c r="CI236" s="1944"/>
      <c r="CJ236" s="1944"/>
      <c r="CK236" s="1944"/>
      <c r="CL236" s="1944"/>
      <c r="CM236" s="1944"/>
      <c r="CN236" s="1944"/>
      <c r="CO236" s="1944"/>
      <c r="CP236" s="1944"/>
      <c r="CQ236" s="1944"/>
      <c r="CR236" s="1944"/>
      <c r="CS236" s="1944"/>
      <c r="CT236" s="1944"/>
      <c r="CU236" s="1944"/>
      <c r="CV236" s="1944"/>
      <c r="CW236" s="1944"/>
      <c r="CX236" s="1944"/>
      <c r="CY236" s="1944"/>
      <c r="CZ236" s="1944"/>
      <c r="DA236" s="1944"/>
      <c r="DB236" s="1944"/>
      <c r="DC236" s="1944"/>
      <c r="DD236" s="1944"/>
      <c r="DE236" s="1944"/>
      <c r="DF236" s="1944"/>
      <c r="DG236" s="1944"/>
      <c r="DH236" s="1944"/>
      <c r="DI236" s="1944"/>
      <c r="DJ236" s="1944"/>
      <c r="DK236" s="1944"/>
      <c r="DL236" s="1944"/>
      <c r="DM236" s="1944"/>
      <c r="DN236" s="1944"/>
      <c r="DO236" s="1944"/>
      <c r="DP236" s="1944"/>
      <c r="DQ236" s="1944"/>
      <c r="DR236" s="1944"/>
      <c r="DS236" s="293"/>
      <c r="DT236" s="311"/>
    </row>
    <row r="237" spans="1:124" ht="24.9" customHeight="1">
      <c r="B237" s="312"/>
      <c r="C237" s="320"/>
      <c r="D237" s="1932" t="str">
        <f ca="1">'D6.Verification-D7-D8'!D87</f>
        <v>Problem coordinator</v>
      </c>
      <c r="E237" s="1932"/>
      <c r="F237" s="1932"/>
      <c r="G237" s="1932"/>
      <c r="H237" s="1932"/>
      <c r="I237" s="1932"/>
      <c r="J237" s="1932"/>
      <c r="K237" s="1932"/>
      <c r="L237" s="1932"/>
      <c r="M237" s="1932"/>
      <c r="N237" s="1932"/>
      <c r="O237" s="1932"/>
      <c r="P237" s="1932"/>
      <c r="Q237" s="1932"/>
      <c r="R237" s="1932"/>
      <c r="S237" s="1932"/>
      <c r="T237" s="1932"/>
      <c r="U237" s="1932"/>
      <c r="V237" s="1932"/>
      <c r="W237" s="1932"/>
      <c r="X237" s="1932"/>
      <c r="Y237" s="1940" t="str">
        <f>IF('D6.Verification-D7-D8'!G87="","",'D6.Verification-D7-D8'!$G$87)</f>
        <v/>
      </c>
      <c r="Z237" s="1941"/>
      <c r="AA237" s="1941"/>
      <c r="AB237" s="1941"/>
      <c r="AC237" s="1941"/>
      <c r="AD237" s="1941"/>
      <c r="AE237" s="1941"/>
      <c r="AF237" s="1941"/>
      <c r="AG237" s="1941"/>
      <c r="AH237" s="1941"/>
      <c r="AI237" s="1941"/>
      <c r="AJ237" s="1941"/>
      <c r="AK237" s="1941"/>
      <c r="AL237" s="1941"/>
      <c r="AM237" s="1941"/>
      <c r="AN237" s="1941"/>
      <c r="AO237" s="1941"/>
      <c r="AP237" s="1941"/>
      <c r="AQ237" s="1941"/>
      <c r="AR237" s="1941"/>
      <c r="AS237" s="1941"/>
      <c r="AT237" s="1941"/>
      <c r="AU237" s="1942"/>
      <c r="AV237" s="1933" t="str">
        <f ca="1">'D6.Verification-D7-D8'!L87</f>
        <v>closed on</v>
      </c>
      <c r="AW237" s="1933"/>
      <c r="AX237" s="1933"/>
      <c r="AY237" s="1933"/>
      <c r="AZ237" s="1933"/>
      <c r="BA237" s="1933"/>
      <c r="BB237" s="1933"/>
      <c r="BC237" s="1933"/>
      <c r="BD237" s="1933"/>
      <c r="BE237" s="1933"/>
      <c r="BF237" s="1933"/>
      <c r="BG237" s="1933"/>
      <c r="BH237" s="1933"/>
      <c r="BI237" s="1933"/>
      <c r="BJ237" s="1838" t="str">
        <f>IF('D6.Verification-D7-D8'!M87="","",'D6.Verification-D7-D8'!$M$87)</f>
        <v/>
      </c>
      <c r="BK237" s="1838"/>
      <c r="BL237" s="1838"/>
      <c r="BM237" s="1838"/>
      <c r="BN237" s="1838"/>
      <c r="BO237" s="1838"/>
      <c r="BP237" s="1838"/>
      <c r="BQ237" s="1838"/>
      <c r="BR237" s="1838"/>
      <c r="BS237" s="1838"/>
      <c r="BT237" s="1838"/>
      <c r="BU237" s="1838"/>
      <c r="BV237" s="1838"/>
      <c r="BW237" s="1944" t="str">
        <f>IF('D6.Verification-D7-D8'!N87="","",'D6.Verification-D7-D8'!$N$87)</f>
        <v/>
      </c>
      <c r="BX237" s="1944"/>
      <c r="BY237" s="1944"/>
      <c r="BZ237" s="1944"/>
      <c r="CA237" s="1944"/>
      <c r="CB237" s="1944"/>
      <c r="CC237" s="1944"/>
      <c r="CD237" s="1944"/>
      <c r="CE237" s="1944"/>
      <c r="CF237" s="1944"/>
      <c r="CG237" s="1944"/>
      <c r="CH237" s="1944"/>
      <c r="CI237" s="1944"/>
      <c r="CJ237" s="1944"/>
      <c r="CK237" s="1944"/>
      <c r="CL237" s="1944"/>
      <c r="CM237" s="1944"/>
      <c r="CN237" s="1944"/>
      <c r="CO237" s="1944"/>
      <c r="CP237" s="1944"/>
      <c r="CQ237" s="1944"/>
      <c r="CR237" s="1944"/>
      <c r="CS237" s="1944"/>
      <c r="CT237" s="1944"/>
      <c r="CU237" s="1944"/>
      <c r="CV237" s="1944"/>
      <c r="CW237" s="1944"/>
      <c r="CX237" s="1944"/>
      <c r="CY237" s="1944"/>
      <c r="CZ237" s="1944"/>
      <c r="DA237" s="1944"/>
      <c r="DB237" s="1944"/>
      <c r="DC237" s="1944"/>
      <c r="DD237" s="1944"/>
      <c r="DE237" s="1944"/>
      <c r="DF237" s="1944"/>
      <c r="DG237" s="1944"/>
      <c r="DH237" s="1944"/>
      <c r="DI237" s="1944"/>
      <c r="DJ237" s="1944"/>
      <c r="DK237" s="1944"/>
      <c r="DL237" s="1944"/>
      <c r="DM237" s="1944"/>
      <c r="DN237" s="1944"/>
      <c r="DO237" s="1944"/>
      <c r="DP237" s="1944"/>
      <c r="DQ237" s="1944"/>
      <c r="DR237" s="1944"/>
      <c r="DS237" s="293"/>
      <c r="DT237" s="311"/>
    </row>
    <row r="238" spans="1:124" ht="6" customHeight="1">
      <c r="B238" s="319"/>
      <c r="C238" s="22"/>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1937"/>
      <c r="AE238" s="1938"/>
      <c r="AF238" s="1938"/>
      <c r="AG238" s="1938"/>
      <c r="AH238" s="1939"/>
      <c r="AI238" s="305"/>
      <c r="AJ238" s="305"/>
      <c r="AK238" s="305"/>
      <c r="AL238" s="305"/>
      <c r="AM238" s="305"/>
      <c r="AN238" s="305"/>
      <c r="AO238" s="305"/>
      <c r="AP238" s="305"/>
      <c r="AQ238" s="305"/>
      <c r="AR238" s="305"/>
      <c r="AS238" s="305"/>
      <c r="AT238" s="305"/>
      <c r="AU238" s="519"/>
      <c r="AV238" s="251"/>
      <c r="AW238" s="305"/>
      <c r="AX238" s="305"/>
      <c r="AY238" s="305"/>
      <c r="AZ238" s="305"/>
      <c r="BA238" s="305"/>
      <c r="BB238" s="305"/>
      <c r="BC238" s="305"/>
      <c r="BD238" s="305"/>
      <c r="BE238" s="305"/>
      <c r="BF238" s="305"/>
      <c r="BG238" s="305"/>
      <c r="BH238" s="305"/>
      <c r="BI238" s="305"/>
      <c r="BJ238" s="305"/>
      <c r="BK238" s="305"/>
      <c r="BL238" s="305"/>
      <c r="BM238" s="305"/>
      <c r="BN238" s="305"/>
      <c r="BO238" s="305"/>
      <c r="BP238" s="305"/>
      <c r="BQ238" s="305"/>
      <c r="BR238" s="305"/>
      <c r="BS238" s="305"/>
      <c r="BT238" s="305"/>
      <c r="BU238" s="305"/>
      <c r="BV238" s="305"/>
      <c r="BW238" s="305"/>
      <c r="BX238" s="305"/>
      <c r="BY238" s="305"/>
      <c r="BZ238" s="305"/>
      <c r="CA238" s="305"/>
      <c r="CB238" s="305"/>
      <c r="CC238" s="305"/>
      <c r="CD238" s="305"/>
      <c r="CE238" s="305"/>
      <c r="CF238" s="305"/>
      <c r="CG238" s="305"/>
      <c r="CH238" s="305"/>
      <c r="CI238" s="305"/>
      <c r="CJ238" s="305"/>
      <c r="CK238" s="305"/>
      <c r="CL238" s="305"/>
      <c r="CM238" s="305"/>
      <c r="CN238" s="305"/>
      <c r="CO238" s="305"/>
      <c r="CP238" s="305"/>
      <c r="CQ238" s="305"/>
      <c r="CR238" s="305"/>
      <c r="CS238" s="305"/>
      <c r="CT238" s="305"/>
      <c r="CU238" s="305"/>
      <c r="CV238" s="305"/>
      <c r="CW238" s="305"/>
      <c r="CX238" s="305"/>
      <c r="CY238" s="305"/>
      <c r="CZ238" s="305"/>
      <c r="DA238" s="305"/>
      <c r="DB238" s="305"/>
      <c r="DC238" s="305"/>
      <c r="DD238" s="305"/>
      <c r="DE238" s="305"/>
      <c r="DF238" s="305"/>
      <c r="DG238" s="305"/>
      <c r="DH238" s="305"/>
      <c r="DI238" s="305"/>
      <c r="DJ238" s="305"/>
      <c r="DK238" s="305"/>
      <c r="DL238" s="305"/>
      <c r="DM238" s="305"/>
      <c r="DN238" s="305"/>
      <c r="DO238" s="305"/>
      <c r="DP238" s="305"/>
      <c r="DQ238" s="305"/>
      <c r="DR238" s="325"/>
      <c r="DS238" s="293"/>
      <c r="DT238" s="311"/>
    </row>
    <row r="239" spans="1:124" ht="6" customHeight="1" thickBot="1">
      <c r="B239" s="322"/>
      <c r="C239" s="323"/>
      <c r="D239" s="323"/>
      <c r="E239" s="323"/>
      <c r="F239" s="323"/>
      <c r="G239" s="323"/>
      <c r="H239" s="323"/>
      <c r="I239" s="323"/>
      <c r="J239" s="323"/>
      <c r="K239" s="323"/>
      <c r="L239" s="323"/>
      <c r="M239" s="323"/>
      <c r="N239" s="323"/>
      <c r="O239" s="323"/>
      <c r="P239" s="323"/>
      <c r="Q239" s="323"/>
      <c r="R239" s="323"/>
      <c r="S239" s="323"/>
      <c r="T239" s="323"/>
      <c r="U239" s="323"/>
      <c r="V239" s="323"/>
      <c r="W239" s="323"/>
      <c r="X239" s="323"/>
      <c r="Y239" s="323"/>
      <c r="Z239" s="323"/>
      <c r="AA239" s="323"/>
      <c r="AB239" s="323"/>
      <c r="AC239" s="323"/>
      <c r="AD239" s="323"/>
      <c r="AE239" s="323"/>
      <c r="AF239" s="323"/>
      <c r="AG239" s="323"/>
      <c r="AH239" s="323"/>
      <c r="AI239" s="323"/>
      <c r="AJ239" s="323"/>
      <c r="AK239" s="323"/>
      <c r="AL239" s="323"/>
      <c r="AM239" s="323"/>
      <c r="AN239" s="323"/>
      <c r="AO239" s="323"/>
      <c r="AP239" s="323"/>
      <c r="AQ239" s="323"/>
      <c r="AR239" s="323"/>
      <c r="AS239" s="323"/>
      <c r="AT239" s="323"/>
      <c r="AU239" s="323"/>
      <c r="AV239" s="323"/>
      <c r="AW239" s="323"/>
      <c r="AX239" s="323"/>
      <c r="AY239" s="323"/>
      <c r="AZ239" s="323"/>
      <c r="BA239" s="323"/>
      <c r="BB239" s="323"/>
      <c r="BC239" s="323"/>
      <c r="BD239" s="323"/>
      <c r="BE239" s="323"/>
      <c r="BF239" s="323"/>
      <c r="BG239" s="323"/>
      <c r="BH239" s="323"/>
      <c r="BI239" s="323"/>
      <c r="BJ239" s="323"/>
      <c r="BK239" s="323"/>
      <c r="BL239" s="323"/>
      <c r="BM239" s="323"/>
      <c r="BN239" s="323"/>
      <c r="BO239" s="323"/>
      <c r="BP239" s="323"/>
      <c r="BQ239" s="323"/>
      <c r="BR239" s="323"/>
      <c r="BS239" s="323"/>
      <c r="BT239" s="323"/>
      <c r="BU239" s="323"/>
      <c r="BV239" s="323"/>
      <c r="BW239" s="323"/>
      <c r="BX239" s="323"/>
      <c r="BY239" s="323"/>
      <c r="BZ239" s="323"/>
      <c r="CA239" s="323"/>
      <c r="CB239" s="323"/>
      <c r="CC239" s="323"/>
      <c r="CD239" s="323"/>
      <c r="CE239" s="323"/>
      <c r="CF239" s="323"/>
      <c r="CG239" s="323"/>
      <c r="CH239" s="323"/>
      <c r="CI239" s="323"/>
      <c r="CJ239" s="323"/>
      <c r="CK239" s="323"/>
      <c r="CL239" s="323"/>
      <c r="CM239" s="323"/>
      <c r="CN239" s="323"/>
      <c r="CO239" s="323"/>
      <c r="CP239" s="323"/>
      <c r="CQ239" s="323"/>
      <c r="CR239" s="323"/>
      <c r="CS239" s="323"/>
      <c r="CT239" s="323"/>
      <c r="CU239" s="323"/>
      <c r="CV239" s="323"/>
      <c r="CW239" s="323"/>
      <c r="CX239" s="323"/>
      <c r="CY239" s="323"/>
      <c r="CZ239" s="323"/>
      <c r="DA239" s="323"/>
      <c r="DB239" s="323"/>
      <c r="DC239" s="323"/>
      <c r="DD239" s="323"/>
      <c r="DE239" s="323"/>
      <c r="DF239" s="323"/>
      <c r="DG239" s="323"/>
      <c r="DH239" s="323"/>
      <c r="DI239" s="323"/>
      <c r="DJ239" s="323"/>
      <c r="DK239" s="323"/>
      <c r="DL239" s="323"/>
      <c r="DM239" s="323"/>
      <c r="DN239" s="323"/>
      <c r="DO239" s="323"/>
      <c r="DP239" s="323"/>
      <c r="DQ239" s="323"/>
      <c r="DR239" s="323"/>
      <c r="DS239" s="323"/>
      <c r="DT239" s="324"/>
    </row>
    <row r="240" spans="1:124" ht="9.9" customHeight="1">
      <c r="A240" s="293"/>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c r="AB240" s="293"/>
      <c r="AC240" s="293"/>
      <c r="AD240" s="293"/>
      <c r="AE240" s="293"/>
      <c r="AF240" s="293"/>
      <c r="AG240" s="293"/>
      <c r="AH240" s="293"/>
      <c r="AI240" s="293"/>
      <c r="AJ240" s="293"/>
      <c r="AK240" s="293"/>
      <c r="AL240" s="293"/>
      <c r="AM240" s="293"/>
      <c r="AN240" s="293"/>
      <c r="AO240" s="293"/>
      <c r="AP240" s="293"/>
      <c r="AQ240" s="293"/>
      <c r="AR240" s="293"/>
      <c r="AS240" s="293"/>
      <c r="AT240" s="293"/>
      <c r="AU240" s="293"/>
      <c r="AV240" s="293"/>
      <c r="AW240" s="293"/>
      <c r="AX240" s="293"/>
      <c r="AY240" s="293"/>
      <c r="AZ240" s="293"/>
      <c r="BA240" s="293"/>
      <c r="BB240" s="293"/>
      <c r="BC240" s="293"/>
      <c r="BD240" s="293"/>
      <c r="BE240" s="293"/>
      <c r="BF240" s="293"/>
      <c r="BG240" s="293"/>
      <c r="BH240" s="293"/>
      <c r="BI240" s="293"/>
      <c r="BJ240" s="293"/>
      <c r="BK240" s="293"/>
      <c r="BL240" s="293"/>
      <c r="BM240" s="293"/>
      <c r="BN240" s="293"/>
      <c r="BO240" s="293"/>
      <c r="BP240" s="293"/>
      <c r="BQ240" s="293"/>
      <c r="BR240" s="293"/>
      <c r="BS240" s="293"/>
      <c r="BT240" s="293"/>
      <c r="BU240" s="293"/>
      <c r="BV240" s="293"/>
      <c r="BW240" s="293"/>
      <c r="BX240" s="293"/>
      <c r="BY240" s="293"/>
      <c r="BZ240" s="293"/>
      <c r="CA240" s="293"/>
      <c r="CB240" s="293"/>
      <c r="CC240" s="293"/>
      <c r="CD240" s="293"/>
      <c r="CE240" s="293"/>
      <c r="CF240" s="293"/>
      <c r="CG240" s="293"/>
      <c r="CH240" s="293"/>
      <c r="CI240" s="293"/>
      <c r="CJ240" s="293"/>
      <c r="CK240" s="293"/>
      <c r="CL240" s="293"/>
      <c r="CM240" s="293"/>
      <c r="CN240" s="293"/>
      <c r="CO240" s="293"/>
      <c r="CP240" s="293"/>
      <c r="CQ240" s="293"/>
      <c r="CR240" s="293"/>
      <c r="CS240" s="293"/>
      <c r="CT240" s="293"/>
      <c r="CU240" s="293"/>
      <c r="CV240" s="293"/>
      <c r="CW240" s="293"/>
      <c r="CX240" s="293"/>
      <c r="CY240" s="293"/>
      <c r="CZ240" s="293"/>
      <c r="DA240" s="293"/>
      <c r="DB240" s="293"/>
      <c r="DC240" s="293"/>
      <c r="DD240" s="293"/>
      <c r="DE240" s="293"/>
      <c r="DF240" s="293"/>
      <c r="DG240" s="293"/>
      <c r="DH240" s="293"/>
      <c r="DI240" s="293"/>
      <c r="DJ240" s="293"/>
      <c r="DK240" s="293"/>
      <c r="DL240" s="293"/>
      <c r="DM240" s="293"/>
      <c r="DN240" s="293"/>
      <c r="DO240" s="293"/>
      <c r="DP240" s="293"/>
      <c r="DQ240" s="293"/>
      <c r="DR240" s="293"/>
      <c r="DS240" s="293"/>
      <c r="DT240" s="293"/>
    </row>
  </sheetData>
  <sheetProtection algorithmName="SHA-512" hashValue="u5RcaL44mMVTUuwEKfim81ckuuk9EkJjqDvVTGfm7Ga660ekkE4hS62g0eMm2Z7lbqQ9ye2bcT4rerAtwlymoQ==" saltValue="IpJw/7SULYZA+k6tEhUkkw==" spinCount="100000" sheet="1" scenarios="1" formatCells="0" formatRows="0"/>
  <protectedRanges>
    <protectedRange password="CF58" sqref="AT47 BU48:BU53 BV47:CA53 CI47:CS53 CB47:CH47 CC48:CH48 CB49:CH49 CC50:CH50 CB51:CH51 CB53:CH53 CC52:CH52" name="Range1_1"/>
  </protectedRanges>
  <customSheetViews>
    <customSheetView guid="{727552C9-10E3-4948-B2AE-8FE165517887}" scale="55" hiddenRows="1" topLeftCell="A193">
      <selection activeCell="DV240" sqref="DV240"/>
      <pageMargins left="0.7" right="0.7" top="0.3046875" bottom="0.78740157499999996" header="0.3" footer="0.3"/>
      <pageSetup paperSize="9" scale="16" orientation="portrait" r:id="rId1"/>
    </customSheetView>
  </customSheetViews>
  <mergeCells count="836">
    <mergeCell ref="DD160:DG160"/>
    <mergeCell ref="DD161:DG161"/>
    <mergeCell ref="DD162:DG162"/>
    <mergeCell ref="DH160:DR160"/>
    <mergeCell ref="DH161:DR161"/>
    <mergeCell ref="DH162:DR162"/>
    <mergeCell ref="BZ173:CF173"/>
    <mergeCell ref="BZ174:CF174"/>
    <mergeCell ref="BZ175:CF175"/>
    <mergeCell ref="CG173:CM173"/>
    <mergeCell ref="CG174:CM174"/>
    <mergeCell ref="CG175:CM175"/>
    <mergeCell ref="CO173:DC173"/>
    <mergeCell ref="CO174:DC174"/>
    <mergeCell ref="CO175:DC175"/>
    <mergeCell ref="DH170:DR170"/>
    <mergeCell ref="DH171:DR171"/>
    <mergeCell ref="AC162:BP162"/>
    <mergeCell ref="BQ160:BY160"/>
    <mergeCell ref="BQ161:BY161"/>
    <mergeCell ref="BQ162:BY162"/>
    <mergeCell ref="BZ160:CF160"/>
    <mergeCell ref="BZ161:CF161"/>
    <mergeCell ref="BZ162:CF162"/>
    <mergeCell ref="CG160:CM160"/>
    <mergeCell ref="CG161:CM161"/>
    <mergeCell ref="CG162:CM162"/>
    <mergeCell ref="CF134:CR134"/>
    <mergeCell ref="CS134:DB134"/>
    <mergeCell ref="DC134:DR134"/>
    <mergeCell ref="E135:L135"/>
    <mergeCell ref="M135:AG135"/>
    <mergeCell ref="AH135:AR135"/>
    <mergeCell ref="AS135:BE135"/>
    <mergeCell ref="BF135:BR135"/>
    <mergeCell ref="BS135:CE135"/>
    <mergeCell ref="CF135:CR135"/>
    <mergeCell ref="CS135:DB135"/>
    <mergeCell ref="DC135:DR135"/>
    <mergeCell ref="DC124:DR124"/>
    <mergeCell ref="D115:D124"/>
    <mergeCell ref="E133:L133"/>
    <mergeCell ref="M133:AG133"/>
    <mergeCell ref="AH133:AR133"/>
    <mergeCell ref="AS133:BE133"/>
    <mergeCell ref="BF133:BR133"/>
    <mergeCell ref="BS133:CE133"/>
    <mergeCell ref="CF133:CR133"/>
    <mergeCell ref="CS133:DB133"/>
    <mergeCell ref="DC133:DR133"/>
    <mergeCell ref="D126:D135"/>
    <mergeCell ref="AH122:AR122"/>
    <mergeCell ref="AS122:BE122"/>
    <mergeCell ref="BF122:BR122"/>
    <mergeCell ref="BS122:CE122"/>
    <mergeCell ref="CF122:CR122"/>
    <mergeCell ref="CS122:DB122"/>
    <mergeCell ref="E134:L134"/>
    <mergeCell ref="M134:AG134"/>
    <mergeCell ref="AH134:AR134"/>
    <mergeCell ref="AS134:BE134"/>
    <mergeCell ref="BF134:BR134"/>
    <mergeCell ref="BS134:CE134"/>
    <mergeCell ref="DC122:DR122"/>
    <mergeCell ref="E123:L123"/>
    <mergeCell ref="M123:AG123"/>
    <mergeCell ref="AH123:AR123"/>
    <mergeCell ref="AS123:BE123"/>
    <mergeCell ref="BF123:BR123"/>
    <mergeCell ref="BS123:CE123"/>
    <mergeCell ref="CF123:CR123"/>
    <mergeCell ref="CS123:DB123"/>
    <mergeCell ref="DC123:DR123"/>
    <mergeCell ref="CR81:DB81"/>
    <mergeCell ref="DC81:DG81"/>
    <mergeCell ref="DH81:DM81"/>
    <mergeCell ref="DN81:DR81"/>
    <mergeCell ref="CR82:DB82"/>
    <mergeCell ref="DC82:DG82"/>
    <mergeCell ref="DH82:DM82"/>
    <mergeCell ref="DN82:DR82"/>
    <mergeCell ref="CR78:DB78"/>
    <mergeCell ref="DC78:DG78"/>
    <mergeCell ref="DH78:DM78"/>
    <mergeCell ref="DN78:DR78"/>
    <mergeCell ref="CR79:DB79"/>
    <mergeCell ref="DC79:DG79"/>
    <mergeCell ref="DH79:DM79"/>
    <mergeCell ref="DN79:DR79"/>
    <mergeCell ref="CR80:DB80"/>
    <mergeCell ref="DC80:DG80"/>
    <mergeCell ref="DH80:DM80"/>
    <mergeCell ref="DN80:DR80"/>
    <mergeCell ref="CR83:DB83"/>
    <mergeCell ref="DC83:DG83"/>
    <mergeCell ref="DH83:DM83"/>
    <mergeCell ref="DN83:DR83"/>
    <mergeCell ref="CR84:DB84"/>
    <mergeCell ref="DC84:DG84"/>
    <mergeCell ref="DH84:DM84"/>
    <mergeCell ref="DN84:DR84"/>
    <mergeCell ref="BM85:CA85"/>
    <mergeCell ref="CB85:CE85"/>
    <mergeCell ref="CF85:CP85"/>
    <mergeCell ref="CR85:DB85"/>
    <mergeCell ref="DC85:DG85"/>
    <mergeCell ref="DH85:DM85"/>
    <mergeCell ref="DN85:DR85"/>
    <mergeCell ref="CF75:CP75"/>
    <mergeCell ref="BM74:CP74"/>
    <mergeCell ref="CR74:DR74"/>
    <mergeCell ref="DN77:DR77"/>
    <mergeCell ref="DH77:DM77"/>
    <mergeCell ref="DC77:DG77"/>
    <mergeCell ref="CR77:DB77"/>
    <mergeCell ref="BM77:CA77"/>
    <mergeCell ref="CB77:CE77"/>
    <mergeCell ref="CF77:CP77"/>
    <mergeCell ref="CR75:DB75"/>
    <mergeCell ref="DC75:DG75"/>
    <mergeCell ref="DN75:DR75"/>
    <mergeCell ref="BM75:CA75"/>
    <mergeCell ref="CB75:CE75"/>
    <mergeCell ref="CB82:CE82"/>
    <mergeCell ref="CF82:CP82"/>
    <mergeCell ref="BM83:CA83"/>
    <mergeCell ref="CB83:CE83"/>
    <mergeCell ref="CF83:CP83"/>
    <mergeCell ref="BM84:CA84"/>
    <mergeCell ref="CB84:CE84"/>
    <mergeCell ref="CF84:CP84"/>
    <mergeCell ref="CB79:CE79"/>
    <mergeCell ref="CF79:CP79"/>
    <mergeCell ref="BM80:CA80"/>
    <mergeCell ref="CB80:CE80"/>
    <mergeCell ref="CF80:CP80"/>
    <mergeCell ref="BM81:CA81"/>
    <mergeCell ref="CB81:CE81"/>
    <mergeCell ref="CF81:CP81"/>
    <mergeCell ref="BM82:CA82"/>
    <mergeCell ref="T85:AN85"/>
    <mergeCell ref="AO85:AU85"/>
    <mergeCell ref="AV85:BB85"/>
    <mergeCell ref="BC85:BK85"/>
    <mergeCell ref="G74:BH74"/>
    <mergeCell ref="T75:AN75"/>
    <mergeCell ref="T82:AN82"/>
    <mergeCell ref="AO82:AU82"/>
    <mergeCell ref="AV82:BB82"/>
    <mergeCell ref="BC82:BK82"/>
    <mergeCell ref="T83:AN83"/>
    <mergeCell ref="AO83:AU83"/>
    <mergeCell ref="AV83:BB83"/>
    <mergeCell ref="BC83:BK83"/>
    <mergeCell ref="T79:AN79"/>
    <mergeCell ref="AO79:AU79"/>
    <mergeCell ref="AV79:BB79"/>
    <mergeCell ref="BC79:BK79"/>
    <mergeCell ref="T80:AN80"/>
    <mergeCell ref="AO80:AU80"/>
    <mergeCell ref="AV80:BB80"/>
    <mergeCell ref="BC80:BK80"/>
    <mergeCell ref="L80:R80"/>
    <mergeCell ref="AO81:AU81"/>
    <mergeCell ref="AV81:BB81"/>
    <mergeCell ref="BC81:BK81"/>
    <mergeCell ref="T84:AN84"/>
    <mergeCell ref="AO84:AU84"/>
    <mergeCell ref="AV84:BB84"/>
    <mergeCell ref="L77:R77"/>
    <mergeCell ref="L78:R78"/>
    <mergeCell ref="L79:R79"/>
    <mergeCell ref="BC84:BK84"/>
    <mergeCell ref="T77:AN77"/>
    <mergeCell ref="T78:AN78"/>
    <mergeCell ref="AO78:AU78"/>
    <mergeCell ref="AV78:BB78"/>
    <mergeCell ref="BC78:BK78"/>
    <mergeCell ref="T81:AN81"/>
    <mergeCell ref="H181:DR181"/>
    <mergeCell ref="H182:DR188"/>
    <mergeCell ref="H190:DR196"/>
    <mergeCell ref="D173:H173"/>
    <mergeCell ref="D174:H174"/>
    <mergeCell ref="D175:H175"/>
    <mergeCell ref="D181:G181"/>
    <mergeCell ref="D182:G188"/>
    <mergeCell ref="D190:G196"/>
    <mergeCell ref="I173:AB173"/>
    <mergeCell ref="I174:AB174"/>
    <mergeCell ref="I175:AB175"/>
    <mergeCell ref="AC173:BP173"/>
    <mergeCell ref="AC174:BP174"/>
    <mergeCell ref="AC175:BP175"/>
    <mergeCell ref="BQ173:BY173"/>
    <mergeCell ref="BQ174:BY174"/>
    <mergeCell ref="BQ175:BY175"/>
    <mergeCell ref="DD173:DG173"/>
    <mergeCell ref="DD174:DG174"/>
    <mergeCell ref="DD175:DG175"/>
    <mergeCell ref="DH173:DR173"/>
    <mergeCell ref="DH174:DR174"/>
    <mergeCell ref="DH175:DR175"/>
    <mergeCell ref="CS119:DB119"/>
    <mergeCell ref="DC119:DR119"/>
    <mergeCell ref="AH120:AR120"/>
    <mergeCell ref="AS120:BE120"/>
    <mergeCell ref="BF120:BR120"/>
    <mergeCell ref="AH118:AR118"/>
    <mergeCell ref="BF118:BR118"/>
    <mergeCell ref="AS118:BE118"/>
    <mergeCell ref="BS118:CE118"/>
    <mergeCell ref="CF118:CR118"/>
    <mergeCell ref="CS118:DB118"/>
    <mergeCell ref="BS119:CE119"/>
    <mergeCell ref="CF119:CR119"/>
    <mergeCell ref="DC118:DR118"/>
    <mergeCell ref="AH119:AR119"/>
    <mergeCell ref="AS119:BE119"/>
    <mergeCell ref="D113:AG113"/>
    <mergeCell ref="M115:AG115"/>
    <mergeCell ref="M116:AG116"/>
    <mergeCell ref="M117:AG117"/>
    <mergeCell ref="M118:AG118"/>
    <mergeCell ref="M119:AG119"/>
    <mergeCell ref="M120:AG120"/>
    <mergeCell ref="M121:AG121"/>
    <mergeCell ref="M126:AG126"/>
    <mergeCell ref="E115:L115"/>
    <mergeCell ref="E116:L116"/>
    <mergeCell ref="E117:L117"/>
    <mergeCell ref="E118:L118"/>
    <mergeCell ref="E119:L119"/>
    <mergeCell ref="E122:L122"/>
    <mergeCell ref="M122:AG122"/>
    <mergeCell ref="E124:L124"/>
    <mergeCell ref="M124:AG124"/>
    <mergeCell ref="E126:L126"/>
    <mergeCell ref="E120:L120"/>
    <mergeCell ref="CA32:CP32"/>
    <mergeCell ref="D32:R32"/>
    <mergeCell ref="S32:AH32"/>
    <mergeCell ref="AI32:BH32"/>
    <mergeCell ref="BL32:BZ32"/>
    <mergeCell ref="D47:U47"/>
    <mergeCell ref="V47:AO48"/>
    <mergeCell ref="D60:P60"/>
    <mergeCell ref="R61:AO61"/>
    <mergeCell ref="AV50:CG50"/>
    <mergeCell ref="AV49:CG49"/>
    <mergeCell ref="D51:AO51"/>
    <mergeCell ref="AV48:CG48"/>
    <mergeCell ref="M53:AO53"/>
    <mergeCell ref="AV53:CG53"/>
    <mergeCell ref="AV51:CG51"/>
    <mergeCell ref="D59:L59"/>
    <mergeCell ref="M59:AO59"/>
    <mergeCell ref="R60:AO60"/>
    <mergeCell ref="M55:AO55"/>
    <mergeCell ref="D57:L57"/>
    <mergeCell ref="D58:L58"/>
    <mergeCell ref="CH48:DR48"/>
    <mergeCell ref="AS50:AU53"/>
    <mergeCell ref="AI28:BH28"/>
    <mergeCell ref="CQ30:DR30"/>
    <mergeCell ref="CQ31:DR31"/>
    <mergeCell ref="BL28:BZ28"/>
    <mergeCell ref="CA24:CP24"/>
    <mergeCell ref="CA28:CP28"/>
    <mergeCell ref="D29:R29"/>
    <mergeCell ref="S29:AH29"/>
    <mergeCell ref="AI29:BH29"/>
    <mergeCell ref="BL29:BZ29"/>
    <mergeCell ref="CA30:CP30"/>
    <mergeCell ref="D31:R31"/>
    <mergeCell ref="BL31:BZ31"/>
    <mergeCell ref="CA31:CP31"/>
    <mergeCell ref="BL30:BZ30"/>
    <mergeCell ref="CF113:CR113"/>
    <mergeCell ref="CS113:DB113"/>
    <mergeCell ref="DC113:DR113"/>
    <mergeCell ref="AH116:AR116"/>
    <mergeCell ref="AS116:BE116"/>
    <mergeCell ref="BF116:BR116"/>
    <mergeCell ref="BS116:CE116"/>
    <mergeCell ref="CF116:CR116"/>
    <mergeCell ref="BS117:CE117"/>
    <mergeCell ref="CF117:CR117"/>
    <mergeCell ref="CS117:DB117"/>
    <mergeCell ref="DC117:DR117"/>
    <mergeCell ref="AS115:BE115"/>
    <mergeCell ref="BF115:BR115"/>
    <mergeCell ref="BS115:CE115"/>
    <mergeCell ref="CF115:CR115"/>
    <mergeCell ref="AH115:AR115"/>
    <mergeCell ref="AH113:AR113"/>
    <mergeCell ref="AS113:BE113"/>
    <mergeCell ref="CS116:DB116"/>
    <mergeCell ref="DC116:DR116"/>
    <mergeCell ref="AH117:AR117"/>
    <mergeCell ref="AS117:BE117"/>
    <mergeCell ref="AH130:AR130"/>
    <mergeCell ref="BF131:BR131"/>
    <mergeCell ref="BS131:CE131"/>
    <mergeCell ref="CF131:CR131"/>
    <mergeCell ref="CF132:CR132"/>
    <mergeCell ref="CS132:DB132"/>
    <mergeCell ref="BS130:CE130"/>
    <mergeCell ref="E121:L121"/>
    <mergeCell ref="AS121:BE121"/>
    <mergeCell ref="AH124:AR124"/>
    <mergeCell ref="AS124:BE124"/>
    <mergeCell ref="BF124:BR124"/>
    <mergeCell ref="BS124:CE124"/>
    <mergeCell ref="CF124:CR124"/>
    <mergeCell ref="CS124:DB124"/>
    <mergeCell ref="AH121:AR121"/>
    <mergeCell ref="BS121:CE121"/>
    <mergeCell ref="CF121:CR121"/>
    <mergeCell ref="CS121:DB121"/>
    <mergeCell ref="CS128:DB128"/>
    <mergeCell ref="E132:L132"/>
    <mergeCell ref="AH132:AR132"/>
    <mergeCell ref="M127:AG127"/>
    <mergeCell ref="M128:AG128"/>
    <mergeCell ref="DC121:DR121"/>
    <mergeCell ref="BS120:CE120"/>
    <mergeCell ref="CF120:CR120"/>
    <mergeCell ref="CS120:DB120"/>
    <mergeCell ref="DC120:DR120"/>
    <mergeCell ref="BF121:BR121"/>
    <mergeCell ref="BZ155:CF155"/>
    <mergeCell ref="BQ156:BY156"/>
    <mergeCell ref="BZ156:CF156"/>
    <mergeCell ref="DC132:DR132"/>
    <mergeCell ref="DC127:DR127"/>
    <mergeCell ref="CF130:CR130"/>
    <mergeCell ref="CS130:DB130"/>
    <mergeCell ref="CO146:DR147"/>
    <mergeCell ref="D146:CM147"/>
    <mergeCell ref="AS132:BE132"/>
    <mergeCell ref="AS130:BE130"/>
    <mergeCell ref="DC130:DR130"/>
    <mergeCell ref="CS131:DB131"/>
    <mergeCell ref="DC131:DR131"/>
    <mergeCell ref="CF127:CR127"/>
    <mergeCell ref="CS127:DB127"/>
    <mergeCell ref="CF128:CR128"/>
    <mergeCell ref="CF129:CR129"/>
    <mergeCell ref="DC128:DR128"/>
    <mergeCell ref="DC129:DR129"/>
    <mergeCell ref="D153:H153"/>
    <mergeCell ref="I153:AB153"/>
    <mergeCell ref="AS126:BE126"/>
    <mergeCell ref="BF128:BR128"/>
    <mergeCell ref="M132:AG132"/>
    <mergeCell ref="M130:AG130"/>
    <mergeCell ref="E127:L127"/>
    <mergeCell ref="E128:L128"/>
    <mergeCell ref="E129:L129"/>
    <mergeCell ref="E130:L130"/>
    <mergeCell ref="H137:DR139"/>
    <mergeCell ref="AH126:AR126"/>
    <mergeCell ref="AH128:AR128"/>
    <mergeCell ref="D137:F139"/>
    <mergeCell ref="AH127:AR127"/>
    <mergeCell ref="AS127:BE127"/>
    <mergeCell ref="BF127:BR127"/>
    <mergeCell ref="BS127:CE127"/>
    <mergeCell ref="AH129:AR129"/>
    <mergeCell ref="AS129:BE129"/>
    <mergeCell ref="BF129:BR129"/>
    <mergeCell ref="BS129:CE129"/>
    <mergeCell ref="BK205:BX205"/>
    <mergeCell ref="D205:P205"/>
    <mergeCell ref="Q205:V205"/>
    <mergeCell ref="BQ151:BY151"/>
    <mergeCell ref="D155:H155"/>
    <mergeCell ref="I155:AB155"/>
    <mergeCell ref="AC155:BP155"/>
    <mergeCell ref="AC153:BP153"/>
    <mergeCell ref="D154:H154"/>
    <mergeCell ref="I154:AB154"/>
    <mergeCell ref="AC154:BP154"/>
    <mergeCell ref="BQ157:BY157"/>
    <mergeCell ref="BQ155:BY155"/>
    <mergeCell ref="BY205:CD205"/>
    <mergeCell ref="AC157:BP157"/>
    <mergeCell ref="D156:H156"/>
    <mergeCell ref="D160:H160"/>
    <mergeCell ref="D161:H161"/>
    <mergeCell ref="D162:H162"/>
    <mergeCell ref="I160:AB160"/>
    <mergeCell ref="I161:AB161"/>
    <mergeCell ref="I162:AB162"/>
    <mergeCell ref="AC160:BP160"/>
    <mergeCell ref="AC161:BP161"/>
    <mergeCell ref="M129:AG129"/>
    <mergeCell ref="AH131:AR131"/>
    <mergeCell ref="AS128:BE128"/>
    <mergeCell ref="M131:AG131"/>
    <mergeCell ref="AS131:BE131"/>
    <mergeCell ref="BF130:BR130"/>
    <mergeCell ref="BS128:CE128"/>
    <mergeCell ref="E131:L131"/>
    <mergeCell ref="AC171:BP171"/>
    <mergeCell ref="BZ154:CF154"/>
    <mergeCell ref="BZ170:CF170"/>
    <mergeCell ref="I156:AB156"/>
    <mergeCell ref="AC156:BP156"/>
    <mergeCell ref="D168:H168"/>
    <mergeCell ref="I168:AB168"/>
    <mergeCell ref="AC168:BP168"/>
    <mergeCell ref="D158:H158"/>
    <mergeCell ref="I158:AB158"/>
    <mergeCell ref="AC158:BP158"/>
    <mergeCell ref="D159:H159"/>
    <mergeCell ref="I159:AB159"/>
    <mergeCell ref="AC159:BP159"/>
    <mergeCell ref="D157:H157"/>
    <mergeCell ref="I157:AB157"/>
    <mergeCell ref="W207:AJ207"/>
    <mergeCell ref="W208:AJ208"/>
    <mergeCell ref="AK207:AR207"/>
    <mergeCell ref="BA205:BI205"/>
    <mergeCell ref="BA206:BI206"/>
    <mergeCell ref="AS205:AZ205"/>
    <mergeCell ref="AS206:AZ206"/>
    <mergeCell ref="AK205:AR205"/>
    <mergeCell ref="AK206:AR206"/>
    <mergeCell ref="W206:AJ206"/>
    <mergeCell ref="AS207:AZ207"/>
    <mergeCell ref="W205:AJ205"/>
    <mergeCell ref="AK208:AR208"/>
    <mergeCell ref="AS208:AZ208"/>
    <mergeCell ref="BA208:BI208"/>
    <mergeCell ref="DB219:DR219"/>
    <mergeCell ref="D218:X218"/>
    <mergeCell ref="D219:X219"/>
    <mergeCell ref="D216:X216"/>
    <mergeCell ref="DB210:DI210"/>
    <mergeCell ref="DJ210:DR210"/>
    <mergeCell ref="C212:AR212"/>
    <mergeCell ref="W209:AJ209"/>
    <mergeCell ref="W210:AJ210"/>
    <mergeCell ref="D217:X217"/>
    <mergeCell ref="CO218:DA218"/>
    <mergeCell ref="CT210:DA210"/>
    <mergeCell ref="DM214:DR214"/>
    <mergeCell ref="CV214:DL214"/>
    <mergeCell ref="DB216:DR216"/>
    <mergeCell ref="CO216:DA216"/>
    <mergeCell ref="CO217:DA217"/>
    <mergeCell ref="DB217:DR217"/>
    <mergeCell ref="CE210:CS210"/>
    <mergeCell ref="AS210:AZ210"/>
    <mergeCell ref="BA210:BI210"/>
    <mergeCell ref="AS209:AZ209"/>
    <mergeCell ref="BA209:BI209"/>
    <mergeCell ref="Q210:V210"/>
    <mergeCell ref="BK210:BX210"/>
    <mergeCell ref="BK209:BX209"/>
    <mergeCell ref="D210:P210"/>
    <mergeCell ref="D224:X224"/>
    <mergeCell ref="Y219:CN219"/>
    <mergeCell ref="CE209:CS209"/>
    <mergeCell ref="AK210:AR210"/>
    <mergeCell ref="CO219:DA219"/>
    <mergeCell ref="D225:X225"/>
    <mergeCell ref="BY210:CD210"/>
    <mergeCell ref="AK209:AR209"/>
    <mergeCell ref="D209:P209"/>
    <mergeCell ref="Q209:V209"/>
    <mergeCell ref="D226:X226"/>
    <mergeCell ref="Y223:CN223"/>
    <mergeCell ref="Y224:CN224"/>
    <mergeCell ref="S214:X214"/>
    <mergeCell ref="S221:X221"/>
    <mergeCell ref="D223:X223"/>
    <mergeCell ref="C214:R214"/>
    <mergeCell ref="C221:R221"/>
    <mergeCell ref="Y218:CN218"/>
    <mergeCell ref="Y214:Z214"/>
    <mergeCell ref="Y216:CN216"/>
    <mergeCell ref="Y217:CN217"/>
    <mergeCell ref="Y226:CN226"/>
    <mergeCell ref="BK206:BX206"/>
    <mergeCell ref="CT207:DA207"/>
    <mergeCell ref="DB207:DI207"/>
    <mergeCell ref="DJ207:DR207"/>
    <mergeCell ref="CE208:CS208"/>
    <mergeCell ref="CT208:DA208"/>
    <mergeCell ref="DB208:DI208"/>
    <mergeCell ref="DJ208:DR208"/>
    <mergeCell ref="BY207:CD207"/>
    <mergeCell ref="BK207:BX207"/>
    <mergeCell ref="BY206:CD206"/>
    <mergeCell ref="CE206:CS206"/>
    <mergeCell ref="D206:P206"/>
    <mergeCell ref="D207:P207"/>
    <mergeCell ref="D208:P208"/>
    <mergeCell ref="Q206:V206"/>
    <mergeCell ref="Q207:V207"/>
    <mergeCell ref="Q208:V208"/>
    <mergeCell ref="CK9:DR9"/>
    <mergeCell ref="D103:F106"/>
    <mergeCell ref="AV45:CG45"/>
    <mergeCell ref="B64:AO65"/>
    <mergeCell ref="AS54:AU57"/>
    <mergeCell ref="AV54:CG54"/>
    <mergeCell ref="CH54:DR54"/>
    <mergeCell ref="N9:Z9"/>
    <mergeCell ref="AF9:AQ9"/>
    <mergeCell ref="AR9:BD9"/>
    <mergeCell ref="BM9:CJ9"/>
    <mergeCell ref="DJ65:DR65"/>
    <mergeCell ref="B35:AR36"/>
    <mergeCell ref="D38:K43"/>
    <mergeCell ref="H87:AR87"/>
    <mergeCell ref="AU87:CE87"/>
    <mergeCell ref="CH87:DR87"/>
    <mergeCell ref="H89:AA89"/>
    <mergeCell ref="AR101:AV101"/>
    <mergeCell ref="D23:R23"/>
    <mergeCell ref="CB101:CF101"/>
    <mergeCell ref="B11:AR12"/>
    <mergeCell ref="DD14:DR14"/>
    <mergeCell ref="DD16:DR16"/>
    <mergeCell ref="D17:M17"/>
    <mergeCell ref="N17:AH17"/>
    <mergeCell ref="BC17:BU17"/>
    <mergeCell ref="D50:W50"/>
    <mergeCell ref="AH50:AO50"/>
    <mergeCell ref="AD91:AR92"/>
    <mergeCell ref="AU91:BG92"/>
    <mergeCell ref="BQ91:CE92"/>
    <mergeCell ref="BQ89:BT89"/>
    <mergeCell ref="S31:AH31"/>
    <mergeCell ref="AI31:BH31"/>
    <mergeCell ref="AV47:CG47"/>
    <mergeCell ref="L38:BJ43"/>
    <mergeCell ref="D14:M14"/>
    <mergeCell ref="CQ24:DR24"/>
    <mergeCell ref="CQ28:DR28"/>
    <mergeCell ref="CQ29:DR29"/>
    <mergeCell ref="D26:DP26"/>
    <mergeCell ref="CZ109:DB109"/>
    <mergeCell ref="CS115:DB115"/>
    <mergeCell ref="DC115:DR115"/>
    <mergeCell ref="D77:J79"/>
    <mergeCell ref="D80:J82"/>
    <mergeCell ref="DX2:EE2"/>
    <mergeCell ref="C4:I4"/>
    <mergeCell ref="J4:V4"/>
    <mergeCell ref="AA4:AH4"/>
    <mergeCell ref="AI4:AU4"/>
    <mergeCell ref="AZ4:BI4"/>
    <mergeCell ref="BJ4:BV4"/>
    <mergeCell ref="C7:M7"/>
    <mergeCell ref="N7:Z7"/>
    <mergeCell ref="AF7:AQ7"/>
    <mergeCell ref="AR7:BD7"/>
    <mergeCell ref="CG2:DT2"/>
    <mergeCell ref="R2:CF2"/>
    <mergeCell ref="CK7:DR7"/>
    <mergeCell ref="BM7:CJ7"/>
    <mergeCell ref="DD17:DR17"/>
    <mergeCell ref="CH47:DR47"/>
    <mergeCell ref="CB78:CE78"/>
    <mergeCell ref="CF78:CP78"/>
    <mergeCell ref="AM14:BB14"/>
    <mergeCell ref="N14:AH14"/>
    <mergeCell ref="BC14:BU14"/>
    <mergeCell ref="B20:AD21"/>
    <mergeCell ref="AM17:BB17"/>
    <mergeCell ref="D22:BH22"/>
    <mergeCell ref="BL38:BS43"/>
    <mergeCell ref="BT38:DR43"/>
    <mergeCell ref="D45:U45"/>
    <mergeCell ref="V45:AO46"/>
    <mergeCell ref="CH46:DR46"/>
    <mergeCell ref="BL22:DP22"/>
    <mergeCell ref="D24:R24"/>
    <mergeCell ref="S24:AH24"/>
    <mergeCell ref="AI24:BH24"/>
    <mergeCell ref="BL24:BZ24"/>
    <mergeCell ref="BK23:BY23"/>
    <mergeCell ref="CA29:CP29"/>
    <mergeCell ref="CQ32:DR32"/>
    <mergeCell ref="D30:R30"/>
    <mergeCell ref="S30:AH30"/>
    <mergeCell ref="AI30:BH30"/>
    <mergeCell ref="D28:R28"/>
    <mergeCell ref="S28:AH28"/>
    <mergeCell ref="CH45:DR45"/>
    <mergeCell ref="AS46:AU49"/>
    <mergeCell ref="AV46:CG46"/>
    <mergeCell ref="AD238:AH238"/>
    <mergeCell ref="Y236:AU236"/>
    <mergeCell ref="Y237:AU237"/>
    <mergeCell ref="Y233:AU233"/>
    <mergeCell ref="Y234:AU234"/>
    <mergeCell ref="Y235:AU235"/>
    <mergeCell ref="BW233:DR233"/>
    <mergeCell ref="BW234:DR234"/>
    <mergeCell ref="BW235:DR235"/>
    <mergeCell ref="BW236:DR236"/>
    <mergeCell ref="BW237:DR237"/>
    <mergeCell ref="DJ230:DR230"/>
    <mergeCell ref="CO223:DA223"/>
    <mergeCell ref="DB223:DR223"/>
    <mergeCell ref="CO224:DA224"/>
    <mergeCell ref="DB224:DR224"/>
    <mergeCell ref="Y225:CN225"/>
    <mergeCell ref="CO225:DA225"/>
    <mergeCell ref="CH50:DR50"/>
    <mergeCell ref="M58:AO58"/>
    <mergeCell ref="H103:DR106"/>
    <mergeCell ref="D234:X234"/>
    <mergeCell ref="D235:X235"/>
    <mergeCell ref="D236:X236"/>
    <mergeCell ref="D237:X237"/>
    <mergeCell ref="D233:X233"/>
    <mergeCell ref="AV234:BI234"/>
    <mergeCell ref="AV235:BI235"/>
    <mergeCell ref="AV236:BI236"/>
    <mergeCell ref="AV237:BI237"/>
    <mergeCell ref="AV233:BV233"/>
    <mergeCell ref="BJ234:BV234"/>
    <mergeCell ref="BJ235:BV235"/>
    <mergeCell ref="BJ236:BV236"/>
    <mergeCell ref="BJ237:BV237"/>
    <mergeCell ref="L101:P101"/>
    <mergeCell ref="CH94:DB95"/>
    <mergeCell ref="BB72:BJ72"/>
    <mergeCell ref="AR72:BA72"/>
    <mergeCell ref="CH56:DR56"/>
    <mergeCell ref="AV57:CG57"/>
    <mergeCell ref="CH57:DR57"/>
    <mergeCell ref="AS58:AU61"/>
    <mergeCell ref="AV58:CG58"/>
    <mergeCell ref="CH58:DR58"/>
    <mergeCell ref="AV59:CG59"/>
    <mergeCell ref="CH59:DR59"/>
    <mergeCell ref="AV60:CG60"/>
    <mergeCell ref="CH60:DR60"/>
    <mergeCell ref="AV61:CG61"/>
    <mergeCell ref="CH61:DR61"/>
    <mergeCell ref="H94:V95"/>
    <mergeCell ref="AD94:AR95"/>
    <mergeCell ref="AU94:BK95"/>
    <mergeCell ref="BQ94:CE95"/>
    <mergeCell ref="H91:U92"/>
    <mergeCell ref="D83:J85"/>
    <mergeCell ref="D87:E99"/>
    <mergeCell ref="L81:R81"/>
    <mergeCell ref="M56:AO56"/>
    <mergeCell ref="M57:AO57"/>
    <mergeCell ref="M61:P61"/>
    <mergeCell ref="D55:L55"/>
    <mergeCell ref="H97:Z97"/>
    <mergeCell ref="CH97:CZ97"/>
    <mergeCell ref="DD97:DR97"/>
    <mergeCell ref="AD97:AR99"/>
    <mergeCell ref="DP89:DR89"/>
    <mergeCell ref="CH91:CT92"/>
    <mergeCell ref="BQ97:CE99"/>
    <mergeCell ref="D70:DR70"/>
    <mergeCell ref="AR68:AZ68"/>
    <mergeCell ref="BM78:CA78"/>
    <mergeCell ref="BM79:CA79"/>
    <mergeCell ref="L82:R82"/>
    <mergeCell ref="L83:R83"/>
    <mergeCell ref="L84:R84"/>
    <mergeCell ref="L85:R85"/>
    <mergeCell ref="BC77:BK77"/>
    <mergeCell ref="AV77:BB77"/>
    <mergeCell ref="AO77:AU77"/>
    <mergeCell ref="AD89:AG89"/>
    <mergeCell ref="DD89:DG89"/>
    <mergeCell ref="CH49:DR49"/>
    <mergeCell ref="DD94:DR95"/>
    <mergeCell ref="DD99:DR99"/>
    <mergeCell ref="BF132:BR132"/>
    <mergeCell ref="BS132:CE132"/>
    <mergeCell ref="CH51:DR51"/>
    <mergeCell ref="AV52:CG52"/>
    <mergeCell ref="CH52:DR52"/>
    <mergeCell ref="CH53:DR53"/>
    <mergeCell ref="DD91:DR92"/>
    <mergeCell ref="BY65:CK65"/>
    <mergeCell ref="AV55:CG55"/>
    <mergeCell ref="CH55:DR55"/>
    <mergeCell ref="AV56:CG56"/>
    <mergeCell ref="BF113:BR113"/>
    <mergeCell ref="BS113:CE113"/>
    <mergeCell ref="BF126:BR126"/>
    <mergeCell ref="BS126:CE126"/>
    <mergeCell ref="CF126:CR126"/>
    <mergeCell ref="CS126:DB126"/>
    <mergeCell ref="DC126:DR126"/>
    <mergeCell ref="BF117:BR117"/>
    <mergeCell ref="BF119:BR119"/>
    <mergeCell ref="CH109:CJ109"/>
    <mergeCell ref="BG230:CY230"/>
    <mergeCell ref="CO226:DA226"/>
    <mergeCell ref="DB226:DR226"/>
    <mergeCell ref="CZ200:DB200"/>
    <mergeCell ref="BX200:CL200"/>
    <mergeCell ref="BR200:BW200"/>
    <mergeCell ref="DJ200:DR200"/>
    <mergeCell ref="DB206:DI206"/>
    <mergeCell ref="BA207:BI207"/>
    <mergeCell ref="CT205:DA205"/>
    <mergeCell ref="CE205:CS205"/>
    <mergeCell ref="BY209:CD209"/>
    <mergeCell ref="DJ209:DR209"/>
    <mergeCell ref="BK208:BX208"/>
    <mergeCell ref="DB225:DR225"/>
    <mergeCell ref="CT209:DA209"/>
    <mergeCell ref="DB209:DI209"/>
    <mergeCell ref="DB218:DR218"/>
    <mergeCell ref="DJ205:DR205"/>
    <mergeCell ref="BY208:CD208"/>
    <mergeCell ref="DB205:DI205"/>
    <mergeCell ref="CE207:CS207"/>
    <mergeCell ref="CT206:DA206"/>
    <mergeCell ref="DJ206:DR206"/>
    <mergeCell ref="DD159:DG159"/>
    <mergeCell ref="DD166:DG166"/>
    <mergeCell ref="CS129:DB129"/>
    <mergeCell ref="CO168:DC168"/>
    <mergeCell ref="CO169:DC169"/>
    <mergeCell ref="CO170:DC170"/>
    <mergeCell ref="D166:H166"/>
    <mergeCell ref="I166:AB166"/>
    <mergeCell ref="AC166:BP166"/>
    <mergeCell ref="D167:H167"/>
    <mergeCell ref="I167:AB167"/>
    <mergeCell ref="AC167:BP167"/>
    <mergeCell ref="AC169:BP169"/>
    <mergeCell ref="D170:H170"/>
    <mergeCell ref="I170:AB170"/>
    <mergeCell ref="AC170:BP170"/>
    <mergeCell ref="CO166:DC166"/>
    <mergeCell ref="CO167:DC167"/>
    <mergeCell ref="BQ167:BY167"/>
    <mergeCell ref="BZ167:CF167"/>
    <mergeCell ref="CG167:CM167"/>
    <mergeCell ref="BQ168:BY168"/>
    <mergeCell ref="BZ168:CF168"/>
    <mergeCell ref="CG168:CM168"/>
    <mergeCell ref="DI151:DR151"/>
    <mergeCell ref="DH153:DR153"/>
    <mergeCell ref="DH154:DR154"/>
    <mergeCell ref="CO153:DC153"/>
    <mergeCell ref="CG155:CM155"/>
    <mergeCell ref="CG156:CM156"/>
    <mergeCell ref="CG158:CM158"/>
    <mergeCell ref="CO155:DC155"/>
    <mergeCell ref="CG153:CM153"/>
    <mergeCell ref="CO154:DC154"/>
    <mergeCell ref="CG157:CM157"/>
    <mergeCell ref="DD153:DG153"/>
    <mergeCell ref="DD154:DG154"/>
    <mergeCell ref="DD151:DG151"/>
    <mergeCell ref="CG151:CM151"/>
    <mergeCell ref="DD158:DG158"/>
    <mergeCell ref="CO156:DC156"/>
    <mergeCell ref="CO159:DC159"/>
    <mergeCell ref="CO157:DC157"/>
    <mergeCell ref="CO158:DC158"/>
    <mergeCell ref="CG159:CM159"/>
    <mergeCell ref="CG166:CM166"/>
    <mergeCell ref="CG154:CM154"/>
    <mergeCell ref="CO151:CZ151"/>
    <mergeCell ref="BQ166:BY166"/>
    <mergeCell ref="BZ166:CF166"/>
    <mergeCell ref="BQ158:BY158"/>
    <mergeCell ref="BZ158:CF158"/>
    <mergeCell ref="BQ159:BY159"/>
    <mergeCell ref="BZ159:CF159"/>
    <mergeCell ref="BZ157:CF157"/>
    <mergeCell ref="BQ153:BY153"/>
    <mergeCell ref="BZ151:CF151"/>
    <mergeCell ref="BQ154:BY154"/>
    <mergeCell ref="BZ153:CF153"/>
    <mergeCell ref="CO160:DC160"/>
    <mergeCell ref="CO161:DC161"/>
    <mergeCell ref="CO162:DC162"/>
    <mergeCell ref="D172:H172"/>
    <mergeCell ref="I172:AB172"/>
    <mergeCell ref="AC172:BP172"/>
    <mergeCell ref="D169:H169"/>
    <mergeCell ref="I169:AB169"/>
    <mergeCell ref="DD171:DG171"/>
    <mergeCell ref="DD172:DG172"/>
    <mergeCell ref="BQ172:BY172"/>
    <mergeCell ref="BZ172:CF172"/>
    <mergeCell ref="CO172:DC172"/>
    <mergeCell ref="CG170:CM170"/>
    <mergeCell ref="BQ171:BY171"/>
    <mergeCell ref="CG172:CM172"/>
    <mergeCell ref="BQ169:BY169"/>
    <mergeCell ref="BZ169:CF169"/>
    <mergeCell ref="CG169:CM169"/>
    <mergeCell ref="BZ171:CF171"/>
    <mergeCell ref="CG171:CM171"/>
    <mergeCell ref="D171:H171"/>
    <mergeCell ref="I171:AB171"/>
    <mergeCell ref="CO171:DC171"/>
    <mergeCell ref="BQ170:BY170"/>
    <mergeCell ref="CD23:CX23"/>
    <mergeCell ref="BY68:CK68"/>
    <mergeCell ref="AJ72:AP72"/>
    <mergeCell ref="AJ68:AP68"/>
    <mergeCell ref="BA68:BJ68"/>
    <mergeCell ref="AC151:BO151"/>
    <mergeCell ref="D151:AB151"/>
    <mergeCell ref="DH172:DR172"/>
    <mergeCell ref="DD167:DG167"/>
    <mergeCell ref="DD168:DG168"/>
    <mergeCell ref="DD169:DG169"/>
    <mergeCell ref="DD170:DG170"/>
    <mergeCell ref="DH155:DR155"/>
    <mergeCell ref="DH156:DR156"/>
    <mergeCell ref="DH157:DR157"/>
    <mergeCell ref="DH158:DR158"/>
    <mergeCell ref="DH159:DR159"/>
    <mergeCell ref="DH166:DR166"/>
    <mergeCell ref="DH167:DR167"/>
    <mergeCell ref="DH168:DR168"/>
    <mergeCell ref="DH169:DR169"/>
    <mergeCell ref="DD155:DG155"/>
    <mergeCell ref="DD156:DG156"/>
    <mergeCell ref="DD157:DG157"/>
  </mergeCells>
  <phoneticPr fontId="198" type="noConversion"/>
  <conditionalFormatting sqref="I101:DS101">
    <cfRule type="expression" dxfId="1891" priority="148">
      <formula>IF(AND(#REF!="X",#REF!="X",#REF!="X"),1,0)</formula>
    </cfRule>
  </conditionalFormatting>
  <conditionalFormatting sqref="AR54">
    <cfRule type="expression" dxfId="1890" priority="216">
      <formula>IF($GN$55=INDIRECT(#REF!&amp;"!C125"),1,0)</formula>
    </cfRule>
  </conditionalFormatting>
  <conditionalFormatting sqref="DS103:DS107">
    <cfRule type="expression" dxfId="1889" priority="119">
      <formula>IF(AND(#REF!="X",#REF!="X",#REF!="X"),1,0)</formula>
    </cfRule>
  </conditionalFormatting>
  <conditionalFormatting sqref="BB72:CI72">
    <cfRule type="expression" dxfId="1888" priority="117">
      <formula>IF($AJ$72=INDIRECT($J$4&amp;"!C42"),1,0)</formula>
    </cfRule>
  </conditionalFormatting>
  <conditionalFormatting sqref="AS115:AS124 BF115:BF124 BS115:BS124 CF115:CF124 CS115:CS124 DC115:DC124">
    <cfRule type="cellIs" dxfId="1887" priority="113" operator="equal">
      <formula>0</formula>
    </cfRule>
  </conditionalFormatting>
  <conditionalFormatting sqref="H94 H91:U92 H97:Z97 AD94 AD91 BQ97 AD97">
    <cfRule type="expression" dxfId="1886" priority="107">
      <formula>IF($AD$93=INDIRECT($J$4&amp;"!C42"),1,0)</formula>
    </cfRule>
  </conditionalFormatting>
  <conditionalFormatting sqref="AU94 AU91:BG92 BQ94 AU97:BD97 BQ91 BI97">
    <cfRule type="expression" dxfId="1885" priority="106">
      <formula>IF($BQ$93=INDIRECT($J$4&amp;"!C42"),1,0)</formula>
    </cfRule>
  </conditionalFormatting>
  <conditionalFormatting sqref="CH91:CT92 CH94 DD94 CH97:CZ97 DD91 DD97 DB97 CG98">
    <cfRule type="expression" dxfId="1884" priority="105">
      <formula>IF($DD$93=INDIRECT($J$4&amp;"!C42"),1,0)</formula>
    </cfRule>
  </conditionalFormatting>
  <conditionalFormatting sqref="R61:AO61">
    <cfRule type="expression" dxfId="1883" priority="93">
      <formula>IF($M$61=INDIRECT($J$4&amp;"!C42"),1,0)</formula>
    </cfRule>
  </conditionalFormatting>
  <conditionalFormatting sqref="R60:AO60">
    <cfRule type="expression" dxfId="1882" priority="92">
      <formula>IF($M$61=INDIRECT($J$4&amp;"!C42"),1,0)</formula>
    </cfRule>
  </conditionalFormatting>
  <conditionalFormatting sqref="AS126:AS135 BF126:BF135 BS126:BS135 CF126:CF135">
    <cfRule type="cellIs" dxfId="1881" priority="58" operator="equal">
      <formula>0</formula>
    </cfRule>
  </conditionalFormatting>
  <conditionalFormatting sqref="CS126:CS135 DC126:DC135">
    <cfRule type="cellIs" dxfId="1880" priority="57" operator="equal">
      <formula>0</formula>
    </cfRule>
  </conditionalFormatting>
  <conditionalFormatting sqref="CB77:CB85 DD153:DD162 DD166:DD175">
    <cfRule type="expression" dxfId="1879" priority="46">
      <formula>IF($BF$50=INDIRECT($O$4&amp;"!C42"),1,0)</formula>
    </cfRule>
  </conditionalFormatting>
  <conditionalFormatting sqref="AR68:CK68">
    <cfRule type="expression" dxfId="1878" priority="11">
      <formula>IF($AJ$68=INDIRECT($J$4&amp;"!C42"),1,0)</formula>
    </cfRule>
  </conditionalFormatting>
  <dataValidations disablePrompts="1" count="2">
    <dataValidation allowBlank="1" sqref="DA65:DC65 DD16:DS16 AH68:AJ68"/>
    <dataValidation type="list" allowBlank="1" showInputMessage="1" showErrorMessage="1" sqref="J4:V4">
      <formula1>Sprachen</formula1>
    </dataValidation>
  </dataValidations>
  <hyperlinks>
    <hyperlink ref="CV214" r:id="rId2"/>
  </hyperlinks>
  <pageMargins left="0.7" right="0.7" top="0.3046875" bottom="0.78740157499999996" header="0.3" footer="0.3"/>
  <pageSetup paperSize="9" scale="28" fitToHeight="0" orientation="portrait" r:id="rId3"/>
  <rowBreaks count="2" manualBreakCount="2">
    <brk id="108" max="124" man="1"/>
    <brk id="240" max="126" man="1"/>
  </rowBreaks>
  <ignoredErrors>
    <ignoredError sqref="N7 N9 AR7 AR9" emptyCellReference="1"/>
  </ignoredErrors>
  <drawing r:id="rId4"/>
  <legacyDrawing r:id="rId5"/>
  <extLst>
    <ext xmlns:x14="http://schemas.microsoft.com/office/spreadsheetml/2009/9/main" uri="{78C0D931-6437-407d-A8EE-F0AAD7539E65}">
      <x14:conditionalFormattings>
        <x14:conditionalFormatting xmlns:xm="http://schemas.microsoft.com/office/excel/2006/main">
          <x14:cfRule type="expression" priority="121" id="{12DCB254-EAF2-41D9-B2E2-48D9498033BA}">
            <xm:f>IF($D$14=DropDown!$N$9,1,0)</xm:f>
            <x14:dxf>
              <font>
                <color theme="0"/>
              </font>
              <fill>
                <patternFill>
                  <bgColor theme="0"/>
                </patternFill>
              </fill>
              <border>
                <left/>
                <right/>
                <top/>
                <bottom/>
                <vertical/>
                <horizontal/>
              </border>
            </x14:dxf>
          </x14:cfRule>
          <xm:sqref>C17:D18 BC17:BV18 N17:AM18</xm:sqref>
        </x14:conditionalFormatting>
        <x14:conditionalFormatting xmlns:xm="http://schemas.microsoft.com/office/excel/2006/main">
          <x14:cfRule type="expression" priority="98" id="{55B71716-0BBF-4E78-9CF4-4FF1B4D7053C}">
            <xm:f>IF($D$14=DropDown!$N$10,1,0)</xm:f>
            <x14:dxf>
              <font>
                <color theme="0"/>
              </font>
              <border>
                <left/>
                <right/>
                <top/>
                <bottom/>
                <vertical/>
                <horizontal/>
              </border>
            </x14:dxf>
          </x14:cfRule>
          <xm:sqref>D16:BU17</xm:sqref>
        </x14:conditionalFormatting>
        <x14:conditionalFormatting xmlns:xm="http://schemas.microsoft.com/office/excel/2006/main">
          <x14:cfRule type="expression" priority="95" id="{C73E78FA-93DF-407E-8AF5-176257F12B0B}">
            <xm:f>IF($D$14=DropDown!$N$10,1,0)</xm:f>
            <x14:dxf>
              <font>
                <color theme="1"/>
              </font>
            </x14:dxf>
          </x14:cfRule>
          <xm:sqref>BM7:CJ7</xm:sqref>
        </x14:conditionalFormatting>
        <x14:conditionalFormatting xmlns:xm="http://schemas.microsoft.com/office/excel/2006/main">
          <x14:cfRule type="expression" priority="94" id="{3A01141B-5ADD-4FD9-8DCF-5857A08AB290}">
            <xm:f>IF($D$14=DropDown!$N$10,1,0)</xm:f>
            <x14:dxf>
              <border>
                <left style="thin">
                  <color auto="1"/>
                </left>
                <right style="thin">
                  <color auto="1"/>
                </right>
                <top style="thin">
                  <color auto="1"/>
                </top>
                <bottom style="thin">
                  <color auto="1"/>
                </bottom>
                <vertical/>
                <horizontal/>
              </border>
            </x14:dxf>
          </x14:cfRule>
          <xm:sqref>CK7:DR7</xm:sqref>
        </x14:conditionalFormatting>
        <x14:conditionalFormatting xmlns:xm="http://schemas.microsoft.com/office/excel/2006/main">
          <x14:cfRule type="expression" priority="53" id="{6C2B4186-ED69-4F48-9D65-C52AF0743EDC}">
            <xm:f>IF('D1-D2-D3'!$DD$16:$DR$16=DropDown!$N$12,1,0)</xm:f>
            <x14:dxf>
              <font>
                <color theme="0" tint="-4.9989318521683403E-2"/>
              </font>
              <fill>
                <patternFill>
                  <bgColor theme="0" tint="-4.9989318521683403E-2"/>
                </patternFill>
              </fill>
            </x14:dxf>
          </x14:cfRule>
          <xm:sqref>D234:DR234</xm:sqref>
        </x14:conditionalFormatting>
        <x14:conditionalFormatting xmlns:xm="http://schemas.microsoft.com/office/excel/2006/main">
          <x14:cfRule type="containsText" priority="42" operator="containsText" id="{4E533CA3-D720-477A-BD97-DC508E0EA0E2}">
            <xm:f>NOT(ISERROR(SEARCH("ALARP",CB77)))</xm:f>
            <xm:f>"ALARP"</xm:f>
            <x14:dxf>
              <font>
                <color auto="1"/>
              </font>
              <fill>
                <patternFill>
                  <bgColor rgb="FFFFFF00"/>
                </patternFill>
              </fill>
            </x14:dxf>
          </x14:cfRule>
          <x14:cfRule type="containsText" priority="43" operator="containsText" id="{BDEAD4CD-57A1-4938-AC4C-F8BACB4FDB37}">
            <xm:f>NOT(ISERROR(SEARCH("mid",CB77)))</xm:f>
            <xm:f>"mid"</xm:f>
            <x14:dxf>
              <font>
                <color auto="1"/>
              </font>
              <fill>
                <patternFill>
                  <bgColor rgb="FFFFC000"/>
                </patternFill>
              </fill>
            </x14:dxf>
          </x14:cfRule>
          <x14:cfRule type="containsText" priority="44" operator="containsText" id="{3DB29A51-AAA1-4E91-A5B3-6525025BDC97}">
            <xm:f>NOT(ISERROR(SEARCH("low",CB77)))</xm:f>
            <xm:f>"low"</xm:f>
            <x14:dxf>
              <font>
                <color theme="1"/>
              </font>
              <fill>
                <patternFill>
                  <bgColor rgb="FF00B050"/>
                </patternFill>
              </fill>
            </x14:dxf>
          </x14:cfRule>
          <x14:cfRule type="containsText" priority="45" operator="containsText" id="{67E653F4-3D2A-430F-9CA3-79DBCD76A5E6}">
            <xm:f>NOT(ISERROR(SEARCH("high",CB77)))</xm:f>
            <xm:f>"high"</xm:f>
            <x14:dxf>
              <font>
                <color auto="1"/>
              </font>
              <fill>
                <patternFill>
                  <bgColor rgb="FFFF0000"/>
                </patternFill>
              </fill>
            </x14:dxf>
          </x14:cfRule>
          <xm:sqref>CB77:CB85</xm:sqref>
        </x14:conditionalFormatting>
        <x14:conditionalFormatting xmlns:xm="http://schemas.microsoft.com/office/excel/2006/main">
          <x14:cfRule type="containsText" priority="32" operator="containsText" id="{8BE64A4C-65F7-4720-AB32-9B0C7CEB73D2}">
            <xm:f>NOT(ISERROR(SEARCH("ALARP",DD153)))</xm:f>
            <xm:f>"ALARP"</xm:f>
            <x14:dxf>
              <font>
                <color auto="1"/>
              </font>
              <fill>
                <patternFill>
                  <bgColor rgb="FFFFFF00"/>
                </patternFill>
              </fill>
            </x14:dxf>
          </x14:cfRule>
          <x14:cfRule type="containsText" priority="33" operator="containsText" id="{AAB9EA8E-BD46-40E6-B48A-FAA97FBCD771}">
            <xm:f>NOT(ISERROR(SEARCH("mid",DD153)))</xm:f>
            <xm:f>"mid"</xm:f>
            <x14:dxf>
              <font>
                <color auto="1"/>
              </font>
              <fill>
                <patternFill>
                  <bgColor rgb="FFFFC000"/>
                </patternFill>
              </fill>
            </x14:dxf>
          </x14:cfRule>
          <x14:cfRule type="containsText" priority="34" operator="containsText" id="{CA1F86D3-E4CD-474B-AA52-F6541496B81A}">
            <xm:f>NOT(ISERROR(SEARCH("low",DD153)))</xm:f>
            <xm:f>"low"</xm:f>
            <x14:dxf>
              <font>
                <color theme="1"/>
              </font>
              <fill>
                <patternFill>
                  <bgColor rgb="FF00B050"/>
                </patternFill>
              </fill>
            </x14:dxf>
          </x14:cfRule>
          <x14:cfRule type="containsText" priority="35" operator="containsText" id="{8C7A03D9-1076-40C6-9A15-6AF3D8281D4E}">
            <xm:f>NOT(ISERROR(SEARCH("high",DD153)))</xm:f>
            <xm:f>"high"</xm:f>
            <x14:dxf>
              <font>
                <color auto="1"/>
              </font>
              <fill>
                <patternFill>
                  <bgColor rgb="FFFF0000"/>
                </patternFill>
              </fill>
            </x14:dxf>
          </x14:cfRule>
          <xm:sqref>DD153:DG162</xm:sqref>
        </x14:conditionalFormatting>
        <x14:conditionalFormatting xmlns:xm="http://schemas.microsoft.com/office/excel/2006/main">
          <x14:cfRule type="containsText" priority="22" operator="containsText" id="{B1CB29E0-C43B-463B-86CF-1A773E1252BF}">
            <xm:f>NOT(ISERROR(SEARCH("ALARP",DD166)))</xm:f>
            <xm:f>"ALARP"</xm:f>
            <x14:dxf>
              <font>
                <color auto="1"/>
              </font>
              <fill>
                <patternFill>
                  <bgColor rgb="FFFFFF00"/>
                </patternFill>
              </fill>
            </x14:dxf>
          </x14:cfRule>
          <x14:cfRule type="containsText" priority="23" operator="containsText" id="{7B621779-5B61-44B5-8474-A409911C760B}">
            <xm:f>NOT(ISERROR(SEARCH("mid",DD166)))</xm:f>
            <xm:f>"mid"</xm:f>
            <x14:dxf>
              <font>
                <color auto="1"/>
              </font>
              <fill>
                <patternFill>
                  <bgColor rgb="FFFFC000"/>
                </patternFill>
              </fill>
            </x14:dxf>
          </x14:cfRule>
          <x14:cfRule type="containsText" priority="24" operator="containsText" id="{6C1640B0-729A-4441-9D41-F5362AF46AF7}">
            <xm:f>NOT(ISERROR(SEARCH("low",DD166)))</xm:f>
            <xm:f>"low"</xm:f>
            <x14:dxf>
              <font>
                <color theme="1"/>
              </font>
              <fill>
                <patternFill>
                  <bgColor rgb="FF00B050"/>
                </patternFill>
              </fill>
            </x14:dxf>
          </x14:cfRule>
          <x14:cfRule type="containsText" priority="25" operator="containsText" id="{63D51AAB-817A-45AB-9099-3B0895B21A18}">
            <xm:f>NOT(ISERROR(SEARCH("high",DD166)))</xm:f>
            <xm:f>"high"</xm:f>
            <x14:dxf>
              <font>
                <color auto="1"/>
              </font>
              <fill>
                <patternFill>
                  <bgColor rgb="FFFF0000"/>
                </patternFill>
              </fill>
            </x14:dxf>
          </x14:cfRule>
          <xm:sqref>DD166:DG175</xm:sqref>
        </x14:conditionalFormatting>
        <x14:conditionalFormatting xmlns:xm="http://schemas.microsoft.com/office/excel/2006/main">
          <x14:cfRule type="expression" priority="1" id="{39AB8BD4-1F7D-4C8D-A28C-D01159F7FAC7}">
            <xm:f>IF($S$214=INDIRECT('D1-D2-D3'!$J$4&amp;"!C42"),1,0)</xm:f>
            <x14:dxf>
              <font>
                <color theme="0"/>
              </font>
              <border>
                <left/>
                <right/>
                <top/>
                <bottom/>
                <vertical/>
                <horizontal/>
              </border>
            </x14:dxf>
          </x14:cfRule>
          <xm:sqref>BW214:DR214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DropDown!$H$2:$H$3</xm:f>
          </x14:formula1>
          <xm:sqref>CZ109:DB109 CH109:CJ109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EY240"/>
  <sheetViews>
    <sheetView view="pageBreakPreview" zoomScale="55" zoomScaleNormal="50" zoomScaleSheetLayoutView="55" zoomScalePageLayoutView="40" workbookViewId="0">
      <selection activeCell="R2" sqref="R2:CF2"/>
    </sheetView>
  </sheetViews>
  <sheetFormatPr defaultColWidth="12.5546875" defaultRowHeight="13.8"/>
  <cols>
    <col min="1" max="1" width="2.109375" style="291" customWidth="1"/>
    <col min="2" max="3" width="2.109375" style="299" customWidth="1"/>
    <col min="4" max="4" width="6.33203125" style="299" customWidth="1"/>
    <col min="5" max="7" width="2.109375" style="299" customWidth="1"/>
    <col min="8" max="8" width="3.6640625" style="299" customWidth="1"/>
    <col min="9" max="21" width="2.109375" style="299" customWidth="1"/>
    <col min="22" max="22" width="3.88671875" style="299" customWidth="1"/>
    <col min="23" max="23" width="2.109375" style="299" customWidth="1"/>
    <col min="24" max="24" width="5.109375" style="299" customWidth="1"/>
    <col min="25" max="34" width="2.109375" style="299" customWidth="1"/>
    <col min="35" max="35" width="9.33203125" style="299" customWidth="1"/>
    <col min="36" max="37" width="2.109375" style="299" customWidth="1"/>
    <col min="38" max="38" width="1.88671875" style="299" customWidth="1"/>
    <col min="39" max="60" width="2.109375" style="299" customWidth="1"/>
    <col min="61" max="61" width="4" style="299" customWidth="1"/>
    <col min="62" max="62" width="1" style="299" customWidth="1"/>
    <col min="63" max="63" width="4.88671875" style="299" customWidth="1"/>
    <col min="64" max="76" width="2.109375" style="299" customWidth="1"/>
    <col min="77" max="77" width="4" style="299" customWidth="1"/>
    <col min="78" max="84" width="2.109375" style="299" customWidth="1"/>
    <col min="85" max="85" width="10.109375" style="299" customWidth="1"/>
    <col min="86" max="87" width="2.109375" style="299" customWidth="1"/>
    <col min="88" max="88" width="3.6640625" style="299" customWidth="1"/>
    <col min="89" max="94" width="2.109375" style="299" customWidth="1"/>
    <col min="95" max="99" width="2.6640625" style="299" customWidth="1"/>
    <col min="100" max="100" width="2.109375" style="299" customWidth="1"/>
    <col min="101" max="106" width="2.6640625" style="299" customWidth="1"/>
    <col min="107" max="107" width="0.6640625" style="299" customWidth="1"/>
    <col min="108" max="113" width="2.6640625" style="299" customWidth="1"/>
    <col min="114" max="116" width="2.44140625" style="299" customWidth="1"/>
    <col min="117" max="117" width="8.6640625" style="299" customWidth="1"/>
    <col min="118" max="119" width="2.44140625" style="299" customWidth="1"/>
    <col min="120" max="120" width="2.109375" style="299" customWidth="1"/>
    <col min="121" max="121" width="1.6640625" style="299" customWidth="1"/>
    <col min="122" max="122" width="0.6640625" style="299" customWidth="1"/>
    <col min="123" max="123" width="2.6640625" style="299" customWidth="1"/>
    <col min="124" max="124" width="2.88671875" style="299" customWidth="1"/>
    <col min="125" max="125" width="2.109375" style="293" customWidth="1"/>
    <col min="126" max="126" width="6" style="293" hidden="1" customWidth="1"/>
    <col min="127" max="127" width="7" style="293" hidden="1" customWidth="1"/>
    <col min="128" max="128" width="14.6640625" style="293" hidden="1" customWidth="1"/>
    <col min="129" max="129" width="28" style="293" hidden="1" customWidth="1"/>
    <col min="130" max="130" width="10.88671875" style="293" customWidth="1"/>
    <col min="131" max="131" width="14.5546875" style="293" customWidth="1"/>
    <col min="132" max="132" width="9.88671875" style="293" customWidth="1"/>
    <col min="133" max="133" width="11" style="293" customWidth="1"/>
    <col min="134" max="134" width="13.109375" style="293" customWidth="1"/>
    <col min="135" max="135" width="12.6640625" style="293" customWidth="1"/>
    <col min="136" max="136" width="2.109375" style="293" customWidth="1"/>
    <col min="137" max="341" width="10.33203125" style="293" customWidth="1"/>
    <col min="342" max="16384" width="12.5546875" style="293"/>
  </cols>
  <sheetData>
    <row r="1" spans="1:136" ht="6" customHeight="1" thickBot="1">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2"/>
      <c r="AD1" s="292"/>
      <c r="AE1" s="292"/>
      <c r="AF1" s="292"/>
      <c r="AG1" s="292"/>
      <c r="AH1" s="292"/>
      <c r="AI1" s="292"/>
      <c r="AJ1" s="292"/>
      <c r="AK1" s="292"/>
      <c r="AL1" s="292"/>
      <c r="AM1" s="292"/>
      <c r="AN1" s="292"/>
      <c r="AO1" s="292"/>
      <c r="AP1" s="292"/>
      <c r="AQ1" s="292"/>
      <c r="AR1" s="292"/>
      <c r="AS1" s="292"/>
      <c r="AT1" s="292"/>
      <c r="AU1" s="292"/>
      <c r="AV1" s="292"/>
      <c r="AW1" s="292"/>
      <c r="AX1" s="292"/>
      <c r="AY1" s="292"/>
      <c r="AZ1" s="292"/>
      <c r="BA1" s="292"/>
      <c r="BB1" s="292"/>
      <c r="BC1" s="292"/>
      <c r="BD1" s="292"/>
      <c r="BE1" s="292"/>
      <c r="BF1" s="292"/>
      <c r="BG1" s="292"/>
      <c r="BH1" s="292"/>
      <c r="BI1" s="292"/>
      <c r="BJ1" s="292"/>
      <c r="BK1" s="292"/>
      <c r="BL1" s="292"/>
      <c r="BM1" s="292"/>
      <c r="BN1" s="292"/>
      <c r="BO1" s="292"/>
      <c r="BP1" s="292"/>
      <c r="BQ1" s="292"/>
      <c r="BR1" s="292"/>
      <c r="BS1" s="292"/>
      <c r="BT1" s="292"/>
      <c r="BU1" s="292"/>
      <c r="BV1" s="292"/>
      <c r="BW1" s="292"/>
      <c r="BX1" s="292"/>
      <c r="BY1" s="292"/>
      <c r="BZ1" s="292"/>
      <c r="CA1" s="292"/>
      <c r="CB1" s="292"/>
      <c r="CC1" s="292"/>
      <c r="CD1" s="292"/>
      <c r="CE1" s="292"/>
      <c r="CF1" s="292"/>
      <c r="CG1" s="292"/>
      <c r="CH1" s="292"/>
      <c r="CI1" s="292"/>
      <c r="CJ1" s="292"/>
      <c r="CK1" s="292"/>
      <c r="CL1" s="292"/>
      <c r="CM1" s="292"/>
      <c r="CN1" s="292"/>
      <c r="CO1" s="292"/>
      <c r="CP1" s="292"/>
      <c r="CQ1" s="292"/>
      <c r="CR1" s="292"/>
      <c r="CS1" s="292"/>
      <c r="CT1" s="292"/>
      <c r="CU1" s="292"/>
      <c r="CV1" s="292"/>
      <c r="CW1" s="292"/>
      <c r="CX1" s="292"/>
      <c r="CY1" s="292"/>
      <c r="CZ1" s="292"/>
      <c r="DA1" s="292"/>
      <c r="DB1" s="292"/>
      <c r="DC1" s="292"/>
      <c r="DD1" s="292"/>
      <c r="DE1" s="292"/>
      <c r="DF1" s="292"/>
      <c r="DG1" s="292"/>
      <c r="DH1" s="292"/>
      <c r="DI1" s="292"/>
      <c r="DJ1" s="292"/>
      <c r="DK1" s="292"/>
      <c r="DL1" s="292"/>
      <c r="DM1" s="292"/>
      <c r="DN1" s="292"/>
      <c r="DO1" s="292"/>
      <c r="DP1" s="292"/>
      <c r="DQ1" s="292"/>
      <c r="DR1" s="292"/>
      <c r="DS1" s="292"/>
      <c r="DT1" s="292"/>
      <c r="DW1" s="94"/>
      <c r="DX1" s="94"/>
      <c r="DY1" s="94"/>
      <c r="DZ1" s="94"/>
      <c r="EA1" s="94"/>
      <c r="EB1" s="94"/>
      <c r="EC1" s="94"/>
      <c r="ED1" s="94"/>
      <c r="EE1" s="94"/>
      <c r="EF1" s="94"/>
    </row>
    <row r="2" spans="1:136" ht="57" customHeight="1" thickBot="1">
      <c r="B2" s="294"/>
      <c r="C2" s="295"/>
      <c r="D2" s="295"/>
      <c r="E2" s="295"/>
      <c r="F2" s="295"/>
      <c r="G2" s="295"/>
      <c r="H2" s="295"/>
      <c r="I2" s="295"/>
      <c r="J2" s="295"/>
      <c r="K2" s="295"/>
      <c r="L2" s="295"/>
      <c r="M2" s="295"/>
      <c r="N2" s="295"/>
      <c r="O2" s="295"/>
      <c r="P2" s="295"/>
      <c r="Q2" s="296"/>
      <c r="R2" s="2000" t="str">
        <f ca="1">INDIRECT($J$4&amp;"!C230")</f>
        <v>8D-report</v>
      </c>
      <c r="S2" s="2001"/>
      <c r="T2" s="2001"/>
      <c r="U2" s="2001"/>
      <c r="V2" s="2001"/>
      <c r="W2" s="2001"/>
      <c r="X2" s="2001"/>
      <c r="Y2" s="2001"/>
      <c r="Z2" s="2001"/>
      <c r="AA2" s="2001"/>
      <c r="AB2" s="2001"/>
      <c r="AC2" s="2001"/>
      <c r="AD2" s="2001"/>
      <c r="AE2" s="2001"/>
      <c r="AF2" s="2001"/>
      <c r="AG2" s="2001"/>
      <c r="AH2" s="2001"/>
      <c r="AI2" s="2001"/>
      <c r="AJ2" s="2001"/>
      <c r="AK2" s="2001"/>
      <c r="AL2" s="2001"/>
      <c r="AM2" s="2001"/>
      <c r="AN2" s="2001"/>
      <c r="AO2" s="2001"/>
      <c r="AP2" s="2001"/>
      <c r="AQ2" s="2001"/>
      <c r="AR2" s="2001"/>
      <c r="AS2" s="2001"/>
      <c r="AT2" s="2001"/>
      <c r="AU2" s="2001"/>
      <c r="AV2" s="2001"/>
      <c r="AW2" s="2001"/>
      <c r="AX2" s="2001"/>
      <c r="AY2" s="2001"/>
      <c r="AZ2" s="2001"/>
      <c r="BA2" s="2001"/>
      <c r="BB2" s="2001"/>
      <c r="BC2" s="2001"/>
      <c r="BD2" s="2001"/>
      <c r="BE2" s="2001"/>
      <c r="BF2" s="2001"/>
      <c r="BG2" s="2001"/>
      <c r="BH2" s="2001"/>
      <c r="BI2" s="2001"/>
      <c r="BJ2" s="2001"/>
      <c r="BK2" s="2001"/>
      <c r="BL2" s="2001"/>
      <c r="BM2" s="2001"/>
      <c r="BN2" s="2001"/>
      <c r="BO2" s="2001"/>
      <c r="BP2" s="2001"/>
      <c r="BQ2" s="2001"/>
      <c r="BR2" s="2001"/>
      <c r="BS2" s="2001"/>
      <c r="BT2" s="2001"/>
      <c r="BU2" s="2001"/>
      <c r="BV2" s="2001"/>
      <c r="BW2" s="2001"/>
      <c r="BX2" s="2001"/>
      <c r="BY2" s="2001"/>
      <c r="BZ2" s="2001"/>
      <c r="CA2" s="2001"/>
      <c r="CB2" s="2001"/>
      <c r="CC2" s="2001"/>
      <c r="CD2" s="2001"/>
      <c r="CE2" s="2001"/>
      <c r="CF2" s="2002"/>
      <c r="CG2" s="1221" t="s">
        <v>3366</v>
      </c>
      <c r="CH2" s="1222"/>
      <c r="CI2" s="1222"/>
      <c r="CJ2" s="1222"/>
      <c r="CK2" s="1222"/>
      <c r="CL2" s="1222"/>
      <c r="CM2" s="1222"/>
      <c r="CN2" s="1222"/>
      <c r="CO2" s="1222"/>
      <c r="CP2" s="1222"/>
      <c r="CQ2" s="1222"/>
      <c r="CR2" s="1222"/>
      <c r="CS2" s="1222"/>
      <c r="CT2" s="1222"/>
      <c r="CU2" s="1222"/>
      <c r="CV2" s="1222"/>
      <c r="CW2" s="1222"/>
      <c r="CX2" s="1222"/>
      <c r="CY2" s="1222"/>
      <c r="CZ2" s="1222"/>
      <c r="DA2" s="1222"/>
      <c r="DB2" s="1222"/>
      <c r="DC2" s="1222"/>
      <c r="DD2" s="1222"/>
      <c r="DE2" s="1222"/>
      <c r="DF2" s="1222"/>
      <c r="DG2" s="1222"/>
      <c r="DH2" s="1222"/>
      <c r="DI2" s="1222"/>
      <c r="DJ2" s="1222"/>
      <c r="DK2" s="1222"/>
      <c r="DL2" s="1222"/>
      <c r="DM2" s="1222"/>
      <c r="DN2" s="1222"/>
      <c r="DO2" s="1222"/>
      <c r="DP2" s="1222"/>
      <c r="DQ2" s="1222"/>
      <c r="DR2" s="1222"/>
      <c r="DS2" s="1222"/>
      <c r="DT2" s="1223"/>
      <c r="DU2" s="104"/>
      <c r="DV2" s="104"/>
      <c r="DW2" s="104"/>
      <c r="DX2" s="1363"/>
      <c r="DY2" s="1363"/>
      <c r="DZ2" s="1363"/>
      <c r="EA2" s="1363"/>
      <c r="EB2" s="1363"/>
      <c r="EC2" s="1363"/>
      <c r="ED2" s="1363"/>
      <c r="EE2" s="1363"/>
      <c r="EF2" s="32"/>
    </row>
    <row r="3" spans="1:136" ht="6" customHeight="1">
      <c r="A3" s="293"/>
      <c r="B3" s="297"/>
      <c r="C3" s="293"/>
      <c r="D3" s="293"/>
      <c r="E3" s="293"/>
      <c r="F3" s="293"/>
      <c r="G3" s="293"/>
      <c r="H3" s="293"/>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3"/>
      <c r="BP3" s="293"/>
      <c r="BQ3" s="293"/>
      <c r="BR3" s="293"/>
      <c r="BS3" s="293"/>
      <c r="BT3" s="293"/>
      <c r="BU3" s="293"/>
      <c r="BV3" s="293"/>
      <c r="BW3" s="293"/>
      <c r="BX3" s="293"/>
      <c r="BY3" s="293"/>
      <c r="BZ3" s="293"/>
      <c r="CA3" s="293"/>
      <c r="CB3" s="293"/>
      <c r="CC3" s="293"/>
      <c r="CD3" s="293"/>
      <c r="CE3" s="293"/>
      <c r="CF3" s="293"/>
      <c r="CG3" s="293"/>
      <c r="CH3" s="293"/>
      <c r="CI3" s="293"/>
      <c r="CJ3" s="293"/>
      <c r="CK3" s="293"/>
      <c r="CL3" s="293"/>
      <c r="CM3" s="293"/>
      <c r="CN3" s="293"/>
      <c r="CO3" s="293"/>
      <c r="CP3" s="293"/>
      <c r="CQ3" s="293"/>
      <c r="CR3" s="293"/>
      <c r="CS3" s="293"/>
      <c r="CT3" s="293"/>
      <c r="CU3" s="293"/>
      <c r="CV3" s="293"/>
      <c r="CW3" s="293"/>
      <c r="CX3" s="293"/>
      <c r="CY3" s="293"/>
      <c r="CZ3" s="293"/>
      <c r="DA3" s="293"/>
      <c r="DB3" s="293"/>
      <c r="DC3" s="293"/>
      <c r="DD3" s="293"/>
      <c r="DE3" s="293"/>
      <c r="DF3" s="293"/>
      <c r="DG3" s="293"/>
      <c r="DH3" s="293"/>
      <c r="DI3" s="293"/>
      <c r="DJ3" s="293"/>
      <c r="DK3" s="293"/>
      <c r="DL3" s="293"/>
      <c r="DM3" s="293"/>
      <c r="DN3" s="293"/>
      <c r="DO3" s="293"/>
      <c r="DP3" s="293"/>
      <c r="DQ3" s="293"/>
      <c r="DR3" s="293"/>
      <c r="DS3" s="293"/>
      <c r="DT3" s="298"/>
      <c r="DW3" s="109"/>
      <c r="DX3" s="32"/>
      <c r="DY3" s="32"/>
      <c r="DZ3" s="32"/>
      <c r="EA3" s="32"/>
      <c r="EB3" s="32"/>
      <c r="EC3" s="32"/>
      <c r="ED3" s="32"/>
      <c r="EE3" s="32"/>
      <c r="EF3" s="32"/>
    </row>
    <row r="4" spans="1:136" ht="30" customHeight="1">
      <c r="B4" s="182"/>
      <c r="C4" s="1985" t="str">
        <f ca="1">INDIRECT($J$4&amp;"!C5")</f>
        <v>Language</v>
      </c>
      <c r="D4" s="1985"/>
      <c r="E4" s="1985"/>
      <c r="F4" s="1985"/>
      <c r="G4" s="1985"/>
      <c r="H4" s="1985"/>
      <c r="I4" s="1986"/>
      <c r="J4" s="2243" t="s">
        <v>59</v>
      </c>
      <c r="K4" s="2244"/>
      <c r="L4" s="2244"/>
      <c r="M4" s="2244"/>
      <c r="N4" s="2244"/>
      <c r="O4" s="2244"/>
      <c r="P4" s="2244"/>
      <c r="Q4" s="2244"/>
      <c r="R4" s="2244"/>
      <c r="S4" s="2244"/>
      <c r="T4" s="2244"/>
      <c r="U4" s="2244"/>
      <c r="V4" s="2245"/>
      <c r="W4" s="293"/>
      <c r="X4" s="293"/>
      <c r="Y4" s="293"/>
      <c r="AA4" s="1990" t="str">
        <f ca="1">INDIRECT($J$4&amp;"!C3")</f>
        <v>PSS No.</v>
      </c>
      <c r="AB4" s="1990"/>
      <c r="AC4" s="1990"/>
      <c r="AD4" s="1990"/>
      <c r="AE4" s="1990"/>
      <c r="AF4" s="1990"/>
      <c r="AG4" s="1990"/>
      <c r="AH4" s="1991"/>
      <c r="AI4" s="2246"/>
      <c r="AJ4" s="2247"/>
      <c r="AK4" s="2247"/>
      <c r="AL4" s="2247"/>
      <c r="AM4" s="2247"/>
      <c r="AN4" s="2247"/>
      <c r="AO4" s="2247"/>
      <c r="AP4" s="2247"/>
      <c r="AQ4" s="2247"/>
      <c r="AR4" s="2247"/>
      <c r="AS4" s="2247"/>
      <c r="AT4" s="2247"/>
      <c r="AU4" s="2248"/>
      <c r="AV4" s="293"/>
      <c r="AW4" s="293"/>
      <c r="AX4" s="293"/>
      <c r="AZ4" s="1990" t="str">
        <f ca="1">INDIRECT($J$4&amp;"!C6")</f>
        <v>Fault type</v>
      </c>
      <c r="BA4" s="1990"/>
      <c r="BB4" s="1990"/>
      <c r="BC4" s="1990"/>
      <c r="BD4" s="1990"/>
      <c r="BE4" s="1990"/>
      <c r="BF4" s="1990"/>
      <c r="BG4" s="1990"/>
      <c r="BH4" s="1990"/>
      <c r="BI4" s="1991"/>
      <c r="BJ4" s="1184"/>
      <c r="BK4" s="1185"/>
      <c r="BL4" s="1185"/>
      <c r="BM4" s="1185"/>
      <c r="BN4" s="1185"/>
      <c r="BO4" s="1185"/>
      <c r="BP4" s="1185"/>
      <c r="BQ4" s="1185"/>
      <c r="BR4" s="1185"/>
      <c r="BS4" s="1185"/>
      <c r="BT4" s="1185"/>
      <c r="BU4" s="1185"/>
      <c r="BV4" s="1186"/>
      <c r="BX4" s="293"/>
      <c r="BY4" s="293"/>
      <c r="BZ4" s="293"/>
      <c r="CA4" s="293"/>
      <c r="CB4" s="293"/>
      <c r="CC4" s="293"/>
      <c r="CD4" s="293"/>
      <c r="CE4" s="293"/>
      <c r="CF4" s="293"/>
      <c r="CG4" s="293"/>
      <c r="CH4" s="293"/>
      <c r="CI4" s="293"/>
      <c r="CJ4" s="293"/>
      <c r="CK4" s="293"/>
      <c r="CL4" s="293"/>
      <c r="CM4" s="293"/>
      <c r="CN4" s="293"/>
      <c r="CO4" s="293"/>
      <c r="CP4" s="293"/>
      <c r="CQ4" s="293"/>
      <c r="CR4" s="293"/>
      <c r="CS4" s="293"/>
      <c r="CT4" s="293"/>
      <c r="CU4" s="293"/>
      <c r="CV4" s="293"/>
      <c r="CW4" s="293"/>
      <c r="CX4" s="293"/>
      <c r="CY4" s="293"/>
      <c r="CZ4" s="293"/>
      <c r="DA4" s="293"/>
      <c r="DB4" s="293"/>
      <c r="DC4" s="293"/>
      <c r="DD4" s="293"/>
      <c r="DE4" s="293"/>
      <c r="DF4" s="293"/>
      <c r="DH4" s="293"/>
      <c r="DI4" s="293"/>
      <c r="DJ4" s="293"/>
      <c r="DK4" s="293"/>
      <c r="DL4" s="293"/>
      <c r="DM4" s="293"/>
      <c r="DN4" s="293"/>
      <c r="DO4" s="293"/>
      <c r="DP4" s="293"/>
      <c r="DQ4" s="293"/>
      <c r="DR4" s="293"/>
      <c r="DS4" s="293"/>
      <c r="DT4" s="300"/>
      <c r="DW4" s="183"/>
      <c r="DX4" s="183"/>
      <c r="DY4" s="183"/>
      <c r="DZ4" s="183"/>
      <c r="EA4" s="183"/>
      <c r="EB4" s="183"/>
      <c r="EC4" s="183"/>
      <c r="ED4" s="183"/>
      <c r="EE4" s="183"/>
      <c r="EF4" s="184"/>
    </row>
    <row r="5" spans="1:136" ht="6" customHeight="1">
      <c r="B5" s="301"/>
      <c r="C5" s="302"/>
      <c r="D5" s="302"/>
      <c r="E5" s="302"/>
      <c r="F5" s="302"/>
      <c r="G5" s="302"/>
      <c r="H5" s="302"/>
      <c r="I5" s="302"/>
      <c r="J5" s="302"/>
      <c r="K5" s="302"/>
      <c r="L5" s="302"/>
      <c r="M5" s="302"/>
      <c r="N5" s="302"/>
      <c r="O5" s="302"/>
      <c r="P5" s="302"/>
      <c r="Q5" s="302"/>
      <c r="R5" s="302"/>
      <c r="S5" s="302"/>
      <c r="T5" s="302"/>
      <c r="U5" s="302"/>
      <c r="V5" s="302"/>
      <c r="W5" s="302"/>
      <c r="X5" s="302"/>
      <c r="Y5" s="302"/>
      <c r="Z5" s="302"/>
      <c r="AA5" s="302"/>
      <c r="AB5" s="302"/>
      <c r="AC5" s="302"/>
      <c r="AD5" s="302"/>
      <c r="AE5" s="302"/>
      <c r="AF5" s="302"/>
      <c r="AG5" s="302"/>
      <c r="AH5" s="302"/>
      <c r="AI5" s="302"/>
      <c r="AJ5" s="302"/>
      <c r="AK5" s="302"/>
      <c r="AL5" s="302"/>
      <c r="AM5" s="302"/>
      <c r="AN5" s="302"/>
      <c r="AO5" s="302"/>
      <c r="AP5" s="302"/>
      <c r="AQ5" s="302"/>
      <c r="AR5" s="302"/>
      <c r="AS5" s="302"/>
      <c r="AT5" s="302"/>
      <c r="AU5" s="302"/>
      <c r="AV5" s="302"/>
      <c r="AW5" s="302"/>
      <c r="AX5" s="302"/>
      <c r="AY5" s="302"/>
      <c r="AZ5" s="302"/>
      <c r="BA5" s="302"/>
      <c r="BB5" s="302"/>
      <c r="BC5" s="302"/>
      <c r="BD5" s="302"/>
      <c r="BE5" s="302"/>
      <c r="BF5" s="302"/>
      <c r="BG5" s="302"/>
      <c r="BH5" s="302"/>
      <c r="BI5" s="302"/>
      <c r="BJ5" s="302"/>
      <c r="BK5" s="302"/>
      <c r="BL5" s="302"/>
      <c r="BM5" s="302"/>
      <c r="BN5" s="302"/>
      <c r="BO5" s="302"/>
      <c r="BP5" s="302"/>
      <c r="BQ5" s="302"/>
      <c r="BR5" s="302"/>
      <c r="BS5" s="302"/>
      <c r="BT5" s="302"/>
      <c r="BU5" s="302"/>
      <c r="BV5" s="302"/>
      <c r="BW5" s="302"/>
      <c r="BX5" s="302"/>
      <c r="BY5" s="302"/>
      <c r="BZ5" s="302"/>
      <c r="CA5" s="302"/>
      <c r="CB5" s="302"/>
      <c r="CC5" s="302"/>
      <c r="CD5" s="302"/>
      <c r="CE5" s="302"/>
      <c r="CF5" s="302"/>
      <c r="CG5" s="302"/>
      <c r="CH5" s="302"/>
      <c r="CI5" s="302"/>
      <c r="CJ5" s="302"/>
      <c r="CK5" s="302"/>
      <c r="CL5" s="302"/>
      <c r="CM5" s="302"/>
      <c r="CN5" s="302"/>
      <c r="CO5" s="302"/>
      <c r="CP5" s="302"/>
      <c r="CQ5" s="302"/>
      <c r="CR5" s="302"/>
      <c r="CS5" s="302"/>
      <c r="CT5" s="302"/>
      <c r="CU5" s="302"/>
      <c r="CV5" s="302"/>
      <c r="CW5" s="302"/>
      <c r="CX5" s="302"/>
      <c r="CY5" s="302"/>
      <c r="CZ5" s="302"/>
      <c r="DA5" s="302"/>
      <c r="DB5" s="302"/>
      <c r="DC5" s="302"/>
      <c r="DD5" s="302"/>
      <c r="DE5" s="302"/>
      <c r="DF5" s="302"/>
      <c r="DG5" s="302"/>
      <c r="DH5" s="302"/>
      <c r="DI5" s="302"/>
      <c r="DJ5" s="302"/>
      <c r="DK5" s="302"/>
      <c r="DL5" s="302"/>
      <c r="DM5" s="302"/>
      <c r="DN5" s="302"/>
      <c r="DO5" s="302"/>
      <c r="DP5" s="302"/>
      <c r="DQ5" s="302"/>
      <c r="DR5" s="302"/>
      <c r="DS5" s="302"/>
      <c r="DT5" s="303"/>
      <c r="DW5" s="104"/>
      <c r="DX5" s="1002"/>
      <c r="DY5" s="1002"/>
      <c r="DZ5" s="1002"/>
      <c r="EA5" s="1002"/>
      <c r="EB5" s="1002"/>
      <c r="EC5" s="1002"/>
      <c r="ED5" s="1002"/>
      <c r="EE5" s="1002"/>
      <c r="EF5" s="32"/>
    </row>
    <row r="6" spans="1:136" ht="6" customHeight="1">
      <c r="B6" s="517"/>
      <c r="C6" s="329"/>
      <c r="D6" s="329"/>
      <c r="E6" s="329"/>
      <c r="F6" s="329"/>
      <c r="G6" s="329"/>
      <c r="H6" s="329"/>
      <c r="I6" s="329"/>
      <c r="J6" s="329"/>
      <c r="K6" s="329"/>
      <c r="L6" s="329"/>
      <c r="M6" s="329"/>
      <c r="N6" s="329"/>
      <c r="O6" s="329"/>
      <c r="P6" s="329"/>
      <c r="Q6" s="329"/>
      <c r="R6" s="329"/>
      <c r="S6" s="329"/>
      <c r="T6" s="329"/>
      <c r="U6" s="329"/>
      <c r="V6" s="329"/>
      <c r="W6" s="329"/>
      <c r="X6" s="329"/>
      <c r="Y6" s="329"/>
      <c r="Z6" s="329"/>
      <c r="AA6" s="329"/>
      <c r="AB6" s="329"/>
      <c r="AC6" s="329"/>
      <c r="AD6" s="329"/>
      <c r="AE6" s="329"/>
      <c r="AF6" s="329"/>
      <c r="AG6" s="329"/>
      <c r="AH6" s="329"/>
      <c r="AI6" s="329"/>
      <c r="AJ6" s="329"/>
      <c r="AK6" s="329"/>
      <c r="AL6" s="329"/>
      <c r="AM6" s="329"/>
      <c r="AN6" s="329"/>
      <c r="AO6" s="329"/>
      <c r="AP6" s="329"/>
      <c r="AQ6" s="329"/>
      <c r="AR6" s="329"/>
      <c r="AS6" s="329"/>
      <c r="AT6" s="329"/>
      <c r="AU6" s="329"/>
      <c r="AV6" s="329"/>
      <c r="AW6" s="329"/>
      <c r="AX6" s="329"/>
      <c r="AY6" s="329"/>
      <c r="AZ6" s="329"/>
      <c r="BA6" s="329"/>
      <c r="BB6" s="329"/>
      <c r="BC6" s="329"/>
      <c r="BD6" s="329"/>
      <c r="BE6" s="329"/>
      <c r="BF6" s="329"/>
      <c r="BG6" s="329"/>
      <c r="BH6" s="329"/>
      <c r="BI6" s="329"/>
      <c r="BJ6" s="329"/>
      <c r="BK6" s="329"/>
      <c r="BL6" s="329"/>
      <c r="BM6" s="329"/>
      <c r="BN6" s="329"/>
      <c r="BO6" s="329"/>
      <c r="BP6" s="329"/>
      <c r="BQ6" s="329"/>
      <c r="BR6" s="329"/>
      <c r="BS6" s="329"/>
      <c r="BT6" s="329"/>
      <c r="BU6" s="329"/>
      <c r="BV6" s="329"/>
      <c r="BW6" s="329"/>
      <c r="BX6" s="329"/>
      <c r="BY6" s="329"/>
      <c r="BZ6" s="329"/>
      <c r="CA6" s="329"/>
      <c r="CB6" s="329"/>
      <c r="CC6" s="329"/>
      <c r="CD6" s="329"/>
      <c r="CE6" s="329"/>
      <c r="CF6" s="329"/>
      <c r="CG6" s="329"/>
      <c r="CH6" s="329"/>
      <c r="CI6" s="329"/>
      <c r="CJ6" s="329"/>
      <c r="CK6" s="329"/>
      <c r="CL6" s="329"/>
      <c r="CM6" s="329"/>
      <c r="CN6" s="329"/>
      <c r="CO6" s="329"/>
      <c r="CP6" s="329"/>
      <c r="CQ6" s="329"/>
      <c r="CR6" s="329"/>
      <c r="CS6" s="329"/>
      <c r="CT6" s="329"/>
      <c r="CU6" s="329"/>
      <c r="CV6" s="329"/>
      <c r="CW6" s="329"/>
      <c r="CX6" s="329"/>
      <c r="CY6" s="329"/>
      <c r="CZ6" s="329"/>
      <c r="DA6" s="329"/>
      <c r="DB6" s="329"/>
      <c r="DC6" s="329"/>
      <c r="DD6" s="329"/>
      <c r="DE6" s="329"/>
      <c r="DF6" s="329"/>
      <c r="DG6" s="329"/>
      <c r="DH6" s="329"/>
      <c r="DI6" s="329"/>
      <c r="DJ6" s="329"/>
      <c r="DK6" s="329"/>
      <c r="DL6" s="329"/>
      <c r="DM6" s="329"/>
      <c r="DN6" s="329"/>
      <c r="DO6" s="329"/>
      <c r="DP6" s="329"/>
      <c r="DQ6" s="329"/>
      <c r="DR6" s="329"/>
      <c r="DS6" s="329"/>
      <c r="DT6" s="518"/>
      <c r="DW6" s="109"/>
      <c r="DX6" s="32"/>
      <c r="DY6" s="32"/>
      <c r="DZ6" s="32"/>
      <c r="EA6" s="32"/>
      <c r="EB6" s="32"/>
      <c r="EC6" s="32"/>
      <c r="ED6" s="32"/>
      <c r="EE6" s="32"/>
      <c r="EF6" s="32"/>
    </row>
    <row r="7" spans="1:136" ht="30" customHeight="1">
      <c r="B7" s="304"/>
      <c r="C7" s="1286" t="str">
        <f ca="1">INDIRECT($J$4&amp;"!C8")</f>
        <v>Kroschu plant</v>
      </c>
      <c r="D7" s="1286"/>
      <c r="E7" s="1286"/>
      <c r="F7" s="1286"/>
      <c r="G7" s="1286"/>
      <c r="H7" s="1286"/>
      <c r="I7" s="1286"/>
      <c r="J7" s="1286"/>
      <c r="K7" s="1286"/>
      <c r="L7" s="1286"/>
      <c r="M7" s="1287"/>
      <c r="N7" s="1187"/>
      <c r="O7" s="1188"/>
      <c r="P7" s="1188"/>
      <c r="Q7" s="1188"/>
      <c r="R7" s="1188"/>
      <c r="S7" s="1188"/>
      <c r="T7" s="1188"/>
      <c r="U7" s="1188"/>
      <c r="V7" s="1188"/>
      <c r="W7" s="1188"/>
      <c r="X7" s="1188"/>
      <c r="Y7" s="1188"/>
      <c r="Z7" s="1189"/>
      <c r="AA7" s="293"/>
      <c r="AB7" s="293"/>
      <c r="AC7" s="293"/>
      <c r="AD7" s="305"/>
      <c r="AE7" s="305"/>
      <c r="AF7" s="1998" t="str">
        <f ca="1">INDIRECT($J$4&amp;"!C9")</f>
        <v>Opening date</v>
      </c>
      <c r="AG7" s="1998"/>
      <c r="AH7" s="1998"/>
      <c r="AI7" s="1998"/>
      <c r="AJ7" s="1998"/>
      <c r="AK7" s="1998"/>
      <c r="AL7" s="1998"/>
      <c r="AM7" s="1998"/>
      <c r="AN7" s="1998"/>
      <c r="AO7" s="1998"/>
      <c r="AP7" s="1998"/>
      <c r="AQ7" s="1999"/>
      <c r="AR7" s="1749"/>
      <c r="AS7" s="1750"/>
      <c r="AT7" s="1750"/>
      <c r="AU7" s="1750"/>
      <c r="AV7" s="1750"/>
      <c r="AW7" s="1750"/>
      <c r="AX7" s="1750"/>
      <c r="AY7" s="1750"/>
      <c r="AZ7" s="1750"/>
      <c r="BA7" s="1750"/>
      <c r="BB7" s="1750"/>
      <c r="BC7" s="1750"/>
      <c r="BD7" s="1751"/>
      <c r="BE7" s="293"/>
      <c r="BF7" s="293"/>
      <c r="BG7" s="293"/>
      <c r="BH7" s="293"/>
      <c r="BI7" s="293"/>
      <c r="BJ7" s="293"/>
      <c r="BK7" s="293"/>
      <c r="BL7" s="293"/>
      <c r="BM7" s="2004" t="str">
        <f>'D1-D2-D3'!BU7</f>
        <v>Report version</v>
      </c>
      <c r="BN7" s="2004"/>
      <c r="BO7" s="2004"/>
      <c r="BP7" s="2004"/>
      <c r="BQ7" s="2004"/>
      <c r="BR7" s="2004"/>
      <c r="BS7" s="2004"/>
      <c r="BT7" s="2004"/>
      <c r="BU7" s="2004"/>
      <c r="BV7" s="2004"/>
      <c r="BW7" s="2004"/>
      <c r="BX7" s="2004"/>
      <c r="BY7" s="2004"/>
      <c r="BZ7" s="2004"/>
      <c r="CA7" s="2004"/>
      <c r="CB7" s="2004"/>
      <c r="CC7" s="2004"/>
      <c r="CD7" s="2004"/>
      <c r="CE7" s="2004"/>
      <c r="CF7" s="2004"/>
      <c r="CG7" s="2004"/>
      <c r="CH7" s="2004"/>
      <c r="CI7" s="2004"/>
      <c r="CJ7" s="2004"/>
      <c r="CK7" s="2242"/>
      <c r="CL7" s="2242"/>
      <c r="CM7" s="2242"/>
      <c r="CN7" s="2242"/>
      <c r="CO7" s="2242"/>
      <c r="CP7" s="2242"/>
      <c r="CQ7" s="2242"/>
      <c r="CR7" s="2242"/>
      <c r="CS7" s="2242"/>
      <c r="CT7" s="2242"/>
      <c r="CU7" s="2242"/>
      <c r="CV7" s="2242"/>
      <c r="CW7" s="2242"/>
      <c r="CX7" s="2242"/>
      <c r="CY7" s="2242"/>
      <c r="CZ7" s="2242"/>
      <c r="DA7" s="2242"/>
      <c r="DB7" s="2242"/>
      <c r="DC7" s="2242"/>
      <c r="DD7" s="2242"/>
      <c r="DE7" s="2242"/>
      <c r="DF7" s="2242"/>
      <c r="DG7" s="2242"/>
      <c r="DH7" s="2242"/>
      <c r="DI7" s="2242"/>
      <c r="DJ7" s="2242"/>
      <c r="DK7" s="2242"/>
      <c r="DL7" s="2242"/>
      <c r="DM7" s="2242"/>
      <c r="DN7" s="2242"/>
      <c r="DO7" s="2242"/>
      <c r="DP7" s="2242"/>
      <c r="DQ7" s="2242"/>
      <c r="DR7" s="2242"/>
      <c r="DS7" s="293"/>
      <c r="DT7" s="298"/>
      <c r="DV7" s="365">
        <v>1</v>
      </c>
      <c r="DW7" s="1008">
        <f ca="1">IF(DX7="","",MAX($DW$6:DW6)+1)</f>
        <v>1</v>
      </c>
      <c r="DX7" s="380" t="str">
        <f ca="1">IF($D14=DropDown!$N$8,DropDown!N5,"")</f>
        <v>Int. KSK-No.</v>
      </c>
      <c r="DY7" s="380" t="str">
        <f ca="1">VLOOKUP(DV7,$DW$7:$DX$9,2,FALSE)</f>
        <v>Int. KSK-No.</v>
      </c>
      <c r="DZ7" s="183"/>
      <c r="EA7" s="183"/>
      <c r="EB7" s="183"/>
      <c r="EC7" s="183"/>
      <c r="ED7" s="183"/>
      <c r="EE7" s="183"/>
      <c r="EF7" s="184"/>
    </row>
    <row r="8" spans="1:136" ht="6" customHeight="1">
      <c r="B8" s="297"/>
      <c r="C8" s="293"/>
      <c r="D8" s="293"/>
      <c r="E8" s="293"/>
      <c r="F8" s="293"/>
      <c r="G8" s="293"/>
      <c r="H8" s="293"/>
      <c r="I8" s="293"/>
      <c r="J8" s="293"/>
      <c r="K8" s="293"/>
      <c r="L8" s="293"/>
      <c r="M8" s="293"/>
      <c r="N8" s="293"/>
      <c r="O8" s="293"/>
      <c r="P8" s="293"/>
      <c r="Q8" s="293"/>
      <c r="R8" s="293"/>
      <c r="S8" s="293"/>
      <c r="T8" s="293"/>
      <c r="U8" s="293"/>
      <c r="V8" s="293"/>
      <c r="W8" s="293"/>
      <c r="X8" s="293"/>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3"/>
      <c r="BK8" s="293"/>
      <c r="BL8" s="293"/>
      <c r="BM8" s="293"/>
      <c r="BN8" s="293"/>
      <c r="BO8" s="293"/>
      <c r="BP8" s="293"/>
      <c r="BQ8" s="293"/>
      <c r="BR8" s="293"/>
      <c r="BS8" s="293"/>
      <c r="BT8" s="293"/>
      <c r="BU8" s="293"/>
      <c r="BV8" s="293"/>
      <c r="BW8" s="293"/>
      <c r="BX8" s="293"/>
      <c r="BY8" s="293"/>
      <c r="BZ8" s="293"/>
      <c r="CA8" s="293"/>
      <c r="CB8" s="293"/>
      <c r="CC8" s="293"/>
      <c r="CD8" s="293"/>
      <c r="CE8" s="293"/>
      <c r="CF8" s="293"/>
      <c r="CG8" s="293"/>
      <c r="CH8" s="293"/>
      <c r="CI8" s="293"/>
      <c r="CJ8" s="293"/>
      <c r="CK8" s="293"/>
      <c r="CL8" s="293"/>
      <c r="CM8" s="293"/>
      <c r="CN8" s="293"/>
      <c r="CO8" s="293"/>
      <c r="CP8" s="293"/>
      <c r="CQ8" s="293"/>
      <c r="CR8" s="293"/>
      <c r="CS8" s="293"/>
      <c r="CT8" s="293"/>
      <c r="CU8" s="293"/>
      <c r="CV8" s="293"/>
      <c r="CW8" s="293"/>
      <c r="CX8" s="293"/>
      <c r="CY8" s="293"/>
      <c r="CZ8" s="293"/>
      <c r="DA8" s="293"/>
      <c r="DB8" s="293"/>
      <c r="DC8" s="293"/>
      <c r="DD8" s="293"/>
      <c r="DE8" s="293"/>
      <c r="DF8" s="293"/>
      <c r="DG8" s="293"/>
      <c r="DH8" s="293"/>
      <c r="DI8" s="293"/>
      <c r="DJ8" s="293"/>
      <c r="DK8" s="293"/>
      <c r="DL8" s="293"/>
      <c r="DM8" s="293"/>
      <c r="DN8" s="293"/>
      <c r="DO8" s="293"/>
      <c r="DP8" s="293"/>
      <c r="DQ8" s="293"/>
      <c r="DR8" s="293"/>
      <c r="DS8" s="293"/>
      <c r="DT8" s="298"/>
      <c r="DV8" s="365">
        <v>2</v>
      </c>
      <c r="DW8" s="1008" t="str">
        <f>IF(DX8="","",MAX($DW$6:DW7)+1)</f>
        <v/>
      </c>
      <c r="DX8" s="380" t="str">
        <f>IF($D14=DropDown!$N$9,DropDown!N6,"")</f>
        <v/>
      </c>
      <c r="DY8" s="380"/>
      <c r="DZ8" s="32"/>
      <c r="EA8" s="32"/>
      <c r="EB8" s="32"/>
      <c r="EC8" s="32"/>
      <c r="ED8" s="32"/>
      <c r="EE8" s="32"/>
      <c r="EF8" s="32"/>
    </row>
    <row r="9" spans="1:136" ht="30" customHeight="1">
      <c r="B9" s="304"/>
      <c r="C9" s="38" t="str">
        <f ca="1">INDIRECT($J$4&amp;"!C10")</f>
        <v>Customer</v>
      </c>
      <c r="D9" s="38"/>
      <c r="E9" s="38"/>
      <c r="F9" s="38"/>
      <c r="G9" s="38"/>
      <c r="H9" s="38"/>
      <c r="I9" s="38"/>
      <c r="J9" s="38"/>
      <c r="K9" s="38"/>
      <c r="L9" s="38"/>
      <c r="M9" s="39"/>
      <c r="N9" s="1743"/>
      <c r="O9" s="2238"/>
      <c r="P9" s="2238"/>
      <c r="Q9" s="2238"/>
      <c r="R9" s="2238"/>
      <c r="S9" s="2238"/>
      <c r="T9" s="2238"/>
      <c r="U9" s="2238"/>
      <c r="V9" s="2238"/>
      <c r="W9" s="2238"/>
      <c r="X9" s="2238"/>
      <c r="Y9" s="2238"/>
      <c r="Z9" s="1744"/>
      <c r="AA9" s="293"/>
      <c r="AB9" s="293"/>
      <c r="AC9" s="293"/>
      <c r="AD9" s="293"/>
      <c r="AE9" s="293"/>
      <c r="AF9" s="1286" t="str">
        <f ca="1">INDIRECT($J$4&amp;"!C11")</f>
        <v>Project</v>
      </c>
      <c r="AG9" s="1286"/>
      <c r="AH9" s="1286"/>
      <c r="AI9" s="1286"/>
      <c r="AJ9" s="1286"/>
      <c r="AK9" s="1286"/>
      <c r="AL9" s="1286"/>
      <c r="AM9" s="1286"/>
      <c r="AN9" s="1286"/>
      <c r="AO9" s="1286"/>
      <c r="AP9" s="1286"/>
      <c r="AQ9" s="1287"/>
      <c r="AR9" s="1743"/>
      <c r="AS9" s="2238"/>
      <c r="AT9" s="2238"/>
      <c r="AU9" s="2238"/>
      <c r="AV9" s="2238"/>
      <c r="AW9" s="2238"/>
      <c r="AX9" s="2238"/>
      <c r="AY9" s="2238"/>
      <c r="AZ9" s="2238"/>
      <c r="BA9" s="2238"/>
      <c r="BB9" s="2238"/>
      <c r="BC9" s="2238"/>
      <c r="BD9" s="1744"/>
      <c r="BE9" s="293"/>
      <c r="BF9" s="293"/>
      <c r="BG9" s="293"/>
      <c r="BH9" s="293"/>
      <c r="BI9" s="293"/>
      <c r="BJ9" s="293"/>
      <c r="BK9" s="293"/>
      <c r="BL9" s="293"/>
      <c r="BM9" s="1286" t="str">
        <f ca="1">INDIRECT($J$4&amp;"!C12")</f>
        <v>Customer complaint No.</v>
      </c>
      <c r="BN9" s="1286"/>
      <c r="BO9" s="1286"/>
      <c r="BP9" s="1286"/>
      <c r="BQ9" s="1286"/>
      <c r="BR9" s="1286"/>
      <c r="BS9" s="1286"/>
      <c r="BT9" s="1286"/>
      <c r="BU9" s="1286"/>
      <c r="BV9" s="1286"/>
      <c r="BW9" s="1286"/>
      <c r="BX9" s="1286"/>
      <c r="BY9" s="1286"/>
      <c r="BZ9" s="1286"/>
      <c r="CA9" s="1286"/>
      <c r="CB9" s="1286"/>
      <c r="CC9" s="1286"/>
      <c r="CD9" s="1286"/>
      <c r="CE9" s="1286"/>
      <c r="CF9" s="1286"/>
      <c r="CG9" s="1286"/>
      <c r="CH9" s="1286"/>
      <c r="CI9" s="1286"/>
      <c r="CJ9" s="1287"/>
      <c r="CK9" s="2239"/>
      <c r="CL9" s="2240"/>
      <c r="CM9" s="2240"/>
      <c r="CN9" s="2240"/>
      <c r="CO9" s="2240"/>
      <c r="CP9" s="2240"/>
      <c r="CQ9" s="2240"/>
      <c r="CR9" s="2240"/>
      <c r="CS9" s="2240"/>
      <c r="CT9" s="2240"/>
      <c r="CU9" s="2240"/>
      <c r="CV9" s="2240"/>
      <c r="CW9" s="2240"/>
      <c r="CX9" s="2240"/>
      <c r="CY9" s="2240"/>
      <c r="CZ9" s="2240"/>
      <c r="DA9" s="2240"/>
      <c r="DB9" s="2240"/>
      <c r="DC9" s="2240"/>
      <c r="DD9" s="2240"/>
      <c r="DE9" s="2240"/>
      <c r="DF9" s="2240"/>
      <c r="DG9" s="2240"/>
      <c r="DH9" s="2240"/>
      <c r="DI9" s="2240"/>
      <c r="DJ9" s="2240"/>
      <c r="DK9" s="2240"/>
      <c r="DL9" s="2240"/>
      <c r="DM9" s="2240"/>
      <c r="DN9" s="2240"/>
      <c r="DO9" s="2240"/>
      <c r="DP9" s="2240"/>
      <c r="DQ9" s="2240"/>
      <c r="DR9" s="2241"/>
      <c r="DS9" s="330"/>
      <c r="DT9" s="306"/>
      <c r="DV9" s="365">
        <v>3</v>
      </c>
      <c r="DW9" s="1008" t="str">
        <f>IF(DX9="","",MAX($DW$6:DW8)+1)</f>
        <v/>
      </c>
      <c r="DX9" s="380" t="str">
        <f>IF($D14=DropDown!$N$10,DropDown!N7,"")</f>
        <v/>
      </c>
      <c r="DY9" s="380"/>
      <c r="DZ9" s="183"/>
      <c r="EA9" s="183"/>
      <c r="EB9" s="183"/>
      <c r="EC9" s="183"/>
      <c r="ED9" s="183"/>
      <c r="EE9" s="183"/>
      <c r="EF9" s="184"/>
    </row>
    <row r="10" spans="1:136" ht="6" customHeight="1" thickBot="1">
      <c r="B10" s="297"/>
      <c r="C10" s="293"/>
      <c r="D10" s="293"/>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c r="BW10" s="293"/>
      <c r="BX10" s="293"/>
      <c r="BY10" s="293"/>
      <c r="BZ10" s="293"/>
      <c r="CA10" s="293"/>
      <c r="CB10" s="293"/>
      <c r="CC10" s="293"/>
      <c r="CD10" s="293"/>
      <c r="CE10" s="293"/>
      <c r="CF10" s="293"/>
      <c r="CG10" s="293"/>
      <c r="CH10" s="293"/>
      <c r="CI10" s="293"/>
      <c r="CJ10" s="293"/>
      <c r="CK10" s="293"/>
      <c r="CL10" s="293"/>
      <c r="CM10" s="293"/>
      <c r="CN10" s="293"/>
      <c r="CO10" s="293"/>
      <c r="CP10" s="293"/>
      <c r="CQ10" s="293"/>
      <c r="CR10" s="293"/>
      <c r="CS10" s="293"/>
      <c r="CT10" s="293"/>
      <c r="CU10" s="293"/>
      <c r="CV10" s="293"/>
      <c r="CW10" s="293"/>
      <c r="CX10" s="293"/>
      <c r="CY10" s="293"/>
      <c r="CZ10" s="293"/>
      <c r="DA10" s="293"/>
      <c r="DB10" s="293"/>
      <c r="DC10" s="293"/>
      <c r="DD10" s="293"/>
      <c r="DE10" s="293"/>
      <c r="DF10" s="293"/>
      <c r="DG10" s="293"/>
      <c r="DH10" s="293"/>
      <c r="DI10" s="293"/>
      <c r="DJ10" s="293"/>
      <c r="DK10" s="293"/>
      <c r="DL10" s="293"/>
      <c r="DM10" s="293"/>
      <c r="DN10" s="293"/>
      <c r="DO10" s="293"/>
      <c r="DP10" s="293"/>
      <c r="DQ10" s="293"/>
      <c r="DR10" s="293"/>
      <c r="DS10" s="293"/>
      <c r="DT10" s="298"/>
      <c r="DV10" s="26"/>
      <c r="DW10" s="1004"/>
      <c r="DX10" s="1004"/>
      <c r="DY10" s="1004"/>
      <c r="DZ10" s="32"/>
      <c r="EA10" s="32"/>
      <c r="EB10" s="32"/>
      <c r="EC10" s="32"/>
      <c r="ED10" s="32"/>
      <c r="EE10" s="32"/>
      <c r="EF10" s="32"/>
    </row>
    <row r="11" spans="1:136" ht="6" customHeight="1">
      <c r="B11" s="1966" t="str">
        <f ca="1">'D1-D2-D3'!B11:AR12</f>
        <v>Basic Data</v>
      </c>
      <c r="C11" s="1967"/>
      <c r="D11" s="1967"/>
      <c r="E11" s="1967"/>
      <c r="F11" s="1967"/>
      <c r="G11" s="1967"/>
      <c r="H11" s="1967"/>
      <c r="I11" s="1967"/>
      <c r="J11" s="1967"/>
      <c r="K11" s="1967"/>
      <c r="L11" s="1967"/>
      <c r="M11" s="1967"/>
      <c r="N11" s="1967"/>
      <c r="O11" s="1967"/>
      <c r="P11" s="1967"/>
      <c r="Q11" s="1967"/>
      <c r="R11" s="1967"/>
      <c r="S11" s="1967"/>
      <c r="T11" s="1967"/>
      <c r="U11" s="1967"/>
      <c r="V11" s="1967"/>
      <c r="W11" s="1967"/>
      <c r="X11" s="1967"/>
      <c r="Y11" s="1967"/>
      <c r="Z11" s="1967"/>
      <c r="AA11" s="1967"/>
      <c r="AB11" s="1967"/>
      <c r="AC11" s="1967"/>
      <c r="AD11" s="1967"/>
      <c r="AE11" s="1967"/>
      <c r="AF11" s="1967"/>
      <c r="AG11" s="1967"/>
      <c r="AH11" s="1967"/>
      <c r="AI11" s="1967"/>
      <c r="AJ11" s="1967"/>
      <c r="AK11" s="1967"/>
      <c r="AL11" s="1967"/>
      <c r="AM11" s="1967"/>
      <c r="AN11" s="1967"/>
      <c r="AO11" s="1967"/>
      <c r="AP11" s="1967"/>
      <c r="AQ11" s="1967"/>
      <c r="AR11" s="1967"/>
      <c r="AS11" s="185"/>
      <c r="AT11" s="185"/>
      <c r="AU11" s="185"/>
      <c r="AV11" s="185"/>
      <c r="AW11" s="185"/>
      <c r="AX11" s="185"/>
      <c r="AY11" s="185"/>
      <c r="AZ11" s="185"/>
      <c r="BA11" s="185"/>
      <c r="BB11" s="185"/>
      <c r="BC11" s="185"/>
      <c r="BD11" s="185"/>
      <c r="BE11" s="185"/>
      <c r="BF11" s="185"/>
      <c r="BG11" s="185"/>
      <c r="BH11" s="185"/>
      <c r="BI11" s="185"/>
      <c r="BJ11" s="185"/>
      <c r="BK11" s="185"/>
      <c r="BL11" s="185"/>
      <c r="BM11" s="185"/>
      <c r="BN11" s="185"/>
      <c r="BO11" s="307"/>
      <c r="BP11" s="307"/>
      <c r="BQ11" s="307"/>
      <c r="BR11" s="307"/>
      <c r="BS11" s="307"/>
      <c r="BT11" s="307"/>
      <c r="BU11" s="307"/>
      <c r="BV11" s="307"/>
      <c r="BW11" s="307"/>
      <c r="BX11" s="307"/>
      <c r="BY11" s="307"/>
      <c r="BZ11" s="307"/>
      <c r="CA11" s="307"/>
      <c r="CB11" s="307"/>
      <c r="CC11" s="307"/>
      <c r="CD11" s="307"/>
      <c r="CE11" s="307"/>
      <c r="CF11" s="307"/>
      <c r="CG11" s="307"/>
      <c r="CH11" s="307"/>
      <c r="CI11" s="307"/>
      <c r="CJ11" s="307"/>
      <c r="CK11" s="307"/>
      <c r="CL11" s="307"/>
      <c r="CM11" s="307"/>
      <c r="CN11" s="307"/>
      <c r="CO11" s="307"/>
      <c r="CP11" s="307"/>
      <c r="CQ11" s="307"/>
      <c r="CR11" s="307"/>
      <c r="CS11" s="307"/>
      <c r="CT11" s="307"/>
      <c r="CU11" s="307"/>
      <c r="CV11" s="307"/>
      <c r="CW11" s="307"/>
      <c r="CX11" s="307"/>
      <c r="CY11" s="307"/>
      <c r="CZ11" s="307"/>
      <c r="DA11" s="307"/>
      <c r="DB11" s="307"/>
      <c r="DC11" s="307"/>
      <c r="DD11" s="307"/>
      <c r="DE11" s="307"/>
      <c r="DF11" s="307"/>
      <c r="DG11" s="307"/>
      <c r="DH11" s="307"/>
      <c r="DI11" s="307"/>
      <c r="DJ11" s="307"/>
      <c r="DK11" s="307"/>
      <c r="DL11" s="307"/>
      <c r="DM11" s="307"/>
      <c r="DN11" s="307"/>
      <c r="DO11" s="307"/>
      <c r="DP11" s="307"/>
      <c r="DQ11" s="307"/>
      <c r="DR11" s="307"/>
      <c r="DS11" s="307"/>
      <c r="DT11" s="308"/>
      <c r="DW11" s="104"/>
      <c r="DX11" s="1002"/>
      <c r="DY11" s="1002"/>
      <c r="DZ11" s="1002"/>
      <c r="EA11" s="1002"/>
      <c r="EB11" s="1002"/>
      <c r="EC11" s="1002"/>
      <c r="ED11" s="1002"/>
      <c r="EE11" s="1002"/>
      <c r="EF11" s="32"/>
    </row>
    <row r="12" spans="1:136" ht="31.5" customHeight="1">
      <c r="B12" s="1968"/>
      <c r="C12" s="1969"/>
      <c r="D12" s="1969"/>
      <c r="E12" s="1969"/>
      <c r="F12" s="1969"/>
      <c r="G12" s="1969"/>
      <c r="H12" s="1969"/>
      <c r="I12" s="1969"/>
      <c r="J12" s="1969"/>
      <c r="K12" s="1969"/>
      <c r="L12" s="1969"/>
      <c r="M12" s="1969"/>
      <c r="N12" s="1969"/>
      <c r="O12" s="1969"/>
      <c r="P12" s="1969"/>
      <c r="Q12" s="1969"/>
      <c r="R12" s="1969"/>
      <c r="S12" s="1969"/>
      <c r="T12" s="1969"/>
      <c r="U12" s="1969"/>
      <c r="V12" s="1969"/>
      <c r="W12" s="1969"/>
      <c r="X12" s="1969"/>
      <c r="Y12" s="1969"/>
      <c r="Z12" s="1969"/>
      <c r="AA12" s="1969"/>
      <c r="AB12" s="1969"/>
      <c r="AC12" s="1969"/>
      <c r="AD12" s="1969"/>
      <c r="AE12" s="1969"/>
      <c r="AF12" s="1969"/>
      <c r="AG12" s="1969"/>
      <c r="AH12" s="1969"/>
      <c r="AI12" s="1969"/>
      <c r="AJ12" s="1969"/>
      <c r="AK12" s="1969"/>
      <c r="AL12" s="1969"/>
      <c r="AM12" s="1969"/>
      <c r="AN12" s="1969"/>
      <c r="AO12" s="1969"/>
      <c r="AP12" s="1969"/>
      <c r="AQ12" s="1969"/>
      <c r="AR12" s="1969"/>
      <c r="AS12" s="186"/>
      <c r="AT12" s="186"/>
      <c r="AU12" s="186"/>
      <c r="AV12" s="186"/>
      <c r="AW12" s="186"/>
      <c r="AX12" s="186"/>
      <c r="AY12" s="186"/>
      <c r="AZ12" s="186"/>
      <c r="BA12" s="186"/>
      <c r="BB12" s="186"/>
      <c r="BC12" s="186"/>
      <c r="BD12" s="186"/>
      <c r="BE12" s="186"/>
      <c r="BF12" s="186"/>
      <c r="BG12" s="186"/>
      <c r="BH12" s="186"/>
      <c r="BI12" s="186"/>
      <c r="BJ12" s="186"/>
      <c r="BK12" s="186"/>
      <c r="BL12" s="186"/>
      <c r="BM12" s="186"/>
      <c r="BN12" s="186"/>
      <c r="BO12" s="309"/>
      <c r="BP12" s="310"/>
      <c r="BQ12" s="310"/>
      <c r="BR12" s="310"/>
      <c r="BS12" s="310"/>
      <c r="BT12" s="310"/>
      <c r="BU12" s="310"/>
      <c r="BV12" s="310"/>
      <c r="BW12" s="310"/>
      <c r="BX12" s="310"/>
      <c r="BY12" s="310"/>
      <c r="BZ12" s="310"/>
      <c r="CA12" s="310"/>
      <c r="CB12" s="310"/>
      <c r="CC12" s="310"/>
      <c r="CD12" s="310"/>
      <c r="CE12" s="310"/>
      <c r="CF12" s="310"/>
      <c r="CG12" s="310"/>
      <c r="CH12" s="310"/>
      <c r="CI12" s="310"/>
      <c r="CJ12" s="310"/>
      <c r="CK12" s="310"/>
      <c r="CL12" s="310"/>
      <c r="CM12" s="310"/>
      <c r="CN12" s="310"/>
      <c r="CO12" s="310"/>
      <c r="CP12" s="310"/>
      <c r="CQ12" s="310"/>
      <c r="CR12" s="310"/>
      <c r="CS12" s="310"/>
      <c r="CT12" s="310"/>
      <c r="CU12" s="310"/>
      <c r="CV12" s="310"/>
      <c r="CW12" s="310"/>
      <c r="CX12" s="310"/>
      <c r="CY12" s="310"/>
      <c r="CZ12" s="310"/>
      <c r="DA12" s="310"/>
      <c r="DB12" s="310"/>
      <c r="DC12" s="310"/>
      <c r="DD12" s="310"/>
      <c r="DE12" s="310"/>
      <c r="DF12" s="310"/>
      <c r="DG12" s="310"/>
      <c r="DH12" s="310"/>
      <c r="DI12" s="310"/>
      <c r="DJ12" s="310"/>
      <c r="DK12" s="310"/>
      <c r="DL12" s="310"/>
      <c r="DM12" s="310"/>
      <c r="DN12" s="310"/>
      <c r="DO12" s="310"/>
      <c r="DP12" s="310"/>
      <c r="DQ12" s="310"/>
      <c r="DR12" s="310"/>
      <c r="DS12" s="310"/>
      <c r="DT12" s="311"/>
      <c r="DU12" s="305"/>
      <c r="DV12" s="305"/>
      <c r="DW12" s="126"/>
      <c r="DX12" s="126"/>
      <c r="DY12" s="126"/>
      <c r="DZ12" s="126"/>
      <c r="EA12" s="126"/>
      <c r="EB12" s="126"/>
      <c r="EC12" s="126"/>
      <c r="ED12" s="126"/>
      <c r="EE12" s="126"/>
      <c r="EF12" s="187"/>
    </row>
    <row r="13" spans="1:136" ht="6" customHeight="1">
      <c r="B13" s="312"/>
      <c r="C13" s="313"/>
      <c r="D13" s="313"/>
      <c r="E13" s="313"/>
      <c r="F13" s="313"/>
      <c r="G13" s="313"/>
      <c r="H13" s="313"/>
      <c r="I13" s="313"/>
      <c r="J13" s="313"/>
      <c r="K13" s="313"/>
      <c r="L13" s="313"/>
      <c r="M13" s="313"/>
      <c r="N13" s="313"/>
      <c r="O13" s="313"/>
      <c r="P13" s="313"/>
      <c r="Q13" s="313"/>
      <c r="R13" s="313"/>
      <c r="S13" s="313"/>
      <c r="T13" s="313"/>
      <c r="U13" s="313"/>
      <c r="V13" s="313"/>
      <c r="W13" s="313"/>
      <c r="X13" s="313"/>
      <c r="Y13" s="313"/>
      <c r="Z13" s="313"/>
      <c r="AA13" s="313"/>
      <c r="AB13" s="313"/>
      <c r="AC13" s="313"/>
      <c r="AD13" s="313"/>
      <c r="AE13" s="313"/>
      <c r="AF13" s="313"/>
      <c r="AG13" s="313"/>
      <c r="AH13" s="313"/>
      <c r="AI13" s="313"/>
      <c r="AJ13" s="313"/>
      <c r="AK13" s="313"/>
      <c r="AL13" s="313"/>
      <c r="AM13" s="313"/>
      <c r="AN13" s="313"/>
      <c r="AO13" s="313"/>
      <c r="AP13" s="313"/>
      <c r="AQ13" s="313"/>
      <c r="AR13" s="313"/>
      <c r="AS13" s="313"/>
      <c r="AT13" s="313"/>
      <c r="AU13" s="313"/>
      <c r="AV13" s="313"/>
      <c r="AW13" s="313"/>
      <c r="AX13" s="313"/>
      <c r="AY13" s="313"/>
      <c r="AZ13" s="313"/>
      <c r="BA13" s="313"/>
      <c r="BB13" s="313"/>
      <c r="BC13" s="313"/>
      <c r="BD13" s="313"/>
      <c r="BE13" s="313"/>
      <c r="BF13" s="313"/>
      <c r="BG13" s="313"/>
      <c r="BH13" s="313"/>
      <c r="BI13" s="313"/>
      <c r="BJ13" s="313"/>
      <c r="BK13" s="313"/>
      <c r="BL13" s="313"/>
      <c r="BM13" s="313"/>
      <c r="BN13" s="313"/>
      <c r="BO13" s="313"/>
      <c r="BP13" s="313"/>
      <c r="BQ13" s="313"/>
      <c r="BR13" s="313"/>
      <c r="BS13" s="313"/>
      <c r="BT13" s="313"/>
      <c r="BU13" s="313"/>
      <c r="BV13" s="313"/>
      <c r="BW13" s="313"/>
      <c r="BX13" s="313"/>
      <c r="BY13" s="313"/>
      <c r="BZ13" s="313"/>
      <c r="CA13" s="313"/>
      <c r="CB13" s="313"/>
      <c r="CC13" s="313"/>
      <c r="CD13" s="313"/>
      <c r="CE13" s="313"/>
      <c r="CF13" s="313"/>
      <c r="CG13" s="313"/>
      <c r="CH13" s="313"/>
      <c r="CI13" s="313"/>
      <c r="CJ13" s="313"/>
      <c r="CK13" s="313"/>
      <c r="CL13" s="313"/>
      <c r="CM13" s="313"/>
      <c r="CN13" s="313"/>
      <c r="CO13" s="313"/>
      <c r="CP13" s="313"/>
      <c r="CQ13" s="313"/>
      <c r="CR13" s="313"/>
      <c r="CS13" s="313"/>
      <c r="CT13" s="313"/>
      <c r="CU13" s="313"/>
      <c r="CV13" s="313"/>
      <c r="CW13" s="313"/>
      <c r="CX13" s="313"/>
      <c r="CY13" s="313"/>
      <c r="CZ13" s="313"/>
      <c r="DA13" s="313"/>
      <c r="DB13" s="313"/>
      <c r="DC13" s="313"/>
      <c r="DD13" s="313"/>
      <c r="DE13" s="313"/>
      <c r="DF13" s="313"/>
      <c r="DG13" s="313"/>
      <c r="DH13" s="313"/>
      <c r="DI13" s="313"/>
      <c r="DJ13" s="313"/>
      <c r="DK13" s="313"/>
      <c r="DL13" s="313"/>
      <c r="DM13" s="313"/>
      <c r="DN13" s="313"/>
      <c r="DO13" s="313"/>
      <c r="DP13" s="313"/>
      <c r="DQ13" s="313"/>
      <c r="DR13" s="313"/>
      <c r="DS13" s="313"/>
      <c r="DT13" s="311"/>
      <c r="DU13" s="305"/>
      <c r="DV13" s="305"/>
      <c r="DW13" s="126"/>
      <c r="DX13" s="126"/>
      <c r="DY13" s="126"/>
      <c r="DZ13" s="126"/>
      <c r="EA13" s="126"/>
      <c r="EB13" s="126"/>
      <c r="EC13" s="126"/>
      <c r="ED13" s="126"/>
      <c r="EE13" s="126"/>
      <c r="EF13" s="187"/>
    </row>
    <row r="14" spans="1:136" ht="30" customHeight="1">
      <c r="B14" s="312"/>
      <c r="C14" s="313"/>
      <c r="D14" s="1200" t="s">
        <v>900</v>
      </c>
      <c r="E14" s="1200"/>
      <c r="F14" s="1200"/>
      <c r="G14" s="1200"/>
      <c r="H14" s="1200"/>
      <c r="I14" s="1200"/>
      <c r="J14" s="1200"/>
      <c r="K14" s="1200"/>
      <c r="L14" s="1200"/>
      <c r="M14" s="1201"/>
      <c r="N14" s="2229"/>
      <c r="O14" s="2230"/>
      <c r="P14" s="2230"/>
      <c r="Q14" s="2230"/>
      <c r="R14" s="2230"/>
      <c r="S14" s="2230"/>
      <c r="T14" s="2230"/>
      <c r="U14" s="2230"/>
      <c r="V14" s="2230"/>
      <c r="W14" s="2230"/>
      <c r="X14" s="2230"/>
      <c r="Y14" s="2230"/>
      <c r="Z14" s="2230"/>
      <c r="AA14" s="2230"/>
      <c r="AB14" s="2230"/>
      <c r="AC14" s="2230"/>
      <c r="AD14" s="2230"/>
      <c r="AE14" s="2230"/>
      <c r="AF14" s="2230"/>
      <c r="AG14" s="2230"/>
      <c r="AH14" s="2231"/>
      <c r="AI14" s="313"/>
      <c r="AJ14" s="313"/>
      <c r="AK14" s="313"/>
      <c r="AL14" s="313"/>
      <c r="AM14" s="1198" t="str">
        <f ca="1">DY7</f>
        <v>Int. KSK-No.</v>
      </c>
      <c r="AN14" s="1198"/>
      <c r="AO14" s="1198"/>
      <c r="AP14" s="1198"/>
      <c r="AQ14" s="1198"/>
      <c r="AR14" s="1198"/>
      <c r="AS14" s="1198"/>
      <c r="AT14" s="1198"/>
      <c r="AU14" s="1198"/>
      <c r="AV14" s="1198"/>
      <c r="AW14" s="1198"/>
      <c r="AX14" s="1198"/>
      <c r="AY14" s="1198"/>
      <c r="AZ14" s="1198"/>
      <c r="BA14" s="1198"/>
      <c r="BB14" s="1199"/>
      <c r="BC14" s="2232"/>
      <c r="BD14" s="2233"/>
      <c r="BE14" s="2233"/>
      <c r="BF14" s="2233"/>
      <c r="BG14" s="2233"/>
      <c r="BH14" s="2233"/>
      <c r="BI14" s="2233"/>
      <c r="BJ14" s="2233"/>
      <c r="BK14" s="2233"/>
      <c r="BL14" s="2233"/>
      <c r="BM14" s="2233"/>
      <c r="BN14" s="2233"/>
      <c r="BO14" s="2233"/>
      <c r="BP14" s="2233"/>
      <c r="BQ14" s="2233"/>
      <c r="BR14" s="2233"/>
      <c r="BS14" s="2233"/>
      <c r="BT14" s="2233"/>
      <c r="BU14" s="2234"/>
      <c r="BV14" s="293"/>
      <c r="BW14" s="293"/>
      <c r="BX14" s="293"/>
      <c r="BY14" s="293"/>
      <c r="BZ14" s="293"/>
      <c r="CA14" s="293"/>
      <c r="CB14" s="305"/>
      <c r="CC14" s="357" t="str">
        <f ca="1">INDIRECT($J$4&amp;"!C21")</f>
        <v>Production date/time</v>
      </c>
      <c r="CD14" s="37"/>
      <c r="CE14" s="26"/>
      <c r="CF14" s="26"/>
      <c r="CG14" s="37"/>
      <c r="CH14" s="37"/>
      <c r="CI14" s="55"/>
      <c r="CJ14" s="55"/>
      <c r="CK14" s="55"/>
      <c r="CL14" s="55"/>
      <c r="CM14" s="55"/>
      <c r="CN14" s="55"/>
      <c r="CO14" s="55"/>
      <c r="CP14" s="55"/>
      <c r="CQ14" s="55"/>
      <c r="CR14" s="55"/>
      <c r="CS14" s="55"/>
      <c r="CT14" s="55"/>
      <c r="CU14" s="55"/>
      <c r="CV14" s="55"/>
      <c r="CW14" s="55"/>
      <c r="CX14" s="55"/>
      <c r="CY14" s="55"/>
      <c r="CZ14" s="55"/>
      <c r="DA14" s="55"/>
      <c r="DB14" s="55"/>
      <c r="DC14" s="55"/>
      <c r="DD14" s="2235"/>
      <c r="DE14" s="2236"/>
      <c r="DF14" s="2236"/>
      <c r="DG14" s="2236"/>
      <c r="DH14" s="2236"/>
      <c r="DI14" s="2236"/>
      <c r="DJ14" s="2236"/>
      <c r="DK14" s="2236"/>
      <c r="DL14" s="2236"/>
      <c r="DM14" s="2236"/>
      <c r="DN14" s="2236"/>
      <c r="DO14" s="2236"/>
      <c r="DP14" s="2236"/>
      <c r="DQ14" s="2236"/>
      <c r="DR14" s="2237"/>
      <c r="DS14" s="1011"/>
      <c r="DT14" s="311"/>
      <c r="DU14" s="305"/>
      <c r="DV14" s="305"/>
      <c r="DW14" s="126"/>
      <c r="DX14" s="126"/>
      <c r="DY14" s="126"/>
      <c r="DZ14" s="126"/>
      <c r="EA14" s="126"/>
      <c r="EB14" s="126"/>
      <c r="EC14" s="126"/>
      <c r="ED14" s="126"/>
      <c r="EE14" s="126"/>
      <c r="EF14" s="187"/>
    </row>
    <row r="15" spans="1:136" ht="6" customHeight="1">
      <c r="B15" s="312"/>
      <c r="C15" s="313"/>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313"/>
      <c r="AJ15" s="313"/>
      <c r="AK15" s="313"/>
      <c r="AL15" s="313"/>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c r="BQ15" s="188"/>
      <c r="BR15" s="188"/>
      <c r="BS15" s="188"/>
      <c r="BT15" s="188"/>
      <c r="BU15" s="188"/>
      <c r="BV15" s="293"/>
      <c r="BW15" s="293"/>
      <c r="BX15" s="293"/>
      <c r="BY15" s="293"/>
      <c r="BZ15" s="293"/>
      <c r="CA15" s="293"/>
      <c r="CB15" s="305"/>
      <c r="CC15" s="20"/>
      <c r="CD15" s="305"/>
      <c r="CE15" s="293"/>
      <c r="CF15" s="293"/>
      <c r="CG15" s="305"/>
      <c r="CH15" s="305"/>
      <c r="CI15" s="313"/>
      <c r="CJ15" s="313"/>
      <c r="CK15" s="313"/>
      <c r="CL15" s="313"/>
      <c r="CM15" s="313"/>
      <c r="CN15" s="313"/>
      <c r="CO15" s="313"/>
      <c r="CP15" s="313"/>
      <c r="CQ15" s="313"/>
      <c r="CR15" s="313"/>
      <c r="CS15" s="313"/>
      <c r="CT15" s="313"/>
      <c r="CU15" s="313"/>
      <c r="CV15" s="313"/>
      <c r="CW15" s="313"/>
      <c r="CX15" s="313"/>
      <c r="CY15" s="313"/>
      <c r="CZ15" s="313"/>
      <c r="DA15" s="313"/>
      <c r="DB15" s="313"/>
      <c r="DC15" s="313"/>
      <c r="DD15" s="313"/>
      <c r="DE15" s="313"/>
      <c r="DF15" s="313"/>
      <c r="DG15" s="313"/>
      <c r="DH15" s="313"/>
      <c r="DI15" s="313"/>
      <c r="DJ15" s="313"/>
      <c r="DK15" s="313"/>
      <c r="DL15" s="313"/>
      <c r="DM15" s="313"/>
      <c r="DN15" s="313"/>
      <c r="DO15" s="313"/>
      <c r="DP15" s="313"/>
      <c r="DQ15" s="313"/>
      <c r="DR15" s="313"/>
      <c r="DS15" s="313"/>
      <c r="DT15" s="311"/>
      <c r="DU15" s="305"/>
      <c r="DV15" s="305"/>
      <c r="DW15" s="126"/>
      <c r="DX15" s="126"/>
      <c r="DY15" s="126"/>
      <c r="DZ15" s="126"/>
      <c r="EA15" s="126"/>
      <c r="EB15" s="126"/>
      <c r="EC15" s="126"/>
      <c r="ED15" s="126"/>
      <c r="EE15" s="126"/>
      <c r="EF15" s="187"/>
    </row>
    <row r="16" spans="1:136" ht="30" customHeight="1">
      <c r="B16" s="312"/>
      <c r="C16" s="313"/>
      <c r="D16" s="188"/>
      <c r="E16" s="188"/>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313"/>
      <c r="AJ16" s="313"/>
      <c r="AK16" s="313"/>
      <c r="AL16" s="313"/>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293"/>
      <c r="BW16" s="293"/>
      <c r="BX16" s="293"/>
      <c r="BY16" s="293"/>
      <c r="BZ16" s="293"/>
      <c r="CA16" s="293"/>
      <c r="CB16" s="305"/>
      <c r="CD16" s="37"/>
      <c r="CE16" s="26"/>
      <c r="CF16" s="26"/>
      <c r="CG16" s="37"/>
      <c r="CH16" s="37"/>
      <c r="CI16" s="55"/>
      <c r="CJ16" s="55"/>
      <c r="CK16" s="55"/>
      <c r="CL16" s="55"/>
      <c r="CM16" s="55"/>
      <c r="CN16" s="55"/>
      <c r="CO16" s="55"/>
      <c r="CP16" s="55"/>
      <c r="CQ16" s="55"/>
      <c r="CR16" s="55"/>
      <c r="CS16" s="55"/>
      <c r="CT16" s="55"/>
      <c r="CU16" s="55"/>
      <c r="CV16" s="55"/>
      <c r="CW16" s="55"/>
      <c r="CX16" s="55"/>
      <c r="CY16" s="55"/>
      <c r="CZ16" s="55"/>
      <c r="DA16" s="55"/>
      <c r="DB16" s="55"/>
      <c r="DC16" s="55"/>
      <c r="DD16" s="2010"/>
      <c r="DE16" s="2010"/>
      <c r="DF16" s="2010"/>
      <c r="DG16" s="2010"/>
      <c r="DH16" s="2010"/>
      <c r="DI16" s="2010"/>
      <c r="DJ16" s="2010"/>
      <c r="DK16" s="2010"/>
      <c r="DL16" s="2010"/>
      <c r="DM16" s="2010"/>
      <c r="DN16" s="2010"/>
      <c r="DO16" s="2010"/>
      <c r="DP16" s="2010"/>
      <c r="DQ16" s="2010"/>
      <c r="DR16" s="2010"/>
      <c r="DS16" s="1011"/>
      <c r="DT16" s="311"/>
      <c r="DU16" s="305"/>
      <c r="DV16" s="305"/>
      <c r="DW16" s="126"/>
      <c r="DX16" s="126"/>
      <c r="DY16" s="126"/>
      <c r="DZ16" s="126"/>
      <c r="EA16" s="126"/>
      <c r="EB16" s="126"/>
      <c r="EC16" s="126"/>
      <c r="ED16" s="126"/>
      <c r="EE16" s="126"/>
      <c r="EF16" s="127"/>
    </row>
    <row r="17" spans="2:136" ht="30" customHeight="1">
      <c r="B17" s="312"/>
      <c r="C17" s="313"/>
      <c r="D17" s="1210" t="str">
        <f ca="1">INDIRECT($J$4&amp;"!C17")</f>
        <v>Index</v>
      </c>
      <c r="E17" s="1210"/>
      <c r="F17" s="1210"/>
      <c r="G17" s="1210"/>
      <c r="H17" s="1210"/>
      <c r="I17" s="1210"/>
      <c r="J17" s="1210"/>
      <c r="K17" s="1210"/>
      <c r="L17" s="1210"/>
      <c r="M17" s="1211"/>
      <c r="N17" s="2224"/>
      <c r="O17" s="2225"/>
      <c r="P17" s="2225"/>
      <c r="Q17" s="2225"/>
      <c r="R17" s="2225"/>
      <c r="S17" s="2225"/>
      <c r="T17" s="2225"/>
      <c r="U17" s="2225"/>
      <c r="V17" s="2225"/>
      <c r="W17" s="2225"/>
      <c r="X17" s="2225"/>
      <c r="Y17" s="2225"/>
      <c r="Z17" s="2225"/>
      <c r="AA17" s="2225"/>
      <c r="AB17" s="2225"/>
      <c r="AC17" s="2225"/>
      <c r="AD17" s="2225"/>
      <c r="AE17" s="2225"/>
      <c r="AF17" s="2225"/>
      <c r="AG17" s="2225"/>
      <c r="AH17" s="2226"/>
      <c r="AI17" s="313"/>
      <c r="AJ17" s="313"/>
      <c r="AK17" s="313"/>
      <c r="AL17" s="313"/>
      <c r="AM17" s="1755" t="str">
        <f ca="1">INDIRECT($J$4&amp;"!C16")</f>
        <v>Lfd./Serial</v>
      </c>
      <c r="AN17" s="1755"/>
      <c r="AO17" s="1755"/>
      <c r="AP17" s="1755"/>
      <c r="AQ17" s="1755"/>
      <c r="AR17" s="1755"/>
      <c r="AS17" s="1755"/>
      <c r="AT17" s="1755"/>
      <c r="AU17" s="1755"/>
      <c r="AV17" s="1755"/>
      <c r="AW17" s="1755"/>
      <c r="AX17" s="1755"/>
      <c r="AY17" s="1755"/>
      <c r="AZ17" s="1755"/>
      <c r="BA17" s="1755"/>
      <c r="BB17" s="1970"/>
      <c r="BC17" s="2224"/>
      <c r="BD17" s="2225"/>
      <c r="BE17" s="2225"/>
      <c r="BF17" s="2225"/>
      <c r="BG17" s="2225"/>
      <c r="BH17" s="2225"/>
      <c r="BI17" s="2225"/>
      <c r="BJ17" s="2225"/>
      <c r="BK17" s="2225"/>
      <c r="BL17" s="2225"/>
      <c r="BM17" s="2225"/>
      <c r="BN17" s="2225"/>
      <c r="BO17" s="2225"/>
      <c r="BP17" s="2225"/>
      <c r="BQ17" s="2225"/>
      <c r="BR17" s="2225"/>
      <c r="BS17" s="2225"/>
      <c r="BT17" s="2225"/>
      <c r="BU17" s="2226"/>
      <c r="BV17" s="293"/>
      <c r="BW17" s="293"/>
      <c r="BX17" s="293"/>
      <c r="BY17" s="293"/>
      <c r="BZ17" s="293"/>
      <c r="CA17" s="293"/>
      <c r="CB17" s="305"/>
      <c r="CC17" s="2227" t="s">
        <v>124</v>
      </c>
      <c r="CD17" s="2227"/>
      <c r="CE17" s="2227"/>
      <c r="CF17" s="2227"/>
      <c r="CG17" s="2227"/>
      <c r="CH17" s="2227"/>
      <c r="CI17" s="2227"/>
      <c r="CJ17" s="2227"/>
      <c r="CK17" s="2227"/>
      <c r="CL17" s="2227"/>
      <c r="CM17" s="2227"/>
      <c r="CN17" s="2227"/>
      <c r="CO17" s="2227"/>
      <c r="CP17" s="2227"/>
      <c r="CQ17" s="2227"/>
      <c r="CR17" s="2227"/>
      <c r="CS17" s="2227"/>
      <c r="CT17" s="2227"/>
      <c r="CU17" s="2227"/>
      <c r="CV17" s="2227"/>
      <c r="CW17" s="2227"/>
      <c r="CX17" s="2227"/>
      <c r="CY17" s="2227"/>
      <c r="CZ17" s="2227"/>
      <c r="DA17" s="2227"/>
      <c r="DB17" s="2227"/>
      <c r="DC17" s="2228"/>
      <c r="DD17" s="1087"/>
      <c r="DE17" s="1088"/>
      <c r="DF17" s="1088"/>
      <c r="DG17" s="1088"/>
      <c r="DH17" s="1088"/>
      <c r="DI17" s="1088"/>
      <c r="DJ17" s="1088"/>
      <c r="DK17" s="1088"/>
      <c r="DL17" s="1088"/>
      <c r="DM17" s="1088"/>
      <c r="DN17" s="1088"/>
      <c r="DO17" s="1088"/>
      <c r="DP17" s="1088"/>
      <c r="DQ17" s="1088"/>
      <c r="DR17" s="1089"/>
      <c r="DS17" s="331"/>
      <c r="DT17" s="311"/>
      <c r="DU17" s="305"/>
      <c r="DV17" s="305"/>
      <c r="DW17" s="126"/>
      <c r="DX17" s="126"/>
      <c r="DY17" s="126"/>
      <c r="DZ17" s="126"/>
      <c r="EA17" s="126"/>
      <c r="EB17" s="126"/>
      <c r="EC17" s="126"/>
      <c r="ED17" s="126"/>
      <c r="EE17" s="126"/>
      <c r="EF17" s="127"/>
    </row>
    <row r="18" spans="2:136" ht="6" customHeight="1">
      <c r="B18" s="312"/>
      <c r="C18" s="313"/>
      <c r="D18" s="1005"/>
      <c r="E18" s="1005"/>
      <c r="F18" s="1005"/>
      <c r="G18" s="1005"/>
      <c r="H18" s="1005"/>
      <c r="I18" s="1005"/>
      <c r="J18" s="1005"/>
      <c r="K18" s="1005"/>
      <c r="L18" s="1005"/>
      <c r="M18" s="1005"/>
      <c r="N18" s="1011"/>
      <c r="O18" s="1011"/>
      <c r="P18" s="1011"/>
      <c r="Q18" s="1011"/>
      <c r="R18" s="1011"/>
      <c r="S18" s="1011"/>
      <c r="T18" s="1011"/>
      <c r="U18" s="1011"/>
      <c r="V18" s="1011"/>
      <c r="W18" s="1011"/>
      <c r="X18" s="1011"/>
      <c r="Y18" s="1011"/>
      <c r="Z18" s="1011"/>
      <c r="AA18" s="1011"/>
      <c r="AB18" s="1011"/>
      <c r="AC18" s="1011"/>
      <c r="AD18" s="1011"/>
      <c r="AE18" s="1011"/>
      <c r="AF18" s="1011"/>
      <c r="AG18" s="1011"/>
      <c r="AH18" s="1011"/>
      <c r="AI18" s="313"/>
      <c r="AJ18" s="313"/>
      <c r="AK18" s="313"/>
      <c r="AL18" s="313"/>
      <c r="AM18" s="1005"/>
      <c r="AN18" s="1005"/>
      <c r="AO18" s="1005"/>
      <c r="AP18" s="1005"/>
      <c r="AQ18" s="1005"/>
      <c r="AR18" s="1005"/>
      <c r="AS18" s="1005"/>
      <c r="AT18" s="1005"/>
      <c r="AU18" s="1005"/>
      <c r="AV18" s="1005"/>
      <c r="AW18" s="1005"/>
      <c r="AX18" s="1005"/>
      <c r="AY18" s="1005"/>
      <c r="AZ18" s="1005"/>
      <c r="BA18" s="1005"/>
      <c r="BB18" s="1005"/>
      <c r="BC18" s="1011"/>
      <c r="BD18" s="1011"/>
      <c r="BE18" s="1011"/>
      <c r="BF18" s="1011"/>
      <c r="BG18" s="1011"/>
      <c r="BH18" s="1011"/>
      <c r="BI18" s="1011"/>
      <c r="BJ18" s="1011"/>
      <c r="BK18" s="1011"/>
      <c r="BL18" s="1011"/>
      <c r="BM18" s="1011"/>
      <c r="BN18" s="1011"/>
      <c r="BO18" s="1011"/>
      <c r="BP18" s="1011"/>
      <c r="BQ18" s="1011"/>
      <c r="BR18" s="1011"/>
      <c r="BS18" s="1011"/>
      <c r="BT18" s="1011"/>
      <c r="BU18" s="1011"/>
      <c r="BV18" s="293"/>
      <c r="BW18" s="293"/>
      <c r="BX18" s="293"/>
      <c r="BY18" s="293"/>
      <c r="BZ18" s="293"/>
      <c r="CA18" s="293"/>
      <c r="CB18" s="305"/>
      <c r="CC18" s="357"/>
      <c r="CD18" s="37"/>
      <c r="CE18" s="26"/>
      <c r="CF18" s="26"/>
      <c r="CG18" s="37"/>
      <c r="CH18" s="37"/>
      <c r="CI18" s="55"/>
      <c r="CJ18" s="55"/>
      <c r="CK18" s="55"/>
      <c r="CL18" s="55"/>
      <c r="CM18" s="55"/>
      <c r="CN18" s="55"/>
      <c r="CO18" s="55"/>
      <c r="CP18" s="55"/>
      <c r="CQ18" s="55"/>
      <c r="CR18" s="55"/>
      <c r="CS18" s="55"/>
      <c r="CT18" s="55"/>
      <c r="CU18" s="55"/>
      <c r="CV18" s="37"/>
      <c r="CW18" s="37"/>
      <c r="CX18" s="37"/>
      <c r="CY18" s="37"/>
      <c r="CZ18" s="37"/>
      <c r="DA18" s="55"/>
      <c r="DB18" s="55"/>
      <c r="DC18" s="55"/>
      <c r="DD18" s="331"/>
      <c r="DE18" s="331"/>
      <c r="DF18" s="331"/>
      <c r="DG18" s="331"/>
      <c r="DH18" s="331"/>
      <c r="DI18" s="331"/>
      <c r="DJ18" s="331"/>
      <c r="DK18" s="331"/>
      <c r="DL18" s="331"/>
      <c r="DM18" s="331"/>
      <c r="DN18" s="331"/>
      <c r="DO18" s="331"/>
      <c r="DP18" s="331"/>
      <c r="DQ18" s="331"/>
      <c r="DR18" s="331"/>
      <c r="DS18" s="331"/>
      <c r="DT18" s="311"/>
      <c r="DU18" s="305"/>
      <c r="DV18" s="305"/>
      <c r="DW18" s="126"/>
      <c r="DX18" s="126"/>
      <c r="DY18" s="126"/>
      <c r="DZ18" s="126"/>
      <c r="EA18" s="126"/>
      <c r="EB18" s="126"/>
      <c r="EC18" s="126"/>
      <c r="ED18" s="126"/>
      <c r="EE18" s="126"/>
      <c r="EF18" s="127"/>
    </row>
    <row r="19" spans="2:136" ht="6" customHeight="1" thickBot="1">
      <c r="B19" s="312"/>
      <c r="C19" s="310"/>
      <c r="D19" s="310"/>
      <c r="E19" s="310"/>
      <c r="F19" s="310"/>
      <c r="G19" s="310"/>
      <c r="H19" s="310"/>
      <c r="I19" s="310"/>
      <c r="J19" s="310"/>
      <c r="K19" s="310"/>
      <c r="L19" s="310"/>
      <c r="M19" s="310"/>
      <c r="N19" s="310"/>
      <c r="O19" s="310"/>
      <c r="P19" s="310"/>
      <c r="Q19" s="310"/>
      <c r="R19" s="310"/>
      <c r="S19" s="310"/>
      <c r="T19" s="310"/>
      <c r="U19" s="310"/>
      <c r="V19" s="310"/>
      <c r="W19" s="310"/>
      <c r="X19" s="310"/>
      <c r="Y19" s="310"/>
      <c r="Z19" s="310"/>
      <c r="AA19" s="310"/>
      <c r="AB19" s="310"/>
      <c r="AC19" s="310"/>
      <c r="AD19" s="310"/>
      <c r="AE19" s="310"/>
      <c r="AF19" s="310"/>
      <c r="AG19" s="310"/>
      <c r="AH19" s="310"/>
      <c r="AI19" s="310"/>
      <c r="AJ19" s="310"/>
      <c r="AK19" s="310"/>
      <c r="AL19" s="310"/>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0"/>
      <c r="BK19" s="310"/>
      <c r="BL19" s="310"/>
      <c r="BM19" s="310"/>
      <c r="BN19" s="310"/>
      <c r="BO19" s="310"/>
      <c r="BP19" s="310"/>
      <c r="BQ19" s="310"/>
      <c r="BR19" s="310"/>
      <c r="BS19" s="310"/>
      <c r="BT19" s="310"/>
      <c r="BU19" s="310"/>
      <c r="BV19" s="310"/>
      <c r="BW19" s="310"/>
      <c r="BX19" s="310"/>
      <c r="BY19" s="310"/>
      <c r="BZ19" s="310"/>
      <c r="CA19" s="310"/>
      <c r="CB19" s="310"/>
      <c r="CC19" s="310"/>
      <c r="CD19" s="310"/>
      <c r="CE19" s="310"/>
      <c r="CF19" s="310"/>
      <c r="CG19" s="310"/>
      <c r="CH19" s="310"/>
      <c r="CI19" s="310"/>
      <c r="CJ19" s="310"/>
      <c r="CK19" s="310"/>
      <c r="CL19" s="310"/>
      <c r="CM19" s="310"/>
      <c r="CN19" s="310"/>
      <c r="CO19" s="310"/>
      <c r="CP19" s="310"/>
      <c r="CQ19" s="310"/>
      <c r="CR19" s="310"/>
      <c r="CS19" s="310"/>
      <c r="CT19" s="310"/>
      <c r="CU19" s="310"/>
      <c r="CV19" s="310"/>
      <c r="CW19" s="310"/>
      <c r="CX19" s="310"/>
      <c r="CY19" s="310"/>
      <c r="CZ19" s="310"/>
      <c r="DA19" s="310"/>
      <c r="DB19" s="310"/>
      <c r="DC19" s="310"/>
      <c r="DD19" s="310"/>
      <c r="DE19" s="310"/>
      <c r="DF19" s="310"/>
      <c r="DG19" s="310"/>
      <c r="DH19" s="310"/>
      <c r="DI19" s="310"/>
      <c r="DJ19" s="310"/>
      <c r="DK19" s="310"/>
      <c r="DL19" s="310"/>
      <c r="DM19" s="310"/>
      <c r="DN19" s="310"/>
      <c r="DO19" s="310"/>
      <c r="DP19" s="310"/>
      <c r="DQ19" s="310"/>
      <c r="DR19" s="310"/>
      <c r="DS19" s="310"/>
      <c r="DT19" s="311"/>
      <c r="DU19" s="305"/>
      <c r="DV19" s="305"/>
      <c r="DW19" s="126"/>
      <c r="DX19" s="126"/>
      <c r="DY19" s="126"/>
      <c r="DZ19" s="126"/>
      <c r="EA19" s="126"/>
      <c r="EB19" s="126"/>
      <c r="EC19" s="126"/>
      <c r="ED19" s="126"/>
      <c r="EE19" s="126"/>
      <c r="EF19" s="127"/>
    </row>
    <row r="20" spans="2:136" ht="6" customHeight="1">
      <c r="B20" s="1966" t="str">
        <f ca="1">'D1-D2-D3'!B18</f>
        <v>D1 - Team</v>
      </c>
      <c r="C20" s="1967"/>
      <c r="D20" s="1967"/>
      <c r="E20" s="1967"/>
      <c r="F20" s="1967"/>
      <c r="G20" s="1967"/>
      <c r="H20" s="1967"/>
      <c r="I20" s="1967"/>
      <c r="J20" s="1967"/>
      <c r="K20" s="1967"/>
      <c r="L20" s="1967"/>
      <c r="M20" s="1967"/>
      <c r="N20" s="1967"/>
      <c r="O20" s="1967"/>
      <c r="P20" s="1967"/>
      <c r="Q20" s="1967"/>
      <c r="R20" s="1967"/>
      <c r="S20" s="1967"/>
      <c r="T20" s="1967"/>
      <c r="U20" s="1967"/>
      <c r="V20" s="1967"/>
      <c r="W20" s="1967"/>
      <c r="X20" s="1967"/>
      <c r="Y20" s="1967"/>
      <c r="Z20" s="1967"/>
      <c r="AA20" s="1967"/>
      <c r="AB20" s="1967"/>
      <c r="AC20" s="1967"/>
      <c r="AD20" s="1967"/>
      <c r="AE20" s="307"/>
      <c r="AF20" s="307"/>
      <c r="AG20" s="307"/>
      <c r="AH20" s="307"/>
      <c r="AI20" s="307"/>
      <c r="AJ20" s="307"/>
      <c r="AK20" s="307"/>
      <c r="AL20" s="307"/>
      <c r="AM20" s="307"/>
      <c r="AN20" s="307"/>
      <c r="AO20" s="307"/>
      <c r="AP20" s="307"/>
      <c r="AQ20" s="307"/>
      <c r="AR20" s="307"/>
      <c r="AS20" s="307"/>
      <c r="AT20" s="307"/>
      <c r="AU20" s="307"/>
      <c r="AV20" s="307"/>
      <c r="AW20" s="307"/>
      <c r="AX20" s="307"/>
      <c r="AY20" s="307"/>
      <c r="AZ20" s="307"/>
      <c r="BA20" s="307"/>
      <c r="BB20" s="307"/>
      <c r="BC20" s="307"/>
      <c r="BD20" s="307"/>
      <c r="BE20" s="307"/>
      <c r="BF20" s="307"/>
      <c r="BG20" s="307"/>
      <c r="BH20" s="307"/>
      <c r="BI20" s="307"/>
      <c r="BJ20" s="307"/>
      <c r="BK20" s="307"/>
      <c r="BL20" s="307"/>
      <c r="BM20" s="307"/>
      <c r="BN20" s="307"/>
      <c r="BO20" s="307"/>
      <c r="BP20" s="307"/>
      <c r="BQ20" s="307"/>
      <c r="BR20" s="307"/>
      <c r="BS20" s="307"/>
      <c r="BT20" s="307"/>
      <c r="BU20" s="307"/>
      <c r="BV20" s="307"/>
      <c r="BW20" s="307"/>
      <c r="BX20" s="307"/>
      <c r="BY20" s="307"/>
      <c r="BZ20" s="307"/>
      <c r="CA20" s="307"/>
      <c r="CB20" s="307"/>
      <c r="CC20" s="307"/>
      <c r="CD20" s="307"/>
      <c r="CE20" s="307"/>
      <c r="CF20" s="307"/>
      <c r="CG20" s="307"/>
      <c r="CH20" s="307"/>
      <c r="CI20" s="307"/>
      <c r="CJ20" s="307"/>
      <c r="CK20" s="307"/>
      <c r="CL20" s="307"/>
      <c r="CM20" s="307"/>
      <c r="CN20" s="307"/>
      <c r="CO20" s="307"/>
      <c r="CP20" s="307"/>
      <c r="CQ20" s="307"/>
      <c r="CR20" s="307"/>
      <c r="CS20" s="307"/>
      <c r="CT20" s="307"/>
      <c r="CU20" s="307"/>
      <c r="CV20" s="307"/>
      <c r="CW20" s="307"/>
      <c r="CX20" s="307"/>
      <c r="CY20" s="307"/>
      <c r="CZ20" s="307"/>
      <c r="DA20" s="307"/>
      <c r="DB20" s="307"/>
      <c r="DC20" s="307"/>
      <c r="DD20" s="307"/>
      <c r="DE20" s="307"/>
      <c r="DF20" s="307"/>
      <c r="DG20" s="307"/>
      <c r="DH20" s="307"/>
      <c r="DI20" s="307"/>
      <c r="DJ20" s="307"/>
      <c r="DK20" s="307"/>
      <c r="DL20" s="307"/>
      <c r="DM20" s="307"/>
      <c r="DN20" s="307"/>
      <c r="DO20" s="307"/>
      <c r="DP20" s="307"/>
      <c r="DQ20" s="307"/>
      <c r="DR20" s="307"/>
      <c r="DS20" s="307"/>
      <c r="DT20" s="308"/>
      <c r="DW20" s="104"/>
      <c r="DX20" s="1002"/>
      <c r="DY20" s="1002"/>
      <c r="DZ20" s="1002"/>
      <c r="EA20" s="1002"/>
      <c r="EB20" s="1002"/>
      <c r="EC20" s="1002"/>
      <c r="ED20" s="1002"/>
      <c r="EE20" s="1002"/>
      <c r="EF20" s="32"/>
    </row>
    <row r="21" spans="2:136" ht="30" customHeight="1">
      <c r="B21" s="1968"/>
      <c r="C21" s="1969"/>
      <c r="D21" s="1969"/>
      <c r="E21" s="1969"/>
      <c r="F21" s="1969"/>
      <c r="G21" s="1969"/>
      <c r="H21" s="1969"/>
      <c r="I21" s="1969"/>
      <c r="J21" s="1969"/>
      <c r="K21" s="1969"/>
      <c r="L21" s="1969"/>
      <c r="M21" s="1969"/>
      <c r="N21" s="1969"/>
      <c r="O21" s="1969"/>
      <c r="P21" s="1969"/>
      <c r="Q21" s="1969"/>
      <c r="R21" s="1969"/>
      <c r="S21" s="1969"/>
      <c r="T21" s="1969"/>
      <c r="U21" s="1969"/>
      <c r="V21" s="1969"/>
      <c r="W21" s="1969"/>
      <c r="X21" s="1969"/>
      <c r="Y21" s="1969"/>
      <c r="Z21" s="1969"/>
      <c r="AA21" s="1969"/>
      <c r="AB21" s="1969"/>
      <c r="AC21" s="1969"/>
      <c r="AD21" s="1969"/>
      <c r="AE21" s="310"/>
      <c r="AF21" s="310"/>
      <c r="AG21" s="310"/>
      <c r="AH21" s="310"/>
      <c r="AI21" s="310"/>
      <c r="AJ21" s="310"/>
      <c r="AK21" s="310"/>
      <c r="AL21" s="310"/>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0"/>
      <c r="BK21" s="310"/>
      <c r="BL21" s="310"/>
      <c r="BM21" s="310"/>
      <c r="BN21" s="310"/>
      <c r="BO21" s="310"/>
      <c r="BP21" s="310"/>
      <c r="BQ21" s="310"/>
      <c r="BR21" s="310"/>
      <c r="BS21" s="310"/>
      <c r="BT21" s="310"/>
      <c r="BU21" s="310"/>
      <c r="BV21" s="310"/>
      <c r="BW21" s="310"/>
      <c r="BX21" s="310"/>
      <c r="BY21" s="310"/>
      <c r="BZ21" s="310"/>
      <c r="CA21" s="310"/>
      <c r="CB21" s="310"/>
      <c r="CC21" s="310"/>
      <c r="CD21" s="310"/>
      <c r="CE21" s="310"/>
      <c r="CF21" s="310"/>
      <c r="CG21" s="310"/>
      <c r="CH21" s="310"/>
      <c r="CI21" s="310"/>
      <c r="CJ21" s="310"/>
      <c r="CK21" s="310"/>
      <c r="CL21" s="310"/>
      <c r="CM21" s="310"/>
      <c r="CN21" s="310"/>
      <c r="CO21" s="310"/>
      <c r="CP21" s="310"/>
      <c r="CQ21" s="310"/>
      <c r="CR21" s="310"/>
      <c r="CS21" s="310"/>
      <c r="CT21" s="310"/>
      <c r="CU21" s="310"/>
      <c r="CV21" s="310"/>
      <c r="CW21" s="310"/>
      <c r="CX21" s="310"/>
      <c r="CY21" s="310"/>
      <c r="CZ21" s="310"/>
      <c r="DA21" s="310"/>
      <c r="DB21" s="310"/>
      <c r="DC21" s="310"/>
      <c r="DD21" s="310"/>
      <c r="DE21" s="310"/>
      <c r="DF21" s="310"/>
      <c r="DG21" s="310"/>
      <c r="DH21" s="310"/>
      <c r="DI21" s="310"/>
      <c r="DJ21" s="310"/>
      <c r="DK21" s="310"/>
      <c r="DL21" s="310"/>
      <c r="DM21" s="310"/>
      <c r="DN21" s="310"/>
      <c r="DO21" s="310"/>
      <c r="DP21" s="310"/>
      <c r="DQ21" s="310"/>
      <c r="DR21" s="310"/>
      <c r="DS21" s="310"/>
      <c r="DT21" s="311"/>
      <c r="DU21" s="305"/>
      <c r="DV21" s="305"/>
      <c r="DW21" s="126"/>
      <c r="DX21" s="126"/>
      <c r="DY21" s="126"/>
      <c r="DZ21" s="126"/>
      <c r="EA21" s="126"/>
      <c r="EB21" s="126"/>
      <c r="EC21" s="126"/>
      <c r="ED21" s="126"/>
      <c r="EE21" s="126"/>
      <c r="EF21" s="187"/>
    </row>
    <row r="22" spans="2:136" ht="30" customHeight="1">
      <c r="B22" s="312"/>
      <c r="C22" s="55"/>
      <c r="D22" s="1278" t="str">
        <f ca="1">INDIRECT($J$4&amp;"!C23")</f>
        <v>Coordinator (/Champion)</v>
      </c>
      <c r="E22" s="1278"/>
      <c r="F22" s="1278"/>
      <c r="G22" s="1278"/>
      <c r="H22" s="1278"/>
      <c r="I22" s="1278"/>
      <c r="J22" s="1278"/>
      <c r="K22" s="1278"/>
      <c r="L22" s="1278"/>
      <c r="M22" s="1278"/>
      <c r="N22" s="1278"/>
      <c r="O22" s="1278"/>
      <c r="P22" s="1278"/>
      <c r="Q22" s="1278"/>
      <c r="R22" s="1278"/>
      <c r="S22" s="1278"/>
      <c r="T22" s="1278"/>
      <c r="U22" s="1278"/>
      <c r="V22" s="1278"/>
      <c r="W22" s="1278"/>
      <c r="X22" s="1278"/>
      <c r="Y22" s="1278"/>
      <c r="Z22" s="1278"/>
      <c r="AA22" s="1278"/>
      <c r="AB22" s="1278"/>
      <c r="AC22" s="1278"/>
      <c r="AD22" s="1278"/>
      <c r="AE22" s="1278"/>
      <c r="AF22" s="1278"/>
      <c r="AG22" s="1278"/>
      <c r="AH22" s="1278"/>
      <c r="AI22" s="1278"/>
      <c r="AJ22" s="1278"/>
      <c r="AK22" s="1278"/>
      <c r="AL22" s="1278"/>
      <c r="AM22" s="1278"/>
      <c r="AN22" s="1278"/>
      <c r="AO22" s="1278"/>
      <c r="AP22" s="1278"/>
      <c r="AQ22" s="1278"/>
      <c r="AR22" s="1278"/>
      <c r="AS22" s="1278"/>
      <c r="AT22" s="1278"/>
      <c r="AU22" s="1278"/>
      <c r="AV22" s="1278"/>
      <c r="AW22" s="1278"/>
      <c r="AX22" s="1278"/>
      <c r="AY22" s="1278"/>
      <c r="AZ22" s="1278"/>
      <c r="BA22" s="1278"/>
      <c r="BB22" s="1278"/>
      <c r="BC22" s="1278"/>
      <c r="BD22" s="1278"/>
      <c r="BE22" s="1278"/>
      <c r="BF22" s="1278"/>
      <c r="BG22" s="1278"/>
      <c r="BH22" s="1278"/>
      <c r="BI22" s="55"/>
      <c r="BJ22" s="55"/>
      <c r="BK22" s="55"/>
      <c r="BL22" s="1278" t="str">
        <f ca="1">INDIRECT($J$4&amp;"!C26")</f>
        <v>Sponsor</v>
      </c>
      <c r="BM22" s="1278"/>
      <c r="BN22" s="1278"/>
      <c r="BO22" s="1278"/>
      <c r="BP22" s="1278"/>
      <c r="BQ22" s="1278"/>
      <c r="BR22" s="1278"/>
      <c r="BS22" s="1278"/>
      <c r="BT22" s="1278"/>
      <c r="BU22" s="1278"/>
      <c r="BV22" s="1278"/>
      <c r="BW22" s="1278"/>
      <c r="BX22" s="1278"/>
      <c r="BY22" s="1278"/>
      <c r="BZ22" s="1278"/>
      <c r="CA22" s="1278"/>
      <c r="CB22" s="1278"/>
      <c r="CC22" s="1278"/>
      <c r="CD22" s="1278"/>
      <c r="CE22" s="1278"/>
      <c r="CF22" s="1278"/>
      <c r="CG22" s="1278"/>
      <c r="CH22" s="1278"/>
      <c r="CI22" s="1278"/>
      <c r="CJ22" s="1278"/>
      <c r="CK22" s="1278"/>
      <c r="CL22" s="1278"/>
      <c r="CM22" s="1278"/>
      <c r="CN22" s="1278"/>
      <c r="CO22" s="1278"/>
      <c r="CP22" s="1278"/>
      <c r="CQ22" s="1278"/>
      <c r="CR22" s="1278"/>
      <c r="CS22" s="1278"/>
      <c r="CT22" s="1278"/>
      <c r="CU22" s="1278"/>
      <c r="CV22" s="1278"/>
      <c r="CW22" s="1278"/>
      <c r="CX22" s="1278"/>
      <c r="CY22" s="1278"/>
      <c r="CZ22" s="1278"/>
      <c r="DA22" s="1278"/>
      <c r="DB22" s="1278"/>
      <c r="DC22" s="1278"/>
      <c r="DD22" s="1278"/>
      <c r="DE22" s="1278"/>
      <c r="DF22" s="1278"/>
      <c r="DG22" s="1278"/>
      <c r="DH22" s="1278"/>
      <c r="DI22" s="1278"/>
      <c r="DJ22" s="1278"/>
      <c r="DK22" s="1278"/>
      <c r="DL22" s="1278"/>
      <c r="DM22" s="1278"/>
      <c r="DN22" s="1278"/>
      <c r="DO22" s="1278"/>
      <c r="DP22" s="1278"/>
      <c r="DQ22" s="55"/>
      <c r="DR22" s="55"/>
      <c r="DS22" s="313"/>
      <c r="DT22" s="311"/>
      <c r="DU22" s="305"/>
      <c r="DV22" s="305"/>
      <c r="DW22" s="126"/>
      <c r="DX22" s="126"/>
      <c r="DY22" s="126"/>
      <c r="DZ22" s="126"/>
      <c r="EA22" s="126"/>
      <c r="EB22" s="126"/>
      <c r="EC22" s="126"/>
      <c r="ED22" s="126"/>
      <c r="EE22" s="126"/>
      <c r="EF22" s="127"/>
    </row>
    <row r="23" spans="2:136" ht="30" customHeight="1">
      <c r="B23" s="312"/>
      <c r="C23" s="190"/>
      <c r="D23" s="1210" t="str">
        <f ca="1">INDIRECT($J$4&amp;"!C24")</f>
        <v>Name, prename</v>
      </c>
      <c r="E23" s="1210"/>
      <c r="F23" s="1210"/>
      <c r="G23" s="1210"/>
      <c r="H23" s="1210"/>
      <c r="I23" s="1210"/>
      <c r="J23" s="1210"/>
      <c r="K23" s="1210"/>
      <c r="L23" s="1210"/>
      <c r="M23" s="1210"/>
      <c r="N23" s="1210"/>
      <c r="O23" s="1210"/>
      <c r="P23" s="1210"/>
      <c r="Q23" s="1210"/>
      <c r="R23" s="1210"/>
      <c r="S23" s="873"/>
      <c r="T23" s="874"/>
      <c r="U23" s="874"/>
      <c r="V23" s="874"/>
      <c r="W23" s="1001" t="str">
        <f ca="1">INDIRECT($J$4&amp;"!C25")</f>
        <v>Department/function   Contact data</v>
      </c>
      <c r="X23" s="874"/>
      <c r="Y23" s="874"/>
      <c r="Z23" s="874"/>
      <c r="AA23" s="874"/>
      <c r="AB23" s="874"/>
      <c r="AC23" s="874"/>
      <c r="AD23" s="874"/>
      <c r="AE23" s="874"/>
      <c r="AF23" s="874"/>
      <c r="AG23" s="874"/>
      <c r="AH23" s="874"/>
      <c r="AI23" s="874"/>
      <c r="AJ23" s="874"/>
      <c r="AK23" s="874"/>
      <c r="AL23" s="874"/>
      <c r="AM23" s="874"/>
      <c r="AN23" s="874"/>
      <c r="AO23" s="874"/>
      <c r="AP23" s="874"/>
      <c r="AQ23" s="874"/>
      <c r="AR23" s="874"/>
      <c r="AS23" s="874"/>
      <c r="AT23" s="874"/>
      <c r="AU23" s="874"/>
      <c r="AV23" s="874"/>
      <c r="AW23" s="874"/>
      <c r="AX23" s="874"/>
      <c r="AY23" s="874"/>
      <c r="AZ23" s="874"/>
      <c r="BA23" s="874"/>
      <c r="BB23" s="874"/>
      <c r="BC23" s="874"/>
      <c r="BD23" s="874"/>
      <c r="BE23" s="874"/>
      <c r="BF23" s="874"/>
      <c r="BG23" s="874"/>
      <c r="BH23" s="874"/>
      <c r="BI23" s="677"/>
      <c r="BJ23" s="677"/>
      <c r="BK23" s="1210" t="str">
        <f ca="1">INDIRECT($J$4&amp;"!C24")</f>
        <v>Name, prename</v>
      </c>
      <c r="BL23" s="1210"/>
      <c r="BM23" s="1210"/>
      <c r="BN23" s="1210"/>
      <c r="BO23" s="1210"/>
      <c r="BP23" s="1210"/>
      <c r="BQ23" s="1210"/>
      <c r="BR23" s="1210"/>
      <c r="BS23" s="1210"/>
      <c r="BT23" s="1210"/>
      <c r="BU23" s="1210"/>
      <c r="BV23" s="1210"/>
      <c r="BW23" s="1210"/>
      <c r="BX23" s="1210"/>
      <c r="BY23" s="1210"/>
      <c r="BZ23" s="677"/>
      <c r="CB23" s="1000"/>
      <c r="CC23" s="1000"/>
      <c r="CD23" s="1805" t="str">
        <f ca="1">INDIRECT($J$4&amp;"!C25")</f>
        <v>Department/function   Contact data</v>
      </c>
      <c r="CE23" s="1805"/>
      <c r="CF23" s="1805"/>
      <c r="CG23" s="1805"/>
      <c r="CH23" s="1805"/>
      <c r="CI23" s="1805"/>
      <c r="CJ23" s="1805"/>
      <c r="CK23" s="1805"/>
      <c r="CL23" s="1805"/>
      <c r="CM23" s="1805"/>
      <c r="CN23" s="1805"/>
      <c r="CO23" s="1805"/>
      <c r="CP23" s="1805"/>
      <c r="CQ23" s="1805"/>
      <c r="CR23" s="1805"/>
      <c r="CS23" s="1805"/>
      <c r="CT23" s="1805"/>
      <c r="CU23" s="1805"/>
      <c r="CV23" s="1805"/>
      <c r="CW23" s="1805"/>
      <c r="CX23" s="1805"/>
      <c r="CY23" s="365"/>
      <c r="CZ23" s="365"/>
      <c r="DA23" s="365"/>
      <c r="DB23" s="365"/>
      <c r="DC23" s="365"/>
      <c r="DD23" s="365"/>
      <c r="DE23" s="365"/>
      <c r="DF23" s="365"/>
      <c r="DG23" s="365"/>
      <c r="DH23" s="365"/>
      <c r="DI23" s="365"/>
      <c r="DJ23" s="365"/>
      <c r="DK23" s="365"/>
      <c r="DL23" s="365"/>
      <c r="DM23" s="365"/>
      <c r="DN23" s="365"/>
      <c r="DO23" s="875"/>
      <c r="DP23" s="365"/>
      <c r="DQ23" s="365"/>
      <c r="DR23" s="365"/>
      <c r="DS23" s="501"/>
      <c r="DT23" s="311"/>
      <c r="DU23" s="305"/>
      <c r="DV23" s="305"/>
      <c r="DW23" s="126"/>
      <c r="DX23" s="126"/>
      <c r="DY23" s="126"/>
      <c r="DZ23" s="126"/>
      <c r="EA23" s="126"/>
      <c r="EB23" s="126"/>
      <c r="EC23" s="126"/>
      <c r="ED23" s="126"/>
      <c r="EE23" s="126"/>
      <c r="EF23" s="127"/>
    </row>
    <row r="24" spans="2:136" ht="35.25" customHeight="1">
      <c r="B24" s="312"/>
      <c r="C24" s="378"/>
      <c r="D24" s="1057"/>
      <c r="E24" s="1058"/>
      <c r="F24" s="1058"/>
      <c r="G24" s="1058"/>
      <c r="H24" s="1058"/>
      <c r="I24" s="1058"/>
      <c r="J24" s="1058"/>
      <c r="K24" s="1058"/>
      <c r="L24" s="1058"/>
      <c r="M24" s="1058"/>
      <c r="N24" s="1058"/>
      <c r="O24" s="1058"/>
      <c r="P24" s="1058"/>
      <c r="Q24" s="1058"/>
      <c r="R24" s="1059"/>
      <c r="S24" s="1057"/>
      <c r="T24" s="1058"/>
      <c r="U24" s="1058"/>
      <c r="V24" s="1058"/>
      <c r="W24" s="1058"/>
      <c r="X24" s="1058"/>
      <c r="Y24" s="1058"/>
      <c r="Z24" s="1058"/>
      <c r="AA24" s="1058"/>
      <c r="AB24" s="1058"/>
      <c r="AC24" s="1058"/>
      <c r="AD24" s="1058"/>
      <c r="AE24" s="1058"/>
      <c r="AF24" s="1058"/>
      <c r="AG24" s="1058"/>
      <c r="AH24" s="1059"/>
      <c r="AI24" s="1060"/>
      <c r="AJ24" s="1061"/>
      <c r="AK24" s="1061"/>
      <c r="AL24" s="1061"/>
      <c r="AM24" s="1061"/>
      <c r="AN24" s="1061"/>
      <c r="AO24" s="1061"/>
      <c r="AP24" s="1061"/>
      <c r="AQ24" s="1061"/>
      <c r="AR24" s="1061"/>
      <c r="AS24" s="1061"/>
      <c r="AT24" s="1061"/>
      <c r="AU24" s="1061"/>
      <c r="AV24" s="1061"/>
      <c r="AW24" s="1061"/>
      <c r="AX24" s="1061"/>
      <c r="AY24" s="1061"/>
      <c r="AZ24" s="1061"/>
      <c r="BA24" s="1061"/>
      <c r="BB24" s="1061"/>
      <c r="BC24" s="1061"/>
      <c r="BD24" s="1061"/>
      <c r="BE24" s="1061"/>
      <c r="BF24" s="1061"/>
      <c r="BG24" s="1061"/>
      <c r="BH24" s="1062"/>
      <c r="BI24" s="398"/>
      <c r="BJ24" s="365"/>
      <c r="BK24" s="365"/>
      <c r="BL24" s="1057"/>
      <c r="BM24" s="1058"/>
      <c r="BN24" s="1058"/>
      <c r="BO24" s="1058"/>
      <c r="BP24" s="1058"/>
      <c r="BQ24" s="1058"/>
      <c r="BR24" s="1058"/>
      <c r="BS24" s="1058"/>
      <c r="BT24" s="1058"/>
      <c r="BU24" s="1058"/>
      <c r="BV24" s="1058"/>
      <c r="BW24" s="1058"/>
      <c r="BX24" s="1058"/>
      <c r="BY24" s="1058"/>
      <c r="BZ24" s="1059"/>
      <c r="CA24" s="1054"/>
      <c r="CB24" s="1055"/>
      <c r="CC24" s="1055"/>
      <c r="CD24" s="1055"/>
      <c r="CE24" s="1055"/>
      <c r="CF24" s="1055"/>
      <c r="CG24" s="1055"/>
      <c r="CH24" s="1055"/>
      <c r="CI24" s="1055"/>
      <c r="CJ24" s="1055"/>
      <c r="CK24" s="1055"/>
      <c r="CL24" s="1055"/>
      <c r="CM24" s="1055"/>
      <c r="CN24" s="1055"/>
      <c r="CO24" s="1055"/>
      <c r="CP24" s="1056"/>
      <c r="CQ24" s="1060"/>
      <c r="CR24" s="1061"/>
      <c r="CS24" s="1061"/>
      <c r="CT24" s="1061"/>
      <c r="CU24" s="1061"/>
      <c r="CV24" s="1061"/>
      <c r="CW24" s="1061"/>
      <c r="CX24" s="1061"/>
      <c r="CY24" s="1061"/>
      <c r="CZ24" s="1061"/>
      <c r="DA24" s="1061"/>
      <c r="DB24" s="1061"/>
      <c r="DC24" s="1061"/>
      <c r="DD24" s="1061"/>
      <c r="DE24" s="1061"/>
      <c r="DF24" s="1061"/>
      <c r="DG24" s="1061"/>
      <c r="DH24" s="1061"/>
      <c r="DI24" s="1061"/>
      <c r="DJ24" s="1061"/>
      <c r="DK24" s="1061"/>
      <c r="DL24" s="1061"/>
      <c r="DM24" s="1061"/>
      <c r="DN24" s="1061"/>
      <c r="DO24" s="1061"/>
      <c r="DP24" s="1061"/>
      <c r="DQ24" s="1061"/>
      <c r="DR24" s="1062"/>
      <c r="DS24" s="305"/>
      <c r="DT24" s="311"/>
      <c r="DU24" s="305"/>
      <c r="DV24" s="305"/>
      <c r="DW24" s="126"/>
      <c r="DX24" s="126"/>
      <c r="DY24" s="126"/>
      <c r="DZ24" s="126"/>
      <c r="EA24" s="126"/>
      <c r="EB24" s="126"/>
      <c r="EC24" s="126"/>
      <c r="ED24" s="126"/>
      <c r="EE24" s="126"/>
      <c r="EF24" s="127"/>
    </row>
    <row r="25" spans="2:136" ht="6" customHeight="1">
      <c r="B25" s="312"/>
      <c r="C25" s="190"/>
      <c r="D25" s="365"/>
      <c r="E25" s="365"/>
      <c r="F25" s="365"/>
      <c r="G25" s="365"/>
      <c r="H25" s="365"/>
      <c r="I25" s="365"/>
      <c r="J25" s="365"/>
      <c r="K25" s="365"/>
      <c r="L25" s="365"/>
      <c r="M25" s="365"/>
      <c r="N25" s="365"/>
      <c r="O25" s="365"/>
      <c r="P25" s="365"/>
      <c r="Q25" s="365"/>
      <c r="R25" s="365"/>
      <c r="S25" s="365"/>
      <c r="T25" s="365"/>
      <c r="U25" s="365"/>
      <c r="V25" s="365"/>
      <c r="W25" s="365"/>
      <c r="X25" s="365"/>
      <c r="Y25" s="365"/>
      <c r="Z25" s="365"/>
      <c r="AA25" s="365"/>
      <c r="AB25" s="365"/>
      <c r="AC25" s="365"/>
      <c r="AD25" s="365"/>
      <c r="AE25" s="365"/>
      <c r="AF25" s="365"/>
      <c r="AG25" s="365"/>
      <c r="AH25" s="365"/>
      <c r="AI25" s="365"/>
      <c r="AJ25" s="365"/>
      <c r="AK25" s="365"/>
      <c r="AL25" s="365"/>
      <c r="AM25" s="365"/>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98"/>
      <c r="BJ25" s="365"/>
      <c r="BK25" s="365"/>
      <c r="BL25" s="365"/>
      <c r="BM25" s="365"/>
      <c r="BN25" s="365"/>
      <c r="BO25" s="365"/>
      <c r="BP25" s="365"/>
      <c r="BQ25" s="365"/>
      <c r="BR25" s="365"/>
      <c r="BS25" s="365"/>
      <c r="BT25" s="365"/>
      <c r="BU25" s="365"/>
      <c r="BV25" s="365"/>
      <c r="BW25" s="365"/>
      <c r="BX25" s="365"/>
      <c r="BY25" s="365"/>
      <c r="BZ25" s="365"/>
      <c r="CA25" s="365"/>
      <c r="CB25" s="365"/>
      <c r="CC25" s="365"/>
      <c r="CD25" s="365"/>
      <c r="CE25" s="365"/>
      <c r="CF25" s="365"/>
      <c r="CG25" s="365"/>
      <c r="CH25" s="365"/>
      <c r="CI25" s="365"/>
      <c r="CJ25" s="365"/>
      <c r="CK25" s="365"/>
      <c r="CL25" s="365"/>
      <c r="CM25" s="365"/>
      <c r="CN25" s="365"/>
      <c r="CO25" s="365"/>
      <c r="CP25" s="365"/>
      <c r="CQ25" s="365"/>
      <c r="CR25" s="365"/>
      <c r="CS25" s="365"/>
      <c r="CT25" s="365"/>
      <c r="CU25" s="365"/>
      <c r="CV25" s="365"/>
      <c r="CW25" s="365"/>
      <c r="CX25" s="365"/>
      <c r="CY25" s="365"/>
      <c r="CZ25" s="365"/>
      <c r="DA25" s="365"/>
      <c r="DB25" s="365"/>
      <c r="DC25" s="365"/>
      <c r="DD25" s="365"/>
      <c r="DE25" s="365"/>
      <c r="DF25" s="365"/>
      <c r="DG25" s="365"/>
      <c r="DH25" s="365"/>
      <c r="DI25" s="365"/>
      <c r="DJ25" s="365"/>
      <c r="DK25" s="365"/>
      <c r="DL25" s="365"/>
      <c r="DM25" s="365"/>
      <c r="DN25" s="365"/>
      <c r="DO25" s="365"/>
      <c r="DP25" s="365"/>
      <c r="DQ25" s="365"/>
      <c r="DR25" s="365"/>
      <c r="DS25" s="1011"/>
      <c r="DT25" s="311"/>
      <c r="DU25" s="305"/>
      <c r="DV25" s="305"/>
      <c r="DW25" s="126"/>
      <c r="DX25" s="126"/>
      <c r="DY25" s="126"/>
      <c r="DZ25" s="126"/>
      <c r="EA25" s="126"/>
      <c r="EB25" s="126"/>
      <c r="EC25" s="126"/>
      <c r="ED25" s="126"/>
      <c r="EE25" s="126"/>
      <c r="EF25" s="127"/>
    </row>
    <row r="26" spans="2:136" ht="30" customHeight="1">
      <c r="B26" s="312"/>
      <c r="C26" s="390"/>
      <c r="D26" s="1105" t="str">
        <f ca="1">INDIRECT($J$4&amp;"!C27")</f>
        <v>Members</v>
      </c>
      <c r="E26" s="1105"/>
      <c r="F26" s="1105"/>
      <c r="G26" s="1105"/>
      <c r="H26" s="1105"/>
      <c r="I26" s="1105"/>
      <c r="J26" s="1105"/>
      <c r="K26" s="1105"/>
      <c r="L26" s="1105"/>
      <c r="M26" s="1105"/>
      <c r="N26" s="1105"/>
      <c r="O26" s="1105"/>
      <c r="P26" s="1105"/>
      <c r="Q26" s="1105"/>
      <c r="R26" s="1105"/>
      <c r="S26" s="1105"/>
      <c r="T26" s="1105"/>
      <c r="U26" s="1105"/>
      <c r="V26" s="1105"/>
      <c r="W26" s="1105"/>
      <c r="X26" s="1105"/>
      <c r="Y26" s="1105"/>
      <c r="Z26" s="1105"/>
      <c r="AA26" s="1105"/>
      <c r="AB26" s="1105"/>
      <c r="AC26" s="1105"/>
      <c r="AD26" s="1105"/>
      <c r="AE26" s="1105"/>
      <c r="AF26" s="1105"/>
      <c r="AG26" s="1105"/>
      <c r="AH26" s="1105"/>
      <c r="AI26" s="1105"/>
      <c r="AJ26" s="1105"/>
      <c r="AK26" s="1105"/>
      <c r="AL26" s="1105"/>
      <c r="AM26" s="1105"/>
      <c r="AN26" s="1105"/>
      <c r="AO26" s="1105"/>
      <c r="AP26" s="1105"/>
      <c r="AQ26" s="1105"/>
      <c r="AR26" s="1105"/>
      <c r="AS26" s="1105"/>
      <c r="AT26" s="1105"/>
      <c r="AU26" s="1105"/>
      <c r="AV26" s="1105"/>
      <c r="AW26" s="1105"/>
      <c r="AX26" s="1105"/>
      <c r="AY26" s="1105"/>
      <c r="AZ26" s="1105"/>
      <c r="BA26" s="1105"/>
      <c r="BB26" s="1105"/>
      <c r="BC26" s="1105"/>
      <c r="BD26" s="1105"/>
      <c r="BE26" s="1105"/>
      <c r="BF26" s="1105"/>
      <c r="BG26" s="1105"/>
      <c r="BH26" s="1105"/>
      <c r="BI26" s="1105"/>
      <c r="BJ26" s="1105"/>
      <c r="BK26" s="1105"/>
      <c r="BL26" s="1105"/>
      <c r="BM26" s="1105"/>
      <c r="BN26" s="1105"/>
      <c r="BO26" s="1105"/>
      <c r="BP26" s="1105"/>
      <c r="BQ26" s="1105"/>
      <c r="BR26" s="1105"/>
      <c r="BS26" s="1105"/>
      <c r="BT26" s="1105"/>
      <c r="BU26" s="1105"/>
      <c r="BV26" s="1105"/>
      <c r="BW26" s="1105"/>
      <c r="BX26" s="1105"/>
      <c r="BY26" s="1105"/>
      <c r="BZ26" s="1105"/>
      <c r="CA26" s="1105"/>
      <c r="CB26" s="1105"/>
      <c r="CC26" s="1105"/>
      <c r="CD26" s="1105"/>
      <c r="CE26" s="1105"/>
      <c r="CF26" s="1105"/>
      <c r="CG26" s="1105"/>
      <c r="CH26" s="1105"/>
      <c r="CI26" s="1105"/>
      <c r="CJ26" s="1105"/>
      <c r="CK26" s="1105"/>
      <c r="CL26" s="1105"/>
      <c r="CM26" s="1105"/>
      <c r="CN26" s="1105"/>
      <c r="CO26" s="1105"/>
      <c r="CP26" s="1105"/>
      <c r="CQ26" s="1105"/>
      <c r="CR26" s="1105"/>
      <c r="CS26" s="1105"/>
      <c r="CT26" s="1105"/>
      <c r="CU26" s="1105"/>
      <c r="CV26" s="1105"/>
      <c r="CW26" s="1105"/>
      <c r="CX26" s="1105"/>
      <c r="CY26" s="1105"/>
      <c r="CZ26" s="1105"/>
      <c r="DA26" s="1105"/>
      <c r="DB26" s="1105"/>
      <c r="DC26" s="1105"/>
      <c r="DD26" s="1105"/>
      <c r="DE26" s="1105"/>
      <c r="DF26" s="1105"/>
      <c r="DG26" s="1105"/>
      <c r="DH26" s="1105"/>
      <c r="DI26" s="1105"/>
      <c r="DJ26" s="1105"/>
      <c r="DK26" s="1105"/>
      <c r="DL26" s="1105"/>
      <c r="DM26" s="1105"/>
      <c r="DN26" s="1105"/>
      <c r="DO26" s="1105"/>
      <c r="DP26" s="1105"/>
      <c r="DQ26" s="408"/>
      <c r="DR26" s="408"/>
      <c r="DS26" s="709"/>
      <c r="DT26" s="311"/>
      <c r="DU26" s="305"/>
      <c r="DV26" s="305"/>
      <c r="DW26" s="126"/>
      <c r="DX26" s="126"/>
      <c r="DY26" s="126"/>
      <c r="DZ26" s="126"/>
      <c r="EA26" s="126"/>
      <c r="EB26" s="126"/>
      <c r="EC26" s="126"/>
      <c r="ED26" s="126"/>
      <c r="EE26" s="126"/>
      <c r="EF26" s="127"/>
    </row>
    <row r="27" spans="2:136" ht="6" customHeight="1">
      <c r="B27" s="312"/>
      <c r="C27" s="190"/>
      <c r="D27" s="191"/>
      <c r="E27" s="191"/>
      <c r="F27" s="191"/>
      <c r="G27" s="191"/>
      <c r="H27" s="191"/>
      <c r="I27" s="191"/>
      <c r="J27" s="191"/>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0"/>
      <c r="AP27" s="365"/>
      <c r="AQ27" s="365"/>
      <c r="AR27" s="365"/>
      <c r="AS27" s="190"/>
      <c r="AT27" s="398"/>
      <c r="AU27" s="398"/>
      <c r="AV27" s="398"/>
      <c r="AW27" s="398"/>
      <c r="AX27" s="398"/>
      <c r="AY27" s="398"/>
      <c r="AZ27" s="398"/>
      <c r="BA27" s="398"/>
      <c r="BB27" s="398"/>
      <c r="BC27" s="398"/>
      <c r="BD27" s="398"/>
      <c r="BE27" s="398"/>
      <c r="BF27" s="398"/>
      <c r="BG27" s="398"/>
      <c r="BH27" s="398"/>
      <c r="BI27" s="398"/>
      <c r="BJ27" s="365"/>
      <c r="BK27" s="365"/>
      <c r="BL27" s="365"/>
      <c r="BM27" s="365"/>
      <c r="BN27" s="365"/>
      <c r="BO27" s="365"/>
      <c r="BP27" s="365"/>
      <c r="BQ27" s="365"/>
      <c r="BR27" s="365"/>
      <c r="BS27" s="365"/>
      <c r="BT27" s="365"/>
      <c r="BU27" s="365"/>
      <c r="BV27" s="365"/>
      <c r="BW27" s="365"/>
      <c r="BX27" s="365"/>
      <c r="BY27" s="365"/>
      <c r="BZ27" s="365"/>
      <c r="CA27" s="365"/>
      <c r="CB27" s="365"/>
      <c r="CC27" s="365"/>
      <c r="CD27" s="365"/>
      <c r="CE27" s="365"/>
      <c r="CF27" s="365"/>
      <c r="CG27" s="365"/>
      <c r="CH27" s="365"/>
      <c r="CI27" s="365"/>
      <c r="CJ27" s="365"/>
      <c r="CK27" s="365"/>
      <c r="CL27" s="365"/>
      <c r="CM27" s="365"/>
      <c r="CN27" s="365"/>
      <c r="CO27" s="365"/>
      <c r="CP27" s="365"/>
      <c r="CQ27" s="365"/>
      <c r="CR27" s="365"/>
      <c r="CS27" s="365"/>
      <c r="CT27" s="365"/>
      <c r="CU27" s="365"/>
      <c r="CV27" s="365"/>
      <c r="CW27" s="365"/>
      <c r="CX27" s="365"/>
      <c r="CY27" s="365"/>
      <c r="CZ27" s="365"/>
      <c r="DA27" s="365"/>
      <c r="DB27" s="365"/>
      <c r="DC27" s="365"/>
      <c r="DD27" s="365"/>
      <c r="DE27" s="365"/>
      <c r="DF27" s="365"/>
      <c r="DG27" s="365"/>
      <c r="DH27" s="365"/>
      <c r="DI27" s="365"/>
      <c r="DJ27" s="365"/>
      <c r="DK27" s="365"/>
      <c r="DL27" s="365"/>
      <c r="DM27" s="365"/>
      <c r="DN27" s="365"/>
      <c r="DO27" s="365"/>
      <c r="DP27" s="365"/>
      <c r="DQ27" s="365"/>
      <c r="DR27" s="365"/>
      <c r="DS27" s="1011"/>
      <c r="DT27" s="311"/>
      <c r="DU27" s="305"/>
      <c r="DV27" s="305"/>
      <c r="DW27" s="126"/>
      <c r="DX27" s="126"/>
      <c r="DY27" s="126"/>
      <c r="DZ27" s="126"/>
      <c r="EA27" s="126"/>
      <c r="EB27" s="126"/>
      <c r="EC27" s="126"/>
      <c r="ED27" s="126"/>
      <c r="EE27" s="126"/>
      <c r="EF27" s="127"/>
    </row>
    <row r="28" spans="2:136" ht="35.25" customHeight="1">
      <c r="B28" s="312"/>
      <c r="C28" s="190"/>
      <c r="D28" s="1057"/>
      <c r="E28" s="1058"/>
      <c r="F28" s="1058"/>
      <c r="G28" s="1058"/>
      <c r="H28" s="1058"/>
      <c r="I28" s="1058"/>
      <c r="J28" s="1058"/>
      <c r="K28" s="1058"/>
      <c r="L28" s="1058"/>
      <c r="M28" s="1058"/>
      <c r="N28" s="1058"/>
      <c r="O28" s="1058"/>
      <c r="P28" s="1058"/>
      <c r="Q28" s="1058"/>
      <c r="R28" s="1059"/>
      <c r="S28" s="1057"/>
      <c r="T28" s="1058"/>
      <c r="U28" s="1058"/>
      <c r="V28" s="1058"/>
      <c r="W28" s="1058"/>
      <c r="X28" s="1058"/>
      <c r="Y28" s="1058"/>
      <c r="Z28" s="1058"/>
      <c r="AA28" s="1058"/>
      <c r="AB28" s="1058"/>
      <c r="AC28" s="1058"/>
      <c r="AD28" s="1058"/>
      <c r="AE28" s="1058"/>
      <c r="AF28" s="1058"/>
      <c r="AG28" s="1058"/>
      <c r="AH28" s="1059"/>
      <c r="AI28" s="1060"/>
      <c r="AJ28" s="1061"/>
      <c r="AK28" s="1061"/>
      <c r="AL28" s="1061"/>
      <c r="AM28" s="1061"/>
      <c r="AN28" s="1061"/>
      <c r="AO28" s="1061"/>
      <c r="AP28" s="1061"/>
      <c r="AQ28" s="1061"/>
      <c r="AR28" s="1061"/>
      <c r="AS28" s="1061"/>
      <c r="AT28" s="1061"/>
      <c r="AU28" s="1061"/>
      <c r="AV28" s="1061"/>
      <c r="AW28" s="1061"/>
      <c r="AX28" s="1061"/>
      <c r="AY28" s="1061"/>
      <c r="AZ28" s="1061"/>
      <c r="BA28" s="1061"/>
      <c r="BB28" s="1061"/>
      <c r="BC28" s="1061"/>
      <c r="BD28" s="1061"/>
      <c r="BE28" s="1061"/>
      <c r="BF28" s="1061"/>
      <c r="BG28" s="1061"/>
      <c r="BH28" s="1062"/>
      <c r="BI28" s="365"/>
      <c r="BJ28" s="365"/>
      <c r="BK28" s="365"/>
      <c r="BL28" s="1057"/>
      <c r="BM28" s="1058"/>
      <c r="BN28" s="1058"/>
      <c r="BO28" s="1058"/>
      <c r="BP28" s="1058"/>
      <c r="BQ28" s="1058"/>
      <c r="BR28" s="1058"/>
      <c r="BS28" s="1058"/>
      <c r="BT28" s="1058"/>
      <c r="BU28" s="1058"/>
      <c r="BV28" s="1058"/>
      <c r="BW28" s="1058"/>
      <c r="BX28" s="1058"/>
      <c r="BY28" s="1058"/>
      <c r="BZ28" s="1059"/>
      <c r="CA28" s="1057"/>
      <c r="CB28" s="1058"/>
      <c r="CC28" s="1058"/>
      <c r="CD28" s="1058"/>
      <c r="CE28" s="1058"/>
      <c r="CF28" s="1058"/>
      <c r="CG28" s="1058"/>
      <c r="CH28" s="1058"/>
      <c r="CI28" s="1058"/>
      <c r="CJ28" s="1058"/>
      <c r="CK28" s="1058"/>
      <c r="CL28" s="1058"/>
      <c r="CM28" s="1058"/>
      <c r="CN28" s="1058"/>
      <c r="CO28" s="1058"/>
      <c r="CP28" s="1059"/>
      <c r="CQ28" s="1060"/>
      <c r="CR28" s="1061"/>
      <c r="CS28" s="1061"/>
      <c r="CT28" s="1061"/>
      <c r="CU28" s="1061"/>
      <c r="CV28" s="1061"/>
      <c r="CW28" s="1061"/>
      <c r="CX28" s="1061"/>
      <c r="CY28" s="1061"/>
      <c r="CZ28" s="1061"/>
      <c r="DA28" s="1061"/>
      <c r="DB28" s="1061"/>
      <c r="DC28" s="1061"/>
      <c r="DD28" s="1061"/>
      <c r="DE28" s="1061"/>
      <c r="DF28" s="1061"/>
      <c r="DG28" s="1061"/>
      <c r="DH28" s="1061"/>
      <c r="DI28" s="1061"/>
      <c r="DJ28" s="1061"/>
      <c r="DK28" s="1061"/>
      <c r="DL28" s="1061"/>
      <c r="DM28" s="1061"/>
      <c r="DN28" s="1061"/>
      <c r="DO28" s="1061"/>
      <c r="DP28" s="1061"/>
      <c r="DQ28" s="1061"/>
      <c r="DR28" s="1062"/>
      <c r="DS28" s="214"/>
      <c r="DT28" s="311"/>
      <c r="DU28" s="305"/>
      <c r="DV28" s="305"/>
      <c r="DW28" s="126"/>
      <c r="DX28" s="126"/>
      <c r="DY28" s="126"/>
      <c r="DZ28" s="126"/>
      <c r="EA28" s="126"/>
      <c r="EB28" s="126"/>
      <c r="EC28" s="126"/>
      <c r="ED28" s="126"/>
      <c r="EE28" s="126"/>
      <c r="EF28" s="127"/>
    </row>
    <row r="29" spans="2:136" ht="35.25" customHeight="1">
      <c r="B29" s="312"/>
      <c r="C29" s="190"/>
      <c r="D29" s="1057"/>
      <c r="E29" s="1058"/>
      <c r="F29" s="1058"/>
      <c r="G29" s="1058"/>
      <c r="H29" s="1058"/>
      <c r="I29" s="1058"/>
      <c r="J29" s="1058"/>
      <c r="K29" s="1058"/>
      <c r="L29" s="1058"/>
      <c r="M29" s="1058"/>
      <c r="N29" s="1058"/>
      <c r="O29" s="1058"/>
      <c r="P29" s="1058"/>
      <c r="Q29" s="1058"/>
      <c r="R29" s="1059"/>
      <c r="S29" s="1057"/>
      <c r="T29" s="1058"/>
      <c r="U29" s="1058"/>
      <c r="V29" s="1058"/>
      <c r="W29" s="1058"/>
      <c r="X29" s="1058"/>
      <c r="Y29" s="1058"/>
      <c r="Z29" s="1058"/>
      <c r="AA29" s="1058"/>
      <c r="AB29" s="1058"/>
      <c r="AC29" s="1058"/>
      <c r="AD29" s="1058"/>
      <c r="AE29" s="1058"/>
      <c r="AF29" s="1058"/>
      <c r="AG29" s="1058"/>
      <c r="AH29" s="1059"/>
      <c r="AI29" s="1060"/>
      <c r="AJ29" s="1061"/>
      <c r="AK29" s="1061"/>
      <c r="AL29" s="1061"/>
      <c r="AM29" s="1061"/>
      <c r="AN29" s="1061"/>
      <c r="AO29" s="1061"/>
      <c r="AP29" s="1061"/>
      <c r="AQ29" s="1061"/>
      <c r="AR29" s="1061"/>
      <c r="AS29" s="1061"/>
      <c r="AT29" s="1061"/>
      <c r="AU29" s="1061"/>
      <c r="AV29" s="1061"/>
      <c r="AW29" s="1061"/>
      <c r="AX29" s="1061"/>
      <c r="AY29" s="1061"/>
      <c r="AZ29" s="1061"/>
      <c r="BA29" s="1061"/>
      <c r="BB29" s="1061"/>
      <c r="BC29" s="1061"/>
      <c r="BD29" s="1061"/>
      <c r="BE29" s="1061"/>
      <c r="BF29" s="1061"/>
      <c r="BG29" s="1061"/>
      <c r="BH29" s="1062"/>
      <c r="BI29" s="398"/>
      <c r="BJ29" s="365"/>
      <c r="BK29" s="365"/>
      <c r="BL29" s="1057"/>
      <c r="BM29" s="1058"/>
      <c r="BN29" s="1058"/>
      <c r="BO29" s="1058"/>
      <c r="BP29" s="1058"/>
      <c r="BQ29" s="1058"/>
      <c r="BR29" s="1058"/>
      <c r="BS29" s="1058"/>
      <c r="BT29" s="1058"/>
      <c r="BU29" s="1058"/>
      <c r="BV29" s="1058"/>
      <c r="BW29" s="1058"/>
      <c r="BX29" s="1058"/>
      <c r="BY29" s="1058"/>
      <c r="BZ29" s="1059"/>
      <c r="CA29" s="1057"/>
      <c r="CB29" s="1058"/>
      <c r="CC29" s="1058"/>
      <c r="CD29" s="1058"/>
      <c r="CE29" s="1058"/>
      <c r="CF29" s="1058"/>
      <c r="CG29" s="1058"/>
      <c r="CH29" s="1058"/>
      <c r="CI29" s="1058"/>
      <c r="CJ29" s="1058"/>
      <c r="CK29" s="1058"/>
      <c r="CL29" s="1058"/>
      <c r="CM29" s="1058"/>
      <c r="CN29" s="1058"/>
      <c r="CO29" s="1058"/>
      <c r="CP29" s="1059"/>
      <c r="CQ29" s="1060"/>
      <c r="CR29" s="1061"/>
      <c r="CS29" s="1061"/>
      <c r="CT29" s="1061"/>
      <c r="CU29" s="1061"/>
      <c r="CV29" s="1061"/>
      <c r="CW29" s="1061"/>
      <c r="CX29" s="1061"/>
      <c r="CY29" s="1061"/>
      <c r="CZ29" s="1061"/>
      <c r="DA29" s="1061"/>
      <c r="DB29" s="1061"/>
      <c r="DC29" s="1061"/>
      <c r="DD29" s="1061"/>
      <c r="DE29" s="1061"/>
      <c r="DF29" s="1061"/>
      <c r="DG29" s="1061"/>
      <c r="DH29" s="1061"/>
      <c r="DI29" s="1061"/>
      <c r="DJ29" s="1061"/>
      <c r="DK29" s="1061"/>
      <c r="DL29" s="1061"/>
      <c r="DM29" s="1061"/>
      <c r="DN29" s="1061"/>
      <c r="DO29" s="1061"/>
      <c r="DP29" s="1061"/>
      <c r="DQ29" s="1061"/>
      <c r="DR29" s="1062"/>
      <c r="DS29" s="1011"/>
      <c r="DT29" s="311"/>
      <c r="DU29" s="305"/>
      <c r="DV29" s="305"/>
      <c r="DW29" s="126"/>
      <c r="DX29" s="126"/>
      <c r="DY29" s="126"/>
      <c r="DZ29" s="126"/>
      <c r="EA29" s="126"/>
      <c r="EB29" s="126"/>
      <c r="EC29" s="126"/>
      <c r="ED29" s="126"/>
      <c r="EE29" s="126"/>
      <c r="EF29" s="127"/>
    </row>
    <row r="30" spans="2:136" ht="35.25" customHeight="1">
      <c r="B30" s="312"/>
      <c r="C30" s="190"/>
      <c r="D30" s="1057"/>
      <c r="E30" s="1058"/>
      <c r="F30" s="1058"/>
      <c r="G30" s="1058"/>
      <c r="H30" s="1058"/>
      <c r="I30" s="1058"/>
      <c r="J30" s="1058"/>
      <c r="K30" s="1058"/>
      <c r="L30" s="1058"/>
      <c r="M30" s="1058"/>
      <c r="N30" s="1058"/>
      <c r="O30" s="1058"/>
      <c r="P30" s="1058"/>
      <c r="Q30" s="1058"/>
      <c r="R30" s="1059"/>
      <c r="S30" s="1057"/>
      <c r="T30" s="1058"/>
      <c r="U30" s="1058"/>
      <c r="V30" s="1058"/>
      <c r="W30" s="1058"/>
      <c r="X30" s="1058"/>
      <c r="Y30" s="1058"/>
      <c r="Z30" s="1058"/>
      <c r="AA30" s="1058"/>
      <c r="AB30" s="1058"/>
      <c r="AC30" s="1058"/>
      <c r="AD30" s="1058"/>
      <c r="AE30" s="1058"/>
      <c r="AF30" s="1058"/>
      <c r="AG30" s="1058"/>
      <c r="AH30" s="1059"/>
      <c r="AI30" s="1060"/>
      <c r="AJ30" s="1061"/>
      <c r="AK30" s="1061"/>
      <c r="AL30" s="1061"/>
      <c r="AM30" s="1061"/>
      <c r="AN30" s="1061"/>
      <c r="AO30" s="1061"/>
      <c r="AP30" s="1061"/>
      <c r="AQ30" s="1061"/>
      <c r="AR30" s="1061"/>
      <c r="AS30" s="1061"/>
      <c r="AT30" s="1061"/>
      <c r="AU30" s="1061"/>
      <c r="AV30" s="1061"/>
      <c r="AW30" s="1061"/>
      <c r="AX30" s="1061"/>
      <c r="AY30" s="1061"/>
      <c r="AZ30" s="1061"/>
      <c r="BA30" s="1061"/>
      <c r="BB30" s="1061"/>
      <c r="BC30" s="1061"/>
      <c r="BD30" s="1061"/>
      <c r="BE30" s="1061"/>
      <c r="BF30" s="1061"/>
      <c r="BG30" s="1061"/>
      <c r="BH30" s="1062"/>
      <c r="BI30" s="398"/>
      <c r="BJ30" s="365"/>
      <c r="BK30" s="365"/>
      <c r="BL30" s="1057"/>
      <c r="BM30" s="1058"/>
      <c r="BN30" s="1058"/>
      <c r="BO30" s="1058"/>
      <c r="BP30" s="1058"/>
      <c r="BQ30" s="1058"/>
      <c r="BR30" s="1058"/>
      <c r="BS30" s="1058"/>
      <c r="BT30" s="1058"/>
      <c r="BU30" s="1058"/>
      <c r="BV30" s="1058"/>
      <c r="BW30" s="1058"/>
      <c r="BX30" s="1058"/>
      <c r="BY30" s="1058"/>
      <c r="BZ30" s="1059"/>
      <c r="CA30" s="1057"/>
      <c r="CB30" s="1058"/>
      <c r="CC30" s="1058"/>
      <c r="CD30" s="1058"/>
      <c r="CE30" s="1058"/>
      <c r="CF30" s="1058"/>
      <c r="CG30" s="1058"/>
      <c r="CH30" s="1058"/>
      <c r="CI30" s="1058"/>
      <c r="CJ30" s="1058"/>
      <c r="CK30" s="1058"/>
      <c r="CL30" s="1058"/>
      <c r="CM30" s="1058"/>
      <c r="CN30" s="1058"/>
      <c r="CO30" s="1058"/>
      <c r="CP30" s="1059"/>
      <c r="CQ30" s="1060"/>
      <c r="CR30" s="1061"/>
      <c r="CS30" s="1061"/>
      <c r="CT30" s="1061"/>
      <c r="CU30" s="1061"/>
      <c r="CV30" s="1061"/>
      <c r="CW30" s="1061"/>
      <c r="CX30" s="1061"/>
      <c r="CY30" s="1061"/>
      <c r="CZ30" s="1061"/>
      <c r="DA30" s="1061"/>
      <c r="DB30" s="1061"/>
      <c r="DC30" s="1061"/>
      <c r="DD30" s="1061"/>
      <c r="DE30" s="1061"/>
      <c r="DF30" s="1061"/>
      <c r="DG30" s="1061"/>
      <c r="DH30" s="1061"/>
      <c r="DI30" s="1061"/>
      <c r="DJ30" s="1061"/>
      <c r="DK30" s="1061"/>
      <c r="DL30" s="1061"/>
      <c r="DM30" s="1061"/>
      <c r="DN30" s="1061"/>
      <c r="DO30" s="1061"/>
      <c r="DP30" s="1061"/>
      <c r="DQ30" s="1061"/>
      <c r="DR30" s="1062"/>
      <c r="DS30" s="214"/>
      <c r="DT30" s="311"/>
      <c r="DU30" s="305"/>
      <c r="DV30" s="305"/>
      <c r="DW30" s="126"/>
      <c r="DX30" s="126"/>
      <c r="DY30" s="126"/>
      <c r="DZ30" s="126"/>
      <c r="EA30" s="126"/>
      <c r="EB30" s="126"/>
      <c r="EC30" s="126"/>
      <c r="ED30" s="126"/>
      <c r="EE30" s="126"/>
      <c r="EF30" s="127"/>
    </row>
    <row r="31" spans="2:136" ht="35.25" customHeight="1">
      <c r="B31" s="312"/>
      <c r="C31" s="190"/>
      <c r="D31" s="1057"/>
      <c r="E31" s="1058"/>
      <c r="F31" s="1058"/>
      <c r="G31" s="1058"/>
      <c r="H31" s="1058"/>
      <c r="I31" s="1058"/>
      <c r="J31" s="1058"/>
      <c r="K31" s="1058"/>
      <c r="L31" s="1058"/>
      <c r="M31" s="1058"/>
      <c r="N31" s="1058"/>
      <c r="O31" s="1058"/>
      <c r="P31" s="1058"/>
      <c r="Q31" s="1058"/>
      <c r="R31" s="1059"/>
      <c r="S31" s="1057"/>
      <c r="T31" s="1058"/>
      <c r="U31" s="1058"/>
      <c r="V31" s="1058"/>
      <c r="W31" s="1058"/>
      <c r="X31" s="1058"/>
      <c r="Y31" s="1058"/>
      <c r="Z31" s="1058"/>
      <c r="AA31" s="1058"/>
      <c r="AB31" s="1058"/>
      <c r="AC31" s="1058"/>
      <c r="AD31" s="1058"/>
      <c r="AE31" s="1058"/>
      <c r="AF31" s="1058"/>
      <c r="AG31" s="1058"/>
      <c r="AH31" s="1059"/>
      <c r="AI31" s="1060"/>
      <c r="AJ31" s="1061"/>
      <c r="AK31" s="1061"/>
      <c r="AL31" s="1061"/>
      <c r="AM31" s="1061"/>
      <c r="AN31" s="1061"/>
      <c r="AO31" s="1061"/>
      <c r="AP31" s="1061"/>
      <c r="AQ31" s="1061"/>
      <c r="AR31" s="1061"/>
      <c r="AS31" s="1061"/>
      <c r="AT31" s="1061"/>
      <c r="AU31" s="1061"/>
      <c r="AV31" s="1061"/>
      <c r="AW31" s="1061"/>
      <c r="AX31" s="1061"/>
      <c r="AY31" s="1061"/>
      <c r="AZ31" s="1061"/>
      <c r="BA31" s="1061"/>
      <c r="BB31" s="1061"/>
      <c r="BC31" s="1061"/>
      <c r="BD31" s="1061"/>
      <c r="BE31" s="1061"/>
      <c r="BF31" s="1061"/>
      <c r="BG31" s="1061"/>
      <c r="BH31" s="1062"/>
      <c r="BI31" s="398"/>
      <c r="BJ31" s="365"/>
      <c r="BK31" s="365"/>
      <c r="BL31" s="1057"/>
      <c r="BM31" s="1058"/>
      <c r="BN31" s="1058"/>
      <c r="BO31" s="1058"/>
      <c r="BP31" s="1058"/>
      <c r="BQ31" s="1058"/>
      <c r="BR31" s="1058"/>
      <c r="BS31" s="1058"/>
      <c r="BT31" s="1058"/>
      <c r="BU31" s="1058"/>
      <c r="BV31" s="1058"/>
      <c r="BW31" s="1058"/>
      <c r="BX31" s="1058"/>
      <c r="BY31" s="1058"/>
      <c r="BZ31" s="1059"/>
      <c r="CA31" s="1057"/>
      <c r="CB31" s="1058"/>
      <c r="CC31" s="1058"/>
      <c r="CD31" s="1058"/>
      <c r="CE31" s="1058"/>
      <c r="CF31" s="1058"/>
      <c r="CG31" s="1058"/>
      <c r="CH31" s="1058"/>
      <c r="CI31" s="1058"/>
      <c r="CJ31" s="1058"/>
      <c r="CK31" s="1058"/>
      <c r="CL31" s="1058"/>
      <c r="CM31" s="1058"/>
      <c r="CN31" s="1058"/>
      <c r="CO31" s="1058"/>
      <c r="CP31" s="1059"/>
      <c r="CQ31" s="1060"/>
      <c r="CR31" s="1061"/>
      <c r="CS31" s="1061"/>
      <c r="CT31" s="1061"/>
      <c r="CU31" s="1061"/>
      <c r="CV31" s="1061"/>
      <c r="CW31" s="1061"/>
      <c r="CX31" s="1061"/>
      <c r="CY31" s="1061"/>
      <c r="CZ31" s="1061"/>
      <c r="DA31" s="1061"/>
      <c r="DB31" s="1061"/>
      <c r="DC31" s="1061"/>
      <c r="DD31" s="1061"/>
      <c r="DE31" s="1061"/>
      <c r="DF31" s="1061"/>
      <c r="DG31" s="1061"/>
      <c r="DH31" s="1061"/>
      <c r="DI31" s="1061"/>
      <c r="DJ31" s="1061"/>
      <c r="DK31" s="1061"/>
      <c r="DL31" s="1061"/>
      <c r="DM31" s="1061"/>
      <c r="DN31" s="1061"/>
      <c r="DO31" s="1061"/>
      <c r="DP31" s="1061"/>
      <c r="DQ31" s="1061"/>
      <c r="DR31" s="1062"/>
      <c r="DS31" s="1011"/>
      <c r="DT31" s="311"/>
      <c r="DU31" s="305"/>
      <c r="DV31" s="305"/>
      <c r="DW31" s="126"/>
      <c r="DX31" s="126"/>
      <c r="DY31" s="126"/>
      <c r="DZ31" s="126"/>
      <c r="EA31" s="126"/>
      <c r="EB31" s="126"/>
      <c r="EC31" s="126"/>
      <c r="ED31" s="126"/>
      <c r="EE31" s="126"/>
      <c r="EF31" s="127"/>
    </row>
    <row r="32" spans="2:136" ht="35.25" customHeight="1">
      <c r="B32" s="312"/>
      <c r="C32" s="190"/>
      <c r="D32" s="1057"/>
      <c r="E32" s="1058"/>
      <c r="F32" s="1058"/>
      <c r="G32" s="1058"/>
      <c r="H32" s="1058"/>
      <c r="I32" s="1058"/>
      <c r="J32" s="1058"/>
      <c r="K32" s="1058"/>
      <c r="L32" s="1058"/>
      <c r="M32" s="1058"/>
      <c r="N32" s="1058"/>
      <c r="O32" s="1058"/>
      <c r="P32" s="1058"/>
      <c r="Q32" s="1058"/>
      <c r="R32" s="1059"/>
      <c r="S32" s="1057"/>
      <c r="T32" s="1058"/>
      <c r="U32" s="1058"/>
      <c r="V32" s="1058"/>
      <c r="W32" s="1058"/>
      <c r="X32" s="1058"/>
      <c r="Y32" s="1058"/>
      <c r="Z32" s="1058"/>
      <c r="AA32" s="1058"/>
      <c r="AB32" s="1058"/>
      <c r="AC32" s="1058"/>
      <c r="AD32" s="1058"/>
      <c r="AE32" s="1058"/>
      <c r="AF32" s="1058"/>
      <c r="AG32" s="1058"/>
      <c r="AH32" s="1059"/>
      <c r="AI32" s="1060"/>
      <c r="AJ32" s="1061"/>
      <c r="AK32" s="1061"/>
      <c r="AL32" s="1061"/>
      <c r="AM32" s="1061"/>
      <c r="AN32" s="1061"/>
      <c r="AO32" s="1061"/>
      <c r="AP32" s="1061"/>
      <c r="AQ32" s="1061"/>
      <c r="AR32" s="1061"/>
      <c r="AS32" s="1061"/>
      <c r="AT32" s="1061"/>
      <c r="AU32" s="1061"/>
      <c r="AV32" s="1061"/>
      <c r="AW32" s="1061"/>
      <c r="AX32" s="1061"/>
      <c r="AY32" s="1061"/>
      <c r="AZ32" s="1061"/>
      <c r="BA32" s="1061"/>
      <c r="BB32" s="1061"/>
      <c r="BC32" s="1061"/>
      <c r="BD32" s="1061"/>
      <c r="BE32" s="1061"/>
      <c r="BF32" s="1061"/>
      <c r="BG32" s="1061"/>
      <c r="BH32" s="1062"/>
      <c r="BI32" s="398"/>
      <c r="BJ32" s="365"/>
      <c r="BK32" s="365"/>
      <c r="BL32" s="1057"/>
      <c r="BM32" s="1058"/>
      <c r="BN32" s="1058"/>
      <c r="BO32" s="1058"/>
      <c r="BP32" s="1058"/>
      <c r="BQ32" s="1058"/>
      <c r="BR32" s="1058"/>
      <c r="BS32" s="1058"/>
      <c r="BT32" s="1058"/>
      <c r="BU32" s="1058"/>
      <c r="BV32" s="1058"/>
      <c r="BW32" s="1058"/>
      <c r="BX32" s="1058"/>
      <c r="BY32" s="1058"/>
      <c r="BZ32" s="1059"/>
      <c r="CA32" s="1057"/>
      <c r="CB32" s="1058"/>
      <c r="CC32" s="1058"/>
      <c r="CD32" s="1058"/>
      <c r="CE32" s="1058"/>
      <c r="CF32" s="1058"/>
      <c r="CG32" s="1058"/>
      <c r="CH32" s="1058"/>
      <c r="CI32" s="1058"/>
      <c r="CJ32" s="1058"/>
      <c r="CK32" s="1058"/>
      <c r="CL32" s="1058"/>
      <c r="CM32" s="1058"/>
      <c r="CN32" s="1058"/>
      <c r="CO32" s="1058"/>
      <c r="CP32" s="1059"/>
      <c r="CQ32" s="1060"/>
      <c r="CR32" s="1061"/>
      <c r="CS32" s="1061"/>
      <c r="CT32" s="1061"/>
      <c r="CU32" s="1061"/>
      <c r="CV32" s="1061"/>
      <c r="CW32" s="1061"/>
      <c r="CX32" s="1061"/>
      <c r="CY32" s="1061"/>
      <c r="CZ32" s="1061"/>
      <c r="DA32" s="1061"/>
      <c r="DB32" s="1061"/>
      <c r="DC32" s="1061"/>
      <c r="DD32" s="1061"/>
      <c r="DE32" s="1061"/>
      <c r="DF32" s="1061"/>
      <c r="DG32" s="1061"/>
      <c r="DH32" s="1061"/>
      <c r="DI32" s="1061"/>
      <c r="DJ32" s="1061"/>
      <c r="DK32" s="1061"/>
      <c r="DL32" s="1061"/>
      <c r="DM32" s="1061"/>
      <c r="DN32" s="1061"/>
      <c r="DO32" s="1061"/>
      <c r="DP32" s="1061"/>
      <c r="DQ32" s="1061"/>
      <c r="DR32" s="1062"/>
      <c r="DS32" s="1011"/>
      <c r="DT32" s="311"/>
      <c r="DU32" s="305"/>
      <c r="DV32" s="305"/>
      <c r="DW32" s="126"/>
      <c r="DX32" s="126"/>
      <c r="DY32" s="126"/>
      <c r="DZ32" s="126"/>
      <c r="EA32" s="126"/>
      <c r="EB32" s="126"/>
      <c r="EC32" s="126"/>
      <c r="ED32" s="126"/>
      <c r="EE32" s="126"/>
      <c r="EF32" s="127"/>
    </row>
    <row r="33" spans="2:136" ht="6" customHeight="1">
      <c r="B33" s="312"/>
      <c r="C33" s="190"/>
      <c r="D33" s="365"/>
      <c r="E33" s="365"/>
      <c r="F33" s="365"/>
      <c r="G33" s="365"/>
      <c r="H33" s="365"/>
      <c r="I33" s="365"/>
      <c r="J33" s="365"/>
      <c r="K33" s="365"/>
      <c r="L33" s="365"/>
      <c r="M33" s="365"/>
      <c r="N33" s="365"/>
      <c r="O33" s="365"/>
      <c r="P33" s="365"/>
      <c r="Q33" s="365"/>
      <c r="R33" s="365"/>
      <c r="S33" s="365"/>
      <c r="T33" s="365"/>
      <c r="U33" s="365"/>
      <c r="V33" s="365"/>
      <c r="W33" s="365"/>
      <c r="X33" s="365"/>
      <c r="Y33" s="365"/>
      <c r="Z33" s="365"/>
      <c r="AA33" s="365"/>
      <c r="AB33" s="365"/>
      <c r="AC33" s="365"/>
      <c r="AD33" s="365"/>
      <c r="AE33" s="365"/>
      <c r="AF33" s="365"/>
      <c r="AG33" s="365"/>
      <c r="AH33" s="365"/>
      <c r="AI33" s="365"/>
      <c r="AJ33" s="365"/>
      <c r="AK33" s="365"/>
      <c r="AL33" s="365"/>
      <c r="AM33" s="365"/>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98"/>
      <c r="BJ33" s="365"/>
      <c r="BK33" s="365"/>
      <c r="BL33" s="365"/>
      <c r="BM33" s="365"/>
      <c r="BN33" s="365"/>
      <c r="BO33" s="365"/>
      <c r="BP33" s="365"/>
      <c r="BQ33" s="365"/>
      <c r="BR33" s="365"/>
      <c r="BS33" s="365"/>
      <c r="BT33" s="365"/>
      <c r="BU33" s="365"/>
      <c r="BV33" s="365"/>
      <c r="BW33" s="365"/>
      <c r="BX33" s="365"/>
      <c r="BY33" s="365"/>
      <c r="BZ33" s="365"/>
      <c r="CA33" s="365"/>
      <c r="CB33" s="365"/>
      <c r="CC33" s="365"/>
      <c r="CD33" s="365"/>
      <c r="CE33" s="365"/>
      <c r="CF33" s="365"/>
      <c r="CG33" s="365"/>
      <c r="CH33" s="365"/>
      <c r="CI33" s="365"/>
      <c r="CJ33" s="365"/>
      <c r="CK33" s="365"/>
      <c r="CL33" s="365"/>
      <c r="CM33" s="365"/>
      <c r="CN33" s="365"/>
      <c r="CO33" s="365"/>
      <c r="CP33" s="365"/>
      <c r="CQ33" s="365"/>
      <c r="CR33" s="365"/>
      <c r="CS33" s="365"/>
      <c r="CT33" s="365"/>
      <c r="CU33" s="365"/>
      <c r="CV33" s="365"/>
      <c r="CW33" s="365"/>
      <c r="CX33" s="365"/>
      <c r="CY33" s="365"/>
      <c r="CZ33" s="365"/>
      <c r="DA33" s="365"/>
      <c r="DB33" s="365"/>
      <c r="DC33" s="365"/>
      <c r="DD33" s="365"/>
      <c r="DE33" s="365"/>
      <c r="DF33" s="365"/>
      <c r="DG33" s="365"/>
      <c r="DH33" s="365"/>
      <c r="DI33" s="365"/>
      <c r="DJ33" s="365"/>
      <c r="DK33" s="365"/>
      <c r="DL33" s="365"/>
      <c r="DM33" s="365"/>
      <c r="DN33" s="365"/>
      <c r="DO33" s="365"/>
      <c r="DP33" s="365"/>
      <c r="DQ33" s="365"/>
      <c r="DR33" s="365"/>
      <c r="DS33" s="1011"/>
      <c r="DT33" s="311"/>
      <c r="DU33" s="305"/>
      <c r="DV33" s="305"/>
      <c r="DW33" s="126"/>
      <c r="DX33" s="126"/>
      <c r="DY33" s="126"/>
      <c r="DZ33" s="126"/>
      <c r="EA33" s="126"/>
      <c r="EB33" s="126"/>
      <c r="EC33" s="126"/>
      <c r="ED33" s="126"/>
      <c r="EE33" s="126"/>
      <c r="EF33" s="127"/>
    </row>
    <row r="34" spans="2:136" ht="6" customHeight="1" thickBot="1">
      <c r="B34" s="312"/>
      <c r="C34" s="310"/>
      <c r="D34" s="257"/>
      <c r="E34" s="257"/>
      <c r="F34" s="257"/>
      <c r="G34" s="257"/>
      <c r="H34" s="257"/>
      <c r="I34" s="257"/>
      <c r="J34" s="257"/>
      <c r="K34" s="257"/>
      <c r="L34" s="257"/>
      <c r="M34" s="257"/>
      <c r="N34" s="257"/>
      <c r="O34" s="257"/>
      <c r="P34" s="257"/>
      <c r="Q34" s="257"/>
      <c r="R34" s="257"/>
      <c r="S34" s="257"/>
      <c r="T34" s="257"/>
      <c r="U34" s="257"/>
      <c r="V34" s="257"/>
      <c r="W34" s="257"/>
      <c r="X34" s="257"/>
      <c r="Y34" s="257"/>
      <c r="Z34" s="257"/>
      <c r="AA34" s="257"/>
      <c r="AB34" s="257"/>
      <c r="AC34" s="257"/>
      <c r="AD34" s="257"/>
      <c r="AE34" s="257"/>
      <c r="AF34" s="257"/>
      <c r="AG34" s="257"/>
      <c r="AH34" s="257"/>
      <c r="AI34" s="257"/>
      <c r="AJ34" s="257"/>
      <c r="AK34" s="257"/>
      <c r="AL34" s="257"/>
      <c r="AM34" s="257"/>
      <c r="AN34" s="257"/>
      <c r="AO34" s="310"/>
      <c r="AP34" s="520"/>
      <c r="AQ34" s="520"/>
      <c r="AR34" s="520"/>
      <c r="AS34" s="310"/>
      <c r="AT34" s="328"/>
      <c r="AU34" s="328"/>
      <c r="AV34" s="328"/>
      <c r="AW34" s="328"/>
      <c r="AX34" s="328"/>
      <c r="AY34" s="328"/>
      <c r="AZ34" s="328"/>
      <c r="BA34" s="328"/>
      <c r="BB34" s="328"/>
      <c r="BC34" s="328"/>
      <c r="BD34" s="328"/>
      <c r="BE34" s="328"/>
      <c r="BF34" s="328"/>
      <c r="BG34" s="328"/>
      <c r="BH34" s="328"/>
      <c r="BI34" s="328"/>
      <c r="BJ34" s="328"/>
      <c r="BK34" s="328"/>
      <c r="BL34" s="328"/>
      <c r="BM34" s="328"/>
      <c r="BN34" s="328"/>
      <c r="BO34" s="328"/>
      <c r="BP34" s="328"/>
      <c r="BQ34" s="328"/>
      <c r="BR34" s="328"/>
      <c r="BS34" s="328"/>
      <c r="BT34" s="328"/>
      <c r="BU34" s="328"/>
      <c r="BV34" s="328"/>
      <c r="BW34" s="328"/>
      <c r="BX34" s="328"/>
      <c r="BY34" s="328"/>
      <c r="BZ34" s="328"/>
      <c r="CA34" s="328"/>
      <c r="CB34" s="328"/>
      <c r="CC34" s="328"/>
      <c r="CD34" s="328"/>
      <c r="CE34" s="328"/>
      <c r="CF34" s="328"/>
      <c r="CG34" s="310"/>
      <c r="CH34" s="328"/>
      <c r="CI34" s="328"/>
      <c r="CJ34" s="328"/>
      <c r="CK34" s="328"/>
      <c r="CL34" s="328"/>
      <c r="CM34" s="328"/>
      <c r="CN34" s="328"/>
      <c r="CO34" s="328"/>
      <c r="CP34" s="328"/>
      <c r="CQ34" s="328"/>
      <c r="CR34" s="328"/>
      <c r="CS34" s="328"/>
      <c r="CT34" s="328"/>
      <c r="CU34" s="328"/>
      <c r="CV34" s="328"/>
      <c r="CW34" s="328"/>
      <c r="CX34" s="328"/>
      <c r="CY34" s="328"/>
      <c r="CZ34" s="328"/>
      <c r="DA34" s="328"/>
      <c r="DB34" s="328"/>
      <c r="DC34" s="328"/>
      <c r="DD34" s="328"/>
      <c r="DE34" s="328"/>
      <c r="DF34" s="328"/>
      <c r="DG34" s="328"/>
      <c r="DH34" s="328"/>
      <c r="DI34" s="328"/>
      <c r="DJ34" s="328"/>
      <c r="DK34" s="328"/>
      <c r="DL34" s="328"/>
      <c r="DM34" s="328"/>
      <c r="DN34" s="328"/>
      <c r="DO34" s="328"/>
      <c r="DP34" s="328"/>
      <c r="DQ34" s="328"/>
      <c r="DR34" s="328"/>
      <c r="DS34" s="328"/>
      <c r="DT34" s="311"/>
      <c r="DU34" s="305"/>
      <c r="DV34" s="305"/>
      <c r="DW34" s="126"/>
      <c r="DX34" s="126"/>
      <c r="DY34" s="126"/>
      <c r="DZ34" s="126"/>
      <c r="EA34" s="126"/>
      <c r="EB34" s="126"/>
      <c r="EC34" s="126"/>
      <c r="ED34" s="126"/>
      <c r="EE34" s="126"/>
      <c r="EF34" s="127"/>
    </row>
    <row r="35" spans="2:136" ht="6" customHeight="1">
      <c r="B35" s="1966" t="str">
        <f ca="1">INDIRECT($J$4&amp;"!C28")</f>
        <v>D2 - Problem description</v>
      </c>
      <c r="C35" s="1967"/>
      <c r="D35" s="1967"/>
      <c r="E35" s="1967"/>
      <c r="F35" s="1967"/>
      <c r="G35" s="1967"/>
      <c r="H35" s="1967"/>
      <c r="I35" s="1967"/>
      <c r="J35" s="1967"/>
      <c r="K35" s="1967"/>
      <c r="L35" s="1967"/>
      <c r="M35" s="1967"/>
      <c r="N35" s="1967"/>
      <c r="O35" s="1967"/>
      <c r="P35" s="1967"/>
      <c r="Q35" s="1967"/>
      <c r="R35" s="1967"/>
      <c r="S35" s="1967"/>
      <c r="T35" s="1967"/>
      <c r="U35" s="1967"/>
      <c r="V35" s="1967"/>
      <c r="W35" s="1967"/>
      <c r="X35" s="1967"/>
      <c r="Y35" s="1967"/>
      <c r="Z35" s="1967"/>
      <c r="AA35" s="1967"/>
      <c r="AB35" s="1967"/>
      <c r="AC35" s="1967"/>
      <c r="AD35" s="1967"/>
      <c r="AE35" s="1967"/>
      <c r="AF35" s="1967"/>
      <c r="AG35" s="1967"/>
      <c r="AH35" s="1967"/>
      <c r="AI35" s="1967"/>
      <c r="AJ35" s="1967"/>
      <c r="AK35" s="1967"/>
      <c r="AL35" s="1967"/>
      <c r="AM35" s="1967"/>
      <c r="AN35" s="1967"/>
      <c r="AO35" s="1967"/>
      <c r="AP35" s="1967"/>
      <c r="AQ35" s="1967"/>
      <c r="AR35" s="1967"/>
      <c r="AS35" s="307"/>
      <c r="AT35" s="307"/>
      <c r="AU35" s="307"/>
      <c r="AV35" s="307"/>
      <c r="AW35" s="307"/>
      <c r="AX35" s="307"/>
      <c r="AY35" s="307"/>
      <c r="AZ35" s="307"/>
      <c r="BA35" s="307"/>
      <c r="BB35" s="307"/>
      <c r="BC35" s="307"/>
      <c r="BD35" s="307"/>
      <c r="BE35" s="307"/>
      <c r="BF35" s="307"/>
      <c r="BG35" s="307"/>
      <c r="BH35" s="307"/>
      <c r="BI35" s="307"/>
      <c r="BJ35" s="307"/>
      <c r="BK35" s="307"/>
      <c r="BL35" s="307"/>
      <c r="BM35" s="307"/>
      <c r="BN35" s="307"/>
      <c r="BO35" s="307"/>
      <c r="BP35" s="307"/>
      <c r="BQ35" s="307"/>
      <c r="BR35" s="307"/>
      <c r="BS35" s="307"/>
      <c r="BT35" s="307"/>
      <c r="BU35" s="307"/>
      <c r="BV35" s="307"/>
      <c r="BW35" s="307"/>
      <c r="BX35" s="307"/>
      <c r="BY35" s="307"/>
      <c r="BZ35" s="307"/>
      <c r="CA35" s="307"/>
      <c r="CB35" s="307"/>
      <c r="CC35" s="307"/>
      <c r="CD35" s="307"/>
      <c r="CE35" s="307"/>
      <c r="CF35" s="307"/>
      <c r="CG35" s="307"/>
      <c r="CH35" s="307"/>
      <c r="CI35" s="307"/>
      <c r="CJ35" s="307"/>
      <c r="CK35" s="307"/>
      <c r="CL35" s="307"/>
      <c r="CM35" s="307"/>
      <c r="CN35" s="307"/>
      <c r="CO35" s="307"/>
      <c r="CP35" s="307"/>
      <c r="CQ35" s="307"/>
      <c r="CR35" s="307"/>
      <c r="CS35" s="307"/>
      <c r="CT35" s="307"/>
      <c r="CU35" s="307"/>
      <c r="CV35" s="307"/>
      <c r="CW35" s="307"/>
      <c r="CX35" s="307"/>
      <c r="CY35" s="307"/>
      <c r="CZ35" s="307"/>
      <c r="DA35" s="307"/>
      <c r="DB35" s="307"/>
      <c r="DC35" s="307"/>
      <c r="DD35" s="307"/>
      <c r="DE35" s="307"/>
      <c r="DF35" s="307"/>
      <c r="DG35" s="307"/>
      <c r="DH35" s="307"/>
      <c r="DI35" s="307"/>
      <c r="DJ35" s="307"/>
      <c r="DK35" s="307"/>
      <c r="DL35" s="307"/>
      <c r="DM35" s="307"/>
      <c r="DN35" s="307"/>
      <c r="DO35" s="307"/>
      <c r="DP35" s="307"/>
      <c r="DQ35" s="307"/>
      <c r="DR35" s="307"/>
      <c r="DS35" s="307"/>
      <c r="DT35" s="308"/>
      <c r="DW35" s="104"/>
      <c r="DX35" s="1002"/>
      <c r="DY35" s="1002"/>
      <c r="DZ35" s="1002"/>
      <c r="EA35" s="1002"/>
      <c r="EB35" s="1002"/>
      <c r="EC35" s="1002"/>
      <c r="ED35" s="1002"/>
      <c r="EE35" s="1002"/>
      <c r="EF35" s="32"/>
    </row>
    <row r="36" spans="2:136" ht="30" customHeight="1">
      <c r="B36" s="1968"/>
      <c r="C36" s="1969"/>
      <c r="D36" s="1969"/>
      <c r="E36" s="1969"/>
      <c r="F36" s="1969"/>
      <c r="G36" s="1969"/>
      <c r="H36" s="1969"/>
      <c r="I36" s="1969"/>
      <c r="J36" s="1969"/>
      <c r="K36" s="1969"/>
      <c r="L36" s="1969"/>
      <c r="M36" s="1969"/>
      <c r="N36" s="1969"/>
      <c r="O36" s="1969"/>
      <c r="P36" s="1969"/>
      <c r="Q36" s="1969"/>
      <c r="R36" s="1969"/>
      <c r="S36" s="1969"/>
      <c r="T36" s="1969"/>
      <c r="U36" s="1969"/>
      <c r="V36" s="1969"/>
      <c r="W36" s="1969"/>
      <c r="X36" s="1969"/>
      <c r="Y36" s="1969"/>
      <c r="Z36" s="1969"/>
      <c r="AA36" s="1969"/>
      <c r="AB36" s="1969"/>
      <c r="AC36" s="1969"/>
      <c r="AD36" s="1969"/>
      <c r="AE36" s="1969"/>
      <c r="AF36" s="1969"/>
      <c r="AG36" s="1969"/>
      <c r="AH36" s="1969"/>
      <c r="AI36" s="1969"/>
      <c r="AJ36" s="1969"/>
      <c r="AK36" s="1969"/>
      <c r="AL36" s="1969"/>
      <c r="AM36" s="1969"/>
      <c r="AN36" s="1969"/>
      <c r="AO36" s="1969"/>
      <c r="AP36" s="1969"/>
      <c r="AQ36" s="1969"/>
      <c r="AR36" s="1969"/>
      <c r="AS36" s="310"/>
      <c r="AT36" s="310"/>
      <c r="AU36" s="310"/>
      <c r="AV36" s="310"/>
      <c r="AW36" s="310"/>
      <c r="AX36" s="310"/>
      <c r="AY36" s="310"/>
      <c r="AZ36" s="310"/>
      <c r="BA36" s="310"/>
      <c r="BB36" s="310"/>
      <c r="BC36" s="310"/>
      <c r="BD36" s="310"/>
      <c r="BE36" s="310"/>
      <c r="BF36" s="310"/>
      <c r="BG36" s="310"/>
      <c r="BH36" s="310"/>
      <c r="BI36" s="310"/>
      <c r="BJ36" s="310"/>
      <c r="BK36" s="310"/>
      <c r="BL36" s="310"/>
      <c r="BM36" s="310"/>
      <c r="BN36" s="310"/>
      <c r="BO36" s="310"/>
      <c r="BP36" s="310"/>
      <c r="BQ36" s="310"/>
      <c r="BR36" s="310"/>
      <c r="BS36" s="310"/>
      <c r="BT36" s="310"/>
      <c r="BU36" s="310"/>
      <c r="BV36" s="310"/>
      <c r="BW36" s="310"/>
      <c r="BX36" s="310"/>
      <c r="BY36" s="310"/>
      <c r="BZ36" s="310"/>
      <c r="CA36" s="310"/>
      <c r="CB36" s="310"/>
      <c r="CC36" s="310"/>
      <c r="CD36" s="310"/>
      <c r="CE36" s="310"/>
      <c r="CF36" s="310"/>
      <c r="CG36" s="310"/>
      <c r="CH36" s="310"/>
      <c r="CI36" s="310"/>
      <c r="CJ36" s="310"/>
      <c r="CK36" s="310"/>
      <c r="CL36" s="310"/>
      <c r="CM36" s="310"/>
      <c r="CN36" s="310"/>
      <c r="CO36" s="310"/>
      <c r="CP36" s="310"/>
      <c r="CQ36" s="310"/>
      <c r="CR36" s="310"/>
      <c r="CS36" s="310"/>
      <c r="CT36" s="310"/>
      <c r="CU36" s="310"/>
      <c r="CV36" s="310"/>
      <c r="CW36" s="310"/>
      <c r="CX36" s="310"/>
      <c r="CY36" s="310"/>
      <c r="CZ36" s="310"/>
      <c r="DA36" s="310"/>
      <c r="DB36" s="310"/>
      <c r="DC36" s="310"/>
      <c r="DD36" s="310"/>
      <c r="DE36" s="310"/>
      <c r="DF36" s="310"/>
      <c r="DG36" s="310"/>
      <c r="DH36" s="310"/>
      <c r="DI36" s="310"/>
      <c r="DJ36" s="310"/>
      <c r="DK36" s="310"/>
      <c r="DL36" s="310"/>
      <c r="DM36" s="310"/>
      <c r="DN36" s="310"/>
      <c r="DO36" s="310"/>
      <c r="DP36" s="310"/>
      <c r="DQ36" s="310"/>
      <c r="DR36" s="310"/>
      <c r="DS36" s="310"/>
      <c r="DT36" s="311"/>
      <c r="DU36" s="305"/>
      <c r="DV36" s="305"/>
      <c r="DW36" s="126"/>
      <c r="DX36" s="126"/>
      <c r="DY36" s="126"/>
      <c r="DZ36" s="126"/>
      <c r="EA36" s="126"/>
      <c r="EB36" s="126"/>
      <c r="EC36" s="126"/>
      <c r="ED36" s="126"/>
      <c r="EE36" s="126"/>
      <c r="EF36" s="187"/>
    </row>
    <row r="37" spans="2:136" ht="6" customHeight="1" thickBot="1">
      <c r="B37" s="312"/>
      <c r="C37" s="313"/>
      <c r="D37" s="313"/>
      <c r="E37" s="313"/>
      <c r="F37" s="313"/>
      <c r="G37" s="313"/>
      <c r="H37" s="313"/>
      <c r="I37" s="313"/>
      <c r="J37" s="313"/>
      <c r="K37" s="313"/>
      <c r="L37" s="313"/>
      <c r="M37" s="313"/>
      <c r="N37" s="313"/>
      <c r="O37" s="313"/>
      <c r="P37" s="313"/>
      <c r="Q37" s="313"/>
      <c r="R37" s="313"/>
      <c r="S37" s="313"/>
      <c r="T37" s="313"/>
      <c r="U37" s="313"/>
      <c r="V37" s="313"/>
      <c r="W37" s="313"/>
      <c r="X37" s="313"/>
      <c r="Y37" s="313"/>
      <c r="Z37" s="313"/>
      <c r="AA37" s="313"/>
      <c r="AB37" s="313"/>
      <c r="AC37" s="313"/>
      <c r="AD37" s="313"/>
      <c r="AE37" s="313"/>
      <c r="AF37" s="313"/>
      <c r="AG37" s="313"/>
      <c r="AH37" s="313"/>
      <c r="AI37" s="313"/>
      <c r="AJ37" s="313"/>
      <c r="AK37" s="313"/>
      <c r="AL37" s="313"/>
      <c r="AM37" s="313"/>
      <c r="AN37" s="313"/>
      <c r="AO37" s="313"/>
      <c r="AP37" s="313"/>
      <c r="AQ37" s="313"/>
      <c r="AR37" s="313"/>
      <c r="AS37" s="313"/>
      <c r="AT37" s="313"/>
      <c r="AU37" s="313"/>
      <c r="AV37" s="313"/>
      <c r="AW37" s="313"/>
      <c r="AX37" s="313"/>
      <c r="AY37" s="313"/>
      <c r="AZ37" s="313"/>
      <c r="BA37" s="313"/>
      <c r="BB37" s="313"/>
      <c r="BC37" s="313"/>
      <c r="BD37" s="313"/>
      <c r="BE37" s="313"/>
      <c r="BF37" s="313"/>
      <c r="BG37" s="313"/>
      <c r="BH37" s="313"/>
      <c r="BI37" s="313"/>
      <c r="BJ37" s="313"/>
      <c r="BK37" s="313"/>
      <c r="BL37" s="313"/>
      <c r="BM37" s="313"/>
      <c r="BN37" s="313"/>
      <c r="BO37" s="313"/>
      <c r="BP37" s="313"/>
      <c r="BQ37" s="313"/>
      <c r="BR37" s="313"/>
      <c r="BS37" s="313"/>
      <c r="BT37" s="313"/>
      <c r="BU37" s="313"/>
      <c r="BV37" s="313"/>
      <c r="BW37" s="313"/>
      <c r="BX37" s="313"/>
      <c r="BY37" s="313"/>
      <c r="BZ37" s="313"/>
      <c r="CA37" s="313"/>
      <c r="CB37" s="313"/>
      <c r="CC37" s="313"/>
      <c r="CD37" s="313"/>
      <c r="CE37" s="313"/>
      <c r="CF37" s="313"/>
      <c r="CG37" s="313"/>
      <c r="CH37" s="313"/>
      <c r="CI37" s="313"/>
      <c r="CJ37" s="313"/>
      <c r="CK37" s="313"/>
      <c r="CL37" s="313"/>
      <c r="CM37" s="313"/>
      <c r="CN37" s="313"/>
      <c r="CO37" s="313"/>
      <c r="CP37" s="313"/>
      <c r="CQ37" s="313"/>
      <c r="CR37" s="313"/>
      <c r="CS37" s="313"/>
      <c r="CT37" s="313"/>
      <c r="CU37" s="313"/>
      <c r="CV37" s="313"/>
      <c r="CW37" s="313"/>
      <c r="CX37" s="313"/>
      <c r="CY37" s="313"/>
      <c r="CZ37" s="313"/>
      <c r="DA37" s="313"/>
      <c r="DB37" s="313"/>
      <c r="DC37" s="313"/>
      <c r="DD37" s="313"/>
      <c r="DE37" s="313"/>
      <c r="DF37" s="313"/>
      <c r="DG37" s="313"/>
      <c r="DH37" s="313"/>
      <c r="DI37" s="313"/>
      <c r="DJ37" s="313"/>
      <c r="DK37" s="313"/>
      <c r="DL37" s="313"/>
      <c r="DM37" s="313"/>
      <c r="DN37" s="313"/>
      <c r="DO37" s="313"/>
      <c r="DP37" s="313"/>
      <c r="DQ37" s="313"/>
      <c r="DR37" s="313"/>
      <c r="DS37" s="313"/>
      <c r="DT37" s="311"/>
      <c r="DU37" s="305"/>
      <c r="DV37" s="305"/>
      <c r="DW37" s="126"/>
      <c r="DX37" s="126"/>
      <c r="DY37" s="126"/>
      <c r="DZ37" s="126"/>
      <c r="EA37" s="126"/>
      <c r="EB37" s="126"/>
      <c r="EC37" s="126"/>
      <c r="ED37" s="126"/>
      <c r="EE37" s="126"/>
      <c r="EF37" s="127"/>
    </row>
    <row r="38" spans="2:136" ht="38.25" customHeight="1">
      <c r="B38" s="312"/>
      <c r="C38" s="313"/>
      <c r="D38" s="1959" t="str">
        <f ca="1">INDIRECT($J$4&amp;"!C29")</f>
        <v xml:space="preserve">NOK PART </v>
      </c>
      <c r="E38" s="1959"/>
      <c r="F38" s="1959"/>
      <c r="G38" s="1959"/>
      <c r="H38" s="1959"/>
      <c r="I38" s="1959"/>
      <c r="J38" s="1959"/>
      <c r="K38" s="1959"/>
      <c r="L38" s="2206"/>
      <c r="M38" s="2207"/>
      <c r="N38" s="2207"/>
      <c r="O38" s="2207"/>
      <c r="P38" s="2207"/>
      <c r="Q38" s="2207"/>
      <c r="R38" s="2207"/>
      <c r="S38" s="2207"/>
      <c r="T38" s="2207"/>
      <c r="U38" s="2207"/>
      <c r="V38" s="2207"/>
      <c r="W38" s="2207"/>
      <c r="X38" s="2207"/>
      <c r="Y38" s="2207"/>
      <c r="Z38" s="2207"/>
      <c r="AA38" s="2207"/>
      <c r="AB38" s="2207"/>
      <c r="AC38" s="2207"/>
      <c r="AD38" s="2207"/>
      <c r="AE38" s="2207"/>
      <c r="AF38" s="2207"/>
      <c r="AG38" s="2207"/>
      <c r="AH38" s="2207"/>
      <c r="AI38" s="2207"/>
      <c r="AJ38" s="2207"/>
      <c r="AK38" s="2207"/>
      <c r="AL38" s="2207"/>
      <c r="AM38" s="2207"/>
      <c r="AN38" s="2207"/>
      <c r="AO38" s="2207"/>
      <c r="AP38" s="2207"/>
      <c r="AQ38" s="2207"/>
      <c r="AR38" s="2207"/>
      <c r="AS38" s="2207"/>
      <c r="AT38" s="2207"/>
      <c r="AU38" s="2207"/>
      <c r="AV38" s="2207"/>
      <c r="AW38" s="2207"/>
      <c r="AX38" s="2207"/>
      <c r="AY38" s="2207"/>
      <c r="AZ38" s="2207"/>
      <c r="BA38" s="2207"/>
      <c r="BB38" s="2207"/>
      <c r="BC38" s="2207"/>
      <c r="BD38" s="2207"/>
      <c r="BE38" s="2207"/>
      <c r="BF38" s="2207"/>
      <c r="BG38" s="2207"/>
      <c r="BH38" s="2207"/>
      <c r="BI38" s="2207"/>
      <c r="BJ38" s="2208"/>
      <c r="BK38" s="192"/>
      <c r="BL38" s="1971" t="str">
        <f ca="1">INDIRECT($J$4&amp;"!C30")</f>
        <v>OK PART</v>
      </c>
      <c r="BM38" s="1971"/>
      <c r="BN38" s="1971"/>
      <c r="BO38" s="1971"/>
      <c r="BP38" s="1971"/>
      <c r="BQ38" s="1971"/>
      <c r="BR38" s="1971"/>
      <c r="BS38" s="1971"/>
      <c r="BT38" s="2215"/>
      <c r="BU38" s="2216"/>
      <c r="BV38" s="2216"/>
      <c r="BW38" s="2216"/>
      <c r="BX38" s="2216"/>
      <c r="BY38" s="2216"/>
      <c r="BZ38" s="2216"/>
      <c r="CA38" s="2216"/>
      <c r="CB38" s="2216"/>
      <c r="CC38" s="2216"/>
      <c r="CD38" s="2216"/>
      <c r="CE38" s="2216"/>
      <c r="CF38" s="2216"/>
      <c r="CG38" s="2216"/>
      <c r="CH38" s="2216"/>
      <c r="CI38" s="2216"/>
      <c r="CJ38" s="2216"/>
      <c r="CK38" s="2216"/>
      <c r="CL38" s="2216"/>
      <c r="CM38" s="2216"/>
      <c r="CN38" s="2216"/>
      <c r="CO38" s="2216"/>
      <c r="CP38" s="2216"/>
      <c r="CQ38" s="2216"/>
      <c r="CR38" s="2216"/>
      <c r="CS38" s="2216"/>
      <c r="CT38" s="2216"/>
      <c r="CU38" s="2216"/>
      <c r="CV38" s="2216"/>
      <c r="CW38" s="2216"/>
      <c r="CX38" s="2216"/>
      <c r="CY38" s="2216"/>
      <c r="CZ38" s="2216"/>
      <c r="DA38" s="2216"/>
      <c r="DB38" s="2216"/>
      <c r="DC38" s="2216"/>
      <c r="DD38" s="2216"/>
      <c r="DE38" s="2216"/>
      <c r="DF38" s="2216"/>
      <c r="DG38" s="2216"/>
      <c r="DH38" s="2216"/>
      <c r="DI38" s="2216"/>
      <c r="DJ38" s="2216"/>
      <c r="DK38" s="2216"/>
      <c r="DL38" s="2216"/>
      <c r="DM38" s="2216"/>
      <c r="DN38" s="2216"/>
      <c r="DO38" s="2216"/>
      <c r="DP38" s="2216"/>
      <c r="DQ38" s="2216"/>
      <c r="DR38" s="2217"/>
      <c r="DS38" s="1010"/>
      <c r="DT38" s="238"/>
      <c r="DU38" s="129"/>
      <c r="DV38" s="129"/>
      <c r="DW38" s="126"/>
      <c r="DX38" s="126"/>
      <c r="DY38" s="126"/>
      <c r="DZ38" s="126"/>
      <c r="EA38" s="126"/>
      <c r="EB38" s="126"/>
      <c r="EC38" s="126"/>
      <c r="ED38" s="126"/>
      <c r="EE38" s="126"/>
      <c r="EF38" s="127"/>
    </row>
    <row r="39" spans="2:136" ht="38.25" customHeight="1">
      <c r="B39" s="312"/>
      <c r="C39" s="313"/>
      <c r="D39" s="1959"/>
      <c r="E39" s="1959"/>
      <c r="F39" s="1959"/>
      <c r="G39" s="1959"/>
      <c r="H39" s="1959"/>
      <c r="I39" s="1959"/>
      <c r="J39" s="1959"/>
      <c r="K39" s="1959"/>
      <c r="L39" s="2209"/>
      <c r="M39" s="2210"/>
      <c r="N39" s="2210"/>
      <c r="O39" s="2210"/>
      <c r="P39" s="2210"/>
      <c r="Q39" s="2210"/>
      <c r="R39" s="2210"/>
      <c r="S39" s="2210"/>
      <c r="T39" s="2210"/>
      <c r="U39" s="2210"/>
      <c r="V39" s="2210"/>
      <c r="W39" s="2210"/>
      <c r="X39" s="2210"/>
      <c r="Y39" s="2210"/>
      <c r="Z39" s="2210"/>
      <c r="AA39" s="2210"/>
      <c r="AB39" s="2210"/>
      <c r="AC39" s="2210"/>
      <c r="AD39" s="2210"/>
      <c r="AE39" s="2210"/>
      <c r="AF39" s="2210"/>
      <c r="AG39" s="2210"/>
      <c r="AH39" s="2210"/>
      <c r="AI39" s="2210"/>
      <c r="AJ39" s="2210"/>
      <c r="AK39" s="2210"/>
      <c r="AL39" s="2210"/>
      <c r="AM39" s="2210"/>
      <c r="AN39" s="2210"/>
      <c r="AO39" s="2210"/>
      <c r="AP39" s="2210"/>
      <c r="AQ39" s="2210"/>
      <c r="AR39" s="2210"/>
      <c r="AS39" s="2210"/>
      <c r="AT39" s="2210"/>
      <c r="AU39" s="2210"/>
      <c r="AV39" s="2210"/>
      <c r="AW39" s="2210"/>
      <c r="AX39" s="2210"/>
      <c r="AY39" s="2210"/>
      <c r="AZ39" s="2210"/>
      <c r="BA39" s="2210"/>
      <c r="BB39" s="2210"/>
      <c r="BC39" s="2210"/>
      <c r="BD39" s="2210"/>
      <c r="BE39" s="2210"/>
      <c r="BF39" s="2210"/>
      <c r="BG39" s="2210"/>
      <c r="BH39" s="2210"/>
      <c r="BI39" s="2210"/>
      <c r="BJ39" s="2211"/>
      <c r="BK39" s="192"/>
      <c r="BL39" s="1971"/>
      <c r="BM39" s="1971"/>
      <c r="BN39" s="1971"/>
      <c r="BO39" s="1971"/>
      <c r="BP39" s="1971"/>
      <c r="BQ39" s="1971"/>
      <c r="BR39" s="1971"/>
      <c r="BS39" s="1971"/>
      <c r="BT39" s="2218"/>
      <c r="BU39" s="2219"/>
      <c r="BV39" s="2219"/>
      <c r="BW39" s="2219"/>
      <c r="BX39" s="2219"/>
      <c r="BY39" s="2219"/>
      <c r="BZ39" s="2219"/>
      <c r="CA39" s="2219"/>
      <c r="CB39" s="2219"/>
      <c r="CC39" s="2219"/>
      <c r="CD39" s="2219"/>
      <c r="CE39" s="2219"/>
      <c r="CF39" s="2219"/>
      <c r="CG39" s="2219"/>
      <c r="CH39" s="2219"/>
      <c r="CI39" s="2219"/>
      <c r="CJ39" s="2219"/>
      <c r="CK39" s="2219"/>
      <c r="CL39" s="2219"/>
      <c r="CM39" s="2219"/>
      <c r="CN39" s="2219"/>
      <c r="CO39" s="2219"/>
      <c r="CP39" s="2219"/>
      <c r="CQ39" s="2219"/>
      <c r="CR39" s="2219"/>
      <c r="CS39" s="2219"/>
      <c r="CT39" s="2219"/>
      <c r="CU39" s="2219"/>
      <c r="CV39" s="2219"/>
      <c r="CW39" s="2219"/>
      <c r="CX39" s="2219"/>
      <c r="CY39" s="2219"/>
      <c r="CZ39" s="2219"/>
      <c r="DA39" s="2219"/>
      <c r="DB39" s="2219"/>
      <c r="DC39" s="2219"/>
      <c r="DD39" s="2219"/>
      <c r="DE39" s="2219"/>
      <c r="DF39" s="2219"/>
      <c r="DG39" s="2219"/>
      <c r="DH39" s="2219"/>
      <c r="DI39" s="2219"/>
      <c r="DJ39" s="2219"/>
      <c r="DK39" s="2219"/>
      <c r="DL39" s="2219"/>
      <c r="DM39" s="2219"/>
      <c r="DN39" s="2219"/>
      <c r="DO39" s="2219"/>
      <c r="DP39" s="2219"/>
      <c r="DQ39" s="2219"/>
      <c r="DR39" s="2220"/>
      <c r="DS39" s="1010"/>
      <c r="DT39" s="238"/>
      <c r="DU39" s="129"/>
      <c r="DV39" s="129"/>
      <c r="DW39" s="126"/>
      <c r="DX39" s="126"/>
      <c r="DY39" s="126"/>
      <c r="DZ39" s="126"/>
      <c r="EA39" s="126"/>
      <c r="EB39" s="126"/>
      <c r="EC39" s="126"/>
      <c r="ED39" s="126"/>
      <c r="EE39" s="126"/>
      <c r="EF39" s="127"/>
    </row>
    <row r="40" spans="2:136" ht="38.25" customHeight="1">
      <c r="B40" s="312"/>
      <c r="C40" s="313"/>
      <c r="D40" s="1959"/>
      <c r="E40" s="1959"/>
      <c r="F40" s="1959"/>
      <c r="G40" s="1959"/>
      <c r="H40" s="1959"/>
      <c r="I40" s="1959"/>
      <c r="J40" s="1959"/>
      <c r="K40" s="1959"/>
      <c r="L40" s="2209"/>
      <c r="M40" s="2210"/>
      <c r="N40" s="2210"/>
      <c r="O40" s="2210"/>
      <c r="P40" s="2210"/>
      <c r="Q40" s="2210"/>
      <c r="R40" s="2210"/>
      <c r="S40" s="2210"/>
      <c r="T40" s="2210"/>
      <c r="U40" s="2210"/>
      <c r="V40" s="2210"/>
      <c r="W40" s="2210"/>
      <c r="X40" s="2210"/>
      <c r="Y40" s="2210"/>
      <c r="Z40" s="2210"/>
      <c r="AA40" s="2210"/>
      <c r="AB40" s="2210"/>
      <c r="AC40" s="2210"/>
      <c r="AD40" s="2210"/>
      <c r="AE40" s="2210"/>
      <c r="AF40" s="2210"/>
      <c r="AG40" s="2210"/>
      <c r="AH40" s="2210"/>
      <c r="AI40" s="2210"/>
      <c r="AJ40" s="2210"/>
      <c r="AK40" s="2210"/>
      <c r="AL40" s="2210"/>
      <c r="AM40" s="2210"/>
      <c r="AN40" s="2210"/>
      <c r="AO40" s="2210"/>
      <c r="AP40" s="2210"/>
      <c r="AQ40" s="2210"/>
      <c r="AR40" s="2210"/>
      <c r="AS40" s="2210"/>
      <c r="AT40" s="2210"/>
      <c r="AU40" s="2210"/>
      <c r="AV40" s="2210"/>
      <c r="AW40" s="2210"/>
      <c r="AX40" s="2210"/>
      <c r="AY40" s="2210"/>
      <c r="AZ40" s="2210"/>
      <c r="BA40" s="2210"/>
      <c r="BB40" s="2210"/>
      <c r="BC40" s="2210"/>
      <c r="BD40" s="2210"/>
      <c r="BE40" s="2210"/>
      <c r="BF40" s="2210"/>
      <c r="BG40" s="2210"/>
      <c r="BH40" s="2210"/>
      <c r="BI40" s="2210"/>
      <c r="BJ40" s="2211"/>
      <c r="BK40" s="192"/>
      <c r="BL40" s="1971"/>
      <c r="BM40" s="1971"/>
      <c r="BN40" s="1971"/>
      <c r="BO40" s="1971"/>
      <c r="BP40" s="1971"/>
      <c r="BQ40" s="1971"/>
      <c r="BR40" s="1971"/>
      <c r="BS40" s="1971"/>
      <c r="BT40" s="2218"/>
      <c r="BU40" s="2219"/>
      <c r="BV40" s="2219"/>
      <c r="BW40" s="2219"/>
      <c r="BX40" s="2219"/>
      <c r="BY40" s="2219"/>
      <c r="BZ40" s="2219"/>
      <c r="CA40" s="2219"/>
      <c r="CB40" s="2219"/>
      <c r="CC40" s="2219"/>
      <c r="CD40" s="2219"/>
      <c r="CE40" s="2219"/>
      <c r="CF40" s="2219"/>
      <c r="CG40" s="2219"/>
      <c r="CH40" s="2219"/>
      <c r="CI40" s="2219"/>
      <c r="CJ40" s="2219"/>
      <c r="CK40" s="2219"/>
      <c r="CL40" s="2219"/>
      <c r="CM40" s="2219"/>
      <c r="CN40" s="2219"/>
      <c r="CO40" s="2219"/>
      <c r="CP40" s="2219"/>
      <c r="CQ40" s="2219"/>
      <c r="CR40" s="2219"/>
      <c r="CS40" s="2219"/>
      <c r="CT40" s="2219"/>
      <c r="CU40" s="2219"/>
      <c r="CV40" s="2219"/>
      <c r="CW40" s="2219"/>
      <c r="CX40" s="2219"/>
      <c r="CY40" s="2219"/>
      <c r="CZ40" s="2219"/>
      <c r="DA40" s="2219"/>
      <c r="DB40" s="2219"/>
      <c r="DC40" s="2219"/>
      <c r="DD40" s="2219"/>
      <c r="DE40" s="2219"/>
      <c r="DF40" s="2219"/>
      <c r="DG40" s="2219"/>
      <c r="DH40" s="2219"/>
      <c r="DI40" s="2219"/>
      <c r="DJ40" s="2219"/>
      <c r="DK40" s="2219"/>
      <c r="DL40" s="2219"/>
      <c r="DM40" s="2219"/>
      <c r="DN40" s="2219"/>
      <c r="DO40" s="2219"/>
      <c r="DP40" s="2219"/>
      <c r="DQ40" s="2219"/>
      <c r="DR40" s="2220"/>
      <c r="DS40" s="1010"/>
      <c r="DT40" s="238"/>
      <c r="DU40" s="129"/>
      <c r="DV40" s="129"/>
      <c r="DW40" s="126"/>
      <c r="DX40" s="126"/>
      <c r="DY40" s="126"/>
      <c r="DZ40" s="126"/>
      <c r="EA40" s="126"/>
      <c r="EB40" s="126"/>
      <c r="EC40" s="126"/>
      <c r="ED40" s="126"/>
      <c r="EE40" s="126"/>
      <c r="EF40" s="127"/>
    </row>
    <row r="41" spans="2:136" ht="38.25" customHeight="1">
      <c r="B41" s="312"/>
      <c r="C41" s="313"/>
      <c r="D41" s="1959"/>
      <c r="E41" s="1959"/>
      <c r="F41" s="1959"/>
      <c r="G41" s="1959"/>
      <c r="H41" s="1959"/>
      <c r="I41" s="1959"/>
      <c r="J41" s="1959"/>
      <c r="K41" s="1959"/>
      <c r="L41" s="2209"/>
      <c r="M41" s="2210"/>
      <c r="N41" s="2210"/>
      <c r="O41" s="2210"/>
      <c r="P41" s="2210"/>
      <c r="Q41" s="2210"/>
      <c r="R41" s="2210"/>
      <c r="S41" s="2210"/>
      <c r="T41" s="2210"/>
      <c r="U41" s="2210"/>
      <c r="V41" s="2210"/>
      <c r="W41" s="2210"/>
      <c r="X41" s="2210"/>
      <c r="Y41" s="2210"/>
      <c r="Z41" s="2210"/>
      <c r="AA41" s="2210"/>
      <c r="AB41" s="2210"/>
      <c r="AC41" s="2210"/>
      <c r="AD41" s="2210"/>
      <c r="AE41" s="2210"/>
      <c r="AF41" s="2210"/>
      <c r="AG41" s="2210"/>
      <c r="AH41" s="2210"/>
      <c r="AI41" s="2210"/>
      <c r="AJ41" s="2210"/>
      <c r="AK41" s="2210"/>
      <c r="AL41" s="2210"/>
      <c r="AM41" s="2210"/>
      <c r="AN41" s="2210"/>
      <c r="AO41" s="2210"/>
      <c r="AP41" s="2210"/>
      <c r="AQ41" s="2210"/>
      <c r="AR41" s="2210"/>
      <c r="AS41" s="2210"/>
      <c r="AT41" s="2210"/>
      <c r="AU41" s="2210"/>
      <c r="AV41" s="2210"/>
      <c r="AW41" s="2210"/>
      <c r="AX41" s="2210"/>
      <c r="AY41" s="2210"/>
      <c r="AZ41" s="2210"/>
      <c r="BA41" s="2210"/>
      <c r="BB41" s="2210"/>
      <c r="BC41" s="2210"/>
      <c r="BD41" s="2210"/>
      <c r="BE41" s="2210"/>
      <c r="BF41" s="2210"/>
      <c r="BG41" s="2210"/>
      <c r="BH41" s="2210"/>
      <c r="BI41" s="2210"/>
      <c r="BJ41" s="2211"/>
      <c r="BK41" s="192"/>
      <c r="BL41" s="1971"/>
      <c r="BM41" s="1971"/>
      <c r="BN41" s="1971"/>
      <c r="BO41" s="1971"/>
      <c r="BP41" s="1971"/>
      <c r="BQ41" s="1971"/>
      <c r="BR41" s="1971"/>
      <c r="BS41" s="1971"/>
      <c r="BT41" s="2218"/>
      <c r="BU41" s="2219"/>
      <c r="BV41" s="2219"/>
      <c r="BW41" s="2219"/>
      <c r="BX41" s="2219"/>
      <c r="BY41" s="2219"/>
      <c r="BZ41" s="2219"/>
      <c r="CA41" s="2219"/>
      <c r="CB41" s="2219"/>
      <c r="CC41" s="2219"/>
      <c r="CD41" s="2219"/>
      <c r="CE41" s="2219"/>
      <c r="CF41" s="2219"/>
      <c r="CG41" s="2219"/>
      <c r="CH41" s="2219"/>
      <c r="CI41" s="2219"/>
      <c r="CJ41" s="2219"/>
      <c r="CK41" s="2219"/>
      <c r="CL41" s="2219"/>
      <c r="CM41" s="2219"/>
      <c r="CN41" s="2219"/>
      <c r="CO41" s="2219"/>
      <c r="CP41" s="2219"/>
      <c r="CQ41" s="2219"/>
      <c r="CR41" s="2219"/>
      <c r="CS41" s="2219"/>
      <c r="CT41" s="2219"/>
      <c r="CU41" s="2219"/>
      <c r="CV41" s="2219"/>
      <c r="CW41" s="2219"/>
      <c r="CX41" s="2219"/>
      <c r="CY41" s="2219"/>
      <c r="CZ41" s="2219"/>
      <c r="DA41" s="2219"/>
      <c r="DB41" s="2219"/>
      <c r="DC41" s="2219"/>
      <c r="DD41" s="2219"/>
      <c r="DE41" s="2219"/>
      <c r="DF41" s="2219"/>
      <c r="DG41" s="2219"/>
      <c r="DH41" s="2219"/>
      <c r="DI41" s="2219"/>
      <c r="DJ41" s="2219"/>
      <c r="DK41" s="2219"/>
      <c r="DL41" s="2219"/>
      <c r="DM41" s="2219"/>
      <c r="DN41" s="2219"/>
      <c r="DO41" s="2219"/>
      <c r="DP41" s="2219"/>
      <c r="DQ41" s="2219"/>
      <c r="DR41" s="2220"/>
      <c r="DS41" s="1010"/>
      <c r="DT41" s="238"/>
      <c r="DU41" s="129"/>
      <c r="DV41" s="129"/>
      <c r="DW41" s="126"/>
      <c r="DX41" s="126"/>
      <c r="DY41" s="126"/>
      <c r="DZ41" s="126"/>
      <c r="EA41" s="126"/>
      <c r="EB41" s="126"/>
      <c r="EC41" s="126"/>
      <c r="ED41" s="126"/>
      <c r="EE41" s="126"/>
      <c r="EF41" s="127"/>
    </row>
    <row r="42" spans="2:136" ht="38.25" customHeight="1">
      <c r="B42" s="312"/>
      <c r="C42" s="313"/>
      <c r="D42" s="1959"/>
      <c r="E42" s="1959"/>
      <c r="F42" s="1959"/>
      <c r="G42" s="1959"/>
      <c r="H42" s="1959"/>
      <c r="I42" s="1959"/>
      <c r="J42" s="1959"/>
      <c r="K42" s="1959"/>
      <c r="L42" s="2209"/>
      <c r="M42" s="2210"/>
      <c r="N42" s="2210"/>
      <c r="O42" s="2210"/>
      <c r="P42" s="2210"/>
      <c r="Q42" s="2210"/>
      <c r="R42" s="2210"/>
      <c r="S42" s="2210"/>
      <c r="T42" s="2210"/>
      <c r="U42" s="2210"/>
      <c r="V42" s="2210"/>
      <c r="W42" s="2210"/>
      <c r="X42" s="2210"/>
      <c r="Y42" s="2210"/>
      <c r="Z42" s="2210"/>
      <c r="AA42" s="2210"/>
      <c r="AB42" s="2210"/>
      <c r="AC42" s="2210"/>
      <c r="AD42" s="2210"/>
      <c r="AE42" s="2210"/>
      <c r="AF42" s="2210"/>
      <c r="AG42" s="2210"/>
      <c r="AH42" s="2210"/>
      <c r="AI42" s="2210"/>
      <c r="AJ42" s="2210"/>
      <c r="AK42" s="2210"/>
      <c r="AL42" s="2210"/>
      <c r="AM42" s="2210"/>
      <c r="AN42" s="2210"/>
      <c r="AO42" s="2210"/>
      <c r="AP42" s="2210"/>
      <c r="AQ42" s="2210"/>
      <c r="AR42" s="2210"/>
      <c r="AS42" s="2210"/>
      <c r="AT42" s="2210"/>
      <c r="AU42" s="2210"/>
      <c r="AV42" s="2210"/>
      <c r="AW42" s="2210"/>
      <c r="AX42" s="2210"/>
      <c r="AY42" s="2210"/>
      <c r="AZ42" s="2210"/>
      <c r="BA42" s="2210"/>
      <c r="BB42" s="2210"/>
      <c r="BC42" s="2210"/>
      <c r="BD42" s="2210"/>
      <c r="BE42" s="2210"/>
      <c r="BF42" s="2210"/>
      <c r="BG42" s="2210"/>
      <c r="BH42" s="2210"/>
      <c r="BI42" s="2210"/>
      <c r="BJ42" s="2211"/>
      <c r="BK42" s="192"/>
      <c r="BL42" s="1971"/>
      <c r="BM42" s="1971"/>
      <c r="BN42" s="1971"/>
      <c r="BO42" s="1971"/>
      <c r="BP42" s="1971"/>
      <c r="BQ42" s="1971"/>
      <c r="BR42" s="1971"/>
      <c r="BS42" s="1971"/>
      <c r="BT42" s="2218"/>
      <c r="BU42" s="2219"/>
      <c r="BV42" s="2219"/>
      <c r="BW42" s="2219"/>
      <c r="BX42" s="2219"/>
      <c r="BY42" s="2219"/>
      <c r="BZ42" s="2219"/>
      <c r="CA42" s="2219"/>
      <c r="CB42" s="2219"/>
      <c r="CC42" s="2219"/>
      <c r="CD42" s="2219"/>
      <c r="CE42" s="2219"/>
      <c r="CF42" s="2219"/>
      <c r="CG42" s="2219"/>
      <c r="CH42" s="2219"/>
      <c r="CI42" s="2219"/>
      <c r="CJ42" s="2219"/>
      <c r="CK42" s="2219"/>
      <c r="CL42" s="2219"/>
      <c r="CM42" s="2219"/>
      <c r="CN42" s="2219"/>
      <c r="CO42" s="2219"/>
      <c r="CP42" s="2219"/>
      <c r="CQ42" s="2219"/>
      <c r="CR42" s="2219"/>
      <c r="CS42" s="2219"/>
      <c r="CT42" s="2219"/>
      <c r="CU42" s="2219"/>
      <c r="CV42" s="2219"/>
      <c r="CW42" s="2219"/>
      <c r="CX42" s="2219"/>
      <c r="CY42" s="2219"/>
      <c r="CZ42" s="2219"/>
      <c r="DA42" s="2219"/>
      <c r="DB42" s="2219"/>
      <c r="DC42" s="2219"/>
      <c r="DD42" s="2219"/>
      <c r="DE42" s="2219"/>
      <c r="DF42" s="2219"/>
      <c r="DG42" s="2219"/>
      <c r="DH42" s="2219"/>
      <c r="DI42" s="2219"/>
      <c r="DJ42" s="2219"/>
      <c r="DK42" s="2219"/>
      <c r="DL42" s="2219"/>
      <c r="DM42" s="2219"/>
      <c r="DN42" s="2219"/>
      <c r="DO42" s="2219"/>
      <c r="DP42" s="2219"/>
      <c r="DQ42" s="2219"/>
      <c r="DR42" s="2220"/>
      <c r="DS42" s="1010"/>
      <c r="DT42" s="238"/>
      <c r="DU42" s="129"/>
      <c r="DV42" s="129"/>
      <c r="DW42" s="126"/>
      <c r="DX42" s="126"/>
      <c r="DY42" s="126"/>
      <c r="DZ42" s="126"/>
      <c r="EA42" s="126"/>
      <c r="EB42" s="126"/>
      <c r="EC42" s="126"/>
      <c r="ED42" s="126"/>
      <c r="EE42" s="126"/>
      <c r="EF42" s="127"/>
    </row>
    <row r="43" spans="2:136" ht="38.25" customHeight="1" thickBot="1">
      <c r="B43" s="312"/>
      <c r="C43" s="313"/>
      <c r="D43" s="1959"/>
      <c r="E43" s="1959"/>
      <c r="F43" s="1959"/>
      <c r="G43" s="1959"/>
      <c r="H43" s="1959"/>
      <c r="I43" s="1959"/>
      <c r="J43" s="1959"/>
      <c r="K43" s="1959"/>
      <c r="L43" s="2212"/>
      <c r="M43" s="2213"/>
      <c r="N43" s="2213"/>
      <c r="O43" s="2213"/>
      <c r="P43" s="2213"/>
      <c r="Q43" s="2213"/>
      <c r="R43" s="2213"/>
      <c r="S43" s="2213"/>
      <c r="T43" s="2213"/>
      <c r="U43" s="2213"/>
      <c r="V43" s="2213"/>
      <c r="W43" s="2213"/>
      <c r="X43" s="2213"/>
      <c r="Y43" s="2213"/>
      <c r="Z43" s="2213"/>
      <c r="AA43" s="2213"/>
      <c r="AB43" s="2213"/>
      <c r="AC43" s="2213"/>
      <c r="AD43" s="2213"/>
      <c r="AE43" s="2213"/>
      <c r="AF43" s="2213"/>
      <c r="AG43" s="2213"/>
      <c r="AH43" s="2213"/>
      <c r="AI43" s="2213"/>
      <c r="AJ43" s="2213"/>
      <c r="AK43" s="2213"/>
      <c r="AL43" s="2213"/>
      <c r="AM43" s="2213"/>
      <c r="AN43" s="2213"/>
      <c r="AO43" s="2213"/>
      <c r="AP43" s="2213"/>
      <c r="AQ43" s="2213"/>
      <c r="AR43" s="2213"/>
      <c r="AS43" s="2213"/>
      <c r="AT43" s="2213"/>
      <c r="AU43" s="2213"/>
      <c r="AV43" s="2213"/>
      <c r="AW43" s="2213"/>
      <c r="AX43" s="2213"/>
      <c r="AY43" s="2213"/>
      <c r="AZ43" s="2213"/>
      <c r="BA43" s="2213"/>
      <c r="BB43" s="2213"/>
      <c r="BC43" s="2213"/>
      <c r="BD43" s="2213"/>
      <c r="BE43" s="2213"/>
      <c r="BF43" s="2213"/>
      <c r="BG43" s="2213"/>
      <c r="BH43" s="2213"/>
      <c r="BI43" s="2213"/>
      <c r="BJ43" s="2214"/>
      <c r="BK43" s="192"/>
      <c r="BL43" s="1971"/>
      <c r="BM43" s="1971"/>
      <c r="BN43" s="1971"/>
      <c r="BO43" s="1971"/>
      <c r="BP43" s="1971"/>
      <c r="BQ43" s="1971"/>
      <c r="BR43" s="1971"/>
      <c r="BS43" s="1971"/>
      <c r="BT43" s="2221"/>
      <c r="BU43" s="2222"/>
      <c r="BV43" s="2222"/>
      <c r="BW43" s="2222"/>
      <c r="BX43" s="2222"/>
      <c r="BY43" s="2222"/>
      <c r="BZ43" s="2222"/>
      <c r="CA43" s="2222"/>
      <c r="CB43" s="2222"/>
      <c r="CC43" s="2222"/>
      <c r="CD43" s="2222"/>
      <c r="CE43" s="2222"/>
      <c r="CF43" s="2222"/>
      <c r="CG43" s="2222"/>
      <c r="CH43" s="2222"/>
      <c r="CI43" s="2222"/>
      <c r="CJ43" s="2222"/>
      <c r="CK43" s="2222"/>
      <c r="CL43" s="2222"/>
      <c r="CM43" s="2222"/>
      <c r="CN43" s="2222"/>
      <c r="CO43" s="2222"/>
      <c r="CP43" s="2222"/>
      <c r="CQ43" s="2222"/>
      <c r="CR43" s="2222"/>
      <c r="CS43" s="2222"/>
      <c r="CT43" s="2222"/>
      <c r="CU43" s="2222"/>
      <c r="CV43" s="2222"/>
      <c r="CW43" s="2222"/>
      <c r="CX43" s="2222"/>
      <c r="CY43" s="2222"/>
      <c r="CZ43" s="2222"/>
      <c r="DA43" s="2222"/>
      <c r="DB43" s="2222"/>
      <c r="DC43" s="2222"/>
      <c r="DD43" s="2222"/>
      <c r="DE43" s="2222"/>
      <c r="DF43" s="2222"/>
      <c r="DG43" s="2222"/>
      <c r="DH43" s="2222"/>
      <c r="DI43" s="2222"/>
      <c r="DJ43" s="2222"/>
      <c r="DK43" s="2222"/>
      <c r="DL43" s="2222"/>
      <c r="DM43" s="2222"/>
      <c r="DN43" s="2222"/>
      <c r="DO43" s="2222"/>
      <c r="DP43" s="2222"/>
      <c r="DQ43" s="2222"/>
      <c r="DR43" s="2223"/>
      <c r="DS43" s="1010"/>
      <c r="DT43" s="238"/>
      <c r="DU43" s="129"/>
      <c r="DV43" s="129"/>
      <c r="DW43" s="126"/>
      <c r="DX43" s="126"/>
      <c r="DY43" s="126"/>
      <c r="DZ43" s="126"/>
      <c r="EA43" s="126"/>
      <c r="EB43" s="126"/>
      <c r="EC43" s="126"/>
      <c r="ED43" s="126"/>
      <c r="EE43" s="126"/>
      <c r="EF43" s="127"/>
    </row>
    <row r="44" spans="2:136" ht="6" customHeight="1">
      <c r="B44" s="312"/>
      <c r="C44" s="313"/>
      <c r="D44" s="313"/>
      <c r="E44" s="313"/>
      <c r="F44" s="313"/>
      <c r="G44" s="313"/>
      <c r="H44" s="313"/>
      <c r="I44" s="313"/>
      <c r="J44" s="313"/>
      <c r="K44" s="313"/>
      <c r="L44" s="313"/>
      <c r="M44" s="313"/>
      <c r="N44" s="313"/>
      <c r="O44" s="313"/>
      <c r="P44" s="313"/>
      <c r="Q44" s="313"/>
      <c r="R44" s="313"/>
      <c r="S44" s="313"/>
      <c r="T44" s="313"/>
      <c r="U44" s="313"/>
      <c r="V44" s="313"/>
      <c r="W44" s="313"/>
      <c r="X44" s="313"/>
      <c r="Y44" s="313"/>
      <c r="Z44" s="313"/>
      <c r="AA44" s="313"/>
      <c r="AB44" s="313"/>
      <c r="AC44" s="313"/>
      <c r="AD44" s="313"/>
      <c r="AE44" s="313"/>
      <c r="AF44" s="313"/>
      <c r="AG44" s="313"/>
      <c r="AH44" s="313"/>
      <c r="AI44" s="313"/>
      <c r="AJ44" s="313"/>
      <c r="AK44" s="313"/>
      <c r="AL44" s="313"/>
      <c r="AM44" s="313"/>
      <c r="AN44" s="313"/>
      <c r="AO44" s="313"/>
      <c r="AP44" s="313"/>
      <c r="AQ44" s="313"/>
      <c r="AR44" s="313"/>
      <c r="AS44" s="313"/>
      <c r="AT44" s="313"/>
      <c r="AU44" s="313"/>
      <c r="AV44" s="313"/>
      <c r="AW44" s="313"/>
      <c r="AX44" s="313"/>
      <c r="AY44" s="313"/>
      <c r="AZ44" s="313"/>
      <c r="BA44" s="1015"/>
      <c r="BB44" s="313"/>
      <c r="BC44" s="313"/>
      <c r="BD44" s="313"/>
      <c r="BE44" s="313"/>
      <c r="BF44" s="313"/>
      <c r="BG44" s="313"/>
      <c r="BH44" s="313"/>
      <c r="BI44" s="313"/>
      <c r="BJ44" s="313"/>
      <c r="BK44" s="313"/>
      <c r="BL44" s="313"/>
      <c r="BM44" s="313"/>
      <c r="BN44" s="313"/>
      <c r="BO44" s="313"/>
      <c r="BP44" s="313"/>
      <c r="BQ44" s="313"/>
      <c r="BR44" s="313"/>
      <c r="BS44" s="313"/>
      <c r="BT44" s="1015"/>
      <c r="BU44" s="1015"/>
      <c r="BV44" s="1015"/>
      <c r="BW44" s="1015"/>
      <c r="BX44" s="313"/>
      <c r="BY44" s="1015"/>
      <c r="BZ44" s="1015"/>
      <c r="CA44" s="313"/>
      <c r="CB44" s="313"/>
      <c r="CC44" s="313"/>
      <c r="CD44" s="313"/>
      <c r="CE44" s="313"/>
      <c r="CF44" s="313"/>
      <c r="CG44" s="313"/>
      <c r="CH44" s="313"/>
      <c r="CI44" s="313"/>
      <c r="CJ44" s="313"/>
      <c r="CK44" s="313"/>
      <c r="CL44" s="313"/>
      <c r="CM44" s="313"/>
      <c r="CN44" s="313"/>
      <c r="CO44" s="313"/>
      <c r="CP44" s="313"/>
      <c r="CQ44" s="313"/>
      <c r="CR44" s="313"/>
      <c r="CS44" s="313"/>
      <c r="CT44" s="313"/>
      <c r="CU44" s="313"/>
      <c r="CV44" s="313"/>
      <c r="CW44" s="313"/>
      <c r="CX44" s="313"/>
      <c r="CY44" s="313"/>
      <c r="CZ44" s="313"/>
      <c r="DA44" s="313"/>
      <c r="DB44" s="313"/>
      <c r="DC44" s="313"/>
      <c r="DD44" s="313"/>
      <c r="DE44" s="313"/>
      <c r="DF44" s="313"/>
      <c r="DG44" s="313"/>
      <c r="DH44" s="313"/>
      <c r="DI44" s="313"/>
      <c r="DJ44" s="313"/>
      <c r="DK44" s="313"/>
      <c r="DL44" s="313"/>
      <c r="DM44" s="313"/>
      <c r="DN44" s="313"/>
      <c r="DO44" s="313"/>
      <c r="DP44" s="313"/>
      <c r="DQ44" s="313"/>
      <c r="DR44" s="313"/>
      <c r="DS44" s="313"/>
      <c r="DT44" s="311"/>
      <c r="DU44" s="305"/>
      <c r="DV44" s="305"/>
      <c r="DW44" s="126"/>
      <c r="DX44" s="126"/>
      <c r="DY44" s="126"/>
      <c r="DZ44" s="126"/>
      <c r="EA44" s="126"/>
      <c r="EB44" s="126"/>
      <c r="EC44" s="126"/>
      <c r="ED44" s="126"/>
      <c r="EE44" s="126"/>
      <c r="EF44" s="127"/>
    </row>
    <row r="45" spans="2:136" ht="42" customHeight="1">
      <c r="B45" s="312"/>
      <c r="C45" s="313"/>
      <c r="D45" s="1069" t="str">
        <f ca="1">INDIRECT($J$4&amp;"!C65")</f>
        <v>Symptom description</v>
      </c>
      <c r="E45" s="1069"/>
      <c r="F45" s="1069"/>
      <c r="G45" s="1069"/>
      <c r="H45" s="1069"/>
      <c r="I45" s="1069"/>
      <c r="J45" s="1069"/>
      <c r="K45" s="1069"/>
      <c r="L45" s="1069"/>
      <c r="M45" s="1069"/>
      <c r="N45" s="1069"/>
      <c r="O45" s="1069"/>
      <c r="P45" s="1069"/>
      <c r="Q45" s="1069"/>
      <c r="R45" s="1069"/>
      <c r="S45" s="1069"/>
      <c r="T45" s="1069"/>
      <c r="U45" s="1069"/>
      <c r="V45" s="1264"/>
      <c r="W45" s="1265"/>
      <c r="X45" s="1265"/>
      <c r="Y45" s="1265"/>
      <c r="Z45" s="1265"/>
      <c r="AA45" s="1265"/>
      <c r="AB45" s="1265"/>
      <c r="AC45" s="1265"/>
      <c r="AD45" s="1265"/>
      <c r="AE45" s="1265"/>
      <c r="AF45" s="1265"/>
      <c r="AG45" s="1265"/>
      <c r="AH45" s="1265"/>
      <c r="AI45" s="1265"/>
      <c r="AJ45" s="1265"/>
      <c r="AK45" s="1265"/>
      <c r="AL45" s="1265"/>
      <c r="AM45" s="1265"/>
      <c r="AN45" s="1265"/>
      <c r="AO45" s="1266"/>
      <c r="AP45" s="193"/>
      <c r="AQ45" s="55"/>
      <c r="AR45" s="55"/>
      <c r="AS45" s="67"/>
      <c r="AT45" s="68"/>
      <c r="AU45" s="69"/>
      <c r="AV45" s="1167" t="str">
        <f ca="1">INDIRECT($J$4&amp;"!C43")</f>
        <v>IS</v>
      </c>
      <c r="AW45" s="1168"/>
      <c r="AX45" s="1168"/>
      <c r="AY45" s="1168"/>
      <c r="AZ45" s="1168"/>
      <c r="BA45" s="1168"/>
      <c r="BB45" s="1168"/>
      <c r="BC45" s="1168"/>
      <c r="BD45" s="1168"/>
      <c r="BE45" s="1168"/>
      <c r="BF45" s="1168"/>
      <c r="BG45" s="1168"/>
      <c r="BH45" s="1168"/>
      <c r="BI45" s="1168"/>
      <c r="BJ45" s="1168"/>
      <c r="BK45" s="1168"/>
      <c r="BL45" s="1168"/>
      <c r="BM45" s="1168"/>
      <c r="BN45" s="1168"/>
      <c r="BO45" s="1168"/>
      <c r="BP45" s="1168"/>
      <c r="BQ45" s="1168"/>
      <c r="BR45" s="1168"/>
      <c r="BS45" s="1168"/>
      <c r="BT45" s="1168"/>
      <c r="BU45" s="1168"/>
      <c r="BV45" s="1168"/>
      <c r="BW45" s="1168"/>
      <c r="BX45" s="1168"/>
      <c r="BY45" s="1168"/>
      <c r="BZ45" s="1168"/>
      <c r="CA45" s="1168"/>
      <c r="CB45" s="1168"/>
      <c r="CC45" s="1168"/>
      <c r="CD45" s="1168"/>
      <c r="CE45" s="1168"/>
      <c r="CF45" s="1168"/>
      <c r="CG45" s="1142"/>
      <c r="CH45" s="1935" t="str">
        <f ca="1">INDIRECT($J$4&amp;"!C44")</f>
        <v>IS NOT</v>
      </c>
      <c r="CI45" s="1935"/>
      <c r="CJ45" s="1935"/>
      <c r="CK45" s="1935"/>
      <c r="CL45" s="1935"/>
      <c r="CM45" s="1935"/>
      <c r="CN45" s="1935"/>
      <c r="CO45" s="1935"/>
      <c r="CP45" s="1935"/>
      <c r="CQ45" s="1935"/>
      <c r="CR45" s="1935"/>
      <c r="CS45" s="1935"/>
      <c r="CT45" s="1935"/>
      <c r="CU45" s="1935"/>
      <c r="CV45" s="1935"/>
      <c r="CW45" s="1935"/>
      <c r="CX45" s="1935"/>
      <c r="CY45" s="1935"/>
      <c r="CZ45" s="1935"/>
      <c r="DA45" s="1935"/>
      <c r="DB45" s="1935"/>
      <c r="DC45" s="1935"/>
      <c r="DD45" s="1935"/>
      <c r="DE45" s="1935"/>
      <c r="DF45" s="1935"/>
      <c r="DG45" s="1935"/>
      <c r="DH45" s="1935"/>
      <c r="DI45" s="1935"/>
      <c r="DJ45" s="1935"/>
      <c r="DK45" s="1935"/>
      <c r="DL45" s="1935"/>
      <c r="DM45" s="1935"/>
      <c r="DN45" s="1935"/>
      <c r="DO45" s="1935"/>
      <c r="DP45" s="1935"/>
      <c r="DQ45" s="1935"/>
      <c r="DR45" s="1935"/>
      <c r="DS45" s="1003"/>
      <c r="DT45" s="311"/>
      <c r="DU45" s="305"/>
      <c r="DV45" s="305"/>
      <c r="DW45" s="126"/>
      <c r="DX45" s="126"/>
      <c r="DY45" s="126"/>
      <c r="DZ45" s="126"/>
      <c r="EA45" s="126"/>
      <c r="EB45" s="126"/>
      <c r="EC45" s="126"/>
      <c r="ED45" s="126"/>
      <c r="EE45" s="126"/>
      <c r="EF45" s="127"/>
    </row>
    <row r="46" spans="2:136" ht="42" customHeight="1">
      <c r="B46" s="312"/>
      <c r="C46" s="313"/>
      <c r="D46" s="313"/>
      <c r="E46" s="313"/>
      <c r="F46" s="313"/>
      <c r="G46" s="313"/>
      <c r="H46" s="313"/>
      <c r="I46" s="313"/>
      <c r="J46" s="313"/>
      <c r="K46" s="313"/>
      <c r="L46" s="313"/>
      <c r="M46" s="313"/>
      <c r="N46" s="313"/>
      <c r="O46" s="313"/>
      <c r="P46" s="313"/>
      <c r="Q46" s="313"/>
      <c r="R46" s="313"/>
      <c r="S46" s="313"/>
      <c r="T46" s="313"/>
      <c r="U46" s="313"/>
      <c r="V46" s="1267"/>
      <c r="W46" s="1268"/>
      <c r="X46" s="1268"/>
      <c r="Y46" s="1268"/>
      <c r="Z46" s="1268"/>
      <c r="AA46" s="1268"/>
      <c r="AB46" s="1268"/>
      <c r="AC46" s="1268"/>
      <c r="AD46" s="1268"/>
      <c r="AE46" s="1268"/>
      <c r="AF46" s="1268"/>
      <c r="AG46" s="1268"/>
      <c r="AH46" s="1268"/>
      <c r="AI46" s="1268"/>
      <c r="AJ46" s="1268"/>
      <c r="AK46" s="1268"/>
      <c r="AL46" s="1268"/>
      <c r="AM46" s="1268"/>
      <c r="AN46" s="1268"/>
      <c r="AO46" s="1269"/>
      <c r="AP46" s="1005"/>
      <c r="AQ46" s="357"/>
      <c r="AR46" s="357"/>
      <c r="AS46" s="1170" t="str">
        <f ca="1">INDIRECT($J$4&amp;"!C45")</f>
        <v>What</v>
      </c>
      <c r="AT46" s="1170"/>
      <c r="AU46" s="1170"/>
      <c r="AV46" s="1936" t="str">
        <f ca="1">INDIRECT($J$4&amp;"!C49")</f>
        <v xml:space="preserve">Which product/process does the problem concern ? </v>
      </c>
      <c r="AW46" s="1936"/>
      <c r="AX46" s="1936"/>
      <c r="AY46" s="1936"/>
      <c r="AZ46" s="1936"/>
      <c r="BA46" s="1936"/>
      <c r="BB46" s="1936"/>
      <c r="BC46" s="1936"/>
      <c r="BD46" s="1936"/>
      <c r="BE46" s="1936"/>
      <c r="BF46" s="1936"/>
      <c r="BG46" s="1936"/>
      <c r="BH46" s="1936"/>
      <c r="BI46" s="1936"/>
      <c r="BJ46" s="1936"/>
      <c r="BK46" s="1936"/>
      <c r="BL46" s="1936"/>
      <c r="BM46" s="1936"/>
      <c r="BN46" s="1936"/>
      <c r="BO46" s="1936"/>
      <c r="BP46" s="1936"/>
      <c r="BQ46" s="1936"/>
      <c r="BR46" s="1936"/>
      <c r="BS46" s="1936"/>
      <c r="BT46" s="1936"/>
      <c r="BU46" s="1936"/>
      <c r="BV46" s="1936"/>
      <c r="BW46" s="1936"/>
      <c r="BX46" s="1936"/>
      <c r="BY46" s="1936"/>
      <c r="BZ46" s="1936"/>
      <c r="CA46" s="1936"/>
      <c r="CB46" s="1936"/>
      <c r="CC46" s="1936"/>
      <c r="CD46" s="1936"/>
      <c r="CE46" s="1936"/>
      <c r="CF46" s="1936"/>
      <c r="CG46" s="1936"/>
      <c r="CH46" s="1871" t="str">
        <f ca="1">INDIRECT($J$4&amp;"!C57")</f>
        <v>Are there comparable products/processes where the problem did not occur ?</v>
      </c>
      <c r="CI46" s="1871"/>
      <c r="CJ46" s="1871"/>
      <c r="CK46" s="1871"/>
      <c r="CL46" s="1871"/>
      <c r="CM46" s="1871"/>
      <c r="CN46" s="1871"/>
      <c r="CO46" s="1871"/>
      <c r="CP46" s="1871"/>
      <c r="CQ46" s="1871"/>
      <c r="CR46" s="1871"/>
      <c r="CS46" s="1871"/>
      <c r="CT46" s="1871"/>
      <c r="CU46" s="1871"/>
      <c r="CV46" s="1871"/>
      <c r="CW46" s="1871"/>
      <c r="CX46" s="1871"/>
      <c r="CY46" s="1871"/>
      <c r="CZ46" s="1871"/>
      <c r="DA46" s="1871"/>
      <c r="DB46" s="1871"/>
      <c r="DC46" s="1871"/>
      <c r="DD46" s="1871"/>
      <c r="DE46" s="1871"/>
      <c r="DF46" s="1871"/>
      <c r="DG46" s="1871"/>
      <c r="DH46" s="1871"/>
      <c r="DI46" s="1871"/>
      <c r="DJ46" s="1871"/>
      <c r="DK46" s="1871"/>
      <c r="DL46" s="1871"/>
      <c r="DM46" s="1871"/>
      <c r="DN46" s="1871"/>
      <c r="DO46" s="1871"/>
      <c r="DP46" s="1871"/>
      <c r="DQ46" s="1871"/>
      <c r="DR46" s="1871"/>
      <c r="DS46" s="337"/>
      <c r="DT46" s="311"/>
      <c r="DU46" s="305"/>
      <c r="DV46" s="305"/>
      <c r="DW46" s="126"/>
      <c r="DX46" s="126"/>
      <c r="DY46" s="126"/>
      <c r="DZ46" s="126"/>
      <c r="EA46" s="126"/>
      <c r="EB46" s="126"/>
      <c r="EC46" s="126"/>
      <c r="ED46" s="126"/>
      <c r="EE46" s="126"/>
      <c r="EF46" s="127"/>
    </row>
    <row r="47" spans="2:136" ht="42" customHeight="1">
      <c r="B47" s="312"/>
      <c r="C47" s="313"/>
      <c r="D47" s="1069" t="str">
        <f ca="1">INDIRECT($J$4&amp;"!C66")</f>
        <v>Problem description</v>
      </c>
      <c r="E47" s="1069"/>
      <c r="F47" s="1069"/>
      <c r="G47" s="1069"/>
      <c r="H47" s="1069"/>
      <c r="I47" s="1069"/>
      <c r="J47" s="1069"/>
      <c r="K47" s="1069"/>
      <c r="L47" s="1069"/>
      <c r="M47" s="1069"/>
      <c r="N47" s="1069"/>
      <c r="O47" s="1069"/>
      <c r="P47" s="1069"/>
      <c r="Q47" s="1069"/>
      <c r="R47" s="1069"/>
      <c r="S47" s="1069"/>
      <c r="T47" s="1069"/>
      <c r="U47" s="1069"/>
      <c r="V47" s="1264"/>
      <c r="W47" s="1265"/>
      <c r="X47" s="1265"/>
      <c r="Y47" s="1265"/>
      <c r="Z47" s="1265"/>
      <c r="AA47" s="1265"/>
      <c r="AB47" s="1265"/>
      <c r="AC47" s="1265"/>
      <c r="AD47" s="1265"/>
      <c r="AE47" s="1265"/>
      <c r="AF47" s="1265"/>
      <c r="AG47" s="1265"/>
      <c r="AH47" s="1265"/>
      <c r="AI47" s="1265"/>
      <c r="AJ47" s="1265"/>
      <c r="AK47" s="1265"/>
      <c r="AL47" s="1265"/>
      <c r="AM47" s="1265"/>
      <c r="AN47" s="1265"/>
      <c r="AO47" s="1266"/>
      <c r="AP47" s="26"/>
      <c r="AQ47" s="357"/>
      <c r="AR47" s="70"/>
      <c r="AS47" s="1129"/>
      <c r="AT47" s="1129"/>
      <c r="AU47" s="1129"/>
      <c r="AV47" s="2199"/>
      <c r="AW47" s="2199"/>
      <c r="AX47" s="2199"/>
      <c r="AY47" s="2199"/>
      <c r="AZ47" s="2199"/>
      <c r="BA47" s="2199"/>
      <c r="BB47" s="2199"/>
      <c r="BC47" s="2199"/>
      <c r="BD47" s="2199"/>
      <c r="BE47" s="2199"/>
      <c r="BF47" s="2199"/>
      <c r="BG47" s="2199"/>
      <c r="BH47" s="2199"/>
      <c r="BI47" s="2199"/>
      <c r="BJ47" s="2199"/>
      <c r="BK47" s="2199"/>
      <c r="BL47" s="2199"/>
      <c r="BM47" s="2199"/>
      <c r="BN47" s="2199"/>
      <c r="BO47" s="2199"/>
      <c r="BP47" s="2199"/>
      <c r="BQ47" s="2199"/>
      <c r="BR47" s="2199"/>
      <c r="BS47" s="2199"/>
      <c r="BT47" s="2199"/>
      <c r="BU47" s="2199"/>
      <c r="BV47" s="2199"/>
      <c r="BW47" s="2199"/>
      <c r="BX47" s="2199"/>
      <c r="BY47" s="2199"/>
      <c r="BZ47" s="2199"/>
      <c r="CA47" s="2199"/>
      <c r="CB47" s="2199"/>
      <c r="CC47" s="2199"/>
      <c r="CD47" s="2199"/>
      <c r="CE47" s="2199"/>
      <c r="CF47" s="2199"/>
      <c r="CG47" s="2199"/>
      <c r="CH47" s="2200"/>
      <c r="CI47" s="2200"/>
      <c r="CJ47" s="2200"/>
      <c r="CK47" s="2200"/>
      <c r="CL47" s="2200"/>
      <c r="CM47" s="2200"/>
      <c r="CN47" s="2200"/>
      <c r="CO47" s="2200"/>
      <c r="CP47" s="2200"/>
      <c r="CQ47" s="2200"/>
      <c r="CR47" s="2200"/>
      <c r="CS47" s="2200"/>
      <c r="CT47" s="2200"/>
      <c r="CU47" s="2200"/>
      <c r="CV47" s="2200"/>
      <c r="CW47" s="2200"/>
      <c r="CX47" s="2200"/>
      <c r="CY47" s="2200"/>
      <c r="CZ47" s="2200"/>
      <c r="DA47" s="2200"/>
      <c r="DB47" s="2200"/>
      <c r="DC47" s="2200"/>
      <c r="DD47" s="2200"/>
      <c r="DE47" s="2200"/>
      <c r="DF47" s="2200"/>
      <c r="DG47" s="2200"/>
      <c r="DH47" s="2200"/>
      <c r="DI47" s="2200"/>
      <c r="DJ47" s="2200"/>
      <c r="DK47" s="2200"/>
      <c r="DL47" s="2200"/>
      <c r="DM47" s="2200"/>
      <c r="DN47" s="2200"/>
      <c r="DO47" s="2200"/>
      <c r="DP47" s="2200"/>
      <c r="DQ47" s="2200"/>
      <c r="DR47" s="2200"/>
      <c r="DS47" s="338"/>
      <c r="DT47" s="311"/>
      <c r="DU47" s="305"/>
      <c r="DV47" s="305"/>
      <c r="DW47" s="126"/>
      <c r="DX47" s="126"/>
      <c r="DY47" s="126"/>
      <c r="DZ47" s="126"/>
      <c r="EA47" s="126"/>
      <c r="EB47" s="126"/>
      <c r="EC47" s="126"/>
      <c r="ED47" s="126"/>
      <c r="EE47" s="126"/>
      <c r="EF47" s="127"/>
    </row>
    <row r="48" spans="2:136" ht="42" customHeight="1">
      <c r="B48" s="312"/>
      <c r="C48" s="313"/>
      <c r="D48" s="313"/>
      <c r="E48" s="313"/>
      <c r="F48" s="313"/>
      <c r="G48" s="313"/>
      <c r="H48" s="313"/>
      <c r="I48" s="313"/>
      <c r="J48" s="313"/>
      <c r="K48" s="313"/>
      <c r="L48" s="313"/>
      <c r="M48" s="313"/>
      <c r="N48" s="313"/>
      <c r="O48" s="313"/>
      <c r="P48" s="313"/>
      <c r="Q48" s="313"/>
      <c r="R48" s="313"/>
      <c r="S48" s="313"/>
      <c r="T48" s="313"/>
      <c r="U48" s="313"/>
      <c r="V48" s="1267"/>
      <c r="W48" s="1268"/>
      <c r="X48" s="1268"/>
      <c r="Y48" s="1268"/>
      <c r="Z48" s="1268"/>
      <c r="AA48" s="1268"/>
      <c r="AB48" s="1268"/>
      <c r="AC48" s="1268"/>
      <c r="AD48" s="1268"/>
      <c r="AE48" s="1268"/>
      <c r="AF48" s="1268"/>
      <c r="AG48" s="1268"/>
      <c r="AH48" s="1268"/>
      <c r="AI48" s="1268"/>
      <c r="AJ48" s="1268"/>
      <c r="AK48" s="1268"/>
      <c r="AL48" s="1268"/>
      <c r="AM48" s="1268"/>
      <c r="AN48" s="1268"/>
      <c r="AO48" s="1269"/>
      <c r="AP48" s="82"/>
      <c r="AQ48" s="58"/>
      <c r="AR48" s="58"/>
      <c r="AS48" s="1129"/>
      <c r="AT48" s="1129"/>
      <c r="AU48" s="1129"/>
      <c r="AV48" s="1870" t="str">
        <f ca="1">INDIRECT($J$4&amp;"!C50")</f>
        <v>What is the deviation ?</v>
      </c>
      <c r="AW48" s="1870"/>
      <c r="AX48" s="1870"/>
      <c r="AY48" s="1870"/>
      <c r="AZ48" s="1870"/>
      <c r="BA48" s="1870"/>
      <c r="BB48" s="1870"/>
      <c r="BC48" s="1870"/>
      <c r="BD48" s="1870"/>
      <c r="BE48" s="1870"/>
      <c r="BF48" s="1870"/>
      <c r="BG48" s="1870"/>
      <c r="BH48" s="1870"/>
      <c r="BI48" s="1870"/>
      <c r="BJ48" s="1870"/>
      <c r="BK48" s="1870"/>
      <c r="BL48" s="1870"/>
      <c r="BM48" s="1870"/>
      <c r="BN48" s="1870"/>
      <c r="BO48" s="1870"/>
      <c r="BP48" s="1870"/>
      <c r="BQ48" s="1870"/>
      <c r="BR48" s="1870"/>
      <c r="BS48" s="1870"/>
      <c r="BT48" s="1870"/>
      <c r="BU48" s="1870"/>
      <c r="BV48" s="1870"/>
      <c r="BW48" s="1870"/>
      <c r="BX48" s="1870"/>
      <c r="BY48" s="1870"/>
      <c r="BZ48" s="1870"/>
      <c r="CA48" s="1870"/>
      <c r="CB48" s="1870"/>
      <c r="CC48" s="1870"/>
      <c r="CD48" s="1870"/>
      <c r="CE48" s="1870"/>
      <c r="CF48" s="1870"/>
      <c r="CG48" s="1870"/>
      <c r="CH48" s="1871" t="str">
        <f ca="1">INDIRECT($J$4&amp;"!C58")</f>
        <v>Are additional deviations of the affected product/process expected ?</v>
      </c>
      <c r="CI48" s="1871"/>
      <c r="CJ48" s="1871"/>
      <c r="CK48" s="1871"/>
      <c r="CL48" s="1871"/>
      <c r="CM48" s="1871"/>
      <c r="CN48" s="1871"/>
      <c r="CO48" s="1871"/>
      <c r="CP48" s="1871"/>
      <c r="CQ48" s="1871"/>
      <c r="CR48" s="1871"/>
      <c r="CS48" s="1871"/>
      <c r="CT48" s="1871"/>
      <c r="CU48" s="1871"/>
      <c r="CV48" s="1871"/>
      <c r="CW48" s="1871"/>
      <c r="CX48" s="1871"/>
      <c r="CY48" s="1871"/>
      <c r="CZ48" s="1871"/>
      <c r="DA48" s="1871"/>
      <c r="DB48" s="1871"/>
      <c r="DC48" s="1871"/>
      <c r="DD48" s="1871"/>
      <c r="DE48" s="1871"/>
      <c r="DF48" s="1871"/>
      <c r="DG48" s="1871"/>
      <c r="DH48" s="1871"/>
      <c r="DI48" s="1871"/>
      <c r="DJ48" s="1871"/>
      <c r="DK48" s="1871"/>
      <c r="DL48" s="1871"/>
      <c r="DM48" s="1871"/>
      <c r="DN48" s="1871"/>
      <c r="DO48" s="1871"/>
      <c r="DP48" s="1871"/>
      <c r="DQ48" s="1871"/>
      <c r="DR48" s="1871"/>
      <c r="DS48" s="337"/>
      <c r="DT48" s="311"/>
      <c r="DU48" s="305"/>
      <c r="DV48" s="305"/>
      <c r="DW48" s="126"/>
      <c r="DX48" s="126"/>
      <c r="DY48" s="126"/>
      <c r="DZ48" s="126"/>
      <c r="EA48" s="126"/>
      <c r="EB48" s="126"/>
      <c r="EC48" s="126"/>
      <c r="ED48" s="126"/>
      <c r="EE48" s="126"/>
      <c r="EF48" s="127"/>
    </row>
    <row r="49" spans="2:136" ht="42" customHeight="1">
      <c r="B49" s="312"/>
      <c r="C49" s="313"/>
      <c r="D49" s="313"/>
      <c r="E49" s="313"/>
      <c r="F49" s="313"/>
      <c r="G49" s="313"/>
      <c r="H49" s="313"/>
      <c r="I49" s="313"/>
      <c r="J49" s="313"/>
      <c r="K49" s="313"/>
      <c r="L49" s="313"/>
      <c r="M49" s="313"/>
      <c r="N49" s="313"/>
      <c r="O49" s="313"/>
      <c r="P49" s="313"/>
      <c r="Q49" s="313"/>
      <c r="R49" s="313"/>
      <c r="S49" s="313"/>
      <c r="T49" s="313"/>
      <c r="U49" s="313"/>
      <c r="V49" s="313"/>
      <c r="W49" s="313"/>
      <c r="X49" s="313"/>
      <c r="Y49" s="313"/>
      <c r="Z49" s="313"/>
      <c r="AA49" s="313"/>
      <c r="AB49" s="313"/>
      <c r="AC49" s="313"/>
      <c r="AD49" s="313"/>
      <c r="AE49" s="313"/>
      <c r="AF49" s="313"/>
      <c r="AG49" s="313"/>
      <c r="AH49" s="313"/>
      <c r="AI49" s="313"/>
      <c r="AJ49" s="313"/>
      <c r="AK49" s="313"/>
      <c r="AL49" s="313"/>
      <c r="AM49" s="313"/>
      <c r="AN49" s="313"/>
      <c r="AO49" s="313"/>
      <c r="AP49" s="58"/>
      <c r="AQ49" s="26"/>
      <c r="AR49" s="55"/>
      <c r="AS49" s="1129"/>
      <c r="AT49" s="1129"/>
      <c r="AU49" s="1129"/>
      <c r="AV49" s="2199"/>
      <c r="AW49" s="2199"/>
      <c r="AX49" s="2199"/>
      <c r="AY49" s="2199"/>
      <c r="AZ49" s="2199"/>
      <c r="BA49" s="2199"/>
      <c r="BB49" s="2199"/>
      <c r="BC49" s="2199"/>
      <c r="BD49" s="2199"/>
      <c r="BE49" s="2199"/>
      <c r="BF49" s="2199"/>
      <c r="BG49" s="2199"/>
      <c r="BH49" s="2199"/>
      <c r="BI49" s="2199"/>
      <c r="BJ49" s="2199"/>
      <c r="BK49" s="2199"/>
      <c r="BL49" s="2199"/>
      <c r="BM49" s="2199"/>
      <c r="BN49" s="2199"/>
      <c r="BO49" s="2199"/>
      <c r="BP49" s="2199"/>
      <c r="BQ49" s="2199"/>
      <c r="BR49" s="2199"/>
      <c r="BS49" s="2199"/>
      <c r="BT49" s="2199"/>
      <c r="BU49" s="2199"/>
      <c r="BV49" s="2199"/>
      <c r="BW49" s="2199"/>
      <c r="BX49" s="2199"/>
      <c r="BY49" s="2199"/>
      <c r="BZ49" s="2199"/>
      <c r="CA49" s="2199"/>
      <c r="CB49" s="2199"/>
      <c r="CC49" s="2199"/>
      <c r="CD49" s="2199"/>
      <c r="CE49" s="2199"/>
      <c r="CF49" s="2199"/>
      <c r="CG49" s="2199"/>
      <c r="CH49" s="2200"/>
      <c r="CI49" s="2200"/>
      <c r="CJ49" s="2200"/>
      <c r="CK49" s="2200"/>
      <c r="CL49" s="2200"/>
      <c r="CM49" s="2200"/>
      <c r="CN49" s="2200"/>
      <c r="CO49" s="2200"/>
      <c r="CP49" s="2200"/>
      <c r="CQ49" s="2200"/>
      <c r="CR49" s="2200"/>
      <c r="CS49" s="2200"/>
      <c r="CT49" s="2200"/>
      <c r="CU49" s="2200"/>
      <c r="CV49" s="2200"/>
      <c r="CW49" s="2200"/>
      <c r="CX49" s="2200"/>
      <c r="CY49" s="2200"/>
      <c r="CZ49" s="2200"/>
      <c r="DA49" s="2200"/>
      <c r="DB49" s="2200"/>
      <c r="DC49" s="2200"/>
      <c r="DD49" s="2200"/>
      <c r="DE49" s="2200"/>
      <c r="DF49" s="2200"/>
      <c r="DG49" s="2200"/>
      <c r="DH49" s="2200"/>
      <c r="DI49" s="2200"/>
      <c r="DJ49" s="2200"/>
      <c r="DK49" s="2200"/>
      <c r="DL49" s="2200"/>
      <c r="DM49" s="2200"/>
      <c r="DN49" s="2200"/>
      <c r="DO49" s="2200"/>
      <c r="DP49" s="2200"/>
      <c r="DQ49" s="2200"/>
      <c r="DR49" s="2200"/>
      <c r="DS49" s="338"/>
      <c r="DT49" s="311"/>
      <c r="DU49" s="305"/>
      <c r="DV49" s="305"/>
      <c r="DW49" s="126"/>
      <c r="DX49" s="126"/>
      <c r="DY49" s="126"/>
      <c r="DZ49" s="126"/>
      <c r="EA49" s="126"/>
      <c r="EB49" s="126"/>
      <c r="EC49" s="126"/>
      <c r="ED49" s="126"/>
      <c r="EE49" s="126"/>
      <c r="EF49" s="127"/>
    </row>
    <row r="50" spans="2:136" ht="42" customHeight="1">
      <c r="B50" s="312"/>
      <c r="C50" s="313"/>
      <c r="D50" s="1280" t="str">
        <f ca="1">INDIRECT($J$4&amp;"!C31")&amp;" &amp; "&amp;INDIRECT($J$4&amp;"!C32")</f>
        <v>Fault code &amp; Fault description</v>
      </c>
      <c r="E50" s="1280"/>
      <c r="F50" s="1280"/>
      <c r="G50" s="1280"/>
      <c r="H50" s="1280"/>
      <c r="I50" s="1280"/>
      <c r="J50" s="1280"/>
      <c r="K50" s="1280"/>
      <c r="L50" s="1280"/>
      <c r="M50" s="1280"/>
      <c r="N50" s="1280"/>
      <c r="O50" s="1280"/>
      <c r="P50" s="1280"/>
      <c r="Q50" s="1280"/>
      <c r="R50" s="1280"/>
      <c r="S50" s="1280"/>
      <c r="T50" s="1280"/>
      <c r="U50" s="1280"/>
      <c r="V50" s="1280"/>
      <c r="W50" s="1280"/>
      <c r="X50" s="190"/>
      <c r="Y50" s="190"/>
      <c r="Z50" s="190"/>
      <c r="AA50" s="190"/>
      <c r="AB50" s="190"/>
      <c r="AC50" s="190"/>
      <c r="AD50" s="190"/>
      <c r="AE50" s="190"/>
      <c r="AF50" s="190"/>
      <c r="AG50" s="190"/>
      <c r="AH50" s="1281"/>
      <c r="AI50" s="1282"/>
      <c r="AJ50" s="1282"/>
      <c r="AK50" s="1282"/>
      <c r="AL50" s="1282"/>
      <c r="AM50" s="1282"/>
      <c r="AN50" s="1282"/>
      <c r="AO50" s="1283"/>
      <c r="AP50" s="194"/>
      <c r="AQ50" s="71"/>
      <c r="AR50" s="71"/>
      <c r="AS50" s="1129" t="str">
        <f ca="1">INDIRECT($J$4&amp;"!C46")</f>
        <v>Where</v>
      </c>
      <c r="AT50" s="1129"/>
      <c r="AU50" s="1129"/>
      <c r="AV50" s="1870" t="str">
        <f ca="1">INDIRECT($J$4&amp;"!C51")</f>
        <v>Where was the product/process when the deviation first occurred ?</v>
      </c>
      <c r="AW50" s="1870"/>
      <c r="AX50" s="1870"/>
      <c r="AY50" s="1870"/>
      <c r="AZ50" s="1870"/>
      <c r="BA50" s="1870"/>
      <c r="BB50" s="1870"/>
      <c r="BC50" s="1870"/>
      <c r="BD50" s="1870"/>
      <c r="BE50" s="1870"/>
      <c r="BF50" s="1870"/>
      <c r="BG50" s="1870"/>
      <c r="BH50" s="1870"/>
      <c r="BI50" s="1870"/>
      <c r="BJ50" s="1870"/>
      <c r="BK50" s="1870"/>
      <c r="BL50" s="1870"/>
      <c r="BM50" s="1870"/>
      <c r="BN50" s="1870"/>
      <c r="BO50" s="1870"/>
      <c r="BP50" s="1870"/>
      <c r="BQ50" s="1870"/>
      <c r="BR50" s="1870"/>
      <c r="BS50" s="1870"/>
      <c r="BT50" s="1870"/>
      <c r="BU50" s="1870"/>
      <c r="BV50" s="1870"/>
      <c r="BW50" s="1870"/>
      <c r="BX50" s="1870"/>
      <c r="BY50" s="1870"/>
      <c r="BZ50" s="1870"/>
      <c r="CA50" s="1870"/>
      <c r="CB50" s="1870"/>
      <c r="CC50" s="1870"/>
      <c r="CD50" s="1870"/>
      <c r="CE50" s="1870"/>
      <c r="CF50" s="1870"/>
      <c r="CG50" s="1870"/>
      <c r="CH50" s="1871" t="str">
        <f ca="1">INDIRECT($J$4&amp;"!C59")</f>
        <v>Where else could the deviation occur ?</v>
      </c>
      <c r="CI50" s="1871"/>
      <c r="CJ50" s="1871"/>
      <c r="CK50" s="1871"/>
      <c r="CL50" s="1871"/>
      <c r="CM50" s="1871"/>
      <c r="CN50" s="1871"/>
      <c r="CO50" s="1871"/>
      <c r="CP50" s="1871"/>
      <c r="CQ50" s="1871"/>
      <c r="CR50" s="1871"/>
      <c r="CS50" s="1871"/>
      <c r="CT50" s="1871"/>
      <c r="CU50" s="1871"/>
      <c r="CV50" s="1871"/>
      <c r="CW50" s="1871"/>
      <c r="CX50" s="1871"/>
      <c r="CY50" s="1871"/>
      <c r="CZ50" s="1871"/>
      <c r="DA50" s="1871"/>
      <c r="DB50" s="1871"/>
      <c r="DC50" s="1871"/>
      <c r="DD50" s="1871"/>
      <c r="DE50" s="1871"/>
      <c r="DF50" s="1871"/>
      <c r="DG50" s="1871"/>
      <c r="DH50" s="1871"/>
      <c r="DI50" s="1871"/>
      <c r="DJ50" s="1871"/>
      <c r="DK50" s="1871"/>
      <c r="DL50" s="1871"/>
      <c r="DM50" s="1871"/>
      <c r="DN50" s="1871"/>
      <c r="DO50" s="1871"/>
      <c r="DP50" s="1871"/>
      <c r="DQ50" s="1871"/>
      <c r="DR50" s="1871"/>
      <c r="DS50" s="337"/>
      <c r="DT50" s="311"/>
      <c r="DU50" s="305"/>
      <c r="DV50" s="305"/>
      <c r="DW50" s="126"/>
      <c r="DX50" s="126"/>
      <c r="DY50" s="126"/>
      <c r="DZ50" s="126"/>
      <c r="EA50" s="126"/>
      <c r="EB50" s="126"/>
      <c r="EC50" s="126"/>
      <c r="ED50" s="126"/>
      <c r="EE50" s="126"/>
      <c r="EF50" s="127"/>
    </row>
    <row r="51" spans="2:136" ht="42" customHeight="1">
      <c r="B51" s="312"/>
      <c r="C51" s="313"/>
      <c r="D51" s="1172" t="e">
        <f>VLOOKUP(AH50,'Fault catalogue'!A1:C573,3,0)</f>
        <v>#N/A</v>
      </c>
      <c r="E51" s="1173"/>
      <c r="F51" s="1173"/>
      <c r="G51" s="1173"/>
      <c r="H51" s="1173"/>
      <c r="I51" s="1173"/>
      <c r="J51" s="1173"/>
      <c r="K51" s="1173"/>
      <c r="L51" s="1173"/>
      <c r="M51" s="1173"/>
      <c r="N51" s="1173"/>
      <c r="O51" s="1173"/>
      <c r="P51" s="1173"/>
      <c r="Q51" s="1173"/>
      <c r="R51" s="1173"/>
      <c r="S51" s="1173"/>
      <c r="T51" s="1173"/>
      <c r="U51" s="1173"/>
      <c r="V51" s="1173"/>
      <c r="W51" s="1173"/>
      <c r="X51" s="1173"/>
      <c r="Y51" s="1173"/>
      <c r="Z51" s="1173"/>
      <c r="AA51" s="1173"/>
      <c r="AB51" s="1173"/>
      <c r="AC51" s="1173"/>
      <c r="AD51" s="1173"/>
      <c r="AE51" s="1173"/>
      <c r="AF51" s="1173"/>
      <c r="AG51" s="1173"/>
      <c r="AH51" s="1173"/>
      <c r="AI51" s="1173"/>
      <c r="AJ51" s="1173"/>
      <c r="AK51" s="1173"/>
      <c r="AL51" s="1173"/>
      <c r="AM51" s="1173"/>
      <c r="AN51" s="1173"/>
      <c r="AO51" s="1174"/>
      <c r="AP51" s="194"/>
      <c r="AQ51" s="36"/>
      <c r="AR51" s="55"/>
      <c r="AS51" s="1129"/>
      <c r="AT51" s="1129"/>
      <c r="AU51" s="1129"/>
      <c r="AV51" s="2199"/>
      <c r="AW51" s="2199"/>
      <c r="AX51" s="2199"/>
      <c r="AY51" s="2199"/>
      <c r="AZ51" s="2199"/>
      <c r="BA51" s="2199"/>
      <c r="BB51" s="2199"/>
      <c r="BC51" s="2199"/>
      <c r="BD51" s="2199"/>
      <c r="BE51" s="2199"/>
      <c r="BF51" s="2199"/>
      <c r="BG51" s="2199"/>
      <c r="BH51" s="2199"/>
      <c r="BI51" s="2199"/>
      <c r="BJ51" s="2199"/>
      <c r="BK51" s="2199"/>
      <c r="BL51" s="2199"/>
      <c r="BM51" s="2199"/>
      <c r="BN51" s="2199"/>
      <c r="BO51" s="2199"/>
      <c r="BP51" s="2199"/>
      <c r="BQ51" s="2199"/>
      <c r="BR51" s="2199"/>
      <c r="BS51" s="2199"/>
      <c r="BT51" s="2199"/>
      <c r="BU51" s="2199"/>
      <c r="BV51" s="2199"/>
      <c r="BW51" s="2199"/>
      <c r="BX51" s="2199"/>
      <c r="BY51" s="2199"/>
      <c r="BZ51" s="2199"/>
      <c r="CA51" s="2199"/>
      <c r="CB51" s="2199"/>
      <c r="CC51" s="2199"/>
      <c r="CD51" s="2199"/>
      <c r="CE51" s="2199"/>
      <c r="CF51" s="2199"/>
      <c r="CG51" s="2199"/>
      <c r="CH51" s="2200"/>
      <c r="CI51" s="2200"/>
      <c r="CJ51" s="2200"/>
      <c r="CK51" s="2200"/>
      <c r="CL51" s="2200"/>
      <c r="CM51" s="2200"/>
      <c r="CN51" s="2200"/>
      <c r="CO51" s="2200"/>
      <c r="CP51" s="2200"/>
      <c r="CQ51" s="2200"/>
      <c r="CR51" s="2200"/>
      <c r="CS51" s="2200"/>
      <c r="CT51" s="2200"/>
      <c r="CU51" s="2200"/>
      <c r="CV51" s="2200"/>
      <c r="CW51" s="2200"/>
      <c r="CX51" s="2200"/>
      <c r="CY51" s="2200"/>
      <c r="CZ51" s="2200"/>
      <c r="DA51" s="2200"/>
      <c r="DB51" s="2200"/>
      <c r="DC51" s="2200"/>
      <c r="DD51" s="2200"/>
      <c r="DE51" s="2200"/>
      <c r="DF51" s="2200"/>
      <c r="DG51" s="2200"/>
      <c r="DH51" s="2200"/>
      <c r="DI51" s="2200"/>
      <c r="DJ51" s="2200"/>
      <c r="DK51" s="2200"/>
      <c r="DL51" s="2200"/>
      <c r="DM51" s="2200"/>
      <c r="DN51" s="2200"/>
      <c r="DO51" s="2200"/>
      <c r="DP51" s="2200"/>
      <c r="DQ51" s="2200"/>
      <c r="DR51" s="2200"/>
      <c r="DS51" s="338"/>
      <c r="DT51" s="332"/>
      <c r="DU51" s="305"/>
      <c r="DV51" s="305"/>
      <c r="DW51" s="126"/>
      <c r="DX51" s="126"/>
      <c r="DY51" s="126"/>
      <c r="DZ51" s="126"/>
      <c r="EA51" s="126"/>
      <c r="EB51" s="126"/>
      <c r="EC51" s="126"/>
      <c r="ED51" s="126"/>
      <c r="EE51" s="126"/>
      <c r="EF51" s="127"/>
    </row>
    <row r="52" spans="2:136" ht="42" customHeight="1">
      <c r="B52" s="312"/>
      <c r="C52" s="313"/>
      <c r="D52" s="365"/>
      <c r="E52" s="365"/>
      <c r="F52" s="365"/>
      <c r="G52" s="365"/>
      <c r="H52" s="365"/>
      <c r="I52" s="365"/>
      <c r="J52" s="365"/>
      <c r="K52" s="365"/>
      <c r="L52" s="365"/>
      <c r="M52" s="365"/>
      <c r="N52" s="365"/>
      <c r="O52" s="365"/>
      <c r="P52" s="365"/>
      <c r="Q52" s="365"/>
      <c r="R52" s="365"/>
      <c r="S52" s="365"/>
      <c r="T52" s="365"/>
      <c r="U52" s="365"/>
      <c r="V52" s="365"/>
      <c r="W52" s="365"/>
      <c r="X52" s="365"/>
      <c r="Y52" s="365"/>
      <c r="Z52" s="365"/>
      <c r="AA52" s="365"/>
      <c r="AB52" s="365"/>
      <c r="AC52" s="365"/>
      <c r="AD52" s="365"/>
      <c r="AE52" s="365"/>
      <c r="AF52" s="365"/>
      <c r="AG52" s="365"/>
      <c r="AH52" s="365"/>
      <c r="AI52" s="365"/>
      <c r="AJ52" s="365"/>
      <c r="AK52" s="365"/>
      <c r="AL52" s="365"/>
      <c r="AM52" s="365"/>
      <c r="AN52" s="365"/>
      <c r="AO52" s="365"/>
      <c r="AP52" s="195"/>
      <c r="AQ52" s="26"/>
      <c r="AR52" s="55"/>
      <c r="AS52" s="1129"/>
      <c r="AT52" s="1129"/>
      <c r="AU52" s="1129"/>
      <c r="AV52" s="1870" t="str">
        <f ca="1">INDIRECT($J$4&amp;"!C52")</f>
        <v>Where in the product/process did the deviation occur ?</v>
      </c>
      <c r="AW52" s="1870"/>
      <c r="AX52" s="1870"/>
      <c r="AY52" s="1870"/>
      <c r="AZ52" s="1870"/>
      <c r="BA52" s="1870"/>
      <c r="BB52" s="1870"/>
      <c r="BC52" s="1870"/>
      <c r="BD52" s="1870"/>
      <c r="BE52" s="1870"/>
      <c r="BF52" s="1870"/>
      <c r="BG52" s="1870"/>
      <c r="BH52" s="1870"/>
      <c r="BI52" s="1870"/>
      <c r="BJ52" s="1870"/>
      <c r="BK52" s="1870"/>
      <c r="BL52" s="1870"/>
      <c r="BM52" s="1870"/>
      <c r="BN52" s="1870"/>
      <c r="BO52" s="1870"/>
      <c r="BP52" s="1870"/>
      <c r="BQ52" s="1870"/>
      <c r="BR52" s="1870"/>
      <c r="BS52" s="1870"/>
      <c r="BT52" s="1870"/>
      <c r="BU52" s="1870"/>
      <c r="BV52" s="1870"/>
      <c r="BW52" s="1870"/>
      <c r="BX52" s="1870"/>
      <c r="BY52" s="1870"/>
      <c r="BZ52" s="1870"/>
      <c r="CA52" s="1870"/>
      <c r="CB52" s="1870"/>
      <c r="CC52" s="1870"/>
      <c r="CD52" s="1870"/>
      <c r="CE52" s="1870"/>
      <c r="CF52" s="1870"/>
      <c r="CG52" s="1870"/>
      <c r="CH52" s="1871" t="str">
        <f ca="1">INDIRECT($J$4&amp;"!C60")</f>
        <v>What are the names of the neighbouring products/processes and which of them are not affected by the deviation ?</v>
      </c>
      <c r="CI52" s="1871"/>
      <c r="CJ52" s="1871"/>
      <c r="CK52" s="1871"/>
      <c r="CL52" s="1871"/>
      <c r="CM52" s="1871"/>
      <c r="CN52" s="1871"/>
      <c r="CO52" s="1871"/>
      <c r="CP52" s="1871"/>
      <c r="CQ52" s="1871"/>
      <c r="CR52" s="1871"/>
      <c r="CS52" s="1871"/>
      <c r="CT52" s="1871"/>
      <c r="CU52" s="1871"/>
      <c r="CV52" s="1871"/>
      <c r="CW52" s="1871"/>
      <c r="CX52" s="1871"/>
      <c r="CY52" s="1871"/>
      <c r="CZ52" s="1871"/>
      <c r="DA52" s="1871"/>
      <c r="DB52" s="1871"/>
      <c r="DC52" s="1871"/>
      <c r="DD52" s="1871"/>
      <c r="DE52" s="1871"/>
      <c r="DF52" s="1871"/>
      <c r="DG52" s="1871"/>
      <c r="DH52" s="1871"/>
      <c r="DI52" s="1871"/>
      <c r="DJ52" s="1871"/>
      <c r="DK52" s="1871"/>
      <c r="DL52" s="1871"/>
      <c r="DM52" s="1871"/>
      <c r="DN52" s="1871"/>
      <c r="DO52" s="1871"/>
      <c r="DP52" s="1871"/>
      <c r="DQ52" s="1871"/>
      <c r="DR52" s="1871"/>
      <c r="DS52" s="337"/>
      <c r="DT52" s="333"/>
      <c r="DU52" s="305"/>
      <c r="DV52" s="305"/>
      <c r="DW52" s="126"/>
      <c r="DX52" s="126"/>
      <c r="DY52" s="126"/>
      <c r="DZ52" s="126"/>
      <c r="EA52" s="126"/>
      <c r="EB52" s="126"/>
      <c r="EC52" s="126"/>
      <c r="ED52" s="126"/>
      <c r="EE52" s="126"/>
      <c r="EF52" s="127"/>
    </row>
    <row r="53" spans="2:136" ht="42" customHeight="1">
      <c r="B53" s="312"/>
      <c r="C53" s="313"/>
      <c r="D53" s="1000" t="str">
        <f ca="1">INDIRECT($J$4&amp;"!C33")</f>
        <v>Fault location</v>
      </c>
      <c r="E53" s="1000"/>
      <c r="F53" s="1000"/>
      <c r="G53" s="1000"/>
      <c r="H53" s="1000"/>
      <c r="I53" s="1000"/>
      <c r="J53" s="1000"/>
      <c r="K53" s="1000"/>
      <c r="L53" s="1000"/>
      <c r="M53" s="1144"/>
      <c r="N53" s="1144"/>
      <c r="O53" s="1144"/>
      <c r="P53" s="1144"/>
      <c r="Q53" s="1144"/>
      <c r="R53" s="1144"/>
      <c r="S53" s="1144"/>
      <c r="T53" s="1144"/>
      <c r="U53" s="1144"/>
      <c r="V53" s="1144"/>
      <c r="W53" s="1144"/>
      <c r="X53" s="1144"/>
      <c r="Y53" s="1144"/>
      <c r="Z53" s="1144"/>
      <c r="AA53" s="1144"/>
      <c r="AB53" s="1144"/>
      <c r="AC53" s="1144"/>
      <c r="AD53" s="1144"/>
      <c r="AE53" s="1144"/>
      <c r="AF53" s="1144"/>
      <c r="AG53" s="1144"/>
      <c r="AH53" s="1144"/>
      <c r="AI53" s="1144"/>
      <c r="AJ53" s="1144"/>
      <c r="AK53" s="1144"/>
      <c r="AL53" s="1144"/>
      <c r="AM53" s="1144"/>
      <c r="AN53" s="1144"/>
      <c r="AO53" s="1144"/>
      <c r="AP53" s="194"/>
      <c r="AQ53" s="26"/>
      <c r="AR53" s="37"/>
      <c r="AS53" s="1129"/>
      <c r="AT53" s="1129"/>
      <c r="AU53" s="1129"/>
      <c r="AV53" s="2199"/>
      <c r="AW53" s="2199"/>
      <c r="AX53" s="2199"/>
      <c r="AY53" s="2199"/>
      <c r="AZ53" s="2199"/>
      <c r="BA53" s="2199"/>
      <c r="BB53" s="2199"/>
      <c r="BC53" s="2199"/>
      <c r="BD53" s="2199"/>
      <c r="BE53" s="2199"/>
      <c r="BF53" s="2199"/>
      <c r="BG53" s="2199"/>
      <c r="BH53" s="2199"/>
      <c r="BI53" s="2199"/>
      <c r="BJ53" s="2199"/>
      <c r="BK53" s="2199"/>
      <c r="BL53" s="2199"/>
      <c r="BM53" s="2199"/>
      <c r="BN53" s="2199"/>
      <c r="BO53" s="2199"/>
      <c r="BP53" s="2199"/>
      <c r="BQ53" s="2199"/>
      <c r="BR53" s="2199"/>
      <c r="BS53" s="2199"/>
      <c r="BT53" s="2199"/>
      <c r="BU53" s="2199"/>
      <c r="BV53" s="2199"/>
      <c r="BW53" s="2199"/>
      <c r="BX53" s="2199"/>
      <c r="BY53" s="2199"/>
      <c r="BZ53" s="2199"/>
      <c r="CA53" s="2199"/>
      <c r="CB53" s="2199"/>
      <c r="CC53" s="2199"/>
      <c r="CD53" s="2199"/>
      <c r="CE53" s="2199"/>
      <c r="CF53" s="2199"/>
      <c r="CG53" s="2199"/>
      <c r="CH53" s="2200"/>
      <c r="CI53" s="2200"/>
      <c r="CJ53" s="2200"/>
      <c r="CK53" s="2200"/>
      <c r="CL53" s="2200"/>
      <c r="CM53" s="2200"/>
      <c r="CN53" s="2200"/>
      <c r="CO53" s="2200"/>
      <c r="CP53" s="2200"/>
      <c r="CQ53" s="2200"/>
      <c r="CR53" s="2200"/>
      <c r="CS53" s="2200"/>
      <c r="CT53" s="2200"/>
      <c r="CU53" s="2200"/>
      <c r="CV53" s="2200"/>
      <c r="CW53" s="2200"/>
      <c r="CX53" s="2200"/>
      <c r="CY53" s="2200"/>
      <c r="CZ53" s="2200"/>
      <c r="DA53" s="2200"/>
      <c r="DB53" s="2200"/>
      <c r="DC53" s="2200"/>
      <c r="DD53" s="2200"/>
      <c r="DE53" s="2200"/>
      <c r="DF53" s="2200"/>
      <c r="DG53" s="2200"/>
      <c r="DH53" s="2200"/>
      <c r="DI53" s="2200"/>
      <c r="DJ53" s="2200"/>
      <c r="DK53" s="2200"/>
      <c r="DL53" s="2200"/>
      <c r="DM53" s="2200"/>
      <c r="DN53" s="2200"/>
      <c r="DO53" s="2200"/>
      <c r="DP53" s="2200"/>
      <c r="DQ53" s="2200"/>
      <c r="DR53" s="2200"/>
      <c r="DS53" s="338"/>
      <c r="DT53" s="50"/>
      <c r="DU53" s="305"/>
      <c r="DV53" s="305"/>
      <c r="DW53" s="126"/>
      <c r="DX53" s="126"/>
      <c r="DY53" s="126"/>
      <c r="DZ53" s="126"/>
      <c r="EA53" s="126"/>
      <c r="EB53" s="126"/>
      <c r="EC53" s="126"/>
      <c r="ED53" s="126"/>
      <c r="EE53" s="126"/>
      <c r="EF53" s="127"/>
    </row>
    <row r="54" spans="2:136" ht="42" customHeight="1">
      <c r="B54" s="312"/>
      <c r="C54" s="313"/>
      <c r="D54" s="365"/>
      <c r="E54" s="365"/>
      <c r="F54" s="365"/>
      <c r="G54" s="365"/>
      <c r="H54" s="365"/>
      <c r="I54" s="365"/>
      <c r="J54" s="365"/>
      <c r="K54" s="365"/>
      <c r="L54" s="365"/>
      <c r="M54" s="365"/>
      <c r="N54" s="365"/>
      <c r="O54" s="365"/>
      <c r="P54" s="365"/>
      <c r="Q54" s="365"/>
      <c r="R54" s="365"/>
      <c r="S54" s="365"/>
      <c r="T54" s="365"/>
      <c r="U54" s="365"/>
      <c r="V54" s="365"/>
      <c r="W54" s="365"/>
      <c r="X54" s="378"/>
      <c r="Y54" s="378"/>
      <c r="Z54" s="378"/>
      <c r="AA54" s="378"/>
      <c r="AB54" s="365"/>
      <c r="AC54" s="365"/>
      <c r="AD54" s="365"/>
      <c r="AE54" s="365"/>
      <c r="AF54" s="365"/>
      <c r="AG54" s="365"/>
      <c r="AH54" s="365"/>
      <c r="AI54" s="365"/>
      <c r="AJ54" s="365"/>
      <c r="AK54" s="365"/>
      <c r="AL54" s="365"/>
      <c r="AM54" s="365"/>
      <c r="AN54" s="365"/>
      <c r="AO54" s="191"/>
      <c r="AP54" s="196"/>
      <c r="AQ54" s="37"/>
      <c r="AR54" s="55"/>
      <c r="AS54" s="1129" t="str">
        <f ca="1">INDIRECT($J$4&amp;"!C47")</f>
        <v>When</v>
      </c>
      <c r="AT54" s="1129"/>
      <c r="AU54" s="1129"/>
      <c r="AV54" s="1870" t="str">
        <f ca="1">INDIRECT($J$4&amp;"!C53")</f>
        <v>When was the deviation first detected ? (Date of occurrence &amp; life cycle)</v>
      </c>
      <c r="AW54" s="1870"/>
      <c r="AX54" s="1870"/>
      <c r="AY54" s="1870"/>
      <c r="AZ54" s="1870"/>
      <c r="BA54" s="1870"/>
      <c r="BB54" s="1870"/>
      <c r="BC54" s="1870"/>
      <c r="BD54" s="1870"/>
      <c r="BE54" s="1870"/>
      <c r="BF54" s="1870"/>
      <c r="BG54" s="1870"/>
      <c r="BH54" s="1870"/>
      <c r="BI54" s="1870"/>
      <c r="BJ54" s="1870"/>
      <c r="BK54" s="1870"/>
      <c r="BL54" s="1870"/>
      <c r="BM54" s="1870"/>
      <c r="BN54" s="1870"/>
      <c r="BO54" s="1870"/>
      <c r="BP54" s="1870"/>
      <c r="BQ54" s="1870"/>
      <c r="BR54" s="1870"/>
      <c r="BS54" s="1870"/>
      <c r="BT54" s="1870"/>
      <c r="BU54" s="1870"/>
      <c r="BV54" s="1870"/>
      <c r="BW54" s="1870"/>
      <c r="BX54" s="1870"/>
      <c r="BY54" s="1870"/>
      <c r="BZ54" s="1870"/>
      <c r="CA54" s="1870"/>
      <c r="CB54" s="1870"/>
      <c r="CC54" s="1870"/>
      <c r="CD54" s="1870"/>
      <c r="CE54" s="1870"/>
      <c r="CF54" s="1870"/>
      <c r="CG54" s="1870"/>
      <c r="CH54" s="1871" t="str">
        <f ca="1">INDIRECT($J$4&amp;"!C61")</f>
        <v>Can the problem have occurred in an earlier phase/time ?</v>
      </c>
      <c r="CI54" s="1871"/>
      <c r="CJ54" s="1871"/>
      <c r="CK54" s="1871"/>
      <c r="CL54" s="1871"/>
      <c r="CM54" s="1871"/>
      <c r="CN54" s="1871"/>
      <c r="CO54" s="1871"/>
      <c r="CP54" s="1871"/>
      <c r="CQ54" s="1871"/>
      <c r="CR54" s="1871"/>
      <c r="CS54" s="1871"/>
      <c r="CT54" s="1871"/>
      <c r="CU54" s="1871"/>
      <c r="CV54" s="1871"/>
      <c r="CW54" s="1871"/>
      <c r="CX54" s="1871"/>
      <c r="CY54" s="1871"/>
      <c r="CZ54" s="1871"/>
      <c r="DA54" s="1871"/>
      <c r="DB54" s="1871"/>
      <c r="DC54" s="1871"/>
      <c r="DD54" s="1871"/>
      <c r="DE54" s="1871"/>
      <c r="DF54" s="1871"/>
      <c r="DG54" s="1871"/>
      <c r="DH54" s="1871"/>
      <c r="DI54" s="1871"/>
      <c r="DJ54" s="1871"/>
      <c r="DK54" s="1871"/>
      <c r="DL54" s="1871"/>
      <c r="DM54" s="1871"/>
      <c r="DN54" s="1871"/>
      <c r="DO54" s="1871"/>
      <c r="DP54" s="1871"/>
      <c r="DQ54" s="1871"/>
      <c r="DR54" s="1871"/>
      <c r="DS54" s="337"/>
      <c r="DT54" s="50"/>
      <c r="DU54" s="305"/>
      <c r="DV54" s="305"/>
      <c r="DW54" s="126"/>
      <c r="DX54" s="126"/>
      <c r="DY54" s="126"/>
      <c r="DZ54" s="126"/>
      <c r="EA54" s="126"/>
      <c r="EB54" s="126"/>
      <c r="EC54" s="126"/>
      <c r="ED54" s="126"/>
      <c r="EE54" s="126"/>
      <c r="EF54" s="127"/>
    </row>
    <row r="55" spans="2:136" ht="42" customHeight="1">
      <c r="B55" s="312"/>
      <c r="C55" s="313"/>
      <c r="D55" s="1175" t="str">
        <f ca="1">INDIRECT($J$4&amp;"!C34")</f>
        <v>Workplace</v>
      </c>
      <c r="E55" s="1175"/>
      <c r="F55" s="1175"/>
      <c r="G55" s="1175"/>
      <c r="H55" s="1175"/>
      <c r="I55" s="1175"/>
      <c r="J55" s="1175"/>
      <c r="K55" s="1175"/>
      <c r="L55" s="1175"/>
      <c r="M55" s="1066"/>
      <c r="N55" s="1067"/>
      <c r="O55" s="1067"/>
      <c r="P55" s="1067"/>
      <c r="Q55" s="1067"/>
      <c r="R55" s="1067"/>
      <c r="S55" s="1067"/>
      <c r="T55" s="1067"/>
      <c r="U55" s="1067"/>
      <c r="V55" s="1067"/>
      <c r="W55" s="1067"/>
      <c r="X55" s="1067"/>
      <c r="Y55" s="1067"/>
      <c r="Z55" s="1067"/>
      <c r="AA55" s="1067"/>
      <c r="AB55" s="1067"/>
      <c r="AC55" s="1067"/>
      <c r="AD55" s="1067"/>
      <c r="AE55" s="1067"/>
      <c r="AF55" s="1067"/>
      <c r="AG55" s="1067"/>
      <c r="AH55" s="1067"/>
      <c r="AI55" s="1067"/>
      <c r="AJ55" s="1067"/>
      <c r="AK55" s="1067"/>
      <c r="AL55" s="1067"/>
      <c r="AM55" s="1067"/>
      <c r="AN55" s="1067"/>
      <c r="AO55" s="1068"/>
      <c r="AP55" s="26"/>
      <c r="AQ55" s="26"/>
      <c r="AR55" s="75"/>
      <c r="AS55" s="1129"/>
      <c r="AT55" s="1129"/>
      <c r="AU55" s="1129"/>
      <c r="AV55" s="2205"/>
      <c r="AW55" s="2205"/>
      <c r="AX55" s="2205"/>
      <c r="AY55" s="2205"/>
      <c r="AZ55" s="2205"/>
      <c r="BA55" s="2205"/>
      <c r="BB55" s="2205"/>
      <c r="BC55" s="2205"/>
      <c r="BD55" s="2205"/>
      <c r="BE55" s="2205"/>
      <c r="BF55" s="2205"/>
      <c r="BG55" s="2205"/>
      <c r="BH55" s="2205"/>
      <c r="BI55" s="2205"/>
      <c r="BJ55" s="2205"/>
      <c r="BK55" s="2205"/>
      <c r="BL55" s="2205"/>
      <c r="BM55" s="2205"/>
      <c r="BN55" s="2205"/>
      <c r="BO55" s="2205"/>
      <c r="BP55" s="2205"/>
      <c r="BQ55" s="2205"/>
      <c r="BR55" s="2205"/>
      <c r="BS55" s="2205"/>
      <c r="BT55" s="2205"/>
      <c r="BU55" s="2205"/>
      <c r="BV55" s="2205"/>
      <c r="BW55" s="2205"/>
      <c r="BX55" s="2205"/>
      <c r="BY55" s="2205"/>
      <c r="BZ55" s="2205"/>
      <c r="CA55" s="2205"/>
      <c r="CB55" s="2205"/>
      <c r="CC55" s="2205"/>
      <c r="CD55" s="2205"/>
      <c r="CE55" s="2205"/>
      <c r="CF55" s="2205"/>
      <c r="CG55" s="2205"/>
      <c r="CH55" s="2200"/>
      <c r="CI55" s="2200"/>
      <c r="CJ55" s="2200"/>
      <c r="CK55" s="2200"/>
      <c r="CL55" s="2200"/>
      <c r="CM55" s="2200"/>
      <c r="CN55" s="2200"/>
      <c r="CO55" s="2200"/>
      <c r="CP55" s="2200"/>
      <c r="CQ55" s="2200"/>
      <c r="CR55" s="2200"/>
      <c r="CS55" s="2200"/>
      <c r="CT55" s="2200"/>
      <c r="CU55" s="2200"/>
      <c r="CV55" s="2200"/>
      <c r="CW55" s="2200"/>
      <c r="CX55" s="2200"/>
      <c r="CY55" s="2200"/>
      <c r="CZ55" s="2200"/>
      <c r="DA55" s="2200"/>
      <c r="DB55" s="2200"/>
      <c r="DC55" s="2200"/>
      <c r="DD55" s="2200"/>
      <c r="DE55" s="2200"/>
      <c r="DF55" s="2200"/>
      <c r="DG55" s="2200"/>
      <c r="DH55" s="2200"/>
      <c r="DI55" s="2200"/>
      <c r="DJ55" s="2200"/>
      <c r="DK55" s="2200"/>
      <c r="DL55" s="2200"/>
      <c r="DM55" s="2200"/>
      <c r="DN55" s="2200"/>
      <c r="DO55" s="2200"/>
      <c r="DP55" s="2200"/>
      <c r="DQ55" s="2200"/>
      <c r="DR55" s="2200"/>
      <c r="DS55" s="338"/>
      <c r="DT55" s="334"/>
      <c r="DU55" s="305"/>
      <c r="DV55" s="305"/>
      <c r="DW55" s="126"/>
      <c r="DX55" s="126"/>
      <c r="DY55" s="126"/>
      <c r="DZ55" s="126"/>
      <c r="EA55" s="126"/>
      <c r="EB55" s="126"/>
      <c r="EC55" s="126"/>
      <c r="ED55" s="126"/>
      <c r="EE55" s="126"/>
      <c r="EF55" s="127"/>
    </row>
    <row r="56" spans="2:136" ht="42" customHeight="1">
      <c r="B56" s="312"/>
      <c r="C56" s="313"/>
      <c r="D56" s="1000" t="str">
        <f ca="1">INDIRECT($J$4&amp;"!C35")</f>
        <v>Qualification</v>
      </c>
      <c r="E56" s="1000"/>
      <c r="F56" s="1000"/>
      <c r="G56" s="1000"/>
      <c r="H56" s="1000"/>
      <c r="I56" s="1000"/>
      <c r="J56" s="1000"/>
      <c r="K56" s="1000"/>
      <c r="L56" s="400"/>
      <c r="M56" s="1066"/>
      <c r="N56" s="1067"/>
      <c r="O56" s="1067"/>
      <c r="P56" s="1067"/>
      <c r="Q56" s="1067"/>
      <c r="R56" s="1067"/>
      <c r="S56" s="1067"/>
      <c r="T56" s="1067"/>
      <c r="U56" s="1067"/>
      <c r="V56" s="1067"/>
      <c r="W56" s="1067"/>
      <c r="X56" s="1067"/>
      <c r="Y56" s="1067"/>
      <c r="Z56" s="1067"/>
      <c r="AA56" s="1067"/>
      <c r="AB56" s="1067"/>
      <c r="AC56" s="1067"/>
      <c r="AD56" s="1067"/>
      <c r="AE56" s="1067"/>
      <c r="AF56" s="1067"/>
      <c r="AG56" s="1067"/>
      <c r="AH56" s="1067"/>
      <c r="AI56" s="1067"/>
      <c r="AJ56" s="1067"/>
      <c r="AK56" s="1067"/>
      <c r="AL56" s="1067"/>
      <c r="AM56" s="1067"/>
      <c r="AN56" s="1067"/>
      <c r="AO56" s="1068"/>
      <c r="AP56" s="26"/>
      <c r="AQ56" s="26"/>
      <c r="AR56" s="26"/>
      <c r="AS56" s="1129"/>
      <c r="AT56" s="1129"/>
      <c r="AU56" s="1129"/>
      <c r="AV56" s="1874" t="str">
        <f ca="1">INDIRECT($J$4&amp;"!C54")</f>
        <v>Is there a recognisable systematic of failures ? (single failure, continuous increase/fall, random or cyclical) ?</v>
      </c>
      <c r="AW56" s="1874"/>
      <c r="AX56" s="1874"/>
      <c r="AY56" s="1874"/>
      <c r="AZ56" s="1874"/>
      <c r="BA56" s="1874"/>
      <c r="BB56" s="1874"/>
      <c r="BC56" s="1874"/>
      <c r="BD56" s="1874"/>
      <c r="BE56" s="1874"/>
      <c r="BF56" s="1874"/>
      <c r="BG56" s="1874"/>
      <c r="BH56" s="1874"/>
      <c r="BI56" s="1874"/>
      <c r="BJ56" s="1874"/>
      <c r="BK56" s="1874"/>
      <c r="BL56" s="1874"/>
      <c r="BM56" s="1874"/>
      <c r="BN56" s="1874"/>
      <c r="BO56" s="1874"/>
      <c r="BP56" s="1874"/>
      <c r="BQ56" s="1874"/>
      <c r="BR56" s="1874"/>
      <c r="BS56" s="1874"/>
      <c r="BT56" s="1874"/>
      <c r="BU56" s="1874"/>
      <c r="BV56" s="1874"/>
      <c r="BW56" s="1874"/>
      <c r="BX56" s="1874"/>
      <c r="BY56" s="1874"/>
      <c r="BZ56" s="1874"/>
      <c r="CA56" s="1874"/>
      <c r="CB56" s="1874"/>
      <c r="CC56" s="1874"/>
      <c r="CD56" s="1874"/>
      <c r="CE56" s="1874"/>
      <c r="CF56" s="1874"/>
      <c r="CG56" s="1874"/>
      <c r="CH56" s="1871" t="str">
        <f ca="1">INDIRECT($J$4&amp;"!C62")</f>
        <v>Can additional failures be expected since the discovery ?</v>
      </c>
      <c r="CI56" s="1871"/>
      <c r="CJ56" s="1871"/>
      <c r="CK56" s="1871"/>
      <c r="CL56" s="1871"/>
      <c r="CM56" s="1871"/>
      <c r="CN56" s="1871"/>
      <c r="CO56" s="1871"/>
      <c r="CP56" s="1871"/>
      <c r="CQ56" s="1871"/>
      <c r="CR56" s="1871"/>
      <c r="CS56" s="1871"/>
      <c r="CT56" s="1871"/>
      <c r="CU56" s="1871"/>
      <c r="CV56" s="1871"/>
      <c r="CW56" s="1871"/>
      <c r="CX56" s="1871"/>
      <c r="CY56" s="1871"/>
      <c r="CZ56" s="1871"/>
      <c r="DA56" s="1871"/>
      <c r="DB56" s="1871"/>
      <c r="DC56" s="1871"/>
      <c r="DD56" s="1871"/>
      <c r="DE56" s="1871"/>
      <c r="DF56" s="1871"/>
      <c r="DG56" s="1871"/>
      <c r="DH56" s="1871"/>
      <c r="DI56" s="1871"/>
      <c r="DJ56" s="1871"/>
      <c r="DK56" s="1871"/>
      <c r="DL56" s="1871"/>
      <c r="DM56" s="1871"/>
      <c r="DN56" s="1871"/>
      <c r="DO56" s="1871"/>
      <c r="DP56" s="1871"/>
      <c r="DQ56" s="1871"/>
      <c r="DR56" s="1871"/>
      <c r="DS56" s="337"/>
      <c r="DT56" s="50"/>
      <c r="DU56" s="305"/>
      <c r="DV56" s="305"/>
      <c r="DW56" s="126"/>
      <c r="DX56" s="126"/>
      <c r="DY56" s="126"/>
      <c r="DZ56" s="126"/>
      <c r="EA56" s="126"/>
      <c r="EB56" s="126"/>
      <c r="EC56" s="126"/>
      <c r="ED56" s="126"/>
      <c r="EE56" s="126"/>
      <c r="EF56" s="127"/>
    </row>
    <row r="57" spans="2:136" ht="42" customHeight="1">
      <c r="B57" s="312"/>
      <c r="C57" s="313"/>
      <c r="D57" s="1175" t="str">
        <f ca="1">INDIRECT($J$4&amp;"!C36")</f>
        <v>Line</v>
      </c>
      <c r="E57" s="1175"/>
      <c r="F57" s="1175"/>
      <c r="G57" s="1175"/>
      <c r="H57" s="1175"/>
      <c r="I57" s="1175"/>
      <c r="J57" s="1175"/>
      <c r="K57" s="1175"/>
      <c r="L57" s="1175"/>
      <c r="M57" s="1066"/>
      <c r="N57" s="1067"/>
      <c r="O57" s="1067"/>
      <c r="P57" s="1067"/>
      <c r="Q57" s="1067"/>
      <c r="R57" s="1067"/>
      <c r="S57" s="1067"/>
      <c r="T57" s="1067"/>
      <c r="U57" s="1067"/>
      <c r="V57" s="1067"/>
      <c r="W57" s="1067"/>
      <c r="X57" s="1067"/>
      <c r="Y57" s="1067"/>
      <c r="Z57" s="1067"/>
      <c r="AA57" s="1067"/>
      <c r="AB57" s="1067"/>
      <c r="AC57" s="1067"/>
      <c r="AD57" s="1067"/>
      <c r="AE57" s="1067"/>
      <c r="AF57" s="1067"/>
      <c r="AG57" s="1067"/>
      <c r="AH57" s="1067"/>
      <c r="AI57" s="1067"/>
      <c r="AJ57" s="1067"/>
      <c r="AK57" s="1067"/>
      <c r="AL57" s="1067"/>
      <c r="AM57" s="1067"/>
      <c r="AN57" s="1067"/>
      <c r="AO57" s="1068"/>
      <c r="AP57" s="197"/>
      <c r="AQ57" s="26"/>
      <c r="AR57" s="26"/>
      <c r="AS57" s="1129"/>
      <c r="AT57" s="1129"/>
      <c r="AU57" s="1129"/>
      <c r="AV57" s="2199"/>
      <c r="AW57" s="2199"/>
      <c r="AX57" s="2199"/>
      <c r="AY57" s="2199"/>
      <c r="AZ57" s="2199"/>
      <c r="BA57" s="2199"/>
      <c r="BB57" s="2199"/>
      <c r="BC57" s="2199"/>
      <c r="BD57" s="2199"/>
      <c r="BE57" s="2199"/>
      <c r="BF57" s="2199"/>
      <c r="BG57" s="2199"/>
      <c r="BH57" s="2199"/>
      <c r="BI57" s="2199"/>
      <c r="BJ57" s="2199"/>
      <c r="BK57" s="2199"/>
      <c r="BL57" s="2199"/>
      <c r="BM57" s="2199"/>
      <c r="BN57" s="2199"/>
      <c r="BO57" s="2199"/>
      <c r="BP57" s="2199"/>
      <c r="BQ57" s="2199"/>
      <c r="BR57" s="2199"/>
      <c r="BS57" s="2199"/>
      <c r="BT57" s="2199"/>
      <c r="BU57" s="2199"/>
      <c r="BV57" s="2199"/>
      <c r="BW57" s="2199"/>
      <c r="BX57" s="2199"/>
      <c r="BY57" s="2199"/>
      <c r="BZ57" s="2199"/>
      <c r="CA57" s="2199"/>
      <c r="CB57" s="2199"/>
      <c r="CC57" s="2199"/>
      <c r="CD57" s="2199"/>
      <c r="CE57" s="2199"/>
      <c r="CF57" s="2199"/>
      <c r="CG57" s="2199"/>
      <c r="CH57" s="2200"/>
      <c r="CI57" s="2200"/>
      <c r="CJ57" s="2200"/>
      <c r="CK57" s="2200"/>
      <c r="CL57" s="2200"/>
      <c r="CM57" s="2200"/>
      <c r="CN57" s="2200"/>
      <c r="CO57" s="2200"/>
      <c r="CP57" s="2200"/>
      <c r="CQ57" s="2200"/>
      <c r="CR57" s="2200"/>
      <c r="CS57" s="2200"/>
      <c r="CT57" s="2200"/>
      <c r="CU57" s="2200"/>
      <c r="CV57" s="2200"/>
      <c r="CW57" s="2200"/>
      <c r="CX57" s="2200"/>
      <c r="CY57" s="2200"/>
      <c r="CZ57" s="2200"/>
      <c r="DA57" s="2200"/>
      <c r="DB57" s="2200"/>
      <c r="DC57" s="2200"/>
      <c r="DD57" s="2200"/>
      <c r="DE57" s="2200"/>
      <c r="DF57" s="2200"/>
      <c r="DG57" s="2200"/>
      <c r="DH57" s="2200"/>
      <c r="DI57" s="2200"/>
      <c r="DJ57" s="2200"/>
      <c r="DK57" s="2200"/>
      <c r="DL57" s="2200"/>
      <c r="DM57" s="2200"/>
      <c r="DN57" s="2200"/>
      <c r="DO57" s="2200"/>
      <c r="DP57" s="2200"/>
      <c r="DQ57" s="2200"/>
      <c r="DR57" s="2200"/>
      <c r="DS57" s="338"/>
      <c r="DT57" s="50"/>
      <c r="DU57" s="305"/>
      <c r="DV57" s="305"/>
      <c r="DW57" s="126"/>
      <c r="DX57" s="126"/>
      <c r="DY57" s="126"/>
      <c r="DZ57" s="126"/>
      <c r="EA57" s="126"/>
      <c r="EB57" s="126"/>
      <c r="EC57" s="126"/>
      <c r="ED57" s="126"/>
      <c r="EE57" s="126"/>
      <c r="EF57" s="187"/>
    </row>
    <row r="58" spans="2:136" ht="42" customHeight="1">
      <c r="B58" s="312"/>
      <c r="C58" s="313"/>
      <c r="D58" s="1175" t="str">
        <f ca="1">INDIRECT($J$4&amp;"!C37")</f>
        <v>Team</v>
      </c>
      <c r="E58" s="1175"/>
      <c r="F58" s="1175"/>
      <c r="G58" s="1175"/>
      <c r="H58" s="1175"/>
      <c r="I58" s="1175"/>
      <c r="J58" s="1175"/>
      <c r="K58" s="1175"/>
      <c r="L58" s="1175"/>
      <c r="M58" s="1066"/>
      <c r="N58" s="1067"/>
      <c r="O58" s="1067"/>
      <c r="P58" s="1067"/>
      <c r="Q58" s="1067"/>
      <c r="R58" s="1067"/>
      <c r="S58" s="1067"/>
      <c r="T58" s="1067"/>
      <c r="U58" s="1067"/>
      <c r="V58" s="1067"/>
      <c r="W58" s="1067"/>
      <c r="X58" s="1067"/>
      <c r="Y58" s="1067"/>
      <c r="Z58" s="1067"/>
      <c r="AA58" s="1067"/>
      <c r="AB58" s="1067"/>
      <c r="AC58" s="1067"/>
      <c r="AD58" s="1067"/>
      <c r="AE58" s="1067"/>
      <c r="AF58" s="1067"/>
      <c r="AG58" s="1067"/>
      <c r="AH58" s="1067"/>
      <c r="AI58" s="1067"/>
      <c r="AJ58" s="1067"/>
      <c r="AK58" s="1067"/>
      <c r="AL58" s="1067"/>
      <c r="AM58" s="1067"/>
      <c r="AN58" s="1067"/>
      <c r="AO58" s="1068"/>
      <c r="AP58" s="26"/>
      <c r="AQ58" s="26"/>
      <c r="AR58" s="26"/>
      <c r="AS58" s="1129" t="str">
        <f ca="1">INDIRECT($J$4&amp;"!C48")</f>
        <v>How many</v>
      </c>
      <c r="AT58" s="1129"/>
      <c r="AU58" s="1129"/>
      <c r="AV58" s="1870" t="str">
        <f ca="1">INDIRECT($J$4&amp;"!C55")</f>
        <v>How many failures ? (number &amp; PPM's)</v>
      </c>
      <c r="AW58" s="1870"/>
      <c r="AX58" s="1870"/>
      <c r="AY58" s="1870"/>
      <c r="AZ58" s="1870"/>
      <c r="BA58" s="1870"/>
      <c r="BB58" s="1870"/>
      <c r="BC58" s="1870"/>
      <c r="BD58" s="1870"/>
      <c r="BE58" s="1870"/>
      <c r="BF58" s="1870"/>
      <c r="BG58" s="1870"/>
      <c r="BH58" s="1870"/>
      <c r="BI58" s="1870"/>
      <c r="BJ58" s="1870"/>
      <c r="BK58" s="1870"/>
      <c r="BL58" s="1870"/>
      <c r="BM58" s="1870"/>
      <c r="BN58" s="1870"/>
      <c r="BO58" s="1870"/>
      <c r="BP58" s="1870"/>
      <c r="BQ58" s="1870"/>
      <c r="BR58" s="1870"/>
      <c r="BS58" s="1870"/>
      <c r="BT58" s="1870"/>
      <c r="BU58" s="1870"/>
      <c r="BV58" s="1870"/>
      <c r="BW58" s="1870"/>
      <c r="BX58" s="1870"/>
      <c r="BY58" s="1870"/>
      <c r="BZ58" s="1870"/>
      <c r="CA58" s="1870"/>
      <c r="CB58" s="1870"/>
      <c r="CC58" s="1870"/>
      <c r="CD58" s="1870"/>
      <c r="CE58" s="1870"/>
      <c r="CF58" s="1870"/>
      <c r="CG58" s="1870"/>
      <c r="CH58" s="1871" t="str">
        <f ca="1">INDIRECT($J$4&amp;"!C63")</f>
        <v>How many more can be expected in the future ?</v>
      </c>
      <c r="CI58" s="1871"/>
      <c r="CJ58" s="1871"/>
      <c r="CK58" s="1871"/>
      <c r="CL58" s="1871"/>
      <c r="CM58" s="1871"/>
      <c r="CN58" s="1871"/>
      <c r="CO58" s="1871"/>
      <c r="CP58" s="1871"/>
      <c r="CQ58" s="1871"/>
      <c r="CR58" s="1871"/>
      <c r="CS58" s="1871"/>
      <c r="CT58" s="1871"/>
      <c r="CU58" s="1871"/>
      <c r="CV58" s="1871"/>
      <c r="CW58" s="1871"/>
      <c r="CX58" s="1871"/>
      <c r="CY58" s="1871"/>
      <c r="CZ58" s="1871"/>
      <c r="DA58" s="1871"/>
      <c r="DB58" s="1871"/>
      <c r="DC58" s="1871"/>
      <c r="DD58" s="1871"/>
      <c r="DE58" s="1871"/>
      <c r="DF58" s="1871"/>
      <c r="DG58" s="1871"/>
      <c r="DH58" s="1871"/>
      <c r="DI58" s="1871"/>
      <c r="DJ58" s="1871"/>
      <c r="DK58" s="1871"/>
      <c r="DL58" s="1871"/>
      <c r="DM58" s="1871"/>
      <c r="DN58" s="1871"/>
      <c r="DO58" s="1871"/>
      <c r="DP58" s="1871"/>
      <c r="DQ58" s="1871"/>
      <c r="DR58" s="1871"/>
      <c r="DS58" s="337"/>
      <c r="DT58" s="50"/>
      <c r="DU58" s="305"/>
      <c r="DV58" s="305"/>
      <c r="DW58" s="126"/>
      <c r="DX58" s="126"/>
      <c r="DY58" s="126"/>
      <c r="DZ58" s="126"/>
      <c r="EA58" s="126"/>
      <c r="EB58" s="126"/>
      <c r="EC58" s="126"/>
      <c r="ED58" s="126"/>
      <c r="EE58" s="126"/>
      <c r="EF58" s="187"/>
    </row>
    <row r="59" spans="2:136" ht="42" customHeight="1">
      <c r="B59" s="312"/>
      <c r="C59" s="313"/>
      <c r="D59" s="1081" t="str">
        <f ca="1">INDIRECT($J$4&amp;"!C38")</f>
        <v>Equipment</v>
      </c>
      <c r="E59" s="1081"/>
      <c r="F59" s="1081"/>
      <c r="G59" s="1081"/>
      <c r="H59" s="1081"/>
      <c r="I59" s="1081"/>
      <c r="J59" s="1081"/>
      <c r="K59" s="1081"/>
      <c r="L59" s="1081"/>
      <c r="M59" s="1066"/>
      <c r="N59" s="1067"/>
      <c r="O59" s="1067"/>
      <c r="P59" s="1067"/>
      <c r="Q59" s="1067"/>
      <c r="R59" s="1067"/>
      <c r="S59" s="1067"/>
      <c r="T59" s="1067"/>
      <c r="U59" s="1067"/>
      <c r="V59" s="1067"/>
      <c r="W59" s="1067"/>
      <c r="X59" s="1067"/>
      <c r="Y59" s="1067"/>
      <c r="Z59" s="1067"/>
      <c r="AA59" s="1067"/>
      <c r="AB59" s="1067"/>
      <c r="AC59" s="1067"/>
      <c r="AD59" s="1067"/>
      <c r="AE59" s="1067"/>
      <c r="AF59" s="1067"/>
      <c r="AG59" s="1067"/>
      <c r="AH59" s="1067"/>
      <c r="AI59" s="1067"/>
      <c r="AJ59" s="1067"/>
      <c r="AK59" s="1067"/>
      <c r="AL59" s="1067"/>
      <c r="AM59" s="1067"/>
      <c r="AN59" s="1067"/>
      <c r="AO59" s="1068"/>
      <c r="AP59" s="26"/>
      <c r="AQ59" s="26"/>
      <c r="AR59" s="26"/>
      <c r="AS59" s="1129"/>
      <c r="AT59" s="1129"/>
      <c r="AU59" s="1129"/>
      <c r="AV59" s="2199"/>
      <c r="AW59" s="2199"/>
      <c r="AX59" s="2199"/>
      <c r="AY59" s="2199"/>
      <c r="AZ59" s="2199"/>
      <c r="BA59" s="2199"/>
      <c r="BB59" s="2199"/>
      <c r="BC59" s="2199"/>
      <c r="BD59" s="2199"/>
      <c r="BE59" s="2199"/>
      <c r="BF59" s="2199"/>
      <c r="BG59" s="2199"/>
      <c r="BH59" s="2199"/>
      <c r="BI59" s="2199"/>
      <c r="BJ59" s="2199"/>
      <c r="BK59" s="2199"/>
      <c r="BL59" s="2199"/>
      <c r="BM59" s="2199"/>
      <c r="BN59" s="2199"/>
      <c r="BO59" s="2199"/>
      <c r="BP59" s="2199"/>
      <c r="BQ59" s="2199"/>
      <c r="BR59" s="2199"/>
      <c r="BS59" s="2199"/>
      <c r="BT59" s="2199"/>
      <c r="BU59" s="2199"/>
      <c r="BV59" s="2199"/>
      <c r="BW59" s="2199"/>
      <c r="BX59" s="2199"/>
      <c r="BY59" s="2199"/>
      <c r="BZ59" s="2199"/>
      <c r="CA59" s="2199"/>
      <c r="CB59" s="2199"/>
      <c r="CC59" s="2199"/>
      <c r="CD59" s="2199"/>
      <c r="CE59" s="2199"/>
      <c r="CF59" s="2199"/>
      <c r="CG59" s="2199"/>
      <c r="CH59" s="2200"/>
      <c r="CI59" s="2200"/>
      <c r="CJ59" s="2200"/>
      <c r="CK59" s="2200"/>
      <c r="CL59" s="2200"/>
      <c r="CM59" s="2200"/>
      <c r="CN59" s="2200"/>
      <c r="CO59" s="2200"/>
      <c r="CP59" s="2200"/>
      <c r="CQ59" s="2200"/>
      <c r="CR59" s="2200"/>
      <c r="CS59" s="2200"/>
      <c r="CT59" s="2200"/>
      <c r="CU59" s="2200"/>
      <c r="CV59" s="2200"/>
      <c r="CW59" s="2200"/>
      <c r="CX59" s="2200"/>
      <c r="CY59" s="2200"/>
      <c r="CZ59" s="2200"/>
      <c r="DA59" s="2200"/>
      <c r="DB59" s="2200"/>
      <c r="DC59" s="2200"/>
      <c r="DD59" s="2200"/>
      <c r="DE59" s="2200"/>
      <c r="DF59" s="2200"/>
      <c r="DG59" s="2200"/>
      <c r="DH59" s="2200"/>
      <c r="DI59" s="2200"/>
      <c r="DJ59" s="2200"/>
      <c r="DK59" s="2200"/>
      <c r="DL59" s="2200"/>
      <c r="DM59" s="2200"/>
      <c r="DN59" s="2200"/>
      <c r="DO59" s="2200"/>
      <c r="DP59" s="2200"/>
      <c r="DQ59" s="2200"/>
      <c r="DR59" s="2200"/>
      <c r="DS59" s="338"/>
      <c r="DT59" s="50"/>
      <c r="DU59" s="305"/>
      <c r="DV59" s="305"/>
      <c r="DW59" s="126"/>
      <c r="DX59" s="126"/>
      <c r="DY59" s="126"/>
      <c r="DZ59" s="126"/>
      <c r="EA59" s="126"/>
      <c r="EB59" s="126"/>
      <c r="EC59" s="126"/>
      <c r="ED59" s="126"/>
      <c r="EE59" s="126"/>
      <c r="EF59" s="187"/>
    </row>
    <row r="60" spans="2:136" ht="42" customHeight="1">
      <c r="B60" s="312"/>
      <c r="C60" s="313"/>
      <c r="D60" s="1081" t="str">
        <f ca="1">INDIRECT($J$4&amp;"!C39")&amp;":"</f>
        <v>Repetitive fault:</v>
      </c>
      <c r="E60" s="1081"/>
      <c r="F60" s="1081"/>
      <c r="G60" s="1081"/>
      <c r="H60" s="1081"/>
      <c r="I60" s="1081"/>
      <c r="J60" s="1081"/>
      <c r="K60" s="1081"/>
      <c r="L60" s="1081"/>
      <c r="M60" s="1081"/>
      <c r="N60" s="1081"/>
      <c r="O60" s="1081"/>
      <c r="P60" s="1081"/>
      <c r="Q60" s="1000"/>
      <c r="R60" s="2054" t="str">
        <f ca="1">INDIRECT($J$4&amp;"!C40")&amp;":"</f>
        <v>If yes, PSS No./ 8D No.:</v>
      </c>
      <c r="S60" s="2054"/>
      <c r="T60" s="2054"/>
      <c r="U60" s="2054"/>
      <c r="V60" s="2054"/>
      <c r="W60" s="2054"/>
      <c r="X60" s="2054"/>
      <c r="Y60" s="2054"/>
      <c r="Z60" s="2054"/>
      <c r="AA60" s="2054"/>
      <c r="AB60" s="2054"/>
      <c r="AC60" s="2054"/>
      <c r="AD60" s="2054"/>
      <c r="AE60" s="2054"/>
      <c r="AF60" s="2054"/>
      <c r="AG60" s="2054"/>
      <c r="AH60" s="2054"/>
      <c r="AI60" s="2054"/>
      <c r="AJ60" s="2054"/>
      <c r="AK60" s="2054"/>
      <c r="AL60" s="2054"/>
      <c r="AM60" s="2054"/>
      <c r="AN60" s="2054"/>
      <c r="AO60" s="2054"/>
      <c r="AP60" s="26"/>
      <c r="AQ60" s="26"/>
      <c r="AR60" s="26"/>
      <c r="AS60" s="1129"/>
      <c r="AT60" s="1129"/>
      <c r="AU60" s="1129"/>
      <c r="AV60" s="1870" t="str">
        <f ca="1">INDIRECT($J$4&amp;"!C56")</f>
        <v>Which persons are affected ? What costs have been incurred so far ? Will these rise, fall or remain stable ?</v>
      </c>
      <c r="AW60" s="1870"/>
      <c r="AX60" s="1870"/>
      <c r="AY60" s="1870"/>
      <c r="AZ60" s="1870"/>
      <c r="BA60" s="1870"/>
      <c r="BB60" s="1870"/>
      <c r="BC60" s="1870"/>
      <c r="BD60" s="1870"/>
      <c r="BE60" s="1870"/>
      <c r="BF60" s="1870"/>
      <c r="BG60" s="1870"/>
      <c r="BH60" s="1870"/>
      <c r="BI60" s="1870"/>
      <c r="BJ60" s="1870"/>
      <c r="BK60" s="1870"/>
      <c r="BL60" s="1870"/>
      <c r="BM60" s="1870"/>
      <c r="BN60" s="1870"/>
      <c r="BO60" s="1870"/>
      <c r="BP60" s="1870"/>
      <c r="BQ60" s="1870"/>
      <c r="BR60" s="1870"/>
      <c r="BS60" s="1870"/>
      <c r="BT60" s="1870"/>
      <c r="BU60" s="1870"/>
      <c r="BV60" s="1870"/>
      <c r="BW60" s="1870"/>
      <c r="BX60" s="1870"/>
      <c r="BY60" s="1870"/>
      <c r="BZ60" s="1870"/>
      <c r="CA60" s="1870"/>
      <c r="CB60" s="1870"/>
      <c r="CC60" s="1870"/>
      <c r="CD60" s="1870"/>
      <c r="CE60" s="1870"/>
      <c r="CF60" s="1870"/>
      <c r="CG60" s="1870"/>
      <c r="CH60" s="1871" t="str">
        <f ca="1">INDIRECT($J$4&amp;"!C64")</f>
        <v>What can lead to worse/better circumstances ?</v>
      </c>
      <c r="CI60" s="1871"/>
      <c r="CJ60" s="1871"/>
      <c r="CK60" s="1871"/>
      <c r="CL60" s="1871"/>
      <c r="CM60" s="1871"/>
      <c r="CN60" s="1871"/>
      <c r="CO60" s="1871"/>
      <c r="CP60" s="1871"/>
      <c r="CQ60" s="1871"/>
      <c r="CR60" s="1871"/>
      <c r="CS60" s="1871"/>
      <c r="CT60" s="1871"/>
      <c r="CU60" s="1871"/>
      <c r="CV60" s="1871"/>
      <c r="CW60" s="1871"/>
      <c r="CX60" s="1871"/>
      <c r="CY60" s="1871"/>
      <c r="CZ60" s="1871"/>
      <c r="DA60" s="1871"/>
      <c r="DB60" s="1871"/>
      <c r="DC60" s="1871"/>
      <c r="DD60" s="1871"/>
      <c r="DE60" s="1871"/>
      <c r="DF60" s="1871"/>
      <c r="DG60" s="1871"/>
      <c r="DH60" s="1871"/>
      <c r="DI60" s="1871"/>
      <c r="DJ60" s="1871"/>
      <c r="DK60" s="1871"/>
      <c r="DL60" s="1871"/>
      <c r="DM60" s="1871"/>
      <c r="DN60" s="1871"/>
      <c r="DO60" s="1871"/>
      <c r="DP60" s="1871"/>
      <c r="DQ60" s="1871"/>
      <c r="DR60" s="1871"/>
      <c r="DS60" s="337"/>
      <c r="DT60" s="311"/>
      <c r="DU60" s="305"/>
      <c r="DV60" s="305"/>
      <c r="DW60" s="126"/>
      <c r="DX60" s="126"/>
      <c r="DY60" s="126"/>
      <c r="DZ60" s="126"/>
      <c r="EA60" s="126"/>
      <c r="EB60" s="126"/>
      <c r="EC60" s="126"/>
      <c r="ED60" s="126"/>
      <c r="EE60" s="126"/>
      <c r="EF60" s="187"/>
    </row>
    <row r="61" spans="2:136" ht="42" customHeight="1">
      <c r="B61" s="312"/>
      <c r="C61" s="313"/>
      <c r="D61" s="366"/>
      <c r="E61" s="1000"/>
      <c r="F61" s="1000"/>
      <c r="G61" s="1000"/>
      <c r="H61" s="1000"/>
      <c r="I61" s="1000"/>
      <c r="J61" s="1000"/>
      <c r="K61" s="1000"/>
      <c r="L61" s="365"/>
      <c r="M61" s="1263"/>
      <c r="N61" s="1263"/>
      <c r="O61" s="1263"/>
      <c r="P61" s="1263"/>
      <c r="Q61" s="365"/>
      <c r="R61" s="1181"/>
      <c r="S61" s="1182"/>
      <c r="T61" s="1182"/>
      <c r="U61" s="1182"/>
      <c r="V61" s="1182"/>
      <c r="W61" s="1182"/>
      <c r="X61" s="1182"/>
      <c r="Y61" s="1182"/>
      <c r="Z61" s="1182"/>
      <c r="AA61" s="1182"/>
      <c r="AB61" s="1182"/>
      <c r="AC61" s="1182"/>
      <c r="AD61" s="1182"/>
      <c r="AE61" s="1182"/>
      <c r="AF61" s="1182"/>
      <c r="AG61" s="1182"/>
      <c r="AH61" s="1182"/>
      <c r="AI61" s="1182"/>
      <c r="AJ61" s="1182"/>
      <c r="AK61" s="1182"/>
      <c r="AL61" s="1182"/>
      <c r="AM61" s="1182"/>
      <c r="AN61" s="1182"/>
      <c r="AO61" s="1183"/>
      <c r="AP61" s="26"/>
      <c r="AQ61" s="26"/>
      <c r="AR61" s="26"/>
      <c r="AS61" s="1129"/>
      <c r="AT61" s="1129"/>
      <c r="AU61" s="1129"/>
      <c r="AV61" s="2199"/>
      <c r="AW61" s="2199"/>
      <c r="AX61" s="2199"/>
      <c r="AY61" s="2199"/>
      <c r="AZ61" s="2199"/>
      <c r="BA61" s="2199"/>
      <c r="BB61" s="2199"/>
      <c r="BC61" s="2199"/>
      <c r="BD61" s="2199"/>
      <c r="BE61" s="2199"/>
      <c r="BF61" s="2199"/>
      <c r="BG61" s="2199"/>
      <c r="BH61" s="2199"/>
      <c r="BI61" s="2199"/>
      <c r="BJ61" s="2199"/>
      <c r="BK61" s="2199"/>
      <c r="BL61" s="2199"/>
      <c r="BM61" s="2199"/>
      <c r="BN61" s="2199"/>
      <c r="BO61" s="2199"/>
      <c r="BP61" s="2199"/>
      <c r="BQ61" s="2199"/>
      <c r="BR61" s="2199"/>
      <c r="BS61" s="2199"/>
      <c r="BT61" s="2199"/>
      <c r="BU61" s="2199"/>
      <c r="BV61" s="2199"/>
      <c r="BW61" s="2199"/>
      <c r="BX61" s="2199"/>
      <c r="BY61" s="2199"/>
      <c r="BZ61" s="2199"/>
      <c r="CA61" s="2199"/>
      <c r="CB61" s="2199"/>
      <c r="CC61" s="2199"/>
      <c r="CD61" s="2199"/>
      <c r="CE61" s="2199"/>
      <c r="CF61" s="2199"/>
      <c r="CG61" s="2199"/>
      <c r="CH61" s="2200"/>
      <c r="CI61" s="2200"/>
      <c r="CJ61" s="2200"/>
      <c r="CK61" s="2200"/>
      <c r="CL61" s="2200"/>
      <c r="CM61" s="2200"/>
      <c r="CN61" s="2200"/>
      <c r="CO61" s="2200"/>
      <c r="CP61" s="2200"/>
      <c r="CQ61" s="2200"/>
      <c r="CR61" s="2200"/>
      <c r="CS61" s="2200"/>
      <c r="CT61" s="2200"/>
      <c r="CU61" s="2200"/>
      <c r="CV61" s="2200"/>
      <c r="CW61" s="2200"/>
      <c r="CX61" s="2200"/>
      <c r="CY61" s="2200"/>
      <c r="CZ61" s="2200"/>
      <c r="DA61" s="2200"/>
      <c r="DB61" s="2200"/>
      <c r="DC61" s="2200"/>
      <c r="DD61" s="2200"/>
      <c r="DE61" s="2200"/>
      <c r="DF61" s="2200"/>
      <c r="DG61" s="2200"/>
      <c r="DH61" s="2200"/>
      <c r="DI61" s="2200"/>
      <c r="DJ61" s="2200"/>
      <c r="DK61" s="2200"/>
      <c r="DL61" s="2200"/>
      <c r="DM61" s="2200"/>
      <c r="DN61" s="2200"/>
      <c r="DO61" s="2200"/>
      <c r="DP61" s="2200"/>
      <c r="DQ61" s="2200"/>
      <c r="DR61" s="2200"/>
      <c r="DS61" s="338"/>
      <c r="DT61" s="311"/>
      <c r="DU61" s="305"/>
      <c r="DV61" s="305"/>
      <c r="DW61" s="126"/>
      <c r="DX61" s="126"/>
      <c r="DY61" s="126"/>
      <c r="DZ61" s="126"/>
      <c r="EA61" s="126"/>
      <c r="EB61" s="126"/>
      <c r="EC61" s="126"/>
      <c r="ED61" s="126"/>
      <c r="EE61" s="126"/>
      <c r="EF61" s="187"/>
    </row>
    <row r="62" spans="2:136" ht="6" customHeight="1">
      <c r="B62" s="312"/>
      <c r="C62" s="313"/>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c r="BU62" s="26"/>
      <c r="BV62" s="26"/>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26"/>
      <c r="CU62" s="26"/>
      <c r="CV62" s="26"/>
      <c r="CW62" s="26"/>
      <c r="CX62" s="26"/>
      <c r="CY62" s="26"/>
      <c r="CZ62" s="26"/>
      <c r="DA62" s="26"/>
      <c r="DB62" s="26"/>
      <c r="DC62" s="26"/>
      <c r="DD62" s="26"/>
      <c r="DE62" s="26"/>
      <c r="DF62" s="26"/>
      <c r="DG62" s="26"/>
      <c r="DH62" s="26"/>
      <c r="DI62" s="26"/>
      <c r="DJ62" s="26"/>
      <c r="DK62" s="26"/>
      <c r="DL62" s="26"/>
      <c r="DM62" s="26"/>
      <c r="DN62" s="26"/>
      <c r="DO62" s="26"/>
      <c r="DP62" s="26"/>
      <c r="DQ62" s="26"/>
      <c r="DR62" s="26"/>
      <c r="DS62" s="26"/>
      <c r="DT62" s="311"/>
      <c r="DU62" s="305"/>
      <c r="DV62" s="305"/>
      <c r="DW62" s="126"/>
      <c r="DX62" s="126"/>
      <c r="DY62" s="126"/>
      <c r="DZ62" s="126"/>
      <c r="EA62" s="126"/>
      <c r="EB62" s="126"/>
      <c r="EC62" s="126"/>
      <c r="ED62" s="126"/>
      <c r="EE62" s="126"/>
      <c r="EF62" s="187"/>
    </row>
    <row r="63" spans="2:136" ht="6" customHeight="1" thickBot="1">
      <c r="B63" s="314"/>
      <c r="C63" s="326"/>
      <c r="D63" s="326"/>
      <c r="E63" s="326"/>
      <c r="F63" s="326"/>
      <c r="G63" s="326"/>
      <c r="H63" s="326"/>
      <c r="I63" s="326"/>
      <c r="J63" s="326"/>
      <c r="K63" s="326"/>
      <c r="L63" s="326"/>
      <c r="M63" s="326"/>
      <c r="N63" s="326"/>
      <c r="O63" s="326"/>
      <c r="P63" s="326"/>
      <c r="Q63" s="326"/>
      <c r="R63" s="326"/>
      <c r="S63" s="326"/>
      <c r="T63" s="326"/>
      <c r="U63" s="326"/>
      <c r="V63" s="326"/>
      <c r="W63" s="326"/>
      <c r="X63" s="326"/>
      <c r="Y63" s="326"/>
      <c r="Z63" s="326"/>
      <c r="AA63" s="326"/>
      <c r="AB63" s="326"/>
      <c r="AC63" s="326"/>
      <c r="AD63" s="326"/>
      <c r="AE63" s="326"/>
      <c r="AF63" s="326"/>
      <c r="AG63" s="326"/>
      <c r="AH63" s="326"/>
      <c r="AI63" s="326"/>
      <c r="AJ63" s="326"/>
      <c r="AK63" s="326"/>
      <c r="AL63" s="326"/>
      <c r="AM63" s="326"/>
      <c r="AN63" s="326"/>
      <c r="AO63" s="326"/>
      <c r="AP63" s="326"/>
      <c r="AQ63" s="326"/>
      <c r="AR63" s="326"/>
      <c r="AS63" s="326"/>
      <c r="AT63" s="326"/>
      <c r="AU63" s="326"/>
      <c r="AV63" s="326"/>
      <c r="AW63" s="326"/>
      <c r="AX63" s="326"/>
      <c r="AY63" s="326"/>
      <c r="AZ63" s="326"/>
      <c r="BA63" s="326"/>
      <c r="BB63" s="326"/>
      <c r="BC63" s="326"/>
      <c r="BD63" s="326"/>
      <c r="BE63" s="326"/>
      <c r="BF63" s="326"/>
      <c r="BG63" s="326"/>
      <c r="BH63" s="326"/>
      <c r="BI63" s="326"/>
      <c r="BJ63" s="326"/>
      <c r="BK63" s="326"/>
      <c r="BL63" s="326"/>
      <c r="BM63" s="326"/>
      <c r="BN63" s="326"/>
      <c r="BO63" s="326"/>
      <c r="BP63" s="326"/>
      <c r="BQ63" s="326"/>
      <c r="BR63" s="326"/>
      <c r="BS63" s="326"/>
      <c r="BT63" s="326"/>
      <c r="BU63" s="326"/>
      <c r="BV63" s="326"/>
      <c r="BW63" s="326"/>
      <c r="BX63" s="326"/>
      <c r="BY63" s="326"/>
      <c r="BZ63" s="326"/>
      <c r="CA63" s="326"/>
      <c r="CB63" s="326"/>
      <c r="CC63" s="326"/>
      <c r="CD63" s="326"/>
      <c r="CE63" s="326"/>
      <c r="CF63" s="326"/>
      <c r="CG63" s="326"/>
      <c r="CH63" s="326"/>
      <c r="CI63" s="326"/>
      <c r="CJ63" s="326"/>
      <c r="CK63" s="326"/>
      <c r="CL63" s="326"/>
      <c r="CM63" s="326"/>
      <c r="CN63" s="326"/>
      <c r="CO63" s="326"/>
      <c r="CP63" s="326"/>
      <c r="CQ63" s="326"/>
      <c r="CR63" s="326"/>
      <c r="CS63" s="326"/>
      <c r="CT63" s="326"/>
      <c r="CU63" s="326"/>
      <c r="CV63" s="326"/>
      <c r="CW63" s="326"/>
      <c r="CX63" s="326"/>
      <c r="CY63" s="326"/>
      <c r="CZ63" s="326"/>
      <c r="DA63" s="326"/>
      <c r="DB63" s="326"/>
      <c r="DC63" s="326"/>
      <c r="DD63" s="326"/>
      <c r="DE63" s="326"/>
      <c r="DF63" s="326"/>
      <c r="DG63" s="326"/>
      <c r="DH63" s="326"/>
      <c r="DI63" s="326"/>
      <c r="DJ63" s="326"/>
      <c r="DK63" s="326"/>
      <c r="DL63" s="326"/>
      <c r="DM63" s="326"/>
      <c r="DN63" s="326"/>
      <c r="DO63" s="326"/>
      <c r="DP63" s="326"/>
      <c r="DQ63" s="326"/>
      <c r="DR63" s="326"/>
      <c r="DS63" s="326"/>
      <c r="DT63" s="327"/>
      <c r="DU63" s="305"/>
      <c r="DV63" s="305"/>
      <c r="DW63" s="126"/>
      <c r="DX63" s="126"/>
      <c r="DY63" s="126"/>
      <c r="DZ63" s="126"/>
      <c r="EA63" s="126"/>
      <c r="EB63" s="126"/>
      <c r="EC63" s="126"/>
      <c r="ED63" s="126"/>
      <c r="EE63" s="126"/>
      <c r="EF63" s="187"/>
    </row>
    <row r="64" spans="2:136" ht="6" customHeight="1">
      <c r="B64" s="1968" t="str">
        <f ca="1">INDIRECT($J$4&amp;"!C67")</f>
        <v>D3 - Immediate action(s)</v>
      </c>
      <c r="C64" s="1969"/>
      <c r="D64" s="1969"/>
      <c r="E64" s="1969"/>
      <c r="F64" s="1969"/>
      <c r="G64" s="1969"/>
      <c r="H64" s="1969"/>
      <c r="I64" s="1969"/>
      <c r="J64" s="1969"/>
      <c r="K64" s="1969"/>
      <c r="L64" s="1969"/>
      <c r="M64" s="1969"/>
      <c r="N64" s="1969"/>
      <c r="O64" s="1969"/>
      <c r="P64" s="1969"/>
      <c r="Q64" s="1969"/>
      <c r="R64" s="1969"/>
      <c r="S64" s="1969"/>
      <c r="T64" s="1969"/>
      <c r="U64" s="1969"/>
      <c r="V64" s="1969"/>
      <c r="W64" s="1969"/>
      <c r="X64" s="1969"/>
      <c r="Y64" s="1969"/>
      <c r="Z64" s="1969"/>
      <c r="AA64" s="1969"/>
      <c r="AB64" s="1969"/>
      <c r="AC64" s="1969"/>
      <c r="AD64" s="1969"/>
      <c r="AE64" s="1969"/>
      <c r="AF64" s="1969"/>
      <c r="AG64" s="1969"/>
      <c r="AH64" s="1969"/>
      <c r="AI64" s="1969"/>
      <c r="AJ64" s="1969"/>
      <c r="AK64" s="1969"/>
      <c r="AL64" s="1969"/>
      <c r="AM64" s="1969"/>
      <c r="AN64" s="1969"/>
      <c r="AO64" s="1969"/>
      <c r="AP64" s="309"/>
      <c r="AQ64" s="309"/>
      <c r="AR64" s="309"/>
      <c r="AS64" s="309"/>
      <c r="AT64" s="309"/>
      <c r="AU64" s="309"/>
      <c r="AV64" s="309"/>
      <c r="AW64" s="309"/>
      <c r="AX64" s="309"/>
      <c r="AY64" s="309"/>
      <c r="AZ64" s="309"/>
      <c r="BA64" s="309"/>
      <c r="BB64" s="309"/>
      <c r="BC64" s="309"/>
      <c r="BD64" s="309"/>
      <c r="BE64" s="309"/>
      <c r="BF64" s="309"/>
      <c r="BG64" s="309"/>
      <c r="BH64" s="309"/>
      <c r="BI64" s="309"/>
      <c r="BJ64" s="309"/>
      <c r="BK64" s="309"/>
      <c r="BL64" s="309"/>
      <c r="BM64" s="309"/>
      <c r="BN64" s="309"/>
      <c r="BO64" s="309"/>
      <c r="BP64" s="309"/>
      <c r="BQ64" s="309"/>
      <c r="BR64" s="309"/>
      <c r="BS64" s="309"/>
      <c r="BT64" s="309"/>
      <c r="BU64" s="309"/>
      <c r="BV64" s="309"/>
      <c r="BW64" s="309"/>
      <c r="BX64" s="309"/>
      <c r="BY64" s="309"/>
      <c r="BZ64" s="309"/>
      <c r="CA64" s="309"/>
      <c r="CB64" s="309"/>
      <c r="CC64" s="309"/>
      <c r="CD64" s="309"/>
      <c r="CE64" s="309"/>
      <c r="CF64" s="309"/>
      <c r="CG64" s="309"/>
      <c r="CH64" s="309"/>
      <c r="CI64" s="309"/>
      <c r="CJ64" s="309"/>
      <c r="CK64" s="309"/>
      <c r="CL64" s="309"/>
      <c r="CM64" s="309"/>
      <c r="CN64" s="309"/>
      <c r="CO64" s="309"/>
      <c r="CP64" s="309"/>
      <c r="CQ64" s="309"/>
      <c r="CR64" s="309"/>
      <c r="CS64" s="309"/>
      <c r="CT64" s="309"/>
      <c r="CU64" s="309"/>
      <c r="CV64" s="309"/>
      <c r="CW64" s="309"/>
      <c r="CX64" s="309"/>
      <c r="CY64" s="309"/>
      <c r="CZ64" s="309"/>
      <c r="DA64" s="309"/>
      <c r="DB64" s="309"/>
      <c r="DC64" s="309"/>
      <c r="DD64" s="309"/>
      <c r="DE64" s="309"/>
      <c r="DF64" s="309"/>
      <c r="DG64" s="309"/>
      <c r="DH64" s="309"/>
      <c r="DI64" s="309"/>
      <c r="DJ64" s="309"/>
      <c r="DK64" s="309"/>
      <c r="DL64" s="309"/>
      <c r="DM64" s="309"/>
      <c r="DN64" s="309"/>
      <c r="DO64" s="309"/>
      <c r="DP64" s="309"/>
      <c r="DQ64" s="309"/>
      <c r="DR64" s="309"/>
      <c r="DS64" s="309"/>
      <c r="DT64" s="315"/>
      <c r="DW64" s="104"/>
      <c r="DX64" s="1002"/>
      <c r="DY64" s="1002"/>
      <c r="DZ64" s="1002"/>
      <c r="EA64" s="1002"/>
      <c r="EB64" s="1002"/>
      <c r="EC64" s="1002"/>
      <c r="ED64" s="1002"/>
      <c r="EE64" s="1002"/>
      <c r="EF64" s="32"/>
    </row>
    <row r="65" spans="1:155" ht="30" customHeight="1">
      <c r="B65" s="1968"/>
      <c r="C65" s="1969"/>
      <c r="D65" s="1969"/>
      <c r="E65" s="1969"/>
      <c r="F65" s="1969"/>
      <c r="G65" s="1969"/>
      <c r="H65" s="1969"/>
      <c r="I65" s="1969"/>
      <c r="J65" s="1969"/>
      <c r="K65" s="1969"/>
      <c r="L65" s="1969"/>
      <c r="M65" s="1969"/>
      <c r="N65" s="1969"/>
      <c r="O65" s="1969"/>
      <c r="P65" s="1969"/>
      <c r="Q65" s="1969"/>
      <c r="R65" s="1969"/>
      <c r="S65" s="1969"/>
      <c r="T65" s="1969"/>
      <c r="U65" s="1969"/>
      <c r="V65" s="1969"/>
      <c r="W65" s="1969"/>
      <c r="X65" s="1969"/>
      <c r="Y65" s="1969"/>
      <c r="Z65" s="1969"/>
      <c r="AA65" s="1969"/>
      <c r="AB65" s="1969"/>
      <c r="AC65" s="1969"/>
      <c r="AD65" s="1969"/>
      <c r="AE65" s="1969"/>
      <c r="AF65" s="1969"/>
      <c r="AG65" s="1969"/>
      <c r="AH65" s="1969"/>
      <c r="AI65" s="1969"/>
      <c r="AJ65" s="1969"/>
      <c r="AK65" s="1969"/>
      <c r="AL65" s="1969"/>
      <c r="AM65" s="1969"/>
      <c r="AN65" s="1969"/>
      <c r="AO65" s="1969"/>
      <c r="AP65" s="310"/>
      <c r="AQ65" s="310"/>
      <c r="AR65" s="310"/>
      <c r="AS65" s="310"/>
      <c r="AT65" s="310"/>
      <c r="AU65" s="310"/>
      <c r="AV65" s="310"/>
      <c r="AW65" s="310"/>
      <c r="AX65" s="310"/>
      <c r="AY65" s="310"/>
      <c r="AZ65" s="310"/>
      <c r="BA65" s="310"/>
      <c r="BB65" s="310"/>
      <c r="BC65" s="310"/>
      <c r="BD65" s="310"/>
      <c r="BE65" s="310"/>
      <c r="BF65" s="310"/>
      <c r="BG65" s="310"/>
      <c r="BH65" s="310"/>
      <c r="BI65" s="310"/>
      <c r="BJ65" s="310"/>
      <c r="BK65" s="310"/>
      <c r="BL65" s="310"/>
      <c r="BM65" s="310"/>
      <c r="BN65" s="310"/>
      <c r="BO65" s="310"/>
      <c r="BP65" s="310"/>
      <c r="BQ65" s="310"/>
      <c r="BR65" s="77" t="str">
        <f ca="1">INDIRECT($J$4&amp;"!C68")</f>
        <v>Status</v>
      </c>
      <c r="BS65" s="310"/>
      <c r="BT65" s="309"/>
      <c r="BU65" s="310"/>
      <c r="BV65" s="310"/>
      <c r="BW65" s="310"/>
      <c r="BX65" s="310"/>
      <c r="BY65" s="1047"/>
      <c r="BZ65" s="1048"/>
      <c r="CA65" s="1048"/>
      <c r="CB65" s="1048"/>
      <c r="CC65" s="1048"/>
      <c r="CD65" s="1048"/>
      <c r="CE65" s="1048"/>
      <c r="CF65" s="1048"/>
      <c r="CG65" s="1048"/>
      <c r="CH65" s="1048"/>
      <c r="CI65" s="1048"/>
      <c r="CJ65" s="1048"/>
      <c r="CK65" s="1049"/>
      <c r="CL65" s="309"/>
      <c r="CM65" s="199"/>
      <c r="CN65" s="309"/>
      <c r="CO65" s="309"/>
      <c r="CP65" s="309"/>
      <c r="CQ65" s="309"/>
      <c r="CR65" s="309"/>
      <c r="CS65" s="310"/>
      <c r="CT65" s="310"/>
      <c r="CU65" s="310"/>
      <c r="CV65" s="310"/>
      <c r="CW65" s="310"/>
      <c r="CX65" s="310"/>
      <c r="CY65" s="310"/>
      <c r="CZ65" s="310"/>
      <c r="DA65" s="522"/>
      <c r="DB65" s="522"/>
      <c r="DC65" s="522"/>
      <c r="DD65" s="309"/>
      <c r="DE65" s="537"/>
      <c r="DF65" s="537"/>
      <c r="DG65" s="537"/>
      <c r="DH65" s="537"/>
      <c r="DI65" s="521" t="str">
        <f ca="1">INDIRECT($J$4&amp;"!C69")</f>
        <v>Date</v>
      </c>
      <c r="DJ65" s="2201"/>
      <c r="DK65" s="2201"/>
      <c r="DL65" s="2201"/>
      <c r="DM65" s="2201"/>
      <c r="DN65" s="2201"/>
      <c r="DO65" s="2201"/>
      <c r="DP65" s="2201"/>
      <c r="DQ65" s="2201"/>
      <c r="DR65" s="2201"/>
      <c r="DS65" s="336"/>
      <c r="DT65" s="311"/>
      <c r="DU65" s="305"/>
      <c r="DV65" s="305"/>
      <c r="DW65" s="126"/>
      <c r="DX65" s="126"/>
      <c r="DY65" s="126"/>
      <c r="DZ65" s="126"/>
      <c r="EA65" s="126"/>
      <c r="EB65" s="126"/>
      <c r="EC65" s="126"/>
      <c r="ED65" s="126"/>
      <c r="EE65" s="126"/>
      <c r="EF65" s="187"/>
    </row>
    <row r="66" spans="1:155" ht="6" customHeight="1">
      <c r="B66" s="312"/>
      <c r="C66" s="310"/>
      <c r="D66" s="310"/>
      <c r="E66" s="310"/>
      <c r="F66" s="310"/>
      <c r="G66" s="310"/>
      <c r="H66" s="310"/>
      <c r="I66" s="310"/>
      <c r="J66" s="310"/>
      <c r="K66" s="310"/>
      <c r="L66" s="310"/>
      <c r="M66" s="310"/>
      <c r="N66" s="310"/>
      <c r="O66" s="310"/>
      <c r="P66" s="310"/>
      <c r="Q66" s="310"/>
      <c r="R66" s="310"/>
      <c r="S66" s="310"/>
      <c r="T66" s="310"/>
      <c r="U66" s="310"/>
      <c r="V66" s="310"/>
      <c r="W66" s="310"/>
      <c r="X66" s="310"/>
      <c r="Y66" s="310"/>
      <c r="Z66" s="310"/>
      <c r="AA66" s="310"/>
      <c r="AB66" s="310"/>
      <c r="AC66" s="310"/>
      <c r="AD66" s="310"/>
      <c r="AE66" s="310"/>
      <c r="AF66" s="310"/>
      <c r="AG66" s="310"/>
      <c r="AH66" s="310"/>
      <c r="AI66" s="310"/>
      <c r="AJ66" s="310"/>
      <c r="AK66" s="310"/>
      <c r="AL66" s="310"/>
      <c r="AM66" s="310"/>
      <c r="AN66" s="310"/>
      <c r="AO66" s="310"/>
      <c r="AP66" s="310"/>
      <c r="AQ66" s="310"/>
      <c r="AR66" s="310"/>
      <c r="AS66" s="310"/>
      <c r="AT66" s="310"/>
      <c r="AU66" s="310"/>
      <c r="AV66" s="310"/>
      <c r="AW66" s="310"/>
      <c r="AX66" s="310"/>
      <c r="AY66" s="310"/>
      <c r="AZ66" s="310"/>
      <c r="BA66" s="310"/>
      <c r="BB66" s="310"/>
      <c r="BC66" s="310"/>
      <c r="BD66" s="310"/>
      <c r="BE66" s="310"/>
      <c r="BF66" s="310"/>
      <c r="BG66" s="310"/>
      <c r="BH66" s="310"/>
      <c r="BI66" s="310"/>
      <c r="BJ66" s="310"/>
      <c r="BK66" s="310"/>
      <c r="BL66" s="310"/>
      <c r="BM66" s="310"/>
      <c r="BN66" s="310"/>
      <c r="BO66" s="310"/>
      <c r="BP66" s="310"/>
      <c r="BQ66" s="310"/>
      <c r="BR66" s="310"/>
      <c r="BS66" s="310"/>
      <c r="BT66" s="310"/>
      <c r="BU66" s="310"/>
      <c r="BV66" s="310"/>
      <c r="BW66" s="310"/>
      <c r="BX66" s="310"/>
      <c r="BY66" s="310"/>
      <c r="BZ66" s="310"/>
      <c r="CA66" s="310"/>
      <c r="CB66" s="310"/>
      <c r="CC66" s="310"/>
      <c r="CD66" s="310"/>
      <c r="CE66" s="310"/>
      <c r="CF66" s="310"/>
      <c r="CG66" s="310"/>
      <c r="CH66" s="310"/>
      <c r="CI66" s="310"/>
      <c r="CJ66" s="310"/>
      <c r="CK66" s="310"/>
      <c r="CL66" s="310"/>
      <c r="CM66" s="310"/>
      <c r="CN66" s="310"/>
      <c r="CO66" s="310"/>
      <c r="CP66" s="310"/>
      <c r="CQ66" s="310"/>
      <c r="CR66" s="310"/>
      <c r="CS66" s="310"/>
      <c r="CT66" s="310"/>
      <c r="CU66" s="310"/>
      <c r="CV66" s="310"/>
      <c r="CW66" s="310"/>
      <c r="CX66" s="310"/>
      <c r="CY66" s="310"/>
      <c r="CZ66" s="310"/>
      <c r="DA66" s="310"/>
      <c r="DB66" s="310"/>
      <c r="DC66" s="310"/>
      <c r="DD66" s="310"/>
      <c r="DE66" s="310"/>
      <c r="DF66" s="310"/>
      <c r="DG66" s="310"/>
      <c r="DH66" s="310"/>
      <c r="DI66" s="310"/>
      <c r="DJ66" s="310"/>
      <c r="DK66" s="310"/>
      <c r="DL66" s="310"/>
      <c r="DM66" s="310"/>
      <c r="DN66" s="310"/>
      <c r="DO66" s="310"/>
      <c r="DP66" s="310"/>
      <c r="DQ66" s="310"/>
      <c r="DR66" s="310"/>
      <c r="DS66" s="310"/>
      <c r="DT66" s="311"/>
      <c r="DU66" s="305"/>
      <c r="DV66" s="305"/>
      <c r="DW66" s="126"/>
      <c r="DX66" s="126"/>
      <c r="DY66" s="126"/>
      <c r="DZ66" s="126"/>
      <c r="EA66" s="126"/>
      <c r="EB66" s="126"/>
      <c r="EC66" s="126"/>
      <c r="ED66" s="126"/>
      <c r="EE66" s="126"/>
      <c r="EF66" s="187"/>
    </row>
    <row r="67" spans="1:155" ht="6" customHeight="1">
      <c r="B67" s="312"/>
      <c r="C67" s="313"/>
      <c r="D67" s="313"/>
      <c r="E67" s="313"/>
      <c r="F67" s="313"/>
      <c r="G67" s="313"/>
      <c r="H67" s="313"/>
      <c r="I67" s="313"/>
      <c r="J67" s="313"/>
      <c r="K67" s="313"/>
      <c r="L67" s="313"/>
      <c r="M67" s="313"/>
      <c r="N67" s="313"/>
      <c r="O67" s="313"/>
      <c r="P67" s="313"/>
      <c r="Q67" s="313"/>
      <c r="R67" s="313"/>
      <c r="S67" s="313"/>
      <c r="T67" s="313"/>
      <c r="U67" s="313"/>
      <c r="V67" s="313"/>
      <c r="W67" s="313"/>
      <c r="X67" s="313"/>
      <c r="Y67" s="313"/>
      <c r="Z67" s="313"/>
      <c r="AA67" s="313"/>
      <c r="AB67" s="313"/>
      <c r="AC67" s="313"/>
      <c r="AD67" s="313"/>
      <c r="AE67" s="313"/>
      <c r="AF67" s="313"/>
      <c r="AG67" s="313"/>
      <c r="AH67" s="313"/>
      <c r="AI67" s="313"/>
      <c r="AJ67" s="313"/>
      <c r="AK67" s="313"/>
      <c r="AL67" s="313"/>
      <c r="AM67" s="313"/>
      <c r="AN67" s="313"/>
      <c r="AO67" s="313"/>
      <c r="AP67" s="313"/>
      <c r="AQ67" s="313"/>
      <c r="AR67" s="313"/>
      <c r="AS67" s="313"/>
      <c r="AT67" s="313"/>
      <c r="AU67" s="313"/>
      <c r="AV67" s="313"/>
      <c r="AW67" s="313"/>
      <c r="AX67" s="313"/>
      <c r="AY67" s="313"/>
      <c r="AZ67" s="313"/>
      <c r="BA67" s="313"/>
      <c r="BB67" s="313"/>
      <c r="BC67" s="313"/>
      <c r="BD67" s="313"/>
      <c r="BE67" s="313"/>
      <c r="BF67" s="313"/>
      <c r="BG67" s="313"/>
      <c r="BH67" s="313"/>
      <c r="BI67" s="313"/>
      <c r="BJ67" s="313"/>
      <c r="BK67" s="313"/>
      <c r="BL67" s="313"/>
      <c r="BM67" s="313"/>
      <c r="BN67" s="313"/>
      <c r="BO67" s="313"/>
      <c r="BP67" s="313"/>
      <c r="BQ67" s="313"/>
      <c r="BR67" s="313"/>
      <c r="BS67" s="313"/>
      <c r="BT67" s="313"/>
      <c r="BU67" s="313"/>
      <c r="BV67" s="313"/>
      <c r="BW67" s="313"/>
      <c r="BX67" s="313"/>
      <c r="BY67" s="313"/>
      <c r="BZ67" s="313"/>
      <c r="CA67" s="313"/>
      <c r="CB67" s="313"/>
      <c r="CC67" s="313"/>
      <c r="CD67" s="313"/>
      <c r="CE67" s="313"/>
      <c r="CF67" s="313"/>
      <c r="CG67" s="313"/>
      <c r="CH67" s="313"/>
      <c r="CI67" s="313"/>
      <c r="CJ67" s="313"/>
      <c r="CK67" s="313"/>
      <c r="CL67" s="313"/>
      <c r="CM67" s="313"/>
      <c r="CN67" s="313"/>
      <c r="CO67" s="313"/>
      <c r="CP67" s="313"/>
      <c r="CQ67" s="313"/>
      <c r="CR67" s="313"/>
      <c r="CS67" s="313"/>
      <c r="CT67" s="313"/>
      <c r="CU67" s="313"/>
      <c r="CV67" s="313"/>
      <c r="CW67" s="313"/>
      <c r="CX67" s="313"/>
      <c r="CY67" s="313"/>
      <c r="CZ67" s="313"/>
      <c r="DA67" s="313"/>
      <c r="DB67" s="313"/>
      <c r="DC67" s="313"/>
      <c r="DD67" s="313"/>
      <c r="DE67" s="313"/>
      <c r="DF67" s="313"/>
      <c r="DG67" s="313"/>
      <c r="DH67" s="313"/>
      <c r="DI67" s="313"/>
      <c r="DJ67" s="313"/>
      <c r="DK67" s="313"/>
      <c r="DL67" s="313"/>
      <c r="DM67" s="313"/>
      <c r="DN67" s="313"/>
      <c r="DO67" s="313"/>
      <c r="DP67" s="313"/>
      <c r="DQ67" s="313"/>
      <c r="DR67" s="313"/>
      <c r="DS67" s="313"/>
      <c r="DT67" s="311"/>
      <c r="DU67" s="305"/>
      <c r="DV67" s="305"/>
      <c r="DW67" s="126"/>
      <c r="DX67" s="126"/>
      <c r="DY67" s="126"/>
      <c r="DZ67" s="126"/>
      <c r="EA67" s="126"/>
      <c r="EB67" s="126"/>
      <c r="EC67" s="126"/>
      <c r="ED67" s="126"/>
      <c r="EE67" s="126"/>
      <c r="EF67" s="127"/>
    </row>
    <row r="68" spans="1:155" ht="30" customHeight="1">
      <c r="B68" s="312"/>
      <c r="C68" s="313"/>
      <c r="D68" s="523" t="str">
        <f ca="1">INDIRECT($J$4&amp;"!C70")</f>
        <v>Were the relevant emloyees informed ?</v>
      </c>
      <c r="E68" s="313"/>
      <c r="F68" s="313"/>
      <c r="G68" s="313"/>
      <c r="H68" s="313"/>
      <c r="I68" s="313"/>
      <c r="J68" s="313"/>
      <c r="K68" s="313"/>
      <c r="L68" s="313"/>
      <c r="M68" s="313"/>
      <c r="N68" s="313"/>
      <c r="O68" s="313"/>
      <c r="P68" s="313"/>
      <c r="Q68" s="313"/>
      <c r="R68" s="313"/>
      <c r="S68" s="313"/>
      <c r="T68" s="313"/>
      <c r="U68" s="313"/>
      <c r="V68" s="313"/>
      <c r="W68" s="313"/>
      <c r="X68" s="313"/>
      <c r="Y68" s="313"/>
      <c r="Z68" s="313"/>
      <c r="AA68" s="313"/>
      <c r="AB68" s="313"/>
      <c r="AC68" s="313"/>
      <c r="AD68" s="313"/>
      <c r="AE68" s="313"/>
      <c r="AF68" s="313"/>
      <c r="AG68" s="313"/>
      <c r="AH68" s="65"/>
      <c r="AI68" s="65"/>
      <c r="AJ68" s="1758"/>
      <c r="AK68" s="1759"/>
      <c r="AL68" s="1759"/>
      <c r="AM68" s="1759"/>
      <c r="AN68" s="1760"/>
      <c r="AO68" s="1017"/>
      <c r="AP68" s="1017"/>
      <c r="AQ68" s="313"/>
      <c r="AR68" s="1908" t="str">
        <f ca="1">INDIRECT($J$4&amp;"!C69")</f>
        <v>Date</v>
      </c>
      <c r="AS68" s="1908"/>
      <c r="AT68" s="1908"/>
      <c r="AU68" s="1908"/>
      <c r="AV68" s="1908"/>
      <c r="AW68" s="1908"/>
      <c r="AX68" s="1908"/>
      <c r="AY68" s="1908"/>
      <c r="AZ68" s="1909"/>
      <c r="BA68" s="1749"/>
      <c r="BB68" s="1750"/>
      <c r="BC68" s="1750"/>
      <c r="BD68" s="1750"/>
      <c r="BE68" s="1750"/>
      <c r="BF68" s="1750"/>
      <c r="BG68" s="1750"/>
      <c r="BH68" s="1750"/>
      <c r="BI68" s="1750"/>
      <c r="BJ68" s="1751"/>
      <c r="BK68" s="872"/>
      <c r="BL68" s="872"/>
      <c r="BM68" s="872"/>
      <c r="BN68" s="872"/>
      <c r="BO68" s="200"/>
      <c r="BP68" s="200"/>
      <c r="BQ68" s="200"/>
      <c r="BR68" s="200"/>
      <c r="BS68" s="200"/>
      <c r="BT68" s="200"/>
      <c r="BU68" s="200"/>
      <c r="BV68" s="200"/>
      <c r="BW68" s="200"/>
      <c r="BX68" s="870" t="str">
        <f ca="1">INDIRECT($J$4&amp;"!C83")</f>
        <v>Responsible</v>
      </c>
      <c r="BY68" s="2196"/>
      <c r="BZ68" s="2197"/>
      <c r="CA68" s="2197"/>
      <c r="CB68" s="2197"/>
      <c r="CC68" s="2197"/>
      <c r="CD68" s="2197"/>
      <c r="CE68" s="2197"/>
      <c r="CF68" s="2197"/>
      <c r="CG68" s="2197"/>
      <c r="CH68" s="2197"/>
      <c r="CI68" s="2197"/>
      <c r="CJ68" s="2197"/>
      <c r="CK68" s="2198"/>
      <c r="CL68" s="200"/>
      <c r="CM68" s="200"/>
      <c r="CN68" s="200"/>
      <c r="CO68" s="200"/>
      <c r="CP68" s="200"/>
      <c r="CQ68" s="200"/>
      <c r="CR68" s="200"/>
      <c r="CS68" s="200"/>
      <c r="CT68" s="200"/>
      <c r="CU68" s="200"/>
      <c r="CV68" s="200"/>
      <c r="CW68" s="200"/>
      <c r="CX68" s="200"/>
      <c r="CY68" s="200"/>
      <c r="CZ68" s="200"/>
      <c r="DA68" s="200"/>
      <c r="DB68" s="200"/>
      <c r="DC68" s="200"/>
      <c r="DD68" s="200"/>
      <c r="DE68" s="200"/>
      <c r="DF68" s="200"/>
      <c r="DG68" s="200"/>
      <c r="DH68" s="200"/>
      <c r="DI68" s="200"/>
      <c r="DJ68" s="200"/>
      <c r="DK68" s="200"/>
      <c r="DL68" s="200"/>
      <c r="DM68" s="200"/>
      <c r="DN68" s="200"/>
      <c r="DO68" s="200"/>
      <c r="DP68" s="200"/>
      <c r="DQ68" s="200"/>
      <c r="DR68" s="200"/>
      <c r="DS68" s="200"/>
      <c r="DT68" s="311"/>
      <c r="DU68" s="305"/>
      <c r="DV68" s="305"/>
      <c r="DW68" s="126"/>
      <c r="DX68" s="126"/>
      <c r="DY68" s="126"/>
      <c r="DZ68" s="126"/>
      <c r="EA68" s="126"/>
      <c r="EB68" s="126"/>
      <c r="EC68" s="126"/>
      <c r="ED68" s="126"/>
      <c r="EE68" s="126"/>
      <c r="EF68" s="127"/>
    </row>
    <row r="69" spans="1:155" ht="6" customHeight="1">
      <c r="B69" s="312"/>
      <c r="C69" s="313"/>
      <c r="D69" s="313"/>
      <c r="E69" s="313"/>
      <c r="F69" s="313"/>
      <c r="G69" s="313"/>
      <c r="H69" s="313"/>
      <c r="I69" s="313"/>
      <c r="J69" s="313"/>
      <c r="K69" s="313"/>
      <c r="L69" s="313"/>
      <c r="M69" s="313"/>
      <c r="N69" s="313"/>
      <c r="O69" s="313"/>
      <c r="P69" s="313"/>
      <c r="Q69" s="313"/>
      <c r="R69" s="313"/>
      <c r="S69" s="313"/>
      <c r="T69" s="313"/>
      <c r="U69" s="313"/>
      <c r="V69" s="313"/>
      <c r="W69" s="313"/>
      <c r="X69" s="313"/>
      <c r="Y69" s="313"/>
      <c r="Z69" s="313"/>
      <c r="AA69" s="313"/>
      <c r="AB69" s="313"/>
      <c r="AC69" s="313"/>
      <c r="AD69" s="313"/>
      <c r="AE69" s="313"/>
      <c r="AF69" s="313"/>
      <c r="AG69" s="313"/>
      <c r="AH69" s="313"/>
      <c r="AI69" s="313"/>
      <c r="AJ69" s="1018"/>
      <c r="AK69" s="1018"/>
      <c r="AL69" s="1018"/>
      <c r="AM69" s="1018"/>
      <c r="AN69" s="1018"/>
      <c r="AO69" s="313"/>
      <c r="AP69" s="313"/>
      <c r="AQ69" s="313"/>
      <c r="AR69" s="313"/>
      <c r="AS69" s="313"/>
      <c r="AT69" s="313"/>
      <c r="AU69" s="313"/>
      <c r="AV69" s="313"/>
      <c r="AW69" s="313"/>
      <c r="AX69" s="313"/>
      <c r="AY69" s="313"/>
      <c r="AZ69" s="313"/>
      <c r="BA69" s="313"/>
      <c r="BB69" s="313"/>
      <c r="BC69" s="313"/>
      <c r="BD69" s="313"/>
      <c r="BE69" s="313"/>
      <c r="BF69" s="313"/>
      <c r="BG69" s="313"/>
      <c r="BH69" s="313"/>
      <c r="BI69" s="313"/>
      <c r="BJ69" s="313"/>
      <c r="BK69" s="313"/>
      <c r="BL69" s="313"/>
      <c r="BM69" s="313"/>
      <c r="BN69" s="313"/>
      <c r="BO69" s="313"/>
      <c r="BP69" s="313"/>
      <c r="BQ69" s="313"/>
      <c r="BR69" s="313"/>
      <c r="BS69" s="313"/>
      <c r="BT69" s="313"/>
      <c r="BU69" s="313"/>
      <c r="BV69" s="313"/>
      <c r="BW69" s="313"/>
      <c r="BX69" s="313"/>
      <c r="BY69" s="313"/>
      <c r="BZ69" s="313"/>
      <c r="CA69" s="313"/>
      <c r="CB69" s="313"/>
      <c r="CC69" s="313"/>
      <c r="CD69" s="313"/>
      <c r="CE69" s="313"/>
      <c r="CF69" s="313"/>
      <c r="CG69" s="313"/>
      <c r="CH69" s="313"/>
      <c r="CI69" s="313"/>
      <c r="CJ69" s="313"/>
      <c r="CK69" s="313"/>
      <c r="CL69" s="313"/>
      <c r="CM69" s="313"/>
      <c r="CN69" s="313"/>
      <c r="CO69" s="313"/>
      <c r="CP69" s="313"/>
      <c r="CQ69" s="313"/>
      <c r="CR69" s="313"/>
      <c r="CS69" s="313"/>
      <c r="CT69" s="313"/>
      <c r="CU69" s="313"/>
      <c r="CV69" s="313"/>
      <c r="CW69" s="313"/>
      <c r="CX69" s="313"/>
      <c r="CY69" s="313"/>
      <c r="CZ69" s="313"/>
      <c r="DA69" s="313"/>
      <c r="DB69" s="313"/>
      <c r="DC69" s="313"/>
      <c r="DD69" s="313"/>
      <c r="DE69" s="313"/>
      <c r="DF69" s="313"/>
      <c r="DG69" s="313"/>
      <c r="DH69" s="313"/>
      <c r="DI69" s="313"/>
      <c r="DJ69" s="313"/>
      <c r="DK69" s="313"/>
      <c r="DL69" s="313"/>
      <c r="DM69" s="313"/>
      <c r="DN69" s="313"/>
      <c r="DO69" s="313"/>
      <c r="DP69" s="313"/>
      <c r="DQ69" s="313"/>
      <c r="DR69" s="313"/>
      <c r="DS69" s="313"/>
      <c r="DT69" s="311"/>
      <c r="DU69" s="305"/>
      <c r="DV69" s="305"/>
      <c r="DW69" s="126"/>
      <c r="DX69" s="126"/>
      <c r="DY69" s="126"/>
      <c r="DZ69" s="126"/>
      <c r="EA69" s="126"/>
      <c r="EB69" s="126"/>
      <c r="EC69" s="126"/>
      <c r="ED69" s="126"/>
      <c r="EE69" s="126"/>
      <c r="EF69" s="127"/>
    </row>
    <row r="70" spans="1:155" ht="30" customHeight="1">
      <c r="B70" s="312"/>
      <c r="C70" s="310"/>
      <c r="D70" s="1907" t="str">
        <f ca="1">INDIRECT($J$4&amp;"!C71")</f>
        <v>Limitation of affected products</v>
      </c>
      <c r="E70" s="1907"/>
      <c r="F70" s="1907"/>
      <c r="G70" s="1907"/>
      <c r="H70" s="1907"/>
      <c r="I70" s="1907"/>
      <c r="J70" s="1907"/>
      <c r="K70" s="1907"/>
      <c r="L70" s="1907"/>
      <c r="M70" s="1907"/>
      <c r="N70" s="1907"/>
      <c r="O70" s="1907"/>
      <c r="P70" s="1907"/>
      <c r="Q70" s="1907"/>
      <c r="R70" s="1907"/>
      <c r="S70" s="1907"/>
      <c r="T70" s="1907"/>
      <c r="U70" s="1907"/>
      <c r="V70" s="1907"/>
      <c r="W70" s="1907"/>
      <c r="X70" s="1907"/>
      <c r="Y70" s="1907"/>
      <c r="Z70" s="1907"/>
      <c r="AA70" s="1907"/>
      <c r="AB70" s="1907"/>
      <c r="AC70" s="1907"/>
      <c r="AD70" s="1907"/>
      <c r="AE70" s="1907"/>
      <c r="AF70" s="1907"/>
      <c r="AG70" s="1907"/>
      <c r="AH70" s="1907"/>
      <c r="AI70" s="1907"/>
      <c r="AJ70" s="1907"/>
      <c r="AK70" s="1907"/>
      <c r="AL70" s="1907"/>
      <c r="AM70" s="1907"/>
      <c r="AN70" s="1907"/>
      <c r="AO70" s="1907"/>
      <c r="AP70" s="1907"/>
      <c r="AQ70" s="1907"/>
      <c r="AR70" s="1907"/>
      <c r="AS70" s="1907"/>
      <c r="AT70" s="1907"/>
      <c r="AU70" s="1907"/>
      <c r="AV70" s="1907"/>
      <c r="AW70" s="1907"/>
      <c r="AX70" s="1907"/>
      <c r="AY70" s="1907"/>
      <c r="AZ70" s="1907"/>
      <c r="BA70" s="1907"/>
      <c r="BB70" s="1907"/>
      <c r="BC70" s="1907"/>
      <c r="BD70" s="1907"/>
      <c r="BE70" s="1907"/>
      <c r="BF70" s="1907"/>
      <c r="BG70" s="1907"/>
      <c r="BH70" s="1907"/>
      <c r="BI70" s="1907"/>
      <c r="BJ70" s="1907"/>
      <c r="BK70" s="1907"/>
      <c r="BL70" s="1907"/>
      <c r="BM70" s="1907"/>
      <c r="BN70" s="1907"/>
      <c r="BO70" s="1907"/>
      <c r="BP70" s="1907"/>
      <c r="BQ70" s="1907"/>
      <c r="BR70" s="1907"/>
      <c r="BS70" s="1907"/>
      <c r="BT70" s="1907"/>
      <c r="BU70" s="1907"/>
      <c r="BV70" s="1907"/>
      <c r="BW70" s="1907"/>
      <c r="BX70" s="1907"/>
      <c r="BY70" s="1907"/>
      <c r="BZ70" s="1907"/>
      <c r="CA70" s="1907"/>
      <c r="CB70" s="1907"/>
      <c r="CC70" s="1907"/>
      <c r="CD70" s="1907"/>
      <c r="CE70" s="1907"/>
      <c r="CF70" s="1907"/>
      <c r="CG70" s="1907"/>
      <c r="CH70" s="1907"/>
      <c r="CI70" s="1907"/>
      <c r="CJ70" s="1907"/>
      <c r="CK70" s="1907"/>
      <c r="CL70" s="1907"/>
      <c r="CM70" s="1907"/>
      <c r="CN70" s="1907"/>
      <c r="CO70" s="1907"/>
      <c r="CP70" s="1907"/>
      <c r="CQ70" s="1907"/>
      <c r="CR70" s="1907"/>
      <c r="CS70" s="1907"/>
      <c r="CT70" s="1907"/>
      <c r="CU70" s="1907"/>
      <c r="CV70" s="1907"/>
      <c r="CW70" s="1907"/>
      <c r="CX70" s="1907"/>
      <c r="CY70" s="1907"/>
      <c r="CZ70" s="1907"/>
      <c r="DA70" s="1907"/>
      <c r="DB70" s="1907"/>
      <c r="DC70" s="1907"/>
      <c r="DD70" s="1907"/>
      <c r="DE70" s="1907"/>
      <c r="DF70" s="1907"/>
      <c r="DG70" s="1907"/>
      <c r="DH70" s="1907"/>
      <c r="DI70" s="1907"/>
      <c r="DJ70" s="1907"/>
      <c r="DK70" s="1907"/>
      <c r="DL70" s="1907"/>
      <c r="DM70" s="1907"/>
      <c r="DN70" s="1907"/>
      <c r="DO70" s="1907"/>
      <c r="DP70" s="1907"/>
      <c r="DQ70" s="1907"/>
      <c r="DR70" s="1907"/>
      <c r="DS70" s="502"/>
      <c r="DT70" s="311"/>
      <c r="DU70" s="305"/>
      <c r="DV70" s="305"/>
      <c r="DW70" s="129"/>
      <c r="DX70" s="129"/>
      <c r="DY70" s="129"/>
      <c r="DZ70" s="129"/>
      <c r="EA70" s="129"/>
      <c r="EB70" s="129"/>
      <c r="EC70" s="129"/>
      <c r="ED70" s="126"/>
      <c r="EE70" s="126"/>
      <c r="EF70" s="127"/>
    </row>
    <row r="71" spans="1:155" ht="6" customHeight="1">
      <c r="B71" s="312"/>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c r="AI71" s="313"/>
      <c r="AJ71" s="313"/>
      <c r="AK71" s="313"/>
      <c r="AL71" s="313"/>
      <c r="AM71" s="313"/>
      <c r="AN71" s="313"/>
      <c r="AO71" s="313"/>
      <c r="AP71" s="313"/>
      <c r="AQ71" s="201"/>
      <c r="AR71" s="201"/>
      <c r="AS71" s="201"/>
      <c r="AT71" s="293"/>
      <c r="AU71" s="293"/>
      <c r="AV71" s="305"/>
      <c r="AW71" s="305"/>
      <c r="AX71" s="305"/>
      <c r="AY71" s="305"/>
      <c r="AZ71" s="305"/>
      <c r="BA71" s="305"/>
      <c r="BB71" s="305"/>
      <c r="BC71" s="305"/>
      <c r="BD71" s="305"/>
      <c r="BE71" s="305"/>
      <c r="BF71" s="305"/>
      <c r="BG71" s="305"/>
      <c r="BH71" s="305"/>
      <c r="BI71" s="305"/>
      <c r="BJ71" s="305"/>
      <c r="BK71" s="305"/>
      <c r="BL71" s="305"/>
      <c r="BM71" s="305"/>
      <c r="BN71" s="305"/>
      <c r="BO71" s="305"/>
      <c r="BP71" s="305"/>
      <c r="BQ71" s="305"/>
      <c r="BR71" s="305"/>
      <c r="BS71" s="305"/>
      <c r="BT71" s="305"/>
      <c r="BU71" s="305"/>
      <c r="BV71" s="305"/>
      <c r="BW71" s="305"/>
      <c r="BX71" s="305"/>
      <c r="BY71" s="305"/>
      <c r="BZ71" s="305"/>
      <c r="CA71" s="305"/>
      <c r="CB71" s="305"/>
      <c r="CC71" s="305"/>
      <c r="CD71" s="305"/>
      <c r="CE71" s="305"/>
      <c r="CF71" s="313"/>
      <c r="CG71" s="293"/>
      <c r="CH71" s="313"/>
      <c r="CI71" s="313"/>
      <c r="CJ71" s="313"/>
      <c r="CK71" s="313"/>
      <c r="CL71" s="313"/>
      <c r="CM71" s="313"/>
      <c r="CN71" s="313"/>
      <c r="CO71" s="313"/>
      <c r="CP71" s="313"/>
      <c r="CQ71" s="313"/>
      <c r="CR71" s="313"/>
      <c r="CS71" s="313"/>
      <c r="CT71" s="313"/>
      <c r="CU71" s="313"/>
      <c r="CV71" s="313"/>
      <c r="CW71" s="313"/>
      <c r="CX71" s="313"/>
      <c r="CY71" s="313"/>
      <c r="CZ71" s="313"/>
      <c r="DA71" s="313"/>
      <c r="DB71" s="313"/>
      <c r="DC71" s="313"/>
      <c r="DD71" s="313"/>
      <c r="DE71" s="313"/>
      <c r="DF71" s="313"/>
      <c r="DG71" s="313"/>
      <c r="DH71" s="313"/>
      <c r="DI71" s="313"/>
      <c r="DJ71" s="313"/>
      <c r="DK71" s="313"/>
      <c r="DL71" s="313"/>
      <c r="DM71" s="313"/>
      <c r="DN71" s="313"/>
      <c r="DO71" s="313"/>
      <c r="DP71" s="313"/>
      <c r="DQ71" s="313"/>
      <c r="DR71" s="313"/>
      <c r="DS71" s="313"/>
      <c r="DT71" s="311"/>
      <c r="DU71" s="305"/>
      <c r="DV71" s="305"/>
      <c r="DW71" s="202"/>
      <c r="DX71" s="202"/>
      <c r="DY71" s="202"/>
      <c r="DZ71" s="202"/>
      <c r="EA71" s="202"/>
      <c r="EB71" s="202"/>
      <c r="EC71" s="202"/>
      <c r="ED71" s="126"/>
      <c r="EE71" s="126"/>
      <c r="EF71" s="127"/>
    </row>
    <row r="72" spans="1:155" ht="30" customHeight="1">
      <c r="B72" s="312"/>
      <c r="C72" s="313"/>
      <c r="D72" s="871" t="str">
        <f ca="1">INDIRECT($J$4&amp;"!C72")</f>
        <v>Is it possible to do a limitation of the affected products ?</v>
      </c>
      <c r="E72" s="316"/>
      <c r="F72" s="316"/>
      <c r="G72" s="316"/>
      <c r="H72" s="316"/>
      <c r="I72" s="316"/>
      <c r="J72" s="316"/>
      <c r="K72" s="316"/>
      <c r="L72" s="316"/>
      <c r="M72" s="316"/>
      <c r="N72" s="313"/>
      <c r="O72" s="313"/>
      <c r="P72" s="313"/>
      <c r="Q72" s="313"/>
      <c r="R72" s="313"/>
      <c r="S72" s="313"/>
      <c r="T72" s="1028"/>
      <c r="U72" s="1028"/>
      <c r="V72" s="1028"/>
      <c r="W72" s="1028"/>
      <c r="X72" s="1028"/>
      <c r="Y72" s="1028"/>
      <c r="Z72" s="1028"/>
      <c r="AA72" s="1028"/>
      <c r="AB72" s="1028"/>
      <c r="AC72" s="1028"/>
      <c r="AD72" s="1028"/>
      <c r="AE72" s="1028"/>
      <c r="AF72" s="1028"/>
      <c r="AG72" s="1028"/>
      <c r="AH72" s="1028"/>
      <c r="AI72" s="400"/>
      <c r="AJ72" s="1193"/>
      <c r="AK72" s="1193"/>
      <c r="AL72" s="1193"/>
      <c r="AM72" s="1193"/>
      <c r="AN72" s="1194"/>
      <c r="AO72" s="1030"/>
      <c r="AP72" s="65"/>
      <c r="AQ72" s="1028"/>
      <c r="AR72" s="65"/>
      <c r="AS72" s="65"/>
      <c r="AT72" s="65"/>
      <c r="AU72" s="65"/>
      <c r="AV72" s="65"/>
      <c r="AW72" s="65"/>
      <c r="AX72" s="65"/>
      <c r="AY72" s="65"/>
      <c r="AZ72" s="65"/>
      <c r="BA72" s="65"/>
      <c r="BB72" s="65"/>
      <c r="BC72" s="65"/>
      <c r="BD72" s="65"/>
      <c r="BE72" s="65"/>
      <c r="BF72" s="65"/>
      <c r="BG72" s="65"/>
      <c r="BH72" s="65"/>
      <c r="BI72" s="1028"/>
      <c r="BJ72" s="1028"/>
      <c r="BK72" s="1027" t="str">
        <f ca="1">INDIRECT($J$4&amp;"!C73")</f>
        <v>delivered to the customer</v>
      </c>
      <c r="BL72" s="1192"/>
      <c r="BM72" s="1193"/>
      <c r="BN72" s="1193"/>
      <c r="BO72" s="1193"/>
      <c r="BP72" s="1193"/>
      <c r="BQ72" s="1194"/>
      <c r="BR72" s="1028"/>
      <c r="BS72" s="1028"/>
      <c r="BT72" s="1028"/>
      <c r="BU72" s="1028"/>
      <c r="BV72" s="1028"/>
      <c r="BW72" s="1028"/>
      <c r="BX72" s="1028"/>
      <c r="BY72" s="1027" t="str">
        <f ca="1">INDIRECT($J$4&amp;"!C74")</f>
        <v>on transit</v>
      </c>
      <c r="BZ72" s="1192"/>
      <c r="CA72" s="1193"/>
      <c r="CB72" s="1193"/>
      <c r="CC72" s="1193"/>
      <c r="CD72" s="1193"/>
      <c r="CE72" s="1194"/>
      <c r="CF72" s="128"/>
      <c r="CG72" s="1028"/>
      <c r="CH72" s="1028"/>
      <c r="CI72" s="1028"/>
      <c r="CJ72" s="1027" t="str">
        <f ca="1">INDIRECT($J$4&amp;"!C75")</f>
        <v>at Kroschu</v>
      </c>
      <c r="CK72" s="1192"/>
      <c r="CL72" s="1193"/>
      <c r="CM72" s="1193"/>
      <c r="CN72" s="1193"/>
      <c r="CO72" s="1193"/>
      <c r="CP72" s="1194"/>
      <c r="CQ72" s="55"/>
      <c r="CS72" s="65"/>
      <c r="CT72" s="2202">
        <f>SUM(BL72,BZ72,CK72)</f>
        <v>0</v>
      </c>
      <c r="CU72" s="2203"/>
      <c r="CV72" s="2203"/>
      <c r="CW72" s="2203"/>
      <c r="CX72" s="2203"/>
      <c r="CY72" s="2204"/>
      <c r="CZ72" s="1028" t="str">
        <f ca="1">INDIRECT($J$4&amp;"!C76")</f>
        <v>total amount of affected products</v>
      </c>
      <c r="DC72" s="317"/>
      <c r="DD72" s="317"/>
      <c r="DE72" s="317"/>
      <c r="DF72" s="317"/>
      <c r="DG72" s="317"/>
      <c r="DH72" s="317"/>
      <c r="DI72" s="317"/>
      <c r="DJ72" s="317"/>
      <c r="DK72" s="317"/>
      <c r="DL72" s="317"/>
      <c r="DM72" s="317"/>
      <c r="DN72" s="317"/>
      <c r="DO72" s="317"/>
      <c r="DP72" s="317"/>
      <c r="DQ72" s="317"/>
      <c r="DR72" s="317"/>
      <c r="DS72" s="317"/>
      <c r="DT72" s="311"/>
      <c r="DU72" s="305"/>
      <c r="DV72" s="305"/>
      <c r="DW72" s="203"/>
      <c r="DX72" s="203"/>
      <c r="DY72" s="203"/>
      <c r="DZ72" s="203"/>
      <c r="EA72" s="203"/>
      <c r="EC72" s="1028"/>
      <c r="ED72" s="1028"/>
      <c r="EE72" s="1028"/>
      <c r="EF72" s="1028"/>
      <c r="EG72" s="1028"/>
      <c r="EH72" s="1028"/>
      <c r="EI72" s="1028"/>
      <c r="EJ72" s="1028"/>
      <c r="EK72" s="1028"/>
      <c r="EL72" s="1028"/>
      <c r="EM72" s="1028"/>
      <c r="EN72" s="1028"/>
      <c r="EO72" s="1028"/>
      <c r="EP72" s="1028"/>
      <c r="EQ72" s="1028"/>
      <c r="ER72" s="1028"/>
      <c r="ES72" s="1028"/>
      <c r="ET72" s="1028"/>
      <c r="EU72" s="1028"/>
      <c r="EV72" s="1028"/>
      <c r="EW72" s="1028"/>
      <c r="EX72" s="1028"/>
      <c r="EY72" s="1028"/>
    </row>
    <row r="73" spans="1:155" ht="6" customHeight="1">
      <c r="B73" s="312"/>
      <c r="C73" s="313"/>
      <c r="D73" s="524"/>
      <c r="E73" s="316"/>
      <c r="F73" s="316"/>
      <c r="G73" s="316"/>
      <c r="H73" s="316"/>
      <c r="I73" s="316"/>
      <c r="J73" s="316"/>
      <c r="K73" s="316"/>
      <c r="L73" s="316"/>
      <c r="M73" s="316"/>
      <c r="N73" s="313"/>
      <c r="O73" s="313"/>
      <c r="P73" s="313"/>
      <c r="Q73" s="313"/>
      <c r="R73" s="313"/>
      <c r="S73" s="313"/>
      <c r="T73" s="1000"/>
      <c r="U73" s="1000"/>
      <c r="V73" s="1000"/>
      <c r="W73" s="1000"/>
      <c r="X73" s="1000"/>
      <c r="Y73" s="1000"/>
      <c r="Z73" s="1000"/>
      <c r="AA73" s="1000"/>
      <c r="AB73" s="1000"/>
      <c r="AC73" s="1000"/>
      <c r="AD73" s="1000"/>
      <c r="AE73" s="1000"/>
      <c r="AF73" s="1000"/>
      <c r="AG73" s="1000"/>
      <c r="AH73" s="1000"/>
      <c r="AI73" s="1000"/>
      <c r="AJ73" s="1000"/>
      <c r="AK73" s="1000"/>
      <c r="AL73" s="1000"/>
      <c r="AM73" s="1000"/>
      <c r="AN73" s="1000"/>
      <c r="AO73" s="1000"/>
      <c r="AP73" s="1028"/>
      <c r="AQ73" s="1028"/>
      <c r="AR73" s="1028"/>
      <c r="AS73" s="1028"/>
      <c r="AT73" s="1028"/>
      <c r="AU73" s="1028"/>
      <c r="AV73" s="1028"/>
      <c r="AW73" s="1028"/>
      <c r="AX73" s="1028"/>
      <c r="AY73" s="1028"/>
      <c r="AZ73" s="1028"/>
      <c r="BA73" s="1028"/>
      <c r="BB73" s="1029"/>
      <c r="BC73" s="1029"/>
      <c r="BD73" s="1029"/>
      <c r="BE73" s="1029"/>
      <c r="BF73" s="1029"/>
      <c r="BG73" s="1029"/>
      <c r="BH73" s="1029"/>
      <c r="BI73" s="1029"/>
      <c r="BJ73" s="1029"/>
      <c r="BK73" s="56"/>
      <c r="BL73" s="357"/>
      <c r="BM73" s="56"/>
      <c r="BN73" s="56"/>
      <c r="BO73" s="56"/>
      <c r="BP73" s="56"/>
      <c r="BQ73" s="56"/>
      <c r="BR73" s="56"/>
      <c r="BS73" s="56"/>
      <c r="BT73" s="56"/>
      <c r="BU73" s="56"/>
      <c r="BV73" s="65"/>
      <c r="BW73" s="65"/>
      <c r="BX73" s="65"/>
      <c r="BY73" s="65"/>
      <c r="BZ73" s="65"/>
      <c r="CA73" s="65"/>
      <c r="CB73" s="65"/>
      <c r="CC73" s="65"/>
      <c r="CD73" s="26"/>
      <c r="CE73" s="37"/>
      <c r="CF73" s="55"/>
      <c r="CG73" s="55"/>
      <c r="CH73" s="55"/>
      <c r="CI73" s="55"/>
      <c r="CJ73" s="55"/>
      <c r="CK73" s="55"/>
      <c r="CL73" s="55"/>
      <c r="CM73" s="55"/>
      <c r="CN73" s="55"/>
      <c r="CO73" s="55"/>
      <c r="CP73" s="55"/>
      <c r="CQ73" s="55"/>
      <c r="CR73" s="55"/>
      <c r="CS73" s="55"/>
      <c r="CT73" s="55"/>
      <c r="CU73" s="305"/>
      <c r="CV73" s="305"/>
      <c r="CW73" s="305"/>
      <c r="CX73" s="305"/>
      <c r="CY73" s="317"/>
      <c r="CZ73" s="317"/>
      <c r="DA73" s="317"/>
      <c r="DB73" s="317"/>
      <c r="DC73" s="317"/>
      <c r="DD73" s="317"/>
      <c r="DE73" s="317"/>
      <c r="DF73" s="317"/>
      <c r="DG73" s="317"/>
      <c r="DH73" s="317"/>
      <c r="DI73" s="317"/>
      <c r="DJ73" s="317"/>
      <c r="DK73" s="317"/>
      <c r="DL73" s="317"/>
      <c r="DM73" s="317"/>
      <c r="DN73" s="317"/>
      <c r="DO73" s="317"/>
      <c r="DP73" s="317"/>
      <c r="DQ73" s="317"/>
      <c r="DR73" s="317"/>
      <c r="DS73" s="317"/>
      <c r="DT73" s="311"/>
      <c r="DU73" s="305"/>
      <c r="DV73" s="305"/>
      <c r="DW73" s="203"/>
      <c r="DX73" s="203"/>
      <c r="DY73" s="203"/>
      <c r="DZ73" s="203"/>
      <c r="EA73" s="203"/>
      <c r="EB73" s="1028"/>
      <c r="EC73" s="1028"/>
      <c r="ED73" s="1028"/>
      <c r="EE73" s="1028"/>
      <c r="EF73" s="1028"/>
      <c r="EG73" s="1028"/>
      <c r="EH73" s="1028"/>
      <c r="EI73" s="1028"/>
      <c r="EJ73" s="1028"/>
      <c r="EK73" s="1028"/>
      <c r="EL73" s="1028"/>
      <c r="EM73" s="1028"/>
      <c r="EN73" s="1028"/>
      <c r="EO73" s="1028"/>
      <c r="EP73" s="1028"/>
      <c r="EQ73" s="1028"/>
      <c r="ER73" s="1028"/>
      <c r="ES73" s="1028"/>
      <c r="ET73" s="1028"/>
      <c r="EU73" s="1028"/>
      <c r="EV73" s="1028"/>
      <c r="EW73" s="1028"/>
      <c r="EX73" s="1028"/>
      <c r="EY73" s="1028"/>
    </row>
    <row r="74" spans="1:155" ht="30" customHeight="1">
      <c r="B74" s="312"/>
      <c r="C74" s="313"/>
      <c r="D74" s="310"/>
      <c r="E74" s="310"/>
      <c r="F74" s="310"/>
      <c r="G74" s="2045" t="str">
        <f ca="1">INDIRECT($J$4&amp;"!C80")</f>
        <v>Action</v>
      </c>
      <c r="H74" s="2045"/>
      <c r="I74" s="2045"/>
      <c r="J74" s="2045"/>
      <c r="K74" s="2045"/>
      <c r="L74" s="2045"/>
      <c r="M74" s="2045"/>
      <c r="N74" s="2045"/>
      <c r="O74" s="2045"/>
      <c r="P74" s="2045"/>
      <c r="Q74" s="2045"/>
      <c r="R74" s="2045"/>
      <c r="S74" s="2045"/>
      <c r="T74" s="2045"/>
      <c r="U74" s="2045"/>
      <c r="V74" s="2045"/>
      <c r="W74" s="2045"/>
      <c r="X74" s="2045"/>
      <c r="Y74" s="2045"/>
      <c r="Z74" s="2045"/>
      <c r="AA74" s="2045"/>
      <c r="AB74" s="2045"/>
      <c r="AC74" s="2045"/>
      <c r="AD74" s="2045"/>
      <c r="AE74" s="2045"/>
      <c r="AF74" s="2045"/>
      <c r="AG74" s="2045"/>
      <c r="AH74" s="2045"/>
      <c r="AI74" s="2045"/>
      <c r="AJ74" s="2045"/>
      <c r="AK74" s="2045"/>
      <c r="AL74" s="2045"/>
      <c r="AM74" s="2045"/>
      <c r="AN74" s="2045"/>
      <c r="AO74" s="2045"/>
      <c r="AP74" s="2045"/>
      <c r="AQ74" s="2045"/>
      <c r="AR74" s="2045"/>
      <c r="AS74" s="2045"/>
      <c r="AT74" s="2045"/>
      <c r="AU74" s="2045"/>
      <c r="AV74" s="2045"/>
      <c r="AW74" s="2045"/>
      <c r="AX74" s="2045"/>
      <c r="AY74" s="2045"/>
      <c r="AZ74" s="2045"/>
      <c r="BA74" s="2045"/>
      <c r="BB74" s="2045"/>
      <c r="BC74" s="2045"/>
      <c r="BD74" s="2045"/>
      <c r="BE74" s="2045"/>
      <c r="BF74" s="2045"/>
      <c r="BG74" s="2045"/>
      <c r="BH74" s="2045"/>
      <c r="BI74" s="796"/>
      <c r="BJ74" s="796"/>
      <c r="BK74" s="796"/>
      <c r="BL74" s="797"/>
      <c r="BM74" s="2045" t="str">
        <f ca="1">INDIRECT($J$4&amp;"!C233")</f>
        <v>Risk assessment</v>
      </c>
      <c r="BN74" s="2045"/>
      <c r="BO74" s="2045"/>
      <c r="BP74" s="2045"/>
      <c r="BQ74" s="2045"/>
      <c r="BR74" s="2045"/>
      <c r="BS74" s="2045"/>
      <c r="BT74" s="2045"/>
      <c r="BU74" s="2045"/>
      <c r="BV74" s="2045"/>
      <c r="BW74" s="2045"/>
      <c r="BX74" s="2045"/>
      <c r="BY74" s="2045"/>
      <c r="BZ74" s="2045"/>
      <c r="CA74" s="2045"/>
      <c r="CB74" s="2045"/>
      <c r="CC74" s="2045"/>
      <c r="CD74" s="2045"/>
      <c r="CE74" s="2045"/>
      <c r="CF74" s="2045"/>
      <c r="CG74" s="2045"/>
      <c r="CH74" s="2045"/>
      <c r="CI74" s="2045"/>
      <c r="CJ74" s="2045"/>
      <c r="CK74" s="2045"/>
      <c r="CL74" s="2045"/>
      <c r="CM74" s="2045"/>
      <c r="CN74" s="2045"/>
      <c r="CO74" s="2045"/>
      <c r="CP74" s="2045"/>
      <c r="CQ74" s="797"/>
      <c r="CR74" s="2045" t="str">
        <f ca="1">INDIRECT($J$4&amp;"!C81")</f>
        <v>Effectiveness verification</v>
      </c>
      <c r="CS74" s="2045"/>
      <c r="CT74" s="2045"/>
      <c r="CU74" s="2045"/>
      <c r="CV74" s="2045"/>
      <c r="CW74" s="2045"/>
      <c r="CX74" s="2045"/>
      <c r="CY74" s="2045"/>
      <c r="CZ74" s="2045"/>
      <c r="DA74" s="2045"/>
      <c r="DB74" s="2045"/>
      <c r="DC74" s="2045"/>
      <c r="DD74" s="2045"/>
      <c r="DE74" s="2045"/>
      <c r="DF74" s="2045"/>
      <c r="DG74" s="2045"/>
      <c r="DH74" s="2045"/>
      <c r="DI74" s="2045"/>
      <c r="DJ74" s="2045"/>
      <c r="DK74" s="2045"/>
      <c r="DL74" s="2045"/>
      <c r="DM74" s="2045"/>
      <c r="DN74" s="2045"/>
      <c r="DO74" s="2045"/>
      <c r="DP74" s="2045"/>
      <c r="DQ74" s="2045"/>
      <c r="DR74" s="2045"/>
      <c r="DS74" s="313"/>
      <c r="DT74" s="311"/>
      <c r="DU74" s="305"/>
      <c r="DV74" s="305"/>
      <c r="DW74" s="203"/>
    </row>
    <row r="75" spans="1:155" s="320" customFormat="1" ht="30" customHeight="1">
      <c r="A75" s="318"/>
      <c r="B75" s="319"/>
      <c r="C75" s="316"/>
      <c r="D75" s="313"/>
      <c r="E75" s="313"/>
      <c r="F75" s="313"/>
      <c r="G75" s="313"/>
      <c r="H75" s="313"/>
      <c r="I75" s="313"/>
      <c r="J75" s="313"/>
      <c r="K75" s="313"/>
      <c r="L75" s="313"/>
      <c r="M75" s="313"/>
      <c r="N75" s="313"/>
      <c r="O75" s="313"/>
      <c r="P75" s="313"/>
      <c r="Q75" s="313"/>
      <c r="R75" s="313"/>
      <c r="S75" s="313"/>
      <c r="T75" s="2070" t="str">
        <f ca="1">INDIRECT($J$4&amp;"!C80")</f>
        <v>Action</v>
      </c>
      <c r="U75" s="2070"/>
      <c r="V75" s="2070"/>
      <c r="W75" s="2070"/>
      <c r="X75" s="2070"/>
      <c r="Y75" s="2070"/>
      <c r="Z75" s="2070"/>
      <c r="AA75" s="2070"/>
      <c r="AB75" s="2070"/>
      <c r="AC75" s="2070"/>
      <c r="AD75" s="2070"/>
      <c r="AE75" s="2070"/>
      <c r="AF75" s="2070"/>
      <c r="AG75" s="2070"/>
      <c r="AH75" s="2070"/>
      <c r="AI75" s="2070"/>
      <c r="AJ75" s="2070"/>
      <c r="AK75" s="2070"/>
      <c r="AL75" s="2070"/>
      <c r="AM75" s="2070"/>
      <c r="AN75" s="2070"/>
      <c r="AO75" s="368" t="str">
        <f ca="1">INDIRECT($J$4&amp;"!C262")</f>
        <v>Start date</v>
      </c>
      <c r="AP75" s="816"/>
      <c r="AQ75" s="368"/>
      <c r="AR75" s="368"/>
      <c r="AS75" s="368"/>
      <c r="AT75" s="368"/>
      <c r="AU75" s="368"/>
      <c r="AV75" s="368" t="str">
        <f ca="1">INDIRECT($J$4&amp;"!C263")</f>
        <v>Closing date</v>
      </c>
      <c r="AW75" s="368"/>
      <c r="AX75" s="368"/>
      <c r="AY75" s="368"/>
      <c r="AZ75" s="368"/>
      <c r="BA75" s="368"/>
      <c r="BB75" s="368"/>
      <c r="BC75" s="128"/>
      <c r="BD75" s="2195" t="str">
        <f ca="1">INDIRECT($J$4&amp;"!C83")</f>
        <v>Responsible</v>
      </c>
      <c r="BE75" s="2195"/>
      <c r="BF75" s="2195"/>
      <c r="BG75" s="2195"/>
      <c r="BH75" s="2195"/>
      <c r="BI75" s="2195"/>
      <c r="BJ75" s="2195"/>
      <c r="BK75" s="2195"/>
      <c r="BL75" s="816"/>
      <c r="BM75" s="2070" t="str">
        <f ca="1">INDIRECT($J$4&amp;"!C256")</f>
        <v>Hazard/ Risk</v>
      </c>
      <c r="BN75" s="2070"/>
      <c r="BO75" s="2070"/>
      <c r="BP75" s="2070"/>
      <c r="BQ75" s="2070"/>
      <c r="BR75" s="2070"/>
      <c r="BS75" s="2070"/>
      <c r="BT75" s="2070"/>
      <c r="BU75" s="2070"/>
      <c r="BV75" s="2070"/>
      <c r="BW75" s="2070"/>
      <c r="BX75" s="2070"/>
      <c r="BY75" s="2070"/>
      <c r="BZ75" s="2070"/>
      <c r="CA75" s="2070"/>
      <c r="CB75" s="2070" t="str">
        <f ca="1">INDIRECT($J$4&amp;"!C246")</f>
        <v>Level</v>
      </c>
      <c r="CC75" s="2070"/>
      <c r="CD75" s="2070"/>
      <c r="CE75" s="2070"/>
      <c r="CF75" s="2070" t="str">
        <f ca="1">INDIRECT($J$4&amp;"!C259")</f>
        <v>Measures</v>
      </c>
      <c r="CG75" s="2070"/>
      <c r="CH75" s="2070"/>
      <c r="CI75" s="2070"/>
      <c r="CJ75" s="2070"/>
      <c r="CK75" s="2070"/>
      <c r="CL75" s="2070"/>
      <c r="CM75" s="2070"/>
      <c r="CN75" s="2070"/>
      <c r="CO75" s="2070"/>
      <c r="CP75" s="2070"/>
      <c r="CQ75" s="816"/>
      <c r="CR75" s="2070" t="str">
        <f ca="1">INDIRECT($J$4&amp;"!C82")</f>
        <v>Method</v>
      </c>
      <c r="CS75" s="2070"/>
      <c r="CT75" s="2070"/>
      <c r="CU75" s="2070"/>
      <c r="CV75" s="2070"/>
      <c r="CW75" s="2070"/>
      <c r="CX75" s="2070"/>
      <c r="CY75" s="2070"/>
      <c r="CZ75" s="2070"/>
      <c r="DA75" s="2070"/>
      <c r="DB75" s="2070"/>
      <c r="DC75" s="1210" t="str">
        <f ca="1">INDIRECT($J$4&amp;"!C69")</f>
        <v>Date</v>
      </c>
      <c r="DD75" s="1210"/>
      <c r="DE75" s="1210"/>
      <c r="DF75" s="1210"/>
      <c r="DG75" s="1210"/>
      <c r="DH75" s="1210" t="str">
        <f ca="1">INDIRECT($J$4&amp;"!C83")</f>
        <v>Responsible</v>
      </c>
      <c r="DI75" s="1210"/>
      <c r="DJ75" s="1210"/>
      <c r="DK75" s="1210"/>
      <c r="DL75" s="1210"/>
      <c r="DM75" s="1210"/>
      <c r="DN75" s="2077" t="str">
        <f ca="1">INDIRECT($J$4&amp;"!C264")</f>
        <v>Result</v>
      </c>
      <c r="DO75" s="2077"/>
      <c r="DP75" s="2077"/>
      <c r="DQ75" s="2077"/>
      <c r="DR75" s="2077"/>
      <c r="DS75" s="500"/>
      <c r="DT75" s="335"/>
      <c r="DW75" s="203"/>
    </row>
    <row r="76" spans="1:155" s="320" customFormat="1" ht="6" customHeight="1">
      <c r="A76" s="318"/>
      <c r="B76" s="319"/>
      <c r="C76" s="316"/>
      <c r="D76" s="316"/>
      <c r="E76" s="316"/>
      <c r="F76" s="316"/>
      <c r="G76" s="316"/>
      <c r="H76" s="316"/>
      <c r="I76" s="316"/>
      <c r="J76" s="316"/>
      <c r="K76" s="316"/>
      <c r="L76" s="316"/>
      <c r="M76" s="316"/>
      <c r="N76" s="316"/>
      <c r="O76" s="316"/>
      <c r="P76" s="316"/>
      <c r="Q76" s="316"/>
      <c r="R76" s="316"/>
      <c r="S76" s="316"/>
      <c r="T76" s="316"/>
      <c r="U76" s="316"/>
      <c r="V76" s="316"/>
      <c r="W76" s="316"/>
      <c r="X76" s="316"/>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2"/>
      <c r="BF76" s="82"/>
      <c r="BG76" s="82"/>
      <c r="BH76" s="82"/>
      <c r="BI76" s="82"/>
      <c r="BJ76" s="82"/>
      <c r="BK76" s="82"/>
      <c r="BL76" s="82"/>
      <c r="BM76" s="82"/>
      <c r="BN76" s="82"/>
      <c r="BO76" s="82"/>
      <c r="BP76" s="82"/>
      <c r="BQ76" s="82"/>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W76" s="82"/>
      <c r="CX76" s="82"/>
      <c r="CY76" s="82"/>
      <c r="CZ76" s="83"/>
      <c r="DA76" s="83"/>
      <c r="DB76" s="83"/>
      <c r="DC76" s="83"/>
      <c r="DD76" s="83"/>
      <c r="DE76" s="83"/>
      <c r="DF76" s="83"/>
      <c r="DG76" s="83"/>
      <c r="DH76" s="83"/>
      <c r="DI76" s="83"/>
      <c r="DJ76" s="83"/>
      <c r="DK76" s="83"/>
      <c r="DL76" s="83"/>
      <c r="DM76" s="83"/>
      <c r="DN76" s="83"/>
      <c r="DO76" s="83"/>
      <c r="DP76" s="83"/>
      <c r="DQ76" s="83"/>
      <c r="DR76" s="83"/>
      <c r="DS76" s="316"/>
      <c r="DT76" s="335"/>
      <c r="DW76" s="203"/>
    </row>
    <row r="77" spans="1:155" s="320" customFormat="1" ht="35.1" customHeight="1">
      <c r="A77" s="318"/>
      <c r="B77" s="319"/>
      <c r="C77" s="316"/>
      <c r="D77" s="1923" t="str">
        <f ca="1">INDIRECT($J$4&amp;"!C77")</f>
        <v>Measures for continuing secure production at customer</v>
      </c>
      <c r="E77" s="1924"/>
      <c r="F77" s="1924"/>
      <c r="G77" s="1924"/>
      <c r="H77" s="1924"/>
      <c r="I77" s="1924"/>
      <c r="J77" s="1925"/>
      <c r="K77" s="316"/>
      <c r="L77" s="1032"/>
      <c r="M77" s="1032"/>
      <c r="N77" s="1032"/>
      <c r="O77" s="1032"/>
      <c r="P77" s="1032"/>
      <c r="Q77" s="1032"/>
      <c r="R77" s="1032"/>
      <c r="S77" s="313"/>
      <c r="T77" s="1044"/>
      <c r="U77" s="1044"/>
      <c r="V77" s="1044"/>
      <c r="W77" s="1044"/>
      <c r="X77" s="1044"/>
      <c r="Y77" s="1044"/>
      <c r="Z77" s="1044"/>
      <c r="AA77" s="1044"/>
      <c r="AB77" s="1044"/>
      <c r="AC77" s="1044"/>
      <c r="AD77" s="1044"/>
      <c r="AE77" s="1044"/>
      <c r="AF77" s="1044"/>
      <c r="AG77" s="1044"/>
      <c r="AH77" s="1044"/>
      <c r="AI77" s="1044"/>
      <c r="AJ77" s="1044"/>
      <c r="AK77" s="1044"/>
      <c r="AL77" s="1044"/>
      <c r="AM77" s="1044"/>
      <c r="AN77" s="1044"/>
      <c r="AO77" s="1122"/>
      <c r="AP77" s="1122"/>
      <c r="AQ77" s="1122"/>
      <c r="AR77" s="1122"/>
      <c r="AS77" s="1122"/>
      <c r="AT77" s="1122"/>
      <c r="AU77" s="1123"/>
      <c r="AV77" s="1122"/>
      <c r="AW77" s="1122"/>
      <c r="AX77" s="1122"/>
      <c r="AY77" s="1122"/>
      <c r="AZ77" s="1122"/>
      <c r="BA77" s="1122"/>
      <c r="BB77" s="1123"/>
      <c r="BC77" s="2193"/>
      <c r="BD77" s="2193"/>
      <c r="BE77" s="2193"/>
      <c r="BF77" s="2193"/>
      <c r="BG77" s="2193"/>
      <c r="BH77" s="2193"/>
      <c r="BI77" s="2193"/>
      <c r="BJ77" s="2193"/>
      <c r="BK77" s="2193"/>
      <c r="BL77" s="368"/>
      <c r="BM77" s="1910"/>
      <c r="BN77" s="1911"/>
      <c r="BO77" s="1911"/>
      <c r="BP77" s="1911"/>
      <c r="BQ77" s="1911"/>
      <c r="BR77" s="1911"/>
      <c r="BS77" s="1911"/>
      <c r="BT77" s="1911"/>
      <c r="BU77" s="1911"/>
      <c r="BV77" s="1911"/>
      <c r="BW77" s="1911"/>
      <c r="BX77" s="1911"/>
      <c r="BY77" s="1911"/>
      <c r="BZ77" s="1911"/>
      <c r="CA77" s="1912"/>
      <c r="CB77" s="2194"/>
      <c r="CC77" s="2194"/>
      <c r="CD77" s="2194"/>
      <c r="CE77" s="2194"/>
      <c r="CF77" s="2009"/>
      <c r="CG77" s="2009"/>
      <c r="CH77" s="2009"/>
      <c r="CI77" s="2009"/>
      <c r="CJ77" s="2009"/>
      <c r="CK77" s="2009"/>
      <c r="CL77" s="2009"/>
      <c r="CM77" s="2009"/>
      <c r="CN77" s="2009"/>
      <c r="CO77" s="2009"/>
      <c r="CP77" s="2009"/>
      <c r="CQ77" s="798"/>
      <c r="CR77" s="2076"/>
      <c r="CS77" s="2076"/>
      <c r="CT77" s="2076"/>
      <c r="CU77" s="2076"/>
      <c r="CV77" s="2076"/>
      <c r="CW77" s="2076"/>
      <c r="CX77" s="2076"/>
      <c r="CY77" s="2076"/>
      <c r="CZ77" s="2076"/>
      <c r="DA77" s="2076"/>
      <c r="DB77" s="2076"/>
      <c r="DC77" s="2075"/>
      <c r="DD77" s="2075"/>
      <c r="DE77" s="2075"/>
      <c r="DF77" s="2075"/>
      <c r="DG77" s="2075"/>
      <c r="DH77" s="2072"/>
      <c r="DI77" s="2073"/>
      <c r="DJ77" s="2073"/>
      <c r="DK77" s="2073"/>
      <c r="DL77" s="2073"/>
      <c r="DM77" s="2074"/>
      <c r="DN77" s="2072"/>
      <c r="DO77" s="2073"/>
      <c r="DP77" s="2073"/>
      <c r="DQ77" s="2073"/>
      <c r="DR77" s="2074"/>
      <c r="DS77" s="500"/>
      <c r="DT77" s="335"/>
      <c r="DW77" s="203"/>
    </row>
    <row r="78" spans="1:155" s="320" customFormat="1" ht="35.1" customHeight="1">
      <c r="A78" s="318"/>
      <c r="B78" s="319"/>
      <c r="C78" s="316"/>
      <c r="D78" s="1926"/>
      <c r="E78" s="1927"/>
      <c r="F78" s="1927"/>
      <c r="G78" s="1927"/>
      <c r="H78" s="1927"/>
      <c r="I78" s="1927"/>
      <c r="J78" s="1928"/>
      <c r="K78" s="316"/>
      <c r="L78" s="1032"/>
      <c r="M78" s="1032"/>
      <c r="N78" s="1032"/>
      <c r="O78" s="1032"/>
      <c r="P78" s="1032"/>
      <c r="Q78" s="1032"/>
      <c r="R78" s="1032"/>
      <c r="S78" s="313"/>
      <c r="T78" s="1044"/>
      <c r="U78" s="1044"/>
      <c r="V78" s="1044"/>
      <c r="W78" s="1044"/>
      <c r="X78" s="1044"/>
      <c r="Y78" s="1044"/>
      <c r="Z78" s="1044"/>
      <c r="AA78" s="1044"/>
      <c r="AB78" s="1044"/>
      <c r="AC78" s="1044"/>
      <c r="AD78" s="1044"/>
      <c r="AE78" s="1044"/>
      <c r="AF78" s="1044"/>
      <c r="AG78" s="1044"/>
      <c r="AH78" s="1044"/>
      <c r="AI78" s="1044"/>
      <c r="AJ78" s="1044"/>
      <c r="AK78" s="1044"/>
      <c r="AL78" s="1044"/>
      <c r="AM78" s="1044"/>
      <c r="AN78" s="1044"/>
      <c r="AO78" s="1122"/>
      <c r="AP78" s="1122"/>
      <c r="AQ78" s="1122"/>
      <c r="AR78" s="1122"/>
      <c r="AS78" s="1122"/>
      <c r="AT78" s="1122"/>
      <c r="AU78" s="1123"/>
      <c r="AV78" s="1122"/>
      <c r="AW78" s="1122"/>
      <c r="AX78" s="1122"/>
      <c r="AY78" s="1122"/>
      <c r="AZ78" s="1122"/>
      <c r="BA78" s="1122"/>
      <c r="BB78" s="1123"/>
      <c r="BC78" s="2193"/>
      <c r="BD78" s="2193"/>
      <c r="BE78" s="2193"/>
      <c r="BF78" s="2193"/>
      <c r="BG78" s="2193"/>
      <c r="BH78" s="2193"/>
      <c r="BI78" s="2193"/>
      <c r="BJ78" s="2193"/>
      <c r="BK78" s="2193"/>
      <c r="BL78" s="368"/>
      <c r="BM78" s="1910"/>
      <c r="BN78" s="1911"/>
      <c r="BO78" s="1911"/>
      <c r="BP78" s="1911"/>
      <c r="BQ78" s="1911"/>
      <c r="BR78" s="1911"/>
      <c r="BS78" s="1911"/>
      <c r="BT78" s="1911"/>
      <c r="BU78" s="1911"/>
      <c r="BV78" s="1911"/>
      <c r="BW78" s="1911"/>
      <c r="BX78" s="1911"/>
      <c r="BY78" s="1911"/>
      <c r="BZ78" s="1911"/>
      <c r="CA78" s="1912"/>
      <c r="CB78" s="2194"/>
      <c r="CC78" s="2194"/>
      <c r="CD78" s="2194"/>
      <c r="CE78" s="2194"/>
      <c r="CF78" s="2009"/>
      <c r="CG78" s="2009"/>
      <c r="CH78" s="2009"/>
      <c r="CI78" s="2009"/>
      <c r="CJ78" s="2009"/>
      <c r="CK78" s="2009"/>
      <c r="CL78" s="2009"/>
      <c r="CM78" s="2009"/>
      <c r="CN78" s="2009"/>
      <c r="CO78" s="2009"/>
      <c r="CP78" s="2009"/>
      <c r="CQ78" s="798"/>
      <c r="CR78" s="2078"/>
      <c r="CS78" s="2078"/>
      <c r="CT78" s="2078"/>
      <c r="CU78" s="2078"/>
      <c r="CV78" s="2078"/>
      <c r="CW78" s="2078"/>
      <c r="CX78" s="2078"/>
      <c r="CY78" s="2078"/>
      <c r="CZ78" s="2078"/>
      <c r="DA78" s="2078"/>
      <c r="DB78" s="2078"/>
      <c r="DC78" s="2075"/>
      <c r="DD78" s="2075"/>
      <c r="DE78" s="2075"/>
      <c r="DF78" s="2075"/>
      <c r="DG78" s="2075"/>
      <c r="DH78" s="2072"/>
      <c r="DI78" s="2073"/>
      <c r="DJ78" s="2073"/>
      <c r="DK78" s="2073"/>
      <c r="DL78" s="2073"/>
      <c r="DM78" s="2074"/>
      <c r="DN78" s="2072"/>
      <c r="DO78" s="2073"/>
      <c r="DP78" s="2073"/>
      <c r="DQ78" s="2073"/>
      <c r="DR78" s="2074"/>
      <c r="DS78" s="500"/>
      <c r="DT78" s="335"/>
      <c r="DW78" s="203"/>
    </row>
    <row r="79" spans="1:155" s="320" customFormat="1" ht="35.1" customHeight="1">
      <c r="A79" s="318"/>
      <c r="B79" s="319"/>
      <c r="C79" s="316"/>
      <c r="D79" s="1929"/>
      <c r="E79" s="1930"/>
      <c r="F79" s="1930"/>
      <c r="G79" s="1930"/>
      <c r="H79" s="1930"/>
      <c r="I79" s="1930"/>
      <c r="J79" s="1931"/>
      <c r="K79" s="316"/>
      <c r="L79" s="1032"/>
      <c r="M79" s="1032"/>
      <c r="N79" s="1032"/>
      <c r="O79" s="1032"/>
      <c r="P79" s="1032"/>
      <c r="Q79" s="1032"/>
      <c r="R79" s="1032"/>
      <c r="S79" s="313"/>
      <c r="T79" s="1044"/>
      <c r="U79" s="1044"/>
      <c r="V79" s="1044"/>
      <c r="W79" s="1044"/>
      <c r="X79" s="1044"/>
      <c r="Y79" s="1044"/>
      <c r="Z79" s="1044"/>
      <c r="AA79" s="1044"/>
      <c r="AB79" s="1044"/>
      <c r="AC79" s="1044"/>
      <c r="AD79" s="1044"/>
      <c r="AE79" s="1044"/>
      <c r="AF79" s="1044"/>
      <c r="AG79" s="1044"/>
      <c r="AH79" s="1044"/>
      <c r="AI79" s="1044"/>
      <c r="AJ79" s="1044"/>
      <c r="AK79" s="1044"/>
      <c r="AL79" s="1044"/>
      <c r="AM79" s="1044"/>
      <c r="AN79" s="1044"/>
      <c r="AO79" s="1122"/>
      <c r="AP79" s="1122"/>
      <c r="AQ79" s="1122"/>
      <c r="AR79" s="1122"/>
      <c r="AS79" s="1122"/>
      <c r="AT79" s="1122"/>
      <c r="AU79" s="1123"/>
      <c r="AV79" s="1122"/>
      <c r="AW79" s="1122"/>
      <c r="AX79" s="1122"/>
      <c r="AY79" s="1122"/>
      <c r="AZ79" s="1122"/>
      <c r="BA79" s="1122"/>
      <c r="BB79" s="1123"/>
      <c r="BC79" s="2193"/>
      <c r="BD79" s="2193"/>
      <c r="BE79" s="2193"/>
      <c r="BF79" s="2193"/>
      <c r="BG79" s="2193"/>
      <c r="BH79" s="2193"/>
      <c r="BI79" s="2193"/>
      <c r="BJ79" s="2193"/>
      <c r="BK79" s="2193"/>
      <c r="BL79" s="368"/>
      <c r="BM79" s="1910"/>
      <c r="BN79" s="1911"/>
      <c r="BO79" s="1911"/>
      <c r="BP79" s="1911"/>
      <c r="BQ79" s="1911"/>
      <c r="BR79" s="1911"/>
      <c r="BS79" s="1911"/>
      <c r="BT79" s="1911"/>
      <c r="BU79" s="1911"/>
      <c r="BV79" s="1911"/>
      <c r="BW79" s="1911"/>
      <c r="BX79" s="1911"/>
      <c r="BY79" s="1911"/>
      <c r="BZ79" s="1911"/>
      <c r="CA79" s="1912"/>
      <c r="CB79" s="2194"/>
      <c r="CC79" s="2194"/>
      <c r="CD79" s="2194"/>
      <c r="CE79" s="2194"/>
      <c r="CF79" s="2009"/>
      <c r="CG79" s="2009"/>
      <c r="CH79" s="2009"/>
      <c r="CI79" s="2009"/>
      <c r="CJ79" s="2009"/>
      <c r="CK79" s="2009"/>
      <c r="CL79" s="2009"/>
      <c r="CM79" s="2009"/>
      <c r="CN79" s="2009"/>
      <c r="CO79" s="2009"/>
      <c r="CP79" s="2009"/>
      <c r="CQ79" s="798"/>
      <c r="CR79" s="2078"/>
      <c r="CS79" s="2078"/>
      <c r="CT79" s="2078"/>
      <c r="CU79" s="2078"/>
      <c r="CV79" s="2078"/>
      <c r="CW79" s="2078"/>
      <c r="CX79" s="2078"/>
      <c r="CY79" s="2078"/>
      <c r="CZ79" s="2078"/>
      <c r="DA79" s="2078"/>
      <c r="DB79" s="2078"/>
      <c r="DC79" s="2075"/>
      <c r="DD79" s="2075"/>
      <c r="DE79" s="2075"/>
      <c r="DF79" s="2075"/>
      <c r="DG79" s="2075"/>
      <c r="DH79" s="2072"/>
      <c r="DI79" s="2073"/>
      <c r="DJ79" s="2073"/>
      <c r="DK79" s="2073"/>
      <c r="DL79" s="2073"/>
      <c r="DM79" s="2074"/>
      <c r="DN79" s="2072"/>
      <c r="DO79" s="2073"/>
      <c r="DP79" s="2073"/>
      <c r="DQ79" s="2073"/>
      <c r="DR79" s="2074"/>
      <c r="DS79" s="500"/>
      <c r="DT79" s="335"/>
      <c r="DW79" s="203"/>
    </row>
    <row r="80" spans="1:155" s="320" customFormat="1" ht="35.1" customHeight="1">
      <c r="A80" s="318"/>
      <c r="B80" s="319"/>
      <c r="C80" s="316"/>
      <c r="D80" s="1923" t="str">
        <f ca="1">INDIRECT($J$4&amp;"!C78")</f>
        <v>Measures for continuing delivery</v>
      </c>
      <c r="E80" s="1924"/>
      <c r="F80" s="1924"/>
      <c r="G80" s="1924"/>
      <c r="H80" s="1924"/>
      <c r="I80" s="1924"/>
      <c r="J80" s="1925"/>
      <c r="K80" s="316"/>
      <c r="L80" s="1032"/>
      <c r="M80" s="1032"/>
      <c r="N80" s="1032"/>
      <c r="O80" s="1032"/>
      <c r="P80" s="1032"/>
      <c r="Q80" s="1032"/>
      <c r="R80" s="1032"/>
      <c r="S80" s="313"/>
      <c r="T80" s="1044"/>
      <c r="U80" s="1044"/>
      <c r="V80" s="1044"/>
      <c r="W80" s="1044"/>
      <c r="X80" s="1044"/>
      <c r="Y80" s="1044"/>
      <c r="Z80" s="1044"/>
      <c r="AA80" s="1044"/>
      <c r="AB80" s="1044"/>
      <c r="AC80" s="1044"/>
      <c r="AD80" s="1044"/>
      <c r="AE80" s="1044"/>
      <c r="AF80" s="1044"/>
      <c r="AG80" s="1044"/>
      <c r="AH80" s="1044"/>
      <c r="AI80" s="1044"/>
      <c r="AJ80" s="1044"/>
      <c r="AK80" s="1044"/>
      <c r="AL80" s="1044"/>
      <c r="AM80" s="1044"/>
      <c r="AN80" s="1044"/>
      <c r="AO80" s="1122"/>
      <c r="AP80" s="1122"/>
      <c r="AQ80" s="1122"/>
      <c r="AR80" s="1122"/>
      <c r="AS80" s="1122"/>
      <c r="AT80" s="1122"/>
      <c r="AU80" s="1123"/>
      <c r="AV80" s="1122"/>
      <c r="AW80" s="1122"/>
      <c r="AX80" s="1122"/>
      <c r="AY80" s="1122"/>
      <c r="AZ80" s="1122"/>
      <c r="BA80" s="1122"/>
      <c r="BB80" s="1123"/>
      <c r="BC80" s="2193"/>
      <c r="BD80" s="2193"/>
      <c r="BE80" s="2193"/>
      <c r="BF80" s="2193"/>
      <c r="BG80" s="2193"/>
      <c r="BH80" s="2193"/>
      <c r="BI80" s="2193"/>
      <c r="BJ80" s="2193"/>
      <c r="BK80" s="2193"/>
      <c r="BL80" s="368"/>
      <c r="BM80" s="1910"/>
      <c r="BN80" s="1911"/>
      <c r="BO80" s="1911"/>
      <c r="BP80" s="1911"/>
      <c r="BQ80" s="1911"/>
      <c r="BR80" s="1911"/>
      <c r="BS80" s="1911"/>
      <c r="BT80" s="1911"/>
      <c r="BU80" s="1911"/>
      <c r="BV80" s="1911"/>
      <c r="BW80" s="1911"/>
      <c r="BX80" s="1911"/>
      <c r="BY80" s="1911"/>
      <c r="BZ80" s="1911"/>
      <c r="CA80" s="1912"/>
      <c r="CB80" s="2194" t="str">
        <f>'Risk assesment (for D3 &amp; D5)'!AO22</f>
        <v/>
      </c>
      <c r="CC80" s="2194"/>
      <c r="CD80" s="2194"/>
      <c r="CE80" s="2194"/>
      <c r="CF80" s="2009"/>
      <c r="CG80" s="2009"/>
      <c r="CH80" s="2009"/>
      <c r="CI80" s="2009"/>
      <c r="CJ80" s="2009"/>
      <c r="CK80" s="2009"/>
      <c r="CL80" s="2009"/>
      <c r="CM80" s="2009"/>
      <c r="CN80" s="2009"/>
      <c r="CO80" s="2009"/>
      <c r="CP80" s="2009"/>
      <c r="CQ80" s="798"/>
      <c r="CR80" s="2078"/>
      <c r="CS80" s="2078"/>
      <c r="CT80" s="2078"/>
      <c r="CU80" s="2078"/>
      <c r="CV80" s="2078"/>
      <c r="CW80" s="2078"/>
      <c r="CX80" s="2078"/>
      <c r="CY80" s="2078"/>
      <c r="CZ80" s="2078"/>
      <c r="DA80" s="2078"/>
      <c r="DB80" s="2078"/>
      <c r="DC80" s="2075"/>
      <c r="DD80" s="2075"/>
      <c r="DE80" s="2075"/>
      <c r="DF80" s="2075"/>
      <c r="DG80" s="2075"/>
      <c r="DH80" s="2072"/>
      <c r="DI80" s="2073"/>
      <c r="DJ80" s="2073"/>
      <c r="DK80" s="2073"/>
      <c r="DL80" s="2073"/>
      <c r="DM80" s="2074"/>
      <c r="DN80" s="2072"/>
      <c r="DO80" s="2073"/>
      <c r="DP80" s="2073"/>
      <c r="DQ80" s="2073"/>
      <c r="DR80" s="2074"/>
      <c r="DS80" s="500"/>
      <c r="DT80" s="335"/>
      <c r="DW80" s="203"/>
    </row>
    <row r="81" spans="1:136" s="320" customFormat="1" ht="35.1" customHeight="1">
      <c r="A81" s="318"/>
      <c r="B81" s="319"/>
      <c r="C81" s="316"/>
      <c r="D81" s="1926"/>
      <c r="E81" s="1927"/>
      <c r="F81" s="1927"/>
      <c r="G81" s="1927"/>
      <c r="H81" s="1927"/>
      <c r="I81" s="1927"/>
      <c r="J81" s="1928"/>
      <c r="K81" s="316"/>
      <c r="L81" s="1032"/>
      <c r="M81" s="1032"/>
      <c r="N81" s="1032"/>
      <c r="O81" s="1032"/>
      <c r="P81" s="1032"/>
      <c r="Q81" s="1032"/>
      <c r="R81" s="1032"/>
      <c r="S81" s="313"/>
      <c r="T81" s="1044"/>
      <c r="U81" s="1044"/>
      <c r="V81" s="1044"/>
      <c r="W81" s="1044"/>
      <c r="X81" s="1044"/>
      <c r="Y81" s="1044"/>
      <c r="Z81" s="1044"/>
      <c r="AA81" s="1044"/>
      <c r="AB81" s="1044"/>
      <c r="AC81" s="1044"/>
      <c r="AD81" s="1044"/>
      <c r="AE81" s="1044"/>
      <c r="AF81" s="1044"/>
      <c r="AG81" s="1044"/>
      <c r="AH81" s="1044"/>
      <c r="AI81" s="1044"/>
      <c r="AJ81" s="1044"/>
      <c r="AK81" s="1044"/>
      <c r="AL81" s="1044"/>
      <c r="AM81" s="1044"/>
      <c r="AN81" s="1044"/>
      <c r="AO81" s="1122"/>
      <c r="AP81" s="1122"/>
      <c r="AQ81" s="1122"/>
      <c r="AR81" s="1122"/>
      <c r="AS81" s="1122"/>
      <c r="AT81" s="1122"/>
      <c r="AU81" s="1123"/>
      <c r="AV81" s="1122"/>
      <c r="AW81" s="1122"/>
      <c r="AX81" s="1122"/>
      <c r="AY81" s="1122"/>
      <c r="AZ81" s="1122"/>
      <c r="BA81" s="1122"/>
      <c r="BB81" s="1123"/>
      <c r="BC81" s="2193"/>
      <c r="BD81" s="2193"/>
      <c r="BE81" s="2193"/>
      <c r="BF81" s="2193"/>
      <c r="BG81" s="2193"/>
      <c r="BH81" s="2193"/>
      <c r="BI81" s="2193"/>
      <c r="BJ81" s="2193"/>
      <c r="BK81" s="2193"/>
      <c r="BL81" s="368"/>
      <c r="BM81" s="1910"/>
      <c r="BN81" s="1911"/>
      <c r="BO81" s="1911"/>
      <c r="BP81" s="1911"/>
      <c r="BQ81" s="1911"/>
      <c r="BR81" s="1911"/>
      <c r="BS81" s="1911"/>
      <c r="BT81" s="1911"/>
      <c r="BU81" s="1911"/>
      <c r="BV81" s="1911"/>
      <c r="BW81" s="1911"/>
      <c r="BX81" s="1911"/>
      <c r="BY81" s="1911"/>
      <c r="BZ81" s="1911"/>
      <c r="CA81" s="1912"/>
      <c r="CB81" s="2194" t="str">
        <f>'Risk assesment (for D3 &amp; D5)'!AO23</f>
        <v/>
      </c>
      <c r="CC81" s="2194"/>
      <c r="CD81" s="2194"/>
      <c r="CE81" s="2194"/>
      <c r="CF81" s="2009"/>
      <c r="CG81" s="2009"/>
      <c r="CH81" s="2009"/>
      <c r="CI81" s="2009"/>
      <c r="CJ81" s="2009"/>
      <c r="CK81" s="2009"/>
      <c r="CL81" s="2009"/>
      <c r="CM81" s="2009"/>
      <c r="CN81" s="2009"/>
      <c r="CO81" s="2009"/>
      <c r="CP81" s="2009"/>
      <c r="CQ81" s="798"/>
      <c r="CR81" s="2078"/>
      <c r="CS81" s="2078"/>
      <c r="CT81" s="2078"/>
      <c r="CU81" s="2078"/>
      <c r="CV81" s="2078"/>
      <c r="CW81" s="2078"/>
      <c r="CX81" s="2078"/>
      <c r="CY81" s="2078"/>
      <c r="CZ81" s="2078"/>
      <c r="DA81" s="2078"/>
      <c r="DB81" s="2078"/>
      <c r="DC81" s="2075"/>
      <c r="DD81" s="2075"/>
      <c r="DE81" s="2075"/>
      <c r="DF81" s="2075"/>
      <c r="DG81" s="2075"/>
      <c r="DH81" s="2072"/>
      <c r="DI81" s="2073"/>
      <c r="DJ81" s="2073"/>
      <c r="DK81" s="2073"/>
      <c r="DL81" s="2073"/>
      <c r="DM81" s="2074"/>
      <c r="DN81" s="2072"/>
      <c r="DO81" s="2073"/>
      <c r="DP81" s="2073"/>
      <c r="DQ81" s="2073"/>
      <c r="DR81" s="2074"/>
      <c r="DS81" s="500"/>
      <c r="DT81" s="335"/>
      <c r="DW81" s="203"/>
    </row>
    <row r="82" spans="1:136" s="320" customFormat="1" ht="35.1" customHeight="1">
      <c r="A82" s="318"/>
      <c r="B82" s="319"/>
      <c r="C82" s="316"/>
      <c r="D82" s="1929"/>
      <c r="E82" s="1930"/>
      <c r="F82" s="1930"/>
      <c r="G82" s="1930"/>
      <c r="H82" s="1930"/>
      <c r="I82" s="1930"/>
      <c r="J82" s="1931"/>
      <c r="K82" s="316"/>
      <c r="L82" s="1032"/>
      <c r="M82" s="1032"/>
      <c r="N82" s="1032"/>
      <c r="O82" s="1032"/>
      <c r="P82" s="1032"/>
      <c r="Q82" s="1032"/>
      <c r="R82" s="1032"/>
      <c r="S82" s="313"/>
      <c r="T82" s="1044"/>
      <c r="U82" s="1044"/>
      <c r="V82" s="1044"/>
      <c r="W82" s="1044"/>
      <c r="X82" s="1044"/>
      <c r="Y82" s="1044"/>
      <c r="Z82" s="1044"/>
      <c r="AA82" s="1044"/>
      <c r="AB82" s="1044"/>
      <c r="AC82" s="1044"/>
      <c r="AD82" s="1044"/>
      <c r="AE82" s="1044"/>
      <c r="AF82" s="1044"/>
      <c r="AG82" s="1044"/>
      <c r="AH82" s="1044"/>
      <c r="AI82" s="1044"/>
      <c r="AJ82" s="1044"/>
      <c r="AK82" s="1044"/>
      <c r="AL82" s="1044"/>
      <c r="AM82" s="1044"/>
      <c r="AN82" s="1044"/>
      <c r="AO82" s="1122"/>
      <c r="AP82" s="1122"/>
      <c r="AQ82" s="1122"/>
      <c r="AR82" s="1122"/>
      <c r="AS82" s="1122"/>
      <c r="AT82" s="1122"/>
      <c r="AU82" s="1123"/>
      <c r="AV82" s="1122"/>
      <c r="AW82" s="1122"/>
      <c r="AX82" s="1122"/>
      <c r="AY82" s="1122"/>
      <c r="AZ82" s="1122"/>
      <c r="BA82" s="1122"/>
      <c r="BB82" s="1123"/>
      <c r="BC82" s="2193"/>
      <c r="BD82" s="2193"/>
      <c r="BE82" s="2193"/>
      <c r="BF82" s="2193"/>
      <c r="BG82" s="2193"/>
      <c r="BH82" s="2193"/>
      <c r="BI82" s="2193"/>
      <c r="BJ82" s="2193"/>
      <c r="BK82" s="2193"/>
      <c r="BL82" s="368"/>
      <c r="BM82" s="1910"/>
      <c r="BN82" s="1911"/>
      <c r="BO82" s="1911"/>
      <c r="BP82" s="1911"/>
      <c r="BQ82" s="1911"/>
      <c r="BR82" s="1911"/>
      <c r="BS82" s="1911"/>
      <c r="BT82" s="1911"/>
      <c r="BU82" s="1911"/>
      <c r="BV82" s="1911"/>
      <c r="BW82" s="1911"/>
      <c r="BX82" s="1911"/>
      <c r="BY82" s="1911"/>
      <c r="BZ82" s="1911"/>
      <c r="CA82" s="1912"/>
      <c r="CB82" s="2194" t="str">
        <f>'Risk assesment (for D3 &amp; D5)'!AO24</f>
        <v/>
      </c>
      <c r="CC82" s="2194"/>
      <c r="CD82" s="2194"/>
      <c r="CE82" s="2194"/>
      <c r="CF82" s="2009"/>
      <c r="CG82" s="2009"/>
      <c r="CH82" s="2009"/>
      <c r="CI82" s="2009"/>
      <c r="CJ82" s="2009"/>
      <c r="CK82" s="2009"/>
      <c r="CL82" s="2009"/>
      <c r="CM82" s="2009"/>
      <c r="CN82" s="2009"/>
      <c r="CO82" s="2009"/>
      <c r="CP82" s="2009"/>
      <c r="CQ82" s="798"/>
      <c r="CR82" s="2078"/>
      <c r="CS82" s="2078"/>
      <c r="CT82" s="2078"/>
      <c r="CU82" s="2078"/>
      <c r="CV82" s="2078"/>
      <c r="CW82" s="2078"/>
      <c r="CX82" s="2078"/>
      <c r="CY82" s="2078"/>
      <c r="CZ82" s="2078"/>
      <c r="DA82" s="2078"/>
      <c r="DB82" s="2078"/>
      <c r="DC82" s="2075"/>
      <c r="DD82" s="2075"/>
      <c r="DE82" s="2075"/>
      <c r="DF82" s="2075"/>
      <c r="DG82" s="2075"/>
      <c r="DH82" s="2072"/>
      <c r="DI82" s="2073"/>
      <c r="DJ82" s="2073"/>
      <c r="DK82" s="2073"/>
      <c r="DL82" s="2073"/>
      <c r="DM82" s="2074"/>
      <c r="DN82" s="2072"/>
      <c r="DO82" s="2073"/>
      <c r="DP82" s="2073"/>
      <c r="DQ82" s="2073"/>
      <c r="DR82" s="2074"/>
      <c r="DS82" s="500"/>
      <c r="DT82" s="335"/>
      <c r="DW82" s="203"/>
    </row>
    <row r="83" spans="1:136" s="320" customFormat="1" ht="35.1" customHeight="1">
      <c r="A83" s="318"/>
      <c r="B83" s="319"/>
      <c r="C83" s="316"/>
      <c r="D83" s="1923" t="str">
        <f ca="1">INDIRECT($J$4&amp;"!C79")</f>
        <v>Measures for continuing Kroschu-production</v>
      </c>
      <c r="E83" s="1924"/>
      <c r="F83" s="1924"/>
      <c r="G83" s="1924"/>
      <c r="H83" s="1924"/>
      <c r="I83" s="1924"/>
      <c r="J83" s="1925"/>
      <c r="K83" s="316"/>
      <c r="L83" s="1032"/>
      <c r="M83" s="1032"/>
      <c r="N83" s="1032"/>
      <c r="O83" s="1032"/>
      <c r="P83" s="1032"/>
      <c r="Q83" s="1032"/>
      <c r="R83" s="1032"/>
      <c r="S83" s="313"/>
      <c r="T83" s="1044"/>
      <c r="U83" s="1044"/>
      <c r="V83" s="1044"/>
      <c r="W83" s="1044"/>
      <c r="X83" s="1044"/>
      <c r="Y83" s="1044"/>
      <c r="Z83" s="1044"/>
      <c r="AA83" s="1044"/>
      <c r="AB83" s="1044"/>
      <c r="AC83" s="1044"/>
      <c r="AD83" s="1044"/>
      <c r="AE83" s="1044"/>
      <c r="AF83" s="1044"/>
      <c r="AG83" s="1044"/>
      <c r="AH83" s="1044"/>
      <c r="AI83" s="1044"/>
      <c r="AJ83" s="1044"/>
      <c r="AK83" s="1044"/>
      <c r="AL83" s="1044"/>
      <c r="AM83" s="1044"/>
      <c r="AN83" s="1044"/>
      <c r="AO83" s="1122"/>
      <c r="AP83" s="1122"/>
      <c r="AQ83" s="1122"/>
      <c r="AR83" s="1122"/>
      <c r="AS83" s="1122"/>
      <c r="AT83" s="1122"/>
      <c r="AU83" s="1123"/>
      <c r="AV83" s="1122"/>
      <c r="AW83" s="1122"/>
      <c r="AX83" s="1122"/>
      <c r="AY83" s="1122"/>
      <c r="AZ83" s="1122"/>
      <c r="BA83" s="1122"/>
      <c r="BB83" s="1123"/>
      <c r="BC83" s="2193"/>
      <c r="BD83" s="2193"/>
      <c r="BE83" s="2193"/>
      <c r="BF83" s="2193"/>
      <c r="BG83" s="2193"/>
      <c r="BH83" s="2193"/>
      <c r="BI83" s="2193"/>
      <c r="BJ83" s="2193"/>
      <c r="BK83" s="2193"/>
      <c r="BL83" s="368"/>
      <c r="BM83" s="1910"/>
      <c r="BN83" s="1911"/>
      <c r="BO83" s="1911"/>
      <c r="BP83" s="1911"/>
      <c r="BQ83" s="1911"/>
      <c r="BR83" s="1911"/>
      <c r="BS83" s="1911"/>
      <c r="BT83" s="1911"/>
      <c r="BU83" s="1911"/>
      <c r="BV83" s="1911"/>
      <c r="BW83" s="1911"/>
      <c r="BX83" s="1911"/>
      <c r="BY83" s="1911"/>
      <c r="BZ83" s="1911"/>
      <c r="CA83" s="1912"/>
      <c r="CB83" s="2194" t="str">
        <f>'Risk assesment (for D3 &amp; D5)'!AO25</f>
        <v/>
      </c>
      <c r="CC83" s="2194"/>
      <c r="CD83" s="2194"/>
      <c r="CE83" s="2194"/>
      <c r="CF83" s="2009"/>
      <c r="CG83" s="2009"/>
      <c r="CH83" s="2009"/>
      <c r="CI83" s="2009"/>
      <c r="CJ83" s="2009"/>
      <c r="CK83" s="2009"/>
      <c r="CL83" s="2009"/>
      <c r="CM83" s="2009"/>
      <c r="CN83" s="2009"/>
      <c r="CO83" s="2009"/>
      <c r="CP83" s="2009"/>
      <c r="CQ83" s="798"/>
      <c r="CR83" s="2078"/>
      <c r="CS83" s="2078"/>
      <c r="CT83" s="2078"/>
      <c r="CU83" s="2078"/>
      <c r="CV83" s="2078"/>
      <c r="CW83" s="2078"/>
      <c r="CX83" s="2078"/>
      <c r="CY83" s="2078"/>
      <c r="CZ83" s="2078"/>
      <c r="DA83" s="2078"/>
      <c r="DB83" s="2078"/>
      <c r="DC83" s="2075"/>
      <c r="DD83" s="2075"/>
      <c r="DE83" s="2075"/>
      <c r="DF83" s="2075"/>
      <c r="DG83" s="2075"/>
      <c r="DH83" s="2072"/>
      <c r="DI83" s="2073"/>
      <c r="DJ83" s="2073"/>
      <c r="DK83" s="2073"/>
      <c r="DL83" s="2073"/>
      <c r="DM83" s="2074"/>
      <c r="DN83" s="2072"/>
      <c r="DO83" s="2073"/>
      <c r="DP83" s="2073"/>
      <c r="DQ83" s="2073"/>
      <c r="DR83" s="2074"/>
      <c r="DS83" s="500"/>
      <c r="DT83" s="335"/>
      <c r="DW83" s="203"/>
    </row>
    <row r="84" spans="1:136" s="320" customFormat="1" ht="35.1" customHeight="1">
      <c r="A84" s="318"/>
      <c r="B84" s="319"/>
      <c r="C84" s="316"/>
      <c r="D84" s="1926"/>
      <c r="E84" s="1927"/>
      <c r="F84" s="1927"/>
      <c r="G84" s="1927"/>
      <c r="H84" s="1927"/>
      <c r="I84" s="1927"/>
      <c r="J84" s="1928"/>
      <c r="K84" s="316"/>
      <c r="L84" s="1032"/>
      <c r="M84" s="1032"/>
      <c r="N84" s="1032"/>
      <c r="O84" s="1032"/>
      <c r="P84" s="1032"/>
      <c r="Q84" s="1032"/>
      <c r="R84" s="1032"/>
      <c r="S84" s="313"/>
      <c r="T84" s="1044"/>
      <c r="U84" s="1044"/>
      <c r="V84" s="1044"/>
      <c r="W84" s="1044"/>
      <c r="X84" s="1044"/>
      <c r="Y84" s="1044"/>
      <c r="Z84" s="1044"/>
      <c r="AA84" s="1044"/>
      <c r="AB84" s="1044"/>
      <c r="AC84" s="1044"/>
      <c r="AD84" s="1044"/>
      <c r="AE84" s="1044"/>
      <c r="AF84" s="1044"/>
      <c r="AG84" s="1044"/>
      <c r="AH84" s="1044"/>
      <c r="AI84" s="1044"/>
      <c r="AJ84" s="1044"/>
      <c r="AK84" s="1044"/>
      <c r="AL84" s="1044"/>
      <c r="AM84" s="1044"/>
      <c r="AN84" s="1044"/>
      <c r="AO84" s="1122"/>
      <c r="AP84" s="1122"/>
      <c r="AQ84" s="1122"/>
      <c r="AR84" s="1122"/>
      <c r="AS84" s="1122"/>
      <c r="AT84" s="1122"/>
      <c r="AU84" s="1123"/>
      <c r="AV84" s="1122"/>
      <c r="AW84" s="1122"/>
      <c r="AX84" s="1122"/>
      <c r="AY84" s="1122"/>
      <c r="AZ84" s="1122"/>
      <c r="BA84" s="1122"/>
      <c r="BB84" s="1123"/>
      <c r="BC84" s="2193"/>
      <c r="BD84" s="2193"/>
      <c r="BE84" s="2193"/>
      <c r="BF84" s="2193"/>
      <c r="BG84" s="2193"/>
      <c r="BH84" s="2193"/>
      <c r="BI84" s="2193"/>
      <c r="BJ84" s="2193"/>
      <c r="BK84" s="2193"/>
      <c r="BL84" s="368"/>
      <c r="BM84" s="1910"/>
      <c r="BN84" s="1911"/>
      <c r="BO84" s="1911"/>
      <c r="BP84" s="1911"/>
      <c r="BQ84" s="1911"/>
      <c r="BR84" s="1911"/>
      <c r="BS84" s="1911"/>
      <c r="BT84" s="1911"/>
      <c r="BU84" s="1911"/>
      <c r="BV84" s="1911"/>
      <c r="BW84" s="1911"/>
      <c r="BX84" s="1911"/>
      <c r="BY84" s="1911"/>
      <c r="BZ84" s="1911"/>
      <c r="CA84" s="1912"/>
      <c r="CB84" s="2194" t="str">
        <f>'Risk assesment (for D3 &amp; D5)'!AO26</f>
        <v/>
      </c>
      <c r="CC84" s="2194"/>
      <c r="CD84" s="2194"/>
      <c r="CE84" s="2194"/>
      <c r="CF84" s="2009"/>
      <c r="CG84" s="2009"/>
      <c r="CH84" s="2009"/>
      <c r="CI84" s="2009"/>
      <c r="CJ84" s="2009"/>
      <c r="CK84" s="2009"/>
      <c r="CL84" s="2009"/>
      <c r="CM84" s="2009"/>
      <c r="CN84" s="2009"/>
      <c r="CO84" s="2009"/>
      <c r="CP84" s="2009"/>
      <c r="CQ84" s="798"/>
      <c r="CR84" s="2078"/>
      <c r="CS84" s="2078"/>
      <c r="CT84" s="2078"/>
      <c r="CU84" s="2078"/>
      <c r="CV84" s="2078"/>
      <c r="CW84" s="2078"/>
      <c r="CX84" s="2078"/>
      <c r="CY84" s="2078"/>
      <c r="CZ84" s="2078"/>
      <c r="DA84" s="2078"/>
      <c r="DB84" s="2078"/>
      <c r="DC84" s="2075"/>
      <c r="DD84" s="2075"/>
      <c r="DE84" s="2075"/>
      <c r="DF84" s="2075"/>
      <c r="DG84" s="2075"/>
      <c r="DH84" s="2072"/>
      <c r="DI84" s="2073"/>
      <c r="DJ84" s="2073"/>
      <c r="DK84" s="2073"/>
      <c r="DL84" s="2073"/>
      <c r="DM84" s="2074"/>
      <c r="DN84" s="2072"/>
      <c r="DO84" s="2073"/>
      <c r="DP84" s="2073"/>
      <c r="DQ84" s="2073"/>
      <c r="DR84" s="2074"/>
      <c r="DS84" s="500"/>
      <c r="DT84" s="335"/>
      <c r="DW84" s="203"/>
    </row>
    <row r="85" spans="1:136" s="320" customFormat="1" ht="35.1" customHeight="1">
      <c r="A85" s="318"/>
      <c r="B85" s="319"/>
      <c r="C85" s="316"/>
      <c r="D85" s="1929"/>
      <c r="E85" s="1930"/>
      <c r="F85" s="1930"/>
      <c r="G85" s="1930"/>
      <c r="H85" s="1930"/>
      <c r="I85" s="1930"/>
      <c r="J85" s="1931"/>
      <c r="K85" s="316"/>
      <c r="L85" s="1032"/>
      <c r="M85" s="1032"/>
      <c r="N85" s="1032"/>
      <c r="O85" s="1032"/>
      <c r="P85" s="1032"/>
      <c r="Q85" s="1032"/>
      <c r="R85" s="1032"/>
      <c r="S85" s="313"/>
      <c r="T85" s="1044"/>
      <c r="U85" s="1044"/>
      <c r="V85" s="1044"/>
      <c r="W85" s="1044"/>
      <c r="X85" s="1044"/>
      <c r="Y85" s="1044"/>
      <c r="Z85" s="1044"/>
      <c r="AA85" s="1044"/>
      <c r="AB85" s="1044"/>
      <c r="AC85" s="1044"/>
      <c r="AD85" s="1044"/>
      <c r="AE85" s="1044"/>
      <c r="AF85" s="1044"/>
      <c r="AG85" s="1044"/>
      <c r="AH85" s="1044"/>
      <c r="AI85" s="1044"/>
      <c r="AJ85" s="1044"/>
      <c r="AK85" s="1044"/>
      <c r="AL85" s="1044"/>
      <c r="AM85" s="1044"/>
      <c r="AN85" s="1044"/>
      <c r="AO85" s="1122"/>
      <c r="AP85" s="1122"/>
      <c r="AQ85" s="1122"/>
      <c r="AR85" s="1122"/>
      <c r="AS85" s="1122"/>
      <c r="AT85" s="1122"/>
      <c r="AU85" s="1123"/>
      <c r="AV85" s="1122"/>
      <c r="AW85" s="1122"/>
      <c r="AX85" s="1122"/>
      <c r="AY85" s="1122"/>
      <c r="AZ85" s="1122"/>
      <c r="BA85" s="1122"/>
      <c r="BB85" s="1123"/>
      <c r="BC85" s="2193"/>
      <c r="BD85" s="2193"/>
      <c r="BE85" s="2193"/>
      <c r="BF85" s="2193"/>
      <c r="BG85" s="2193"/>
      <c r="BH85" s="2193"/>
      <c r="BI85" s="2193"/>
      <c r="BJ85" s="2193"/>
      <c r="BK85" s="2193"/>
      <c r="BL85" s="368"/>
      <c r="BM85" s="1910"/>
      <c r="BN85" s="1911"/>
      <c r="BO85" s="1911"/>
      <c r="BP85" s="1911"/>
      <c r="BQ85" s="1911"/>
      <c r="BR85" s="1911"/>
      <c r="BS85" s="1911"/>
      <c r="BT85" s="1911"/>
      <c r="BU85" s="1911"/>
      <c r="BV85" s="1911"/>
      <c r="BW85" s="1911"/>
      <c r="BX85" s="1911"/>
      <c r="BY85" s="1911"/>
      <c r="BZ85" s="1911"/>
      <c r="CA85" s="1912"/>
      <c r="CB85" s="2194" t="str">
        <f>'Risk assesment (for D3 &amp; D5)'!AO27</f>
        <v/>
      </c>
      <c r="CC85" s="2194"/>
      <c r="CD85" s="2194"/>
      <c r="CE85" s="2194"/>
      <c r="CF85" s="2009"/>
      <c r="CG85" s="2009"/>
      <c r="CH85" s="2009"/>
      <c r="CI85" s="2009"/>
      <c r="CJ85" s="2009"/>
      <c r="CK85" s="2009"/>
      <c r="CL85" s="2009"/>
      <c r="CM85" s="2009"/>
      <c r="CN85" s="2009"/>
      <c r="CO85" s="2009"/>
      <c r="CP85" s="2009"/>
      <c r="CQ85" s="798"/>
      <c r="CR85" s="2078"/>
      <c r="CS85" s="2078"/>
      <c r="CT85" s="2078"/>
      <c r="CU85" s="2078"/>
      <c r="CV85" s="2078"/>
      <c r="CW85" s="2078"/>
      <c r="CX85" s="2078"/>
      <c r="CY85" s="2078"/>
      <c r="CZ85" s="2078"/>
      <c r="DA85" s="2078"/>
      <c r="DB85" s="2078"/>
      <c r="DC85" s="2075"/>
      <c r="DD85" s="2075"/>
      <c r="DE85" s="2075"/>
      <c r="DF85" s="2075"/>
      <c r="DG85" s="2075"/>
      <c r="DH85" s="2072"/>
      <c r="DI85" s="2073"/>
      <c r="DJ85" s="2073"/>
      <c r="DK85" s="2073"/>
      <c r="DL85" s="2073"/>
      <c r="DM85" s="2074"/>
      <c r="DN85" s="2072"/>
      <c r="DO85" s="2073"/>
      <c r="DP85" s="2073"/>
      <c r="DQ85" s="2073"/>
      <c r="DR85" s="2074"/>
      <c r="DS85" s="500"/>
      <c r="DT85" s="335"/>
      <c r="DW85" s="203"/>
    </row>
    <row r="86" spans="1:136" s="320" customFormat="1" ht="6" customHeight="1">
      <c r="A86" s="318"/>
      <c r="B86" s="319"/>
      <c r="C86" s="316"/>
      <c r="D86" s="55"/>
      <c r="E86" s="55"/>
      <c r="F86" s="55"/>
      <c r="G86" s="55"/>
      <c r="H86" s="55"/>
      <c r="I86" s="55"/>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55"/>
      <c r="AU86" s="55"/>
      <c r="AV86" s="55"/>
      <c r="AW86" s="55"/>
      <c r="AX86" s="55"/>
      <c r="AY86" s="55"/>
      <c r="AZ86" s="55"/>
      <c r="BA86" s="55"/>
      <c r="BB86" s="55"/>
      <c r="BC86" s="55"/>
      <c r="BD86" s="55"/>
      <c r="BE86" s="55"/>
      <c r="BF86" s="55"/>
      <c r="BG86" s="55"/>
      <c r="BH86" s="55"/>
      <c r="BI86" s="55"/>
      <c r="BJ86" s="55"/>
      <c r="BK86" s="55"/>
      <c r="BL86" s="55"/>
      <c r="BM86" s="55"/>
      <c r="BN86" s="55"/>
      <c r="BO86" s="55"/>
      <c r="BP86" s="55"/>
      <c r="BQ86" s="55"/>
      <c r="BR86" s="55"/>
      <c r="BS86" s="55"/>
      <c r="BT86" s="55"/>
      <c r="BU86" s="55"/>
      <c r="BV86" s="55"/>
      <c r="BW86" s="55"/>
      <c r="BX86" s="55"/>
      <c r="BY86" s="55"/>
      <c r="BZ86" s="55"/>
      <c r="CA86" s="55"/>
      <c r="CB86" s="55"/>
      <c r="CC86" s="55"/>
      <c r="CD86" s="55"/>
      <c r="CE86" s="55"/>
      <c r="CF86" s="55"/>
      <c r="CG86" s="55"/>
      <c r="CH86" s="55"/>
      <c r="CI86" s="55"/>
      <c r="CJ86" s="55"/>
      <c r="CK86" s="55"/>
      <c r="CL86" s="55"/>
      <c r="CM86" s="55"/>
      <c r="CN86" s="55"/>
      <c r="CO86" s="55"/>
      <c r="CP86" s="55"/>
      <c r="CQ86" s="55"/>
      <c r="CR86" s="55"/>
      <c r="CS86" s="55"/>
      <c r="CT86" s="55"/>
      <c r="CU86" s="55"/>
      <c r="CV86" s="55"/>
      <c r="CW86" s="55"/>
      <c r="CX86" s="55"/>
      <c r="CY86" s="55"/>
      <c r="CZ86" s="55"/>
      <c r="DA86" s="55"/>
      <c r="DB86" s="55"/>
      <c r="DC86" s="55"/>
      <c r="DD86" s="55"/>
      <c r="DE86" s="55"/>
      <c r="DF86" s="55"/>
      <c r="DG86" s="55"/>
      <c r="DH86" s="55"/>
      <c r="DI86" s="55"/>
      <c r="DJ86" s="55"/>
      <c r="DK86" s="55"/>
      <c r="DL86" s="55"/>
      <c r="DM86" s="55"/>
      <c r="DN86" s="55"/>
      <c r="DO86" s="55"/>
      <c r="DP86" s="55"/>
      <c r="DQ86" s="55"/>
      <c r="DR86" s="55"/>
      <c r="DS86" s="500"/>
      <c r="DT86" s="335"/>
      <c r="DW86" s="203"/>
      <c r="DX86" s="203"/>
      <c r="DY86" s="203"/>
      <c r="DZ86" s="203"/>
      <c r="EA86" s="203"/>
      <c r="EB86" s="203"/>
      <c r="EC86" s="203"/>
      <c r="ED86" s="202"/>
      <c r="EE86" s="202"/>
      <c r="EF86" s="204"/>
    </row>
    <row r="87" spans="1:136" s="320" customFormat="1" ht="30" customHeight="1">
      <c r="A87" s="318"/>
      <c r="B87" s="319"/>
      <c r="C87" s="316"/>
      <c r="D87" s="2186" t="str">
        <f ca="1">INDIRECT($J$4&amp;"!C85")</f>
        <v>Sorting actions</v>
      </c>
      <c r="E87" s="2186"/>
      <c r="F87" s="55"/>
      <c r="G87" s="55"/>
      <c r="H87" s="1105" t="str">
        <f ca="1">INDIRECT($J$4&amp;"!C73")</f>
        <v>delivered to the customer</v>
      </c>
      <c r="I87" s="1105"/>
      <c r="J87" s="1105"/>
      <c r="K87" s="1105"/>
      <c r="L87" s="1105"/>
      <c r="M87" s="1105"/>
      <c r="N87" s="1105"/>
      <c r="O87" s="1105"/>
      <c r="P87" s="1105"/>
      <c r="Q87" s="1105"/>
      <c r="R87" s="1105"/>
      <c r="S87" s="1105"/>
      <c r="T87" s="1105"/>
      <c r="U87" s="1105"/>
      <c r="V87" s="1105"/>
      <c r="W87" s="1105"/>
      <c r="X87" s="1105"/>
      <c r="Y87" s="1105"/>
      <c r="Z87" s="1105"/>
      <c r="AA87" s="1105"/>
      <c r="AB87" s="1105"/>
      <c r="AC87" s="1105"/>
      <c r="AD87" s="1105"/>
      <c r="AE87" s="1105"/>
      <c r="AF87" s="1105"/>
      <c r="AG87" s="1105"/>
      <c r="AH87" s="1105"/>
      <c r="AI87" s="1105"/>
      <c r="AJ87" s="1105"/>
      <c r="AK87" s="1105"/>
      <c r="AL87" s="1105"/>
      <c r="AM87" s="1105"/>
      <c r="AN87" s="1105"/>
      <c r="AO87" s="1105"/>
      <c r="AP87" s="1105"/>
      <c r="AQ87" s="1105"/>
      <c r="AR87" s="1105"/>
      <c r="AS87" s="411"/>
      <c r="AT87" s="128"/>
      <c r="AU87" s="1105" t="str">
        <f ca="1">INDIRECT($J$4&amp;"!C74")</f>
        <v>on transit</v>
      </c>
      <c r="AV87" s="1105"/>
      <c r="AW87" s="1105"/>
      <c r="AX87" s="1105"/>
      <c r="AY87" s="1105"/>
      <c r="AZ87" s="1105"/>
      <c r="BA87" s="1105"/>
      <c r="BB87" s="1105"/>
      <c r="BC87" s="1105"/>
      <c r="BD87" s="1105"/>
      <c r="BE87" s="1105"/>
      <c r="BF87" s="1105"/>
      <c r="BG87" s="1105"/>
      <c r="BH87" s="1105"/>
      <c r="BI87" s="1105"/>
      <c r="BJ87" s="1105"/>
      <c r="BK87" s="1105"/>
      <c r="BL87" s="1105"/>
      <c r="BM87" s="1105"/>
      <c r="BN87" s="1105"/>
      <c r="BO87" s="1105"/>
      <c r="BP87" s="1105"/>
      <c r="BQ87" s="1105"/>
      <c r="BR87" s="1105"/>
      <c r="BS87" s="1105"/>
      <c r="BT87" s="1105"/>
      <c r="BU87" s="1105"/>
      <c r="BV87" s="1105"/>
      <c r="BW87" s="1105"/>
      <c r="BX87" s="1105"/>
      <c r="BY87" s="1105"/>
      <c r="BZ87" s="1105"/>
      <c r="CA87" s="1105"/>
      <c r="CB87" s="1105"/>
      <c r="CC87" s="1105"/>
      <c r="CD87" s="1105"/>
      <c r="CE87" s="1105"/>
      <c r="CF87" s="415"/>
      <c r="CG87" s="128"/>
      <c r="CH87" s="1105" t="str">
        <f ca="1">INDIRECT($J$4&amp;"!C75")</f>
        <v>at Kroschu</v>
      </c>
      <c r="CI87" s="1105"/>
      <c r="CJ87" s="1105"/>
      <c r="CK87" s="1105"/>
      <c r="CL87" s="1105"/>
      <c r="CM87" s="1105"/>
      <c r="CN87" s="1105"/>
      <c r="CO87" s="1105"/>
      <c r="CP87" s="1105"/>
      <c r="CQ87" s="1105"/>
      <c r="CR87" s="1105"/>
      <c r="CS87" s="1105"/>
      <c r="CT87" s="1105"/>
      <c r="CU87" s="1105"/>
      <c r="CV87" s="1105"/>
      <c r="CW87" s="1105"/>
      <c r="CX87" s="1105"/>
      <c r="CY87" s="1105"/>
      <c r="CZ87" s="1105"/>
      <c r="DA87" s="1105"/>
      <c r="DB87" s="1105"/>
      <c r="DC87" s="1105"/>
      <c r="DD87" s="1105"/>
      <c r="DE87" s="1105"/>
      <c r="DF87" s="1105"/>
      <c r="DG87" s="1105"/>
      <c r="DH87" s="1105"/>
      <c r="DI87" s="1105"/>
      <c r="DJ87" s="1105"/>
      <c r="DK87" s="1105"/>
      <c r="DL87" s="1105"/>
      <c r="DM87" s="1105"/>
      <c r="DN87" s="1105"/>
      <c r="DO87" s="1105"/>
      <c r="DP87" s="1105"/>
      <c r="DQ87" s="1105"/>
      <c r="DR87" s="1105"/>
      <c r="DS87" s="55"/>
      <c r="DT87" s="335"/>
      <c r="DW87" s="203"/>
    </row>
    <row r="88" spans="1:136" s="320" customFormat="1" ht="6" customHeight="1">
      <c r="A88" s="318"/>
      <c r="B88" s="319"/>
      <c r="C88" s="316"/>
      <c r="D88" s="2186"/>
      <c r="E88" s="2186"/>
      <c r="F88" s="365"/>
      <c r="G88" s="365"/>
      <c r="H88" s="365"/>
      <c r="I88" s="378"/>
      <c r="J88" s="378"/>
      <c r="K88" s="378"/>
      <c r="L88" s="378"/>
      <c r="M88" s="190"/>
      <c r="N88" s="190"/>
      <c r="O88" s="190"/>
      <c r="P88" s="190"/>
      <c r="Q88" s="190"/>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378"/>
      <c r="AR88" s="378"/>
      <c r="AS88" s="411"/>
      <c r="AT88" s="365"/>
      <c r="AU88" s="365"/>
      <c r="AV88" s="378"/>
      <c r="AW88" s="378"/>
      <c r="AX88" s="378"/>
      <c r="AY88" s="378"/>
      <c r="AZ88" s="190"/>
      <c r="BA88" s="190"/>
      <c r="BB88" s="190"/>
      <c r="BC88" s="190"/>
      <c r="BD88" s="190"/>
      <c r="BE88" s="190"/>
      <c r="BF88" s="190"/>
      <c r="BG88" s="190"/>
      <c r="BH88" s="190"/>
      <c r="BI88" s="190"/>
      <c r="BJ88" s="190"/>
      <c r="BK88" s="190"/>
      <c r="BL88" s="190"/>
      <c r="BM88" s="190"/>
      <c r="BN88" s="190"/>
      <c r="BO88" s="190"/>
      <c r="BP88" s="190"/>
      <c r="BQ88" s="190"/>
      <c r="BR88" s="190"/>
      <c r="BS88" s="190"/>
      <c r="BT88" s="190"/>
      <c r="BU88" s="190"/>
      <c r="BV88" s="190"/>
      <c r="BW88" s="190"/>
      <c r="BX88" s="190"/>
      <c r="BY88" s="190"/>
      <c r="BZ88" s="190"/>
      <c r="CA88" s="190"/>
      <c r="CB88" s="190"/>
      <c r="CC88" s="190"/>
      <c r="CD88" s="190"/>
      <c r="CE88" s="190"/>
      <c r="CF88" s="190"/>
      <c r="CG88" s="365"/>
      <c r="CH88" s="365"/>
      <c r="CI88" s="378"/>
      <c r="CJ88" s="378"/>
      <c r="CK88" s="378"/>
      <c r="CL88" s="378"/>
      <c r="CM88" s="190"/>
      <c r="CN88" s="190"/>
      <c r="CO88" s="190"/>
      <c r="CP88" s="190"/>
      <c r="CQ88" s="190"/>
      <c r="CR88" s="190"/>
      <c r="CS88" s="190"/>
      <c r="CT88" s="190"/>
      <c r="CU88" s="190"/>
      <c r="CV88" s="190"/>
      <c r="CW88" s="190"/>
      <c r="CX88" s="190"/>
      <c r="CY88" s="190"/>
      <c r="CZ88" s="190"/>
      <c r="DA88" s="190"/>
      <c r="DB88" s="190"/>
      <c r="DC88" s="190"/>
      <c r="DD88" s="190"/>
      <c r="DE88" s="190"/>
      <c r="DF88" s="190"/>
      <c r="DG88" s="190"/>
      <c r="DH88" s="190"/>
      <c r="DI88" s="190"/>
      <c r="DJ88" s="190"/>
      <c r="DK88" s="190"/>
      <c r="DL88" s="190"/>
      <c r="DM88" s="190"/>
      <c r="DN88" s="190"/>
      <c r="DO88" s="190"/>
      <c r="DP88" s="190"/>
      <c r="DQ88" s="190"/>
      <c r="DR88" s="190"/>
      <c r="DS88" s="55"/>
      <c r="DT88" s="335"/>
      <c r="DW88" s="203"/>
    </row>
    <row r="89" spans="1:136" s="320" customFormat="1" ht="30" customHeight="1">
      <c r="A89" s="318"/>
      <c r="B89" s="319"/>
      <c r="C89" s="316"/>
      <c r="D89" s="2186"/>
      <c r="E89" s="2186"/>
      <c r="F89" s="365"/>
      <c r="G89" s="365"/>
      <c r="H89" s="1069" t="str">
        <f ca="1">INDIRECT($J$4&amp;"!C85")</f>
        <v>Sorting actions</v>
      </c>
      <c r="I89" s="1069"/>
      <c r="J89" s="1069"/>
      <c r="K89" s="1069"/>
      <c r="L89" s="1069"/>
      <c r="M89" s="1069"/>
      <c r="N89" s="1069"/>
      <c r="O89" s="1069"/>
      <c r="P89" s="1069"/>
      <c r="Q89" s="1069"/>
      <c r="R89" s="1069"/>
      <c r="S89" s="1069"/>
      <c r="T89" s="1069"/>
      <c r="U89" s="1069"/>
      <c r="V89" s="1069"/>
      <c r="W89" s="1069"/>
      <c r="X89" s="1069"/>
      <c r="Y89" s="1069"/>
      <c r="Z89" s="1069"/>
      <c r="AA89" s="1069"/>
      <c r="AB89" s="365"/>
      <c r="AC89" s="365"/>
      <c r="AD89" s="1087"/>
      <c r="AE89" s="1088"/>
      <c r="AF89" s="1088"/>
      <c r="AG89" s="1089"/>
      <c r="AH89" s="365"/>
      <c r="AI89" s="365"/>
      <c r="AJ89" s="365"/>
      <c r="AK89" s="365"/>
      <c r="AL89" s="365"/>
      <c r="AM89" s="365"/>
      <c r="AN89" s="365"/>
      <c r="AO89" s="365"/>
      <c r="AP89" s="365"/>
      <c r="AQ89" s="365"/>
      <c r="AR89" s="365"/>
      <c r="AS89" s="365"/>
      <c r="AT89" s="365"/>
      <c r="AU89" s="998" t="str">
        <f ca="1">INDIRECT($J$4&amp;"!C85")</f>
        <v>Sorting actions</v>
      </c>
      <c r="AV89" s="998"/>
      <c r="AW89" s="998"/>
      <c r="AX89" s="998"/>
      <c r="AY89" s="998"/>
      <c r="AZ89" s="365"/>
      <c r="BA89" s="365"/>
      <c r="BB89" s="365"/>
      <c r="BC89" s="365"/>
      <c r="BD89" s="365"/>
      <c r="BE89" s="365"/>
      <c r="BF89" s="365"/>
      <c r="BG89" s="365"/>
      <c r="BH89" s="365"/>
      <c r="BI89" s="365"/>
      <c r="BJ89" s="998"/>
      <c r="BK89" s="365"/>
      <c r="BL89" s="365"/>
      <c r="BM89" s="365"/>
      <c r="BN89" s="365"/>
      <c r="BO89" s="365"/>
      <c r="BP89" s="558"/>
      <c r="BQ89" s="1087"/>
      <c r="BR89" s="1088"/>
      <c r="BS89" s="1088"/>
      <c r="BT89" s="1089"/>
      <c r="BU89" s="365"/>
      <c r="BV89" s="365"/>
      <c r="BW89" s="365"/>
      <c r="BX89" s="365"/>
      <c r="BY89" s="365"/>
      <c r="BZ89" s="365"/>
      <c r="CA89" s="365"/>
      <c r="CB89" s="365"/>
      <c r="CC89" s="365"/>
      <c r="CD89" s="365"/>
      <c r="CE89" s="365"/>
      <c r="CF89" s="365"/>
      <c r="CG89" s="365"/>
      <c r="CH89" s="1000" t="str">
        <f ca="1">INDIRECT($J$4&amp;"!C85")</f>
        <v>Sorting actions</v>
      </c>
      <c r="CI89" s="365"/>
      <c r="CJ89" s="365"/>
      <c r="CK89" s="365"/>
      <c r="CL89" s="365"/>
      <c r="CM89" s="365"/>
      <c r="CN89" s="365"/>
      <c r="CO89" s="365"/>
      <c r="CP89" s="365"/>
      <c r="CQ89" s="365"/>
      <c r="CR89" s="365"/>
      <c r="CS89" s="365"/>
      <c r="CT89" s="365"/>
      <c r="CU89" s="365"/>
      <c r="CV89" s="365"/>
      <c r="CW89" s="365"/>
      <c r="CX89" s="365"/>
      <c r="CY89" s="365"/>
      <c r="CZ89" s="365"/>
      <c r="DA89" s="365"/>
      <c r="DB89" s="365"/>
      <c r="DC89" s="558"/>
      <c r="DD89" s="1087"/>
      <c r="DE89" s="1088"/>
      <c r="DF89" s="1088"/>
      <c r="DG89" s="1089"/>
      <c r="DH89" s="365"/>
      <c r="DI89" s="365"/>
      <c r="DJ89" s="365"/>
      <c r="DK89" s="365"/>
      <c r="DL89" s="365"/>
      <c r="DM89" s="365"/>
      <c r="DN89" s="365"/>
      <c r="DO89" s="365"/>
      <c r="DP89" s="1897"/>
      <c r="DQ89" s="1897"/>
      <c r="DR89" s="1897"/>
      <c r="DS89" s="55"/>
      <c r="DT89" s="335"/>
      <c r="DW89" s="203"/>
    </row>
    <row r="90" spans="1:136" s="320" customFormat="1" ht="6" customHeight="1">
      <c r="A90" s="318"/>
      <c r="B90" s="319"/>
      <c r="C90" s="316"/>
      <c r="D90" s="2186"/>
      <c r="E90" s="2186"/>
      <c r="F90" s="365"/>
      <c r="G90" s="365"/>
      <c r="H90" s="365"/>
      <c r="I90" s="365"/>
      <c r="J90" s="365"/>
      <c r="K90" s="365"/>
      <c r="L90" s="365"/>
      <c r="M90" s="365"/>
      <c r="N90" s="365"/>
      <c r="O90" s="365"/>
      <c r="P90" s="365"/>
      <c r="Q90" s="365"/>
      <c r="R90" s="365"/>
      <c r="S90" s="365"/>
      <c r="T90" s="365"/>
      <c r="U90" s="365"/>
      <c r="V90" s="365"/>
      <c r="W90" s="365"/>
      <c r="X90" s="365"/>
      <c r="Y90" s="365"/>
      <c r="Z90" s="365"/>
      <c r="AA90" s="365"/>
      <c r="AB90" s="365"/>
      <c r="AC90" s="365"/>
      <c r="AD90" s="365"/>
      <c r="AE90" s="365"/>
      <c r="AF90" s="365"/>
      <c r="AG90" s="365"/>
      <c r="AH90" s="365"/>
      <c r="AI90" s="365"/>
      <c r="AJ90" s="365"/>
      <c r="AK90" s="365"/>
      <c r="AL90" s="365"/>
      <c r="AM90" s="365"/>
      <c r="AN90" s="365"/>
      <c r="AO90" s="365"/>
      <c r="AP90" s="365"/>
      <c r="AQ90" s="365"/>
      <c r="AR90" s="365"/>
      <c r="AS90" s="365"/>
      <c r="AT90" s="365"/>
      <c r="AU90" s="365"/>
      <c r="AV90" s="365"/>
      <c r="AW90" s="365"/>
      <c r="AX90" s="365"/>
      <c r="AY90" s="365"/>
      <c r="AZ90" s="365"/>
      <c r="BA90" s="365"/>
      <c r="BB90" s="365"/>
      <c r="BC90" s="365"/>
      <c r="BD90" s="365"/>
      <c r="BE90" s="365"/>
      <c r="BF90" s="365"/>
      <c r="BG90" s="365"/>
      <c r="BH90" s="365"/>
      <c r="BI90" s="365"/>
      <c r="BJ90" s="365"/>
      <c r="BK90" s="365"/>
      <c r="BL90" s="365"/>
      <c r="BM90" s="365"/>
      <c r="BN90" s="365"/>
      <c r="BO90" s="365"/>
      <c r="BP90" s="365"/>
      <c r="BQ90" s="365"/>
      <c r="BR90" s="365"/>
      <c r="BS90" s="365"/>
      <c r="BT90" s="365"/>
      <c r="BU90" s="365"/>
      <c r="BV90" s="365"/>
      <c r="BW90" s="365"/>
      <c r="BX90" s="365"/>
      <c r="BY90" s="365"/>
      <c r="BZ90" s="365"/>
      <c r="CA90" s="365"/>
      <c r="CB90" s="365"/>
      <c r="CC90" s="365"/>
      <c r="CD90" s="365"/>
      <c r="CE90" s="365"/>
      <c r="CF90" s="365"/>
      <c r="CG90" s="365"/>
      <c r="CH90" s="365"/>
      <c r="CI90" s="365"/>
      <c r="CJ90" s="365"/>
      <c r="CK90" s="365"/>
      <c r="CL90" s="365"/>
      <c r="CM90" s="365"/>
      <c r="CN90" s="365"/>
      <c r="CO90" s="365"/>
      <c r="CP90" s="365"/>
      <c r="CQ90" s="365"/>
      <c r="CR90" s="365"/>
      <c r="CS90" s="365"/>
      <c r="CT90" s="365"/>
      <c r="CU90" s="365"/>
      <c r="CV90" s="365"/>
      <c r="CW90" s="365"/>
      <c r="CX90" s="365"/>
      <c r="CY90" s="365"/>
      <c r="CZ90" s="365"/>
      <c r="DA90" s="365"/>
      <c r="DB90" s="365"/>
      <c r="DC90" s="365"/>
      <c r="DD90" s="365"/>
      <c r="DE90" s="365"/>
      <c r="DF90" s="365"/>
      <c r="DG90" s="365"/>
      <c r="DH90" s="365"/>
      <c r="DI90" s="365"/>
      <c r="DJ90" s="365"/>
      <c r="DK90" s="365"/>
      <c r="DL90" s="365"/>
      <c r="DM90" s="365"/>
      <c r="DN90" s="365"/>
      <c r="DO90" s="365"/>
      <c r="DP90" s="365"/>
      <c r="DQ90" s="365"/>
      <c r="DR90" s="365"/>
      <c r="DS90" s="55"/>
      <c r="DT90" s="335"/>
      <c r="DW90" s="203"/>
    </row>
    <row r="91" spans="1:136" s="320" customFormat="1" ht="15" customHeight="1">
      <c r="A91" s="318"/>
      <c r="B91" s="319"/>
      <c r="C91" s="316"/>
      <c r="D91" s="2186"/>
      <c r="E91" s="2186"/>
      <c r="F91" s="365"/>
      <c r="G91" s="365"/>
      <c r="H91" s="1922" t="str">
        <f ca="1">INDIRECT($J$4&amp;"!C86")</f>
        <v>Quantity sorted</v>
      </c>
      <c r="I91" s="1922"/>
      <c r="J91" s="1922"/>
      <c r="K91" s="1922"/>
      <c r="L91" s="1922"/>
      <c r="M91" s="1922"/>
      <c r="N91" s="1922"/>
      <c r="O91" s="1922"/>
      <c r="P91" s="1922"/>
      <c r="Q91" s="1922"/>
      <c r="R91" s="1922"/>
      <c r="S91" s="1922"/>
      <c r="T91" s="1922"/>
      <c r="U91" s="1922"/>
      <c r="V91" s="365"/>
      <c r="W91" s="365"/>
      <c r="X91" s="365"/>
      <c r="Y91" s="365"/>
      <c r="Z91" s="365"/>
      <c r="AA91" s="365"/>
      <c r="AB91" s="365"/>
      <c r="AC91" s="365"/>
      <c r="AD91" s="2187"/>
      <c r="AE91" s="2188"/>
      <c r="AF91" s="2188"/>
      <c r="AG91" s="2188"/>
      <c r="AH91" s="2188"/>
      <c r="AI91" s="2188"/>
      <c r="AJ91" s="2188"/>
      <c r="AK91" s="2188"/>
      <c r="AL91" s="2188"/>
      <c r="AM91" s="2188"/>
      <c r="AN91" s="2188"/>
      <c r="AO91" s="2188"/>
      <c r="AP91" s="2188"/>
      <c r="AQ91" s="2188"/>
      <c r="AR91" s="2189"/>
      <c r="AS91" s="365"/>
      <c r="AT91" s="365"/>
      <c r="AU91" s="1069" t="str">
        <f ca="1">INDIRECT($J$4&amp;"!C86")</f>
        <v>Quantity sorted</v>
      </c>
      <c r="AV91" s="1069"/>
      <c r="AW91" s="1069"/>
      <c r="AX91" s="1069"/>
      <c r="AY91" s="1069"/>
      <c r="AZ91" s="1069"/>
      <c r="BA91" s="1069"/>
      <c r="BB91" s="1069"/>
      <c r="BC91" s="1069"/>
      <c r="BD91" s="1069"/>
      <c r="BE91" s="1069"/>
      <c r="BF91" s="1069"/>
      <c r="BG91" s="1069"/>
      <c r="BH91" s="365"/>
      <c r="BI91" s="365"/>
      <c r="BJ91" s="365"/>
      <c r="BK91" s="365"/>
      <c r="BL91" s="365"/>
      <c r="BM91" s="365"/>
      <c r="BN91" s="365"/>
      <c r="BO91" s="365"/>
      <c r="BP91" s="365"/>
      <c r="BQ91" s="2187"/>
      <c r="BR91" s="2188"/>
      <c r="BS91" s="2188"/>
      <c r="BT91" s="2188"/>
      <c r="BU91" s="2188"/>
      <c r="BV91" s="2188"/>
      <c r="BW91" s="2188"/>
      <c r="BX91" s="2188"/>
      <c r="BY91" s="2188"/>
      <c r="BZ91" s="2188"/>
      <c r="CA91" s="2188"/>
      <c r="CB91" s="2188"/>
      <c r="CC91" s="2188"/>
      <c r="CD91" s="2188"/>
      <c r="CE91" s="2189"/>
      <c r="CF91" s="365"/>
      <c r="CG91" s="365"/>
      <c r="CH91" s="1069" t="str">
        <f ca="1">INDIRECT($J$4&amp;"!C86")</f>
        <v>Quantity sorted</v>
      </c>
      <c r="CI91" s="1069"/>
      <c r="CJ91" s="1069"/>
      <c r="CK91" s="1069"/>
      <c r="CL91" s="1069"/>
      <c r="CM91" s="1069"/>
      <c r="CN91" s="1069"/>
      <c r="CO91" s="1069"/>
      <c r="CP91" s="1069"/>
      <c r="CQ91" s="1069"/>
      <c r="CR91" s="1069"/>
      <c r="CS91" s="1069"/>
      <c r="CT91" s="1069"/>
      <c r="CU91" s="365"/>
      <c r="CV91" s="365"/>
      <c r="CW91" s="365"/>
      <c r="CX91" s="365"/>
      <c r="CY91" s="365"/>
      <c r="CZ91" s="365"/>
      <c r="DA91" s="365"/>
      <c r="DB91" s="365"/>
      <c r="DC91" s="365"/>
      <c r="DD91" s="2187"/>
      <c r="DE91" s="2188"/>
      <c r="DF91" s="2188"/>
      <c r="DG91" s="2188"/>
      <c r="DH91" s="2188"/>
      <c r="DI91" s="2188"/>
      <c r="DJ91" s="2188"/>
      <c r="DK91" s="2188"/>
      <c r="DL91" s="2188"/>
      <c r="DM91" s="2188"/>
      <c r="DN91" s="2188"/>
      <c r="DO91" s="2188"/>
      <c r="DP91" s="2188"/>
      <c r="DQ91" s="2188"/>
      <c r="DR91" s="2189"/>
      <c r="DS91" s="55"/>
      <c r="DT91" s="335"/>
      <c r="DW91" s="203"/>
    </row>
    <row r="92" spans="1:136" s="320" customFormat="1" ht="15" customHeight="1">
      <c r="A92" s="318"/>
      <c r="B92" s="319"/>
      <c r="C92" s="316"/>
      <c r="D92" s="2186"/>
      <c r="E92" s="2186"/>
      <c r="F92" s="365"/>
      <c r="G92" s="365"/>
      <c r="H92" s="1922"/>
      <c r="I92" s="1922"/>
      <c r="J92" s="1922"/>
      <c r="K92" s="1922"/>
      <c r="L92" s="1922"/>
      <c r="M92" s="1922"/>
      <c r="N92" s="1922"/>
      <c r="O92" s="1922"/>
      <c r="P92" s="1922"/>
      <c r="Q92" s="1922"/>
      <c r="R92" s="1922"/>
      <c r="S92" s="1922"/>
      <c r="T92" s="1922"/>
      <c r="U92" s="1922"/>
      <c r="V92" s="365"/>
      <c r="W92" s="365"/>
      <c r="X92" s="365"/>
      <c r="Y92" s="365"/>
      <c r="Z92" s="365"/>
      <c r="AA92" s="365"/>
      <c r="AB92" s="365"/>
      <c r="AC92" s="365"/>
      <c r="AD92" s="2190"/>
      <c r="AE92" s="2191"/>
      <c r="AF92" s="2191"/>
      <c r="AG92" s="2191"/>
      <c r="AH92" s="2191"/>
      <c r="AI92" s="2191"/>
      <c r="AJ92" s="2191"/>
      <c r="AK92" s="2191"/>
      <c r="AL92" s="2191"/>
      <c r="AM92" s="2191"/>
      <c r="AN92" s="2191"/>
      <c r="AO92" s="2191"/>
      <c r="AP92" s="2191"/>
      <c r="AQ92" s="2191"/>
      <c r="AR92" s="2192"/>
      <c r="AS92" s="365"/>
      <c r="AT92" s="365"/>
      <c r="AU92" s="1069"/>
      <c r="AV92" s="1069"/>
      <c r="AW92" s="1069"/>
      <c r="AX92" s="1069"/>
      <c r="AY92" s="1069"/>
      <c r="AZ92" s="1069"/>
      <c r="BA92" s="1069"/>
      <c r="BB92" s="1069"/>
      <c r="BC92" s="1069"/>
      <c r="BD92" s="1069"/>
      <c r="BE92" s="1069"/>
      <c r="BF92" s="1069"/>
      <c r="BG92" s="1069"/>
      <c r="BH92" s="365"/>
      <c r="BI92" s="365"/>
      <c r="BJ92" s="365"/>
      <c r="BK92" s="365"/>
      <c r="BL92" s="365"/>
      <c r="BM92" s="365"/>
      <c r="BN92" s="365"/>
      <c r="BO92" s="365"/>
      <c r="BP92" s="365"/>
      <c r="BQ92" s="2190"/>
      <c r="BR92" s="2191"/>
      <c r="BS92" s="2191"/>
      <c r="BT92" s="2191"/>
      <c r="BU92" s="2191"/>
      <c r="BV92" s="2191"/>
      <c r="BW92" s="2191"/>
      <c r="BX92" s="2191"/>
      <c r="BY92" s="2191"/>
      <c r="BZ92" s="2191"/>
      <c r="CA92" s="2191"/>
      <c r="CB92" s="2191"/>
      <c r="CC92" s="2191"/>
      <c r="CD92" s="2191"/>
      <c r="CE92" s="2192"/>
      <c r="CF92" s="365"/>
      <c r="CG92" s="365"/>
      <c r="CH92" s="1069"/>
      <c r="CI92" s="1069"/>
      <c r="CJ92" s="1069"/>
      <c r="CK92" s="1069"/>
      <c r="CL92" s="1069"/>
      <c r="CM92" s="1069"/>
      <c r="CN92" s="1069"/>
      <c r="CO92" s="1069"/>
      <c r="CP92" s="1069"/>
      <c r="CQ92" s="1069"/>
      <c r="CR92" s="1069"/>
      <c r="CS92" s="1069"/>
      <c r="CT92" s="1069"/>
      <c r="CU92" s="365"/>
      <c r="CV92" s="365"/>
      <c r="CW92" s="365"/>
      <c r="CX92" s="365"/>
      <c r="CY92" s="365"/>
      <c r="CZ92" s="365"/>
      <c r="DA92" s="365"/>
      <c r="DB92" s="365"/>
      <c r="DC92" s="365"/>
      <c r="DD92" s="2190"/>
      <c r="DE92" s="2191"/>
      <c r="DF92" s="2191"/>
      <c r="DG92" s="2191"/>
      <c r="DH92" s="2191"/>
      <c r="DI92" s="2191"/>
      <c r="DJ92" s="2191"/>
      <c r="DK92" s="2191"/>
      <c r="DL92" s="2191"/>
      <c r="DM92" s="2191"/>
      <c r="DN92" s="2191"/>
      <c r="DO92" s="2191"/>
      <c r="DP92" s="2191"/>
      <c r="DQ92" s="2191"/>
      <c r="DR92" s="2192"/>
      <c r="DS92" s="55"/>
      <c r="DT92" s="335"/>
      <c r="DW92" s="203"/>
    </row>
    <row r="93" spans="1:136" s="320" customFormat="1" ht="6" customHeight="1">
      <c r="A93" s="318"/>
      <c r="B93" s="319"/>
      <c r="C93" s="316"/>
      <c r="D93" s="2186"/>
      <c r="E93" s="2186"/>
      <c r="F93" s="365"/>
      <c r="G93" s="365"/>
      <c r="H93" s="365"/>
      <c r="I93" s="365"/>
      <c r="J93" s="365"/>
      <c r="K93" s="365"/>
      <c r="L93" s="365"/>
      <c r="M93" s="365"/>
      <c r="N93" s="365"/>
      <c r="O93" s="365"/>
      <c r="P93" s="365"/>
      <c r="Q93" s="365"/>
      <c r="R93" s="365"/>
      <c r="S93" s="365"/>
      <c r="T93" s="365"/>
      <c r="U93" s="365"/>
      <c r="V93" s="365"/>
      <c r="W93" s="365"/>
      <c r="X93" s="365"/>
      <c r="Y93" s="365"/>
      <c r="Z93" s="365"/>
      <c r="AA93" s="365"/>
      <c r="AB93" s="365"/>
      <c r="AC93" s="365"/>
      <c r="AD93" s="365"/>
      <c r="AE93" s="365"/>
      <c r="AF93" s="365"/>
      <c r="AG93" s="365"/>
      <c r="AH93" s="365"/>
      <c r="AI93" s="365"/>
      <c r="AJ93" s="365"/>
      <c r="AK93" s="365"/>
      <c r="AL93" s="365"/>
      <c r="AM93" s="365"/>
      <c r="AN93" s="365"/>
      <c r="AO93" s="365"/>
      <c r="AP93" s="365"/>
      <c r="AQ93" s="365"/>
      <c r="AR93" s="365"/>
      <c r="AS93" s="365"/>
      <c r="AT93" s="365"/>
      <c r="AU93" s="365"/>
      <c r="AV93" s="365"/>
      <c r="AW93" s="365"/>
      <c r="AX93" s="365"/>
      <c r="AY93" s="365"/>
      <c r="AZ93" s="365"/>
      <c r="BA93" s="365"/>
      <c r="BB93" s="365"/>
      <c r="BC93" s="365"/>
      <c r="BD93" s="365"/>
      <c r="BE93" s="365"/>
      <c r="BF93" s="365"/>
      <c r="BG93" s="365"/>
      <c r="BH93" s="365"/>
      <c r="BI93" s="365"/>
      <c r="BJ93" s="365"/>
      <c r="BK93" s="365"/>
      <c r="BL93" s="365"/>
      <c r="BM93" s="365"/>
      <c r="BN93" s="365"/>
      <c r="BO93" s="365"/>
      <c r="BP93" s="365"/>
      <c r="BQ93" s="365"/>
      <c r="BR93" s="365"/>
      <c r="BS93" s="365"/>
      <c r="BT93" s="365"/>
      <c r="BU93" s="365"/>
      <c r="BV93" s="365"/>
      <c r="BW93" s="365"/>
      <c r="BX93" s="365"/>
      <c r="BY93" s="365"/>
      <c r="BZ93" s="365"/>
      <c r="CA93" s="365"/>
      <c r="CB93" s="365"/>
      <c r="CC93" s="365"/>
      <c r="CD93" s="365"/>
      <c r="CE93" s="365"/>
      <c r="CF93" s="365"/>
      <c r="CG93" s="365"/>
      <c r="CH93" s="365"/>
      <c r="CI93" s="365"/>
      <c r="CJ93" s="365"/>
      <c r="CK93" s="365"/>
      <c r="CL93" s="365"/>
      <c r="CM93" s="365"/>
      <c r="CN93" s="365"/>
      <c r="CO93" s="365"/>
      <c r="CP93" s="365"/>
      <c r="CQ93" s="365"/>
      <c r="CR93" s="365"/>
      <c r="CS93" s="365"/>
      <c r="CT93" s="365"/>
      <c r="CU93" s="365"/>
      <c r="CV93" s="365"/>
      <c r="CW93" s="365"/>
      <c r="CX93" s="365"/>
      <c r="CY93" s="365"/>
      <c r="CZ93" s="365"/>
      <c r="DA93" s="365"/>
      <c r="DB93" s="365"/>
      <c r="DC93" s="365"/>
      <c r="DD93" s="365"/>
      <c r="DE93" s="365"/>
      <c r="DF93" s="365"/>
      <c r="DG93" s="365"/>
      <c r="DH93" s="365"/>
      <c r="DI93" s="365"/>
      <c r="DJ93" s="365"/>
      <c r="DK93" s="365"/>
      <c r="DL93" s="365"/>
      <c r="DM93" s="365"/>
      <c r="DN93" s="365"/>
      <c r="DO93" s="365"/>
      <c r="DP93" s="365"/>
      <c r="DQ93" s="365"/>
      <c r="DR93" s="365"/>
      <c r="DS93" s="55"/>
      <c r="DT93" s="335"/>
      <c r="DW93" s="203"/>
    </row>
    <row r="94" spans="1:136" s="320" customFormat="1" ht="15" customHeight="1">
      <c r="A94" s="318"/>
      <c r="B94" s="319"/>
      <c r="C94" s="316"/>
      <c r="D94" s="2186"/>
      <c r="E94" s="2186"/>
      <c r="F94" s="365"/>
      <c r="G94" s="365"/>
      <c r="H94" s="1069" t="str">
        <f ca="1">INDIRECT($J$4&amp;"!C87")</f>
        <v>No. NOK parts found</v>
      </c>
      <c r="I94" s="1069"/>
      <c r="J94" s="1069"/>
      <c r="K94" s="1069"/>
      <c r="L94" s="1069"/>
      <c r="M94" s="1069"/>
      <c r="N94" s="1069"/>
      <c r="O94" s="1069"/>
      <c r="P94" s="1069"/>
      <c r="Q94" s="1069"/>
      <c r="R94" s="1069"/>
      <c r="S94" s="1069"/>
      <c r="T94" s="1069"/>
      <c r="U94" s="1069"/>
      <c r="V94" s="1069"/>
      <c r="W94" s="365"/>
      <c r="X94" s="365"/>
      <c r="Y94" s="365"/>
      <c r="Z94" s="365"/>
      <c r="AA94" s="365"/>
      <c r="AB94" s="365"/>
      <c r="AC94" s="365"/>
      <c r="AD94" s="2187"/>
      <c r="AE94" s="2188"/>
      <c r="AF94" s="2188"/>
      <c r="AG94" s="2188"/>
      <c r="AH94" s="2188"/>
      <c r="AI94" s="2188"/>
      <c r="AJ94" s="2188"/>
      <c r="AK94" s="2188"/>
      <c r="AL94" s="2188"/>
      <c r="AM94" s="2188"/>
      <c r="AN94" s="2188"/>
      <c r="AO94" s="2188"/>
      <c r="AP94" s="2188"/>
      <c r="AQ94" s="2188"/>
      <c r="AR94" s="2189"/>
      <c r="AS94" s="365"/>
      <c r="AT94" s="365"/>
      <c r="AU94" s="1069" t="str">
        <f ca="1">INDIRECT($J$4&amp;"!C87")</f>
        <v>No. NOK parts found</v>
      </c>
      <c r="AV94" s="1069"/>
      <c r="AW94" s="1069"/>
      <c r="AX94" s="1069"/>
      <c r="AY94" s="1069"/>
      <c r="AZ94" s="1069"/>
      <c r="BA94" s="1069"/>
      <c r="BB94" s="1069"/>
      <c r="BC94" s="1069"/>
      <c r="BD94" s="1069"/>
      <c r="BE94" s="1069"/>
      <c r="BF94" s="1069"/>
      <c r="BG94" s="1069"/>
      <c r="BH94" s="1069"/>
      <c r="BI94" s="1069"/>
      <c r="BJ94" s="1069"/>
      <c r="BK94" s="1069"/>
      <c r="BL94" s="365"/>
      <c r="BM94" s="365"/>
      <c r="BN94" s="365"/>
      <c r="BO94" s="365"/>
      <c r="BP94" s="365"/>
      <c r="BQ94" s="2187"/>
      <c r="BR94" s="2188"/>
      <c r="BS94" s="2188"/>
      <c r="BT94" s="2188"/>
      <c r="BU94" s="2188"/>
      <c r="BV94" s="2188"/>
      <c r="BW94" s="2188"/>
      <c r="BX94" s="2188"/>
      <c r="BY94" s="2188"/>
      <c r="BZ94" s="2188"/>
      <c r="CA94" s="2188"/>
      <c r="CB94" s="2188"/>
      <c r="CC94" s="2188"/>
      <c r="CD94" s="2188"/>
      <c r="CE94" s="2189"/>
      <c r="CF94" s="365"/>
      <c r="CG94" s="365"/>
      <c r="CH94" s="1069" t="str">
        <f ca="1">INDIRECT($J$4&amp;"!C87")</f>
        <v>No. NOK parts found</v>
      </c>
      <c r="CI94" s="1069"/>
      <c r="CJ94" s="1069"/>
      <c r="CK94" s="1069"/>
      <c r="CL94" s="1069"/>
      <c r="CM94" s="1069"/>
      <c r="CN94" s="1069"/>
      <c r="CO94" s="1069"/>
      <c r="CP94" s="1069"/>
      <c r="CQ94" s="1069"/>
      <c r="CR94" s="1069"/>
      <c r="CS94" s="1069"/>
      <c r="CT94" s="1069"/>
      <c r="CU94" s="1069"/>
      <c r="CV94" s="1069"/>
      <c r="CW94" s="1069"/>
      <c r="CX94" s="1069"/>
      <c r="CY94" s="1069"/>
      <c r="CZ94" s="1069"/>
      <c r="DA94" s="1069"/>
      <c r="DB94" s="1069"/>
      <c r="DC94" s="365"/>
      <c r="DD94" s="2187"/>
      <c r="DE94" s="2188"/>
      <c r="DF94" s="2188"/>
      <c r="DG94" s="2188"/>
      <c r="DH94" s="2188"/>
      <c r="DI94" s="2188"/>
      <c r="DJ94" s="2188"/>
      <c r="DK94" s="2188"/>
      <c r="DL94" s="2188"/>
      <c r="DM94" s="2188"/>
      <c r="DN94" s="2188"/>
      <c r="DO94" s="2188"/>
      <c r="DP94" s="2188"/>
      <c r="DQ94" s="2188"/>
      <c r="DR94" s="2189"/>
      <c r="DS94" s="55"/>
      <c r="DT94" s="335"/>
      <c r="DW94" s="203"/>
    </row>
    <row r="95" spans="1:136" s="320" customFormat="1" ht="15" customHeight="1">
      <c r="A95" s="318"/>
      <c r="B95" s="319"/>
      <c r="C95" s="316"/>
      <c r="D95" s="2186"/>
      <c r="E95" s="2186"/>
      <c r="F95" s="365"/>
      <c r="G95" s="365"/>
      <c r="H95" s="1069"/>
      <c r="I95" s="1069"/>
      <c r="J95" s="1069"/>
      <c r="K95" s="1069"/>
      <c r="L95" s="1069"/>
      <c r="M95" s="1069"/>
      <c r="N95" s="1069"/>
      <c r="O95" s="1069"/>
      <c r="P95" s="1069"/>
      <c r="Q95" s="1069"/>
      <c r="R95" s="1069"/>
      <c r="S95" s="1069"/>
      <c r="T95" s="1069"/>
      <c r="U95" s="1069"/>
      <c r="V95" s="1069"/>
      <c r="W95" s="365"/>
      <c r="X95" s="365"/>
      <c r="Y95" s="365"/>
      <c r="Z95" s="365"/>
      <c r="AA95" s="365"/>
      <c r="AB95" s="365"/>
      <c r="AC95" s="365"/>
      <c r="AD95" s="2190"/>
      <c r="AE95" s="2191"/>
      <c r="AF95" s="2191"/>
      <c r="AG95" s="2191"/>
      <c r="AH95" s="2191"/>
      <c r="AI95" s="2191"/>
      <c r="AJ95" s="2191"/>
      <c r="AK95" s="2191"/>
      <c r="AL95" s="2191"/>
      <c r="AM95" s="2191"/>
      <c r="AN95" s="2191"/>
      <c r="AO95" s="2191"/>
      <c r="AP95" s="2191"/>
      <c r="AQ95" s="2191"/>
      <c r="AR95" s="2192"/>
      <c r="AS95" s="365"/>
      <c r="AT95" s="365"/>
      <c r="AU95" s="1069"/>
      <c r="AV95" s="1069"/>
      <c r="AW95" s="1069"/>
      <c r="AX95" s="1069"/>
      <c r="AY95" s="1069"/>
      <c r="AZ95" s="1069"/>
      <c r="BA95" s="1069"/>
      <c r="BB95" s="1069"/>
      <c r="BC95" s="1069"/>
      <c r="BD95" s="1069"/>
      <c r="BE95" s="1069"/>
      <c r="BF95" s="1069"/>
      <c r="BG95" s="1069"/>
      <c r="BH95" s="1069"/>
      <c r="BI95" s="1069"/>
      <c r="BJ95" s="1069"/>
      <c r="BK95" s="1069"/>
      <c r="BL95" s="365"/>
      <c r="BM95" s="365"/>
      <c r="BN95" s="365"/>
      <c r="BO95" s="365"/>
      <c r="BP95" s="365"/>
      <c r="BQ95" s="2190"/>
      <c r="BR95" s="2191"/>
      <c r="BS95" s="2191"/>
      <c r="BT95" s="2191"/>
      <c r="BU95" s="2191"/>
      <c r="BV95" s="2191"/>
      <c r="BW95" s="2191"/>
      <c r="BX95" s="2191"/>
      <c r="BY95" s="2191"/>
      <c r="BZ95" s="2191"/>
      <c r="CA95" s="2191"/>
      <c r="CB95" s="2191"/>
      <c r="CC95" s="2191"/>
      <c r="CD95" s="2191"/>
      <c r="CE95" s="2192"/>
      <c r="CF95" s="365"/>
      <c r="CG95" s="365"/>
      <c r="CH95" s="1069"/>
      <c r="CI95" s="1069"/>
      <c r="CJ95" s="1069"/>
      <c r="CK95" s="1069"/>
      <c r="CL95" s="1069"/>
      <c r="CM95" s="1069"/>
      <c r="CN95" s="1069"/>
      <c r="CO95" s="1069"/>
      <c r="CP95" s="1069"/>
      <c r="CQ95" s="1069"/>
      <c r="CR95" s="1069"/>
      <c r="CS95" s="1069"/>
      <c r="CT95" s="1069"/>
      <c r="CU95" s="1069"/>
      <c r="CV95" s="1069"/>
      <c r="CW95" s="1069"/>
      <c r="CX95" s="1069"/>
      <c r="CY95" s="1069"/>
      <c r="CZ95" s="1069"/>
      <c r="DA95" s="1069"/>
      <c r="DB95" s="1069"/>
      <c r="DC95" s="365"/>
      <c r="DD95" s="2190"/>
      <c r="DE95" s="2191"/>
      <c r="DF95" s="2191"/>
      <c r="DG95" s="2191"/>
      <c r="DH95" s="2191"/>
      <c r="DI95" s="2191"/>
      <c r="DJ95" s="2191"/>
      <c r="DK95" s="2191"/>
      <c r="DL95" s="2191"/>
      <c r="DM95" s="2191"/>
      <c r="DN95" s="2191"/>
      <c r="DO95" s="2191"/>
      <c r="DP95" s="2191"/>
      <c r="DQ95" s="2191"/>
      <c r="DR95" s="2192"/>
      <c r="DS95" s="55"/>
      <c r="DT95" s="335"/>
      <c r="DW95" s="203"/>
    </row>
    <row r="96" spans="1:136" s="320" customFormat="1" ht="6" customHeight="1">
      <c r="A96" s="318"/>
      <c r="B96" s="319"/>
      <c r="C96" s="316"/>
      <c r="D96" s="2186"/>
      <c r="E96" s="2186"/>
      <c r="F96" s="365"/>
      <c r="G96" s="365"/>
      <c r="H96" s="365"/>
      <c r="I96" s="365"/>
      <c r="J96" s="365"/>
      <c r="K96" s="365"/>
      <c r="L96" s="365"/>
      <c r="M96" s="365"/>
      <c r="N96" s="365"/>
      <c r="O96" s="365"/>
      <c r="P96" s="365"/>
      <c r="Q96" s="365"/>
      <c r="R96" s="365"/>
      <c r="S96" s="365"/>
      <c r="T96" s="365"/>
      <c r="U96" s="365"/>
      <c r="V96" s="365"/>
      <c r="W96" s="365"/>
      <c r="X96" s="365"/>
      <c r="Y96" s="365"/>
      <c r="Z96" s="365"/>
      <c r="AA96" s="365"/>
      <c r="AB96" s="365"/>
      <c r="AC96" s="365"/>
      <c r="AD96" s="365"/>
      <c r="AE96" s="365"/>
      <c r="AF96" s="365"/>
      <c r="AG96" s="365"/>
      <c r="AH96" s="365"/>
      <c r="AI96" s="365"/>
      <c r="AJ96" s="365"/>
      <c r="AK96" s="365"/>
      <c r="AL96" s="365"/>
      <c r="AM96" s="365"/>
      <c r="AN96" s="365"/>
      <c r="AO96" s="365"/>
      <c r="AP96" s="365"/>
      <c r="AQ96" s="365"/>
      <c r="AR96" s="365"/>
      <c r="AS96" s="365"/>
      <c r="AT96" s="365"/>
      <c r="AU96" s="365"/>
      <c r="AV96" s="365"/>
      <c r="AW96" s="365"/>
      <c r="AX96" s="365"/>
      <c r="AY96" s="365"/>
      <c r="AZ96" s="365"/>
      <c r="BA96" s="365"/>
      <c r="BB96" s="365"/>
      <c r="BC96" s="365"/>
      <c r="BD96" s="365"/>
      <c r="BE96" s="365"/>
      <c r="BF96" s="365"/>
      <c r="BG96" s="365"/>
      <c r="BH96" s="365"/>
      <c r="BI96" s="365"/>
      <c r="BJ96" s="365"/>
      <c r="BK96" s="365"/>
      <c r="BL96" s="365"/>
      <c r="BM96" s="365"/>
      <c r="BN96" s="365"/>
      <c r="BO96" s="365"/>
      <c r="BP96" s="365"/>
      <c r="BQ96" s="365"/>
      <c r="BR96" s="365"/>
      <c r="BS96" s="365"/>
      <c r="BT96" s="365"/>
      <c r="BU96" s="365"/>
      <c r="BV96" s="365"/>
      <c r="BW96" s="365"/>
      <c r="BX96" s="365"/>
      <c r="BY96" s="365"/>
      <c r="BZ96" s="365"/>
      <c r="CA96" s="365"/>
      <c r="CB96" s="365"/>
      <c r="CC96" s="365"/>
      <c r="CD96" s="365"/>
      <c r="CE96" s="365"/>
      <c r="CF96" s="365"/>
      <c r="CG96" s="365"/>
      <c r="CH96" s="365"/>
      <c r="CI96" s="365"/>
      <c r="CJ96" s="365"/>
      <c r="CK96" s="365"/>
      <c r="CL96" s="365"/>
      <c r="CM96" s="365"/>
      <c r="CN96" s="365"/>
      <c r="CO96" s="365"/>
      <c r="CP96" s="365"/>
      <c r="CQ96" s="365"/>
      <c r="CR96" s="365"/>
      <c r="CS96" s="365"/>
      <c r="CT96" s="365"/>
      <c r="CU96" s="365"/>
      <c r="CV96" s="365"/>
      <c r="CW96" s="365"/>
      <c r="CX96" s="365"/>
      <c r="CY96" s="365"/>
      <c r="CZ96" s="365"/>
      <c r="DA96" s="365"/>
      <c r="DB96" s="365"/>
      <c r="DC96" s="365"/>
      <c r="DD96" s="365"/>
      <c r="DE96" s="365"/>
      <c r="DF96" s="365"/>
      <c r="DG96" s="365"/>
      <c r="DH96" s="365"/>
      <c r="DI96" s="365"/>
      <c r="DJ96" s="365"/>
      <c r="DK96" s="365"/>
      <c r="DL96" s="365"/>
      <c r="DM96" s="365"/>
      <c r="DN96" s="365"/>
      <c r="DO96" s="365"/>
      <c r="DP96" s="365"/>
      <c r="DQ96" s="365"/>
      <c r="DR96" s="365"/>
      <c r="DS96" s="365"/>
      <c r="DT96" s="335"/>
      <c r="DW96" s="203"/>
    </row>
    <row r="97" spans="1:136" s="320" customFormat="1" ht="60" customHeight="1">
      <c r="A97" s="318"/>
      <c r="B97" s="319"/>
      <c r="C97" s="316"/>
      <c r="D97" s="2186"/>
      <c r="E97" s="2186"/>
      <c r="F97" s="365"/>
      <c r="G97" s="365"/>
      <c r="H97" s="1069" t="str">
        <f ca="1">INDIRECT($J$4&amp;"!C88")</f>
        <v>Identification OK Parts</v>
      </c>
      <c r="I97" s="1069"/>
      <c r="J97" s="1069"/>
      <c r="K97" s="1069"/>
      <c r="L97" s="1069"/>
      <c r="M97" s="1069"/>
      <c r="N97" s="1069"/>
      <c r="O97" s="1069"/>
      <c r="P97" s="1069"/>
      <c r="Q97" s="1069"/>
      <c r="R97" s="1069"/>
      <c r="S97" s="1069"/>
      <c r="T97" s="1069"/>
      <c r="U97" s="1069"/>
      <c r="V97" s="1069"/>
      <c r="W97" s="1069"/>
      <c r="X97" s="1069"/>
      <c r="Y97" s="1069"/>
      <c r="Z97" s="1069"/>
      <c r="AA97" s="365"/>
      <c r="AB97" s="365"/>
      <c r="AC97" s="365"/>
      <c r="AD97" s="2162"/>
      <c r="AE97" s="2163"/>
      <c r="AF97" s="2163"/>
      <c r="AG97" s="2163"/>
      <c r="AH97" s="2163"/>
      <c r="AI97" s="2163"/>
      <c r="AJ97" s="2163"/>
      <c r="AK97" s="2163"/>
      <c r="AL97" s="2163"/>
      <c r="AM97" s="2163"/>
      <c r="AN97" s="2163"/>
      <c r="AO97" s="2163"/>
      <c r="AP97" s="2163"/>
      <c r="AQ97" s="2163"/>
      <c r="AR97" s="2164"/>
      <c r="AS97" s="365"/>
      <c r="AT97" s="365"/>
      <c r="AU97" s="998" t="str">
        <f ca="1">INDIRECT($J$4&amp;"!C88")</f>
        <v>Identification OK Parts</v>
      </c>
      <c r="AV97" s="998"/>
      <c r="AW97" s="998"/>
      <c r="AX97" s="998"/>
      <c r="AY97" s="998"/>
      <c r="AZ97" s="998"/>
      <c r="BA97" s="998"/>
      <c r="BB97" s="998"/>
      <c r="BC97" s="998"/>
      <c r="BD97" s="998"/>
      <c r="BE97" s="365"/>
      <c r="BF97" s="365"/>
      <c r="BG97" s="365"/>
      <c r="BH97" s="365"/>
      <c r="BI97" s="998"/>
      <c r="BJ97" s="365"/>
      <c r="BK97" s="365"/>
      <c r="BL97" s="365"/>
      <c r="BM97" s="365"/>
      <c r="BN97" s="365"/>
      <c r="BO97" s="365"/>
      <c r="BP97" s="365"/>
      <c r="BQ97" s="2171"/>
      <c r="BR97" s="2172"/>
      <c r="BS97" s="2172"/>
      <c r="BT97" s="2172"/>
      <c r="BU97" s="2172"/>
      <c r="BV97" s="2172"/>
      <c r="BW97" s="2172"/>
      <c r="BX97" s="2172"/>
      <c r="BY97" s="2172"/>
      <c r="BZ97" s="2172"/>
      <c r="CA97" s="2172"/>
      <c r="CB97" s="2172"/>
      <c r="CC97" s="2172"/>
      <c r="CD97" s="2172"/>
      <c r="CE97" s="2173"/>
      <c r="CF97" s="365"/>
      <c r="CG97" s="365"/>
      <c r="CH97" s="1069" t="str">
        <f ca="1">INDIRECT($J$4&amp;"!C88")</f>
        <v>Identification OK Parts</v>
      </c>
      <c r="CI97" s="1069"/>
      <c r="CJ97" s="1069"/>
      <c r="CK97" s="1069"/>
      <c r="CL97" s="1069"/>
      <c r="CM97" s="1069"/>
      <c r="CN97" s="1069"/>
      <c r="CO97" s="1069"/>
      <c r="CP97" s="1069"/>
      <c r="CQ97" s="1069"/>
      <c r="CR97" s="1069"/>
      <c r="CS97" s="1069"/>
      <c r="CT97" s="1069"/>
      <c r="CU97" s="1069"/>
      <c r="CV97" s="1069"/>
      <c r="CW97" s="1069"/>
      <c r="CX97" s="1069"/>
      <c r="CY97" s="1069"/>
      <c r="CZ97" s="1069"/>
      <c r="DA97" s="365"/>
      <c r="DB97" s="558"/>
      <c r="DC97" s="365"/>
      <c r="DD97" s="2180"/>
      <c r="DE97" s="2181"/>
      <c r="DF97" s="2181"/>
      <c r="DG97" s="2181"/>
      <c r="DH97" s="2181"/>
      <c r="DI97" s="2181"/>
      <c r="DJ97" s="2181"/>
      <c r="DK97" s="2181"/>
      <c r="DL97" s="2181"/>
      <c r="DM97" s="2181"/>
      <c r="DN97" s="2181"/>
      <c r="DO97" s="2181"/>
      <c r="DP97" s="2181"/>
      <c r="DQ97" s="2181"/>
      <c r="DR97" s="2182"/>
      <c r="DS97" s="55"/>
      <c r="DT97" s="335"/>
      <c r="DW97" s="203"/>
    </row>
    <row r="98" spans="1:136" s="320" customFormat="1" ht="9.9" customHeight="1">
      <c r="A98" s="318"/>
      <c r="B98" s="319"/>
      <c r="C98" s="316"/>
      <c r="D98" s="2186"/>
      <c r="E98" s="2186"/>
      <c r="F98" s="87"/>
      <c r="G98" s="26"/>
      <c r="H98" s="26"/>
      <c r="I98" s="26"/>
      <c r="J98" s="26"/>
      <c r="K98" s="26"/>
      <c r="L98" s="26"/>
      <c r="M98" s="26"/>
      <c r="N98" s="26"/>
      <c r="O98" s="26"/>
      <c r="P98" s="26"/>
      <c r="Q98" s="26"/>
      <c r="R98" s="26"/>
      <c r="S98" s="26"/>
      <c r="T98" s="26"/>
      <c r="U98" s="26"/>
      <c r="V98" s="26"/>
      <c r="W98" s="26"/>
      <c r="X98" s="26"/>
      <c r="Y98" s="26"/>
      <c r="Z98" s="26"/>
      <c r="AA98" s="26"/>
      <c r="AB98" s="26"/>
      <c r="AC98" s="26"/>
      <c r="AD98" s="2165"/>
      <c r="AE98" s="2166"/>
      <c r="AF98" s="2166"/>
      <c r="AG98" s="2166"/>
      <c r="AH98" s="2166"/>
      <c r="AI98" s="2166"/>
      <c r="AJ98" s="2166"/>
      <c r="AK98" s="2166"/>
      <c r="AL98" s="2166"/>
      <c r="AM98" s="2166"/>
      <c r="AN98" s="2166"/>
      <c r="AO98" s="2166"/>
      <c r="AP98" s="2166"/>
      <c r="AQ98" s="2166"/>
      <c r="AR98" s="2167"/>
      <c r="AS98" s="365"/>
      <c r="AT98" s="365"/>
      <c r="AU98" s="365"/>
      <c r="AV98" s="365"/>
      <c r="AW98" s="365"/>
      <c r="AX98" s="365"/>
      <c r="AY98" s="365"/>
      <c r="AZ98" s="365"/>
      <c r="BA98" s="365"/>
      <c r="BB98" s="365"/>
      <c r="BC98" s="365"/>
      <c r="BD98" s="365"/>
      <c r="BE98" s="365"/>
      <c r="BF98" s="365"/>
      <c r="BG98" s="365"/>
      <c r="BH98" s="365"/>
      <c r="BI98" s="365"/>
      <c r="BJ98" s="365"/>
      <c r="BK98" s="365"/>
      <c r="BL98" s="365"/>
      <c r="BM98" s="365"/>
      <c r="BN98" s="365"/>
      <c r="BO98" s="365"/>
      <c r="BP98" s="365"/>
      <c r="BQ98" s="2174"/>
      <c r="BR98" s="2175"/>
      <c r="BS98" s="2175"/>
      <c r="BT98" s="2175"/>
      <c r="BU98" s="2175"/>
      <c r="BV98" s="2175"/>
      <c r="BW98" s="2175"/>
      <c r="BX98" s="2175"/>
      <c r="BY98" s="2175"/>
      <c r="BZ98" s="2175"/>
      <c r="CA98" s="2175"/>
      <c r="CB98" s="2175"/>
      <c r="CC98" s="2175"/>
      <c r="CD98" s="2175"/>
      <c r="CE98" s="2176"/>
      <c r="CF98" s="365"/>
      <c r="CG98" s="998"/>
      <c r="CH98" s="365"/>
      <c r="CI98" s="365"/>
      <c r="CJ98" s="365"/>
      <c r="CK98" s="365"/>
      <c r="CL98" s="365"/>
      <c r="CM98" s="365"/>
      <c r="CN98" s="365"/>
      <c r="CO98" s="365"/>
      <c r="CP98" s="365"/>
      <c r="CQ98" s="365"/>
      <c r="CR98" s="365"/>
      <c r="CS98" s="365"/>
      <c r="CT98" s="365"/>
      <c r="CU98" s="365"/>
      <c r="CV98" s="365"/>
      <c r="CW98" s="365"/>
      <c r="CX98" s="365"/>
      <c r="CY98" s="365"/>
      <c r="CZ98" s="365"/>
      <c r="DA98" s="365"/>
      <c r="DB98" s="365"/>
      <c r="DC98" s="365"/>
      <c r="DD98" s="365"/>
      <c r="DE98" s="365"/>
      <c r="DF98" s="365"/>
      <c r="DG98" s="365"/>
      <c r="DH98" s="365"/>
      <c r="DI98" s="365"/>
      <c r="DJ98" s="365"/>
      <c r="DK98" s="365"/>
      <c r="DL98" s="365"/>
      <c r="DM98" s="365"/>
      <c r="DN98" s="365"/>
      <c r="DO98" s="365"/>
      <c r="DP98" s="365"/>
      <c r="DQ98" s="365"/>
      <c r="DR98" s="365"/>
      <c r="DS98" s="55"/>
      <c r="DT98" s="335"/>
      <c r="DW98" s="203"/>
    </row>
    <row r="99" spans="1:136" ht="30" customHeight="1">
      <c r="B99" s="312"/>
      <c r="C99" s="313"/>
      <c r="D99" s="2186"/>
      <c r="E99" s="2186"/>
      <c r="F99" s="420"/>
      <c r="G99" s="365"/>
      <c r="H99" s="420"/>
      <c r="I99" s="420"/>
      <c r="J99" s="420"/>
      <c r="K99" s="420"/>
      <c r="L99" s="420"/>
      <c r="M99" s="420"/>
      <c r="N99" s="420"/>
      <c r="O99" s="420"/>
      <c r="P99" s="420"/>
      <c r="Q99" s="420"/>
      <c r="R99" s="420"/>
      <c r="S99" s="420"/>
      <c r="T99" s="420"/>
      <c r="U99" s="420"/>
      <c r="V99" s="420"/>
      <c r="W99" s="420"/>
      <c r="X99" s="420"/>
      <c r="Y99" s="420"/>
      <c r="Z99" s="420"/>
      <c r="AA99" s="420"/>
      <c r="AB99" s="420"/>
      <c r="AC99" s="558"/>
      <c r="AD99" s="2168"/>
      <c r="AE99" s="2169"/>
      <c r="AF99" s="2169"/>
      <c r="AG99" s="2169"/>
      <c r="AH99" s="2169"/>
      <c r="AI99" s="2169"/>
      <c r="AJ99" s="2169"/>
      <c r="AK99" s="2169"/>
      <c r="AL99" s="2169"/>
      <c r="AM99" s="2169"/>
      <c r="AN99" s="2169"/>
      <c r="AO99" s="2169"/>
      <c r="AP99" s="2169"/>
      <c r="AQ99" s="2169"/>
      <c r="AR99" s="2170"/>
      <c r="AS99" s="365"/>
      <c r="AT99" s="365"/>
      <c r="AU99" s="365"/>
      <c r="AV99" s="365"/>
      <c r="AW99" s="365"/>
      <c r="AX99" s="365"/>
      <c r="AY99" s="365"/>
      <c r="AZ99" s="365"/>
      <c r="BA99" s="365"/>
      <c r="BB99" s="365"/>
      <c r="BC99" s="365"/>
      <c r="BD99" s="365"/>
      <c r="BE99" s="365"/>
      <c r="BF99" s="365"/>
      <c r="BG99" s="365"/>
      <c r="BH99" s="365"/>
      <c r="BI99" s="365"/>
      <c r="BJ99" s="365"/>
      <c r="BK99" s="365"/>
      <c r="BL99" s="365"/>
      <c r="BM99" s="365"/>
      <c r="BN99" s="365"/>
      <c r="BO99" s="365"/>
      <c r="BP99" s="365"/>
      <c r="BQ99" s="2177"/>
      <c r="BR99" s="2178"/>
      <c r="BS99" s="2178"/>
      <c r="BT99" s="2178"/>
      <c r="BU99" s="2178"/>
      <c r="BV99" s="2178"/>
      <c r="BW99" s="2178"/>
      <c r="BX99" s="2178"/>
      <c r="BY99" s="2178"/>
      <c r="BZ99" s="2178"/>
      <c r="CA99" s="2178"/>
      <c r="CB99" s="2178"/>
      <c r="CC99" s="2178"/>
      <c r="CD99" s="2178"/>
      <c r="CE99" s="2179"/>
      <c r="CF99" s="365"/>
      <c r="CG99" s="365"/>
      <c r="CH99" s="998" t="str">
        <f ca="1">INDIRECT($J$4&amp;"!C89")</f>
        <v>clean point</v>
      </c>
      <c r="CI99" s="998"/>
      <c r="CJ99" s="998"/>
      <c r="CK99" s="998"/>
      <c r="CL99" s="998"/>
      <c r="CM99" s="998"/>
      <c r="CN99" s="998"/>
      <c r="CO99" s="365"/>
      <c r="CP99" s="365"/>
      <c r="CQ99" s="365"/>
      <c r="CR99" s="365"/>
      <c r="CS99" s="365"/>
      <c r="CT99" s="365"/>
      <c r="CU99" s="365"/>
      <c r="CV99" s="365"/>
      <c r="CW99" s="365"/>
      <c r="CX99" s="998"/>
      <c r="CY99" s="365"/>
      <c r="CZ99" s="558"/>
      <c r="DA99" s="365"/>
      <c r="DB99" s="558"/>
      <c r="DC99" s="365"/>
      <c r="DD99" s="2183"/>
      <c r="DE99" s="2184"/>
      <c r="DF99" s="2184"/>
      <c r="DG99" s="2184"/>
      <c r="DH99" s="2184"/>
      <c r="DI99" s="2184"/>
      <c r="DJ99" s="2184"/>
      <c r="DK99" s="2184"/>
      <c r="DL99" s="2184"/>
      <c r="DM99" s="2184"/>
      <c r="DN99" s="2184"/>
      <c r="DO99" s="2184"/>
      <c r="DP99" s="2184"/>
      <c r="DQ99" s="2184"/>
      <c r="DR99" s="2185"/>
      <c r="DS99" s="313"/>
      <c r="DT99" s="311"/>
      <c r="DU99" s="305"/>
      <c r="DV99" s="305"/>
      <c r="ED99" s="126"/>
      <c r="EE99" s="126"/>
      <c r="EF99" s="127"/>
    </row>
    <row r="100" spans="1:136" ht="6" customHeight="1">
      <c r="B100" s="312"/>
      <c r="C100" s="313"/>
      <c r="D100" s="420"/>
      <c r="E100" s="420"/>
      <c r="F100" s="420"/>
      <c r="G100" s="365"/>
      <c r="H100" s="999"/>
      <c r="I100" s="999"/>
      <c r="J100" s="999"/>
      <c r="K100" s="999"/>
      <c r="L100" s="999"/>
      <c r="M100" s="999"/>
      <c r="N100" s="999"/>
      <c r="O100" s="999"/>
      <c r="P100" s="999"/>
      <c r="Q100" s="999"/>
      <c r="R100" s="999"/>
      <c r="S100" s="999"/>
      <c r="T100" s="999"/>
      <c r="U100" s="999"/>
      <c r="V100" s="999"/>
      <c r="W100" s="999"/>
      <c r="X100" s="999"/>
      <c r="Y100" s="999"/>
      <c r="Z100" s="999"/>
      <c r="AA100" s="415"/>
      <c r="AB100" s="415"/>
      <c r="AC100" s="415"/>
      <c r="AD100" s="415"/>
      <c r="AE100" s="128"/>
      <c r="AF100" s="191"/>
      <c r="AG100" s="191"/>
      <c r="AH100" s="421"/>
      <c r="AI100" s="421"/>
      <c r="AJ100" s="421"/>
      <c r="AK100" s="421"/>
      <c r="AL100" s="421"/>
      <c r="AM100" s="421"/>
      <c r="AN100" s="421"/>
      <c r="AO100" s="421"/>
      <c r="AP100" s="421"/>
      <c r="AQ100" s="421"/>
      <c r="AR100" s="421"/>
      <c r="AS100" s="411"/>
      <c r="AT100" s="128"/>
      <c r="AU100" s="999"/>
      <c r="AV100" s="999"/>
      <c r="AW100" s="999"/>
      <c r="AX100" s="999"/>
      <c r="AY100" s="999"/>
      <c r="AZ100" s="999"/>
      <c r="BA100" s="999"/>
      <c r="BB100" s="999"/>
      <c r="BC100" s="999"/>
      <c r="BD100" s="999"/>
      <c r="BE100" s="999"/>
      <c r="BF100" s="999"/>
      <c r="BG100" s="999"/>
      <c r="BH100" s="999"/>
      <c r="BI100" s="999"/>
      <c r="BJ100" s="999"/>
      <c r="BK100" s="999"/>
      <c r="BL100" s="999"/>
      <c r="BM100" s="415"/>
      <c r="BN100" s="415"/>
      <c r="BO100" s="415"/>
      <c r="BP100" s="415"/>
      <c r="BQ100" s="415"/>
      <c r="BR100" s="191"/>
      <c r="BS100" s="191"/>
      <c r="BT100" s="191"/>
      <c r="BU100" s="421"/>
      <c r="BV100" s="421"/>
      <c r="BW100" s="421"/>
      <c r="BX100" s="421"/>
      <c r="BY100" s="421"/>
      <c r="BZ100" s="421"/>
      <c r="CA100" s="421"/>
      <c r="CB100" s="421"/>
      <c r="CC100" s="421"/>
      <c r="CD100" s="421"/>
      <c r="CE100" s="421"/>
      <c r="CF100" s="415"/>
      <c r="CG100" s="128"/>
      <c r="CH100" s="999"/>
      <c r="CI100" s="999"/>
      <c r="CJ100" s="999"/>
      <c r="CK100" s="999"/>
      <c r="CL100" s="999"/>
      <c r="CM100" s="999"/>
      <c r="CN100" s="999"/>
      <c r="CO100" s="999"/>
      <c r="CP100" s="999"/>
      <c r="CQ100" s="999"/>
      <c r="CR100" s="999"/>
      <c r="CS100" s="999"/>
      <c r="CT100" s="999"/>
      <c r="CU100" s="999"/>
      <c r="CV100" s="999"/>
      <c r="CW100" s="999"/>
      <c r="CX100" s="999"/>
      <c r="CY100" s="999"/>
      <c r="CZ100" s="999"/>
      <c r="DA100" s="415"/>
      <c r="DB100" s="415"/>
      <c r="DC100" s="415"/>
      <c r="DD100" s="760"/>
      <c r="DE100" s="760"/>
      <c r="DF100" s="760"/>
      <c r="DG100" s="760"/>
      <c r="DH100" s="760"/>
      <c r="DI100" s="760"/>
      <c r="DJ100" s="760"/>
      <c r="DK100" s="760"/>
      <c r="DL100" s="760"/>
      <c r="DM100" s="760"/>
      <c r="DN100" s="760"/>
      <c r="DO100" s="760"/>
      <c r="DP100" s="760"/>
      <c r="DQ100" s="760"/>
      <c r="DR100" s="760"/>
      <c r="DS100" s="313"/>
      <c r="DT100" s="311"/>
      <c r="DU100" s="305"/>
      <c r="DV100" s="305"/>
      <c r="ED100" s="126"/>
      <c r="EE100" s="126"/>
      <c r="EF100" s="127"/>
    </row>
    <row r="101" spans="1:136" ht="30" customHeight="1">
      <c r="B101" s="312"/>
      <c r="C101" s="313"/>
      <c r="D101" s="55"/>
      <c r="E101" s="55"/>
      <c r="F101" s="55"/>
      <c r="G101" s="55"/>
      <c r="H101" s="55"/>
      <c r="I101" s="55"/>
      <c r="J101" s="55"/>
      <c r="K101" s="36"/>
      <c r="L101" s="1047">
        <f>SUM(AD91,BQ91,DD91)</f>
        <v>0</v>
      </c>
      <c r="M101" s="1048"/>
      <c r="N101" s="1048"/>
      <c r="O101" s="1048"/>
      <c r="P101" s="1049"/>
      <c r="Q101" s="56"/>
      <c r="R101" s="499" t="str">
        <f ca="1">INDIRECT($J$4&amp;"!C90")</f>
        <v>total amount of sorted parts</v>
      </c>
      <c r="S101" s="499"/>
      <c r="T101" s="499"/>
      <c r="U101" s="499"/>
      <c r="V101" s="499"/>
      <c r="W101" s="499"/>
      <c r="X101" s="499"/>
      <c r="Y101" s="499"/>
      <c r="Z101" s="499"/>
      <c r="AA101" s="499"/>
      <c r="AB101" s="499"/>
      <c r="AC101" s="499"/>
      <c r="AD101" s="499"/>
      <c r="AE101" s="499"/>
      <c r="AF101" s="499"/>
      <c r="AG101" s="499"/>
      <c r="AH101" s="499"/>
      <c r="AI101" s="499"/>
      <c r="AJ101" s="499"/>
      <c r="AK101" s="499"/>
      <c r="AL101" s="499"/>
      <c r="AM101" s="499"/>
      <c r="AN101" s="499"/>
      <c r="AO101" s="499"/>
      <c r="AP101" s="499"/>
      <c r="AQ101" s="36"/>
      <c r="AR101" s="1047">
        <f>SUM(AD94,BQ94,DD94)</f>
        <v>0</v>
      </c>
      <c r="AS101" s="1048"/>
      <c r="AT101" s="1048"/>
      <c r="AU101" s="1048"/>
      <c r="AV101" s="1049"/>
      <c r="AW101" s="56"/>
      <c r="AX101" s="499" t="str">
        <f ca="1">INDIRECT($J$4&amp;"!C91")</f>
        <v>total amount of NOK parts found</v>
      </c>
      <c r="AY101" s="499"/>
      <c r="AZ101" s="499"/>
      <c r="BA101" s="499"/>
      <c r="BB101" s="499"/>
      <c r="BC101" s="499"/>
      <c r="BD101" s="499"/>
      <c r="BE101" s="499"/>
      <c r="BF101" s="499"/>
      <c r="BG101" s="499"/>
      <c r="BH101" s="499"/>
      <c r="BI101" s="499"/>
      <c r="BJ101" s="499"/>
      <c r="BK101" s="499"/>
      <c r="BL101" s="499"/>
      <c r="BM101" s="499"/>
      <c r="BN101" s="499"/>
      <c r="BO101" s="499"/>
      <c r="BP101" s="499"/>
      <c r="BQ101" s="499"/>
      <c r="BR101" s="499"/>
      <c r="BS101" s="499"/>
      <c r="BT101" s="499"/>
      <c r="BU101" s="499"/>
      <c r="BW101" s="499"/>
      <c r="BX101" s="499"/>
      <c r="BY101" s="1192">
        <f>L101-AR101</f>
        <v>0</v>
      </c>
      <c r="BZ101" s="1193"/>
      <c r="CA101" s="1193"/>
      <c r="CB101" s="1194"/>
      <c r="CC101" s="499"/>
      <c r="CD101" s="357" t="str">
        <f ca="1">INDIRECT($J$4&amp;"!C92")</f>
        <v>total amount of OK parts identified</v>
      </c>
      <c r="CF101" s="56"/>
      <c r="CG101" s="56"/>
      <c r="CJ101" s="56"/>
      <c r="CK101" s="56"/>
      <c r="CL101" s="56"/>
      <c r="CM101" s="56"/>
      <c r="CN101" s="56"/>
      <c r="CO101" s="56"/>
      <c r="CP101" s="56"/>
      <c r="CQ101" s="56"/>
      <c r="CR101" s="56"/>
      <c r="CS101" s="56"/>
      <c r="CT101" s="56"/>
      <c r="CU101" s="55"/>
      <c r="CV101" s="55"/>
      <c r="CW101" s="55"/>
      <c r="CX101" s="55"/>
      <c r="CY101" s="55"/>
      <c r="CZ101" s="55"/>
      <c r="DA101" s="55"/>
      <c r="DB101" s="55"/>
      <c r="DC101" s="55"/>
      <c r="DD101" s="55"/>
      <c r="DE101" s="55"/>
      <c r="DF101" s="55"/>
      <c r="DG101" s="55"/>
      <c r="DH101" s="55"/>
      <c r="DI101" s="55"/>
      <c r="DJ101" s="55"/>
      <c r="DK101" s="55"/>
      <c r="DL101" s="55"/>
      <c r="DM101" s="55"/>
      <c r="DN101" s="55"/>
      <c r="DO101" s="55"/>
      <c r="DP101" s="55"/>
      <c r="DQ101" s="55"/>
      <c r="DR101" s="55"/>
      <c r="DS101" s="313"/>
      <c r="DT101" s="311"/>
      <c r="DU101" s="305"/>
      <c r="DV101" s="305"/>
      <c r="ED101" s="126"/>
      <c r="EE101" s="126"/>
      <c r="EF101" s="127"/>
    </row>
    <row r="102" spans="1:136" ht="6" customHeight="1">
      <c r="B102" s="312"/>
      <c r="C102" s="313"/>
      <c r="D102" s="316"/>
      <c r="E102" s="316"/>
      <c r="F102" s="316"/>
      <c r="G102" s="316"/>
      <c r="H102" s="316"/>
      <c r="I102" s="316"/>
      <c r="J102" s="316"/>
      <c r="K102" s="316"/>
      <c r="L102" s="316"/>
      <c r="M102" s="316"/>
      <c r="N102" s="313"/>
      <c r="O102" s="313"/>
      <c r="P102" s="313"/>
      <c r="Q102" s="313"/>
      <c r="R102" s="313"/>
      <c r="S102" s="313"/>
      <c r="T102" s="313"/>
      <c r="U102" s="313"/>
      <c r="V102" s="313"/>
      <c r="W102" s="313"/>
      <c r="X102" s="313"/>
      <c r="Y102" s="313"/>
      <c r="Z102" s="313"/>
      <c r="AA102" s="313"/>
      <c r="AB102" s="313"/>
      <c r="AC102" s="313"/>
      <c r="AD102" s="313"/>
      <c r="AE102" s="313"/>
      <c r="AF102" s="313"/>
      <c r="AG102" s="313"/>
      <c r="AH102" s="188"/>
      <c r="AI102" s="188"/>
      <c r="AJ102" s="188"/>
      <c r="AK102" s="188"/>
      <c r="AL102" s="188"/>
      <c r="AM102" s="188"/>
      <c r="AN102" s="188"/>
      <c r="AO102" s="188"/>
      <c r="AP102" s="313"/>
      <c r="AQ102" s="201"/>
      <c r="AR102" s="201"/>
      <c r="AS102" s="201"/>
      <c r="AT102" s="293"/>
      <c r="AU102" s="293"/>
      <c r="AV102" s="305"/>
      <c r="AW102" s="305"/>
      <c r="AX102" s="305"/>
      <c r="AY102" s="305"/>
      <c r="AZ102" s="305"/>
      <c r="BA102" s="305"/>
      <c r="BB102" s="305"/>
      <c r="BC102" s="305"/>
      <c r="BD102" s="305"/>
      <c r="BE102" s="305"/>
      <c r="BF102" s="305"/>
      <c r="BG102" s="305"/>
      <c r="BH102" s="305"/>
      <c r="BI102" s="305"/>
      <c r="BJ102" s="305"/>
      <c r="BK102" s="305"/>
      <c r="BL102" s="305"/>
      <c r="BM102" s="305"/>
      <c r="BN102" s="305"/>
      <c r="BO102" s="305"/>
      <c r="BP102" s="305"/>
      <c r="BQ102" s="305"/>
      <c r="BR102" s="305"/>
      <c r="BS102" s="305"/>
      <c r="BT102" s="305"/>
      <c r="BU102" s="305"/>
      <c r="BV102" s="305"/>
      <c r="BW102" s="305"/>
      <c r="BX102" s="305"/>
      <c r="BY102" s="305"/>
      <c r="BZ102" s="305"/>
      <c r="CA102" s="305"/>
      <c r="CB102" s="305"/>
      <c r="CC102" s="305"/>
      <c r="CD102" s="305"/>
      <c r="CE102" s="305"/>
      <c r="CF102" s="313"/>
      <c r="CG102" s="313"/>
      <c r="CH102" s="313"/>
      <c r="CI102" s="313"/>
      <c r="CJ102" s="313"/>
      <c r="CK102" s="313"/>
      <c r="CL102" s="313"/>
      <c r="CM102" s="313"/>
      <c r="CN102" s="313"/>
      <c r="CO102" s="313"/>
      <c r="CP102" s="313"/>
      <c r="CQ102" s="313"/>
      <c r="CR102" s="313"/>
      <c r="CS102" s="313"/>
      <c r="CT102" s="313"/>
      <c r="CU102" s="313"/>
      <c r="CV102" s="313"/>
      <c r="CW102" s="313"/>
      <c r="CX102" s="313"/>
      <c r="CY102" s="313"/>
      <c r="CZ102" s="313"/>
      <c r="DA102" s="313"/>
      <c r="DB102" s="313"/>
      <c r="DC102" s="313"/>
      <c r="DD102" s="313"/>
      <c r="DE102" s="313"/>
      <c r="DF102" s="313"/>
      <c r="DG102" s="313"/>
      <c r="DH102" s="313"/>
      <c r="DI102" s="313"/>
      <c r="DJ102" s="313"/>
      <c r="DK102" s="313"/>
      <c r="DL102" s="313"/>
      <c r="DM102" s="313"/>
      <c r="DN102" s="313"/>
      <c r="DO102" s="313"/>
      <c r="DP102" s="313"/>
      <c r="DQ102" s="313"/>
      <c r="DR102" s="313"/>
      <c r="DS102" s="313"/>
      <c r="DT102" s="311"/>
      <c r="DU102" s="305"/>
      <c r="DV102" s="305"/>
      <c r="DW102" s="126"/>
      <c r="DX102" s="126"/>
      <c r="DY102" s="126"/>
      <c r="DZ102" s="126"/>
      <c r="EA102" s="126"/>
      <c r="EB102" s="126"/>
      <c r="EC102" s="126"/>
      <c r="ED102" s="126"/>
      <c r="EE102" s="126"/>
      <c r="EF102" s="127"/>
    </row>
    <row r="103" spans="1:136" ht="38.25" customHeight="1">
      <c r="B103" s="312"/>
      <c r="C103" s="313"/>
      <c r="D103" s="2152" t="str">
        <f ca="1">INDIRECT($J$4&amp;"!C93")</f>
        <v>Comments</v>
      </c>
      <c r="E103" s="2152"/>
      <c r="F103" s="2152"/>
      <c r="G103" s="316"/>
      <c r="H103" s="2153"/>
      <c r="I103" s="2154"/>
      <c r="J103" s="2154"/>
      <c r="K103" s="2154"/>
      <c r="L103" s="2154"/>
      <c r="M103" s="2154"/>
      <c r="N103" s="2154"/>
      <c r="O103" s="2154"/>
      <c r="P103" s="2154"/>
      <c r="Q103" s="2154"/>
      <c r="R103" s="2154"/>
      <c r="S103" s="2154"/>
      <c r="T103" s="2154"/>
      <c r="U103" s="2154"/>
      <c r="V103" s="2154"/>
      <c r="W103" s="2154"/>
      <c r="X103" s="2154"/>
      <c r="Y103" s="2154"/>
      <c r="Z103" s="2154"/>
      <c r="AA103" s="2154"/>
      <c r="AB103" s="2154"/>
      <c r="AC103" s="2154"/>
      <c r="AD103" s="2154"/>
      <c r="AE103" s="2154"/>
      <c r="AF103" s="2154"/>
      <c r="AG103" s="2154"/>
      <c r="AH103" s="2154"/>
      <c r="AI103" s="2154"/>
      <c r="AJ103" s="2154"/>
      <c r="AK103" s="2154"/>
      <c r="AL103" s="2154"/>
      <c r="AM103" s="2154"/>
      <c r="AN103" s="2154"/>
      <c r="AO103" s="2154"/>
      <c r="AP103" s="2154"/>
      <c r="AQ103" s="2154"/>
      <c r="AR103" s="2154"/>
      <c r="AS103" s="2154"/>
      <c r="AT103" s="2154"/>
      <c r="AU103" s="2154"/>
      <c r="AV103" s="2154"/>
      <c r="AW103" s="2154"/>
      <c r="AX103" s="2154"/>
      <c r="AY103" s="2154"/>
      <c r="AZ103" s="2154"/>
      <c r="BA103" s="2154"/>
      <c r="BB103" s="2154"/>
      <c r="BC103" s="2154"/>
      <c r="BD103" s="2154"/>
      <c r="BE103" s="2154"/>
      <c r="BF103" s="2154"/>
      <c r="BG103" s="2154"/>
      <c r="BH103" s="2154"/>
      <c r="BI103" s="2154"/>
      <c r="BJ103" s="2154"/>
      <c r="BK103" s="2154"/>
      <c r="BL103" s="2154"/>
      <c r="BM103" s="2154"/>
      <c r="BN103" s="2154"/>
      <c r="BO103" s="2154"/>
      <c r="BP103" s="2154"/>
      <c r="BQ103" s="2154"/>
      <c r="BR103" s="2154"/>
      <c r="BS103" s="2154"/>
      <c r="BT103" s="2154"/>
      <c r="BU103" s="2154"/>
      <c r="BV103" s="2154"/>
      <c r="BW103" s="2154"/>
      <c r="BX103" s="2154"/>
      <c r="BY103" s="2154"/>
      <c r="BZ103" s="2154"/>
      <c r="CA103" s="2154"/>
      <c r="CB103" s="2154"/>
      <c r="CC103" s="2154"/>
      <c r="CD103" s="2154"/>
      <c r="CE103" s="2154"/>
      <c r="CF103" s="2154"/>
      <c r="CG103" s="2154"/>
      <c r="CH103" s="2154"/>
      <c r="CI103" s="2154"/>
      <c r="CJ103" s="2154"/>
      <c r="CK103" s="2154"/>
      <c r="CL103" s="2154"/>
      <c r="CM103" s="2154"/>
      <c r="CN103" s="2154"/>
      <c r="CO103" s="2154"/>
      <c r="CP103" s="2154"/>
      <c r="CQ103" s="2154"/>
      <c r="CR103" s="2154"/>
      <c r="CS103" s="2154"/>
      <c r="CT103" s="2154"/>
      <c r="CU103" s="2154"/>
      <c r="CV103" s="2154"/>
      <c r="CW103" s="2154"/>
      <c r="CX103" s="2154"/>
      <c r="CY103" s="2154"/>
      <c r="CZ103" s="2154"/>
      <c r="DA103" s="2154"/>
      <c r="DB103" s="2154"/>
      <c r="DC103" s="2154"/>
      <c r="DD103" s="2154"/>
      <c r="DE103" s="2154"/>
      <c r="DF103" s="2154"/>
      <c r="DG103" s="2154"/>
      <c r="DH103" s="2154"/>
      <c r="DI103" s="2154"/>
      <c r="DJ103" s="2154"/>
      <c r="DK103" s="2154"/>
      <c r="DL103" s="2154"/>
      <c r="DM103" s="2154"/>
      <c r="DN103" s="2154"/>
      <c r="DO103" s="2154"/>
      <c r="DP103" s="2154"/>
      <c r="DQ103" s="2154"/>
      <c r="DR103" s="2155"/>
      <c r="DS103" s="313"/>
      <c r="DT103" s="311"/>
      <c r="DU103" s="305"/>
      <c r="DV103" s="305"/>
      <c r="DW103" s="126"/>
      <c r="DX103" s="126"/>
      <c r="DY103" s="126"/>
      <c r="DZ103" s="126"/>
      <c r="EA103" s="126"/>
      <c r="EB103" s="126"/>
      <c r="EC103" s="126"/>
      <c r="ED103" s="126"/>
      <c r="EE103" s="126"/>
      <c r="EF103" s="127"/>
    </row>
    <row r="104" spans="1:136" ht="30" customHeight="1">
      <c r="B104" s="312"/>
      <c r="C104" s="313"/>
      <c r="D104" s="2152"/>
      <c r="E104" s="2152"/>
      <c r="F104" s="2152"/>
      <c r="G104" s="316"/>
      <c r="H104" s="2156"/>
      <c r="I104" s="2157"/>
      <c r="J104" s="2157"/>
      <c r="K104" s="2157"/>
      <c r="L104" s="2157"/>
      <c r="M104" s="2157"/>
      <c r="N104" s="2157"/>
      <c r="O104" s="2157"/>
      <c r="P104" s="2157"/>
      <c r="Q104" s="2157"/>
      <c r="R104" s="2157"/>
      <c r="S104" s="2157"/>
      <c r="T104" s="2157"/>
      <c r="U104" s="2157"/>
      <c r="V104" s="2157"/>
      <c r="W104" s="2157"/>
      <c r="X104" s="2157"/>
      <c r="Y104" s="2157"/>
      <c r="Z104" s="2157"/>
      <c r="AA104" s="2157"/>
      <c r="AB104" s="2157"/>
      <c r="AC104" s="2157"/>
      <c r="AD104" s="2157"/>
      <c r="AE104" s="2157"/>
      <c r="AF104" s="2157"/>
      <c r="AG104" s="2157"/>
      <c r="AH104" s="2157"/>
      <c r="AI104" s="2157"/>
      <c r="AJ104" s="2157"/>
      <c r="AK104" s="2157"/>
      <c r="AL104" s="2157"/>
      <c r="AM104" s="2157"/>
      <c r="AN104" s="2157"/>
      <c r="AO104" s="2157"/>
      <c r="AP104" s="2157"/>
      <c r="AQ104" s="2157"/>
      <c r="AR104" s="2157"/>
      <c r="AS104" s="2157"/>
      <c r="AT104" s="2157"/>
      <c r="AU104" s="2157"/>
      <c r="AV104" s="2157"/>
      <c r="AW104" s="2157"/>
      <c r="AX104" s="2157"/>
      <c r="AY104" s="2157"/>
      <c r="AZ104" s="2157"/>
      <c r="BA104" s="2157"/>
      <c r="BB104" s="2157"/>
      <c r="BC104" s="2157"/>
      <c r="BD104" s="2157"/>
      <c r="BE104" s="2157"/>
      <c r="BF104" s="2157"/>
      <c r="BG104" s="2157"/>
      <c r="BH104" s="2157"/>
      <c r="BI104" s="2157"/>
      <c r="BJ104" s="2157"/>
      <c r="BK104" s="2157"/>
      <c r="BL104" s="2157"/>
      <c r="BM104" s="2157"/>
      <c r="BN104" s="2157"/>
      <c r="BO104" s="2157"/>
      <c r="BP104" s="2157"/>
      <c r="BQ104" s="2157"/>
      <c r="BR104" s="2157"/>
      <c r="BS104" s="2157"/>
      <c r="BT104" s="2157"/>
      <c r="BU104" s="2157"/>
      <c r="BV104" s="2157"/>
      <c r="BW104" s="2157"/>
      <c r="BX104" s="2157"/>
      <c r="BY104" s="2157"/>
      <c r="BZ104" s="2157"/>
      <c r="CA104" s="2157"/>
      <c r="CB104" s="2157"/>
      <c r="CC104" s="2157"/>
      <c r="CD104" s="2157"/>
      <c r="CE104" s="2157"/>
      <c r="CF104" s="2157"/>
      <c r="CG104" s="2157"/>
      <c r="CH104" s="2157"/>
      <c r="CI104" s="2157"/>
      <c r="CJ104" s="2157"/>
      <c r="CK104" s="2157"/>
      <c r="CL104" s="2157"/>
      <c r="CM104" s="2157"/>
      <c r="CN104" s="2157"/>
      <c r="CO104" s="2157"/>
      <c r="CP104" s="2157"/>
      <c r="CQ104" s="2157"/>
      <c r="CR104" s="2157"/>
      <c r="CS104" s="2157"/>
      <c r="CT104" s="2157"/>
      <c r="CU104" s="2157"/>
      <c r="CV104" s="2157"/>
      <c r="CW104" s="2157"/>
      <c r="CX104" s="2157"/>
      <c r="CY104" s="2157"/>
      <c r="CZ104" s="2157"/>
      <c r="DA104" s="2157"/>
      <c r="DB104" s="2157"/>
      <c r="DC104" s="2157"/>
      <c r="DD104" s="2157"/>
      <c r="DE104" s="2157"/>
      <c r="DF104" s="2157"/>
      <c r="DG104" s="2157"/>
      <c r="DH104" s="2157"/>
      <c r="DI104" s="2157"/>
      <c r="DJ104" s="2157"/>
      <c r="DK104" s="2157"/>
      <c r="DL104" s="2157"/>
      <c r="DM104" s="2157"/>
      <c r="DN104" s="2157"/>
      <c r="DO104" s="2157"/>
      <c r="DP104" s="2157"/>
      <c r="DQ104" s="2157"/>
      <c r="DR104" s="2158"/>
      <c r="DS104" s="313"/>
      <c r="DT104" s="311"/>
      <c r="DU104" s="305"/>
      <c r="DV104" s="305"/>
      <c r="DW104" s="126"/>
      <c r="DX104" s="126"/>
      <c r="DY104" s="126"/>
      <c r="DZ104" s="126"/>
      <c r="EA104" s="126"/>
      <c r="EB104" s="126"/>
      <c r="EC104" s="126"/>
      <c r="ED104" s="126"/>
      <c r="EE104" s="126"/>
      <c r="EF104" s="127"/>
    </row>
    <row r="105" spans="1:136" ht="30" customHeight="1">
      <c r="B105" s="312"/>
      <c r="C105" s="313"/>
      <c r="D105" s="2152"/>
      <c r="E105" s="2152"/>
      <c r="F105" s="2152"/>
      <c r="G105" s="316"/>
      <c r="H105" s="2156"/>
      <c r="I105" s="2157"/>
      <c r="J105" s="2157"/>
      <c r="K105" s="2157"/>
      <c r="L105" s="2157"/>
      <c r="M105" s="2157"/>
      <c r="N105" s="2157"/>
      <c r="O105" s="2157"/>
      <c r="P105" s="2157"/>
      <c r="Q105" s="2157"/>
      <c r="R105" s="2157"/>
      <c r="S105" s="2157"/>
      <c r="T105" s="2157"/>
      <c r="U105" s="2157"/>
      <c r="V105" s="2157"/>
      <c r="W105" s="2157"/>
      <c r="X105" s="2157"/>
      <c r="Y105" s="2157"/>
      <c r="Z105" s="2157"/>
      <c r="AA105" s="2157"/>
      <c r="AB105" s="2157"/>
      <c r="AC105" s="2157"/>
      <c r="AD105" s="2157"/>
      <c r="AE105" s="2157"/>
      <c r="AF105" s="2157"/>
      <c r="AG105" s="2157"/>
      <c r="AH105" s="2157"/>
      <c r="AI105" s="2157"/>
      <c r="AJ105" s="2157"/>
      <c r="AK105" s="2157"/>
      <c r="AL105" s="2157"/>
      <c r="AM105" s="2157"/>
      <c r="AN105" s="2157"/>
      <c r="AO105" s="2157"/>
      <c r="AP105" s="2157"/>
      <c r="AQ105" s="2157"/>
      <c r="AR105" s="2157"/>
      <c r="AS105" s="2157"/>
      <c r="AT105" s="2157"/>
      <c r="AU105" s="2157"/>
      <c r="AV105" s="2157"/>
      <c r="AW105" s="2157"/>
      <c r="AX105" s="2157"/>
      <c r="AY105" s="2157"/>
      <c r="AZ105" s="2157"/>
      <c r="BA105" s="2157"/>
      <c r="BB105" s="2157"/>
      <c r="BC105" s="2157"/>
      <c r="BD105" s="2157"/>
      <c r="BE105" s="2157"/>
      <c r="BF105" s="2157"/>
      <c r="BG105" s="2157"/>
      <c r="BH105" s="2157"/>
      <c r="BI105" s="2157"/>
      <c r="BJ105" s="2157"/>
      <c r="BK105" s="2157"/>
      <c r="BL105" s="2157"/>
      <c r="BM105" s="2157"/>
      <c r="BN105" s="2157"/>
      <c r="BO105" s="2157"/>
      <c r="BP105" s="2157"/>
      <c r="BQ105" s="2157"/>
      <c r="BR105" s="2157"/>
      <c r="BS105" s="2157"/>
      <c r="BT105" s="2157"/>
      <c r="BU105" s="2157"/>
      <c r="BV105" s="2157"/>
      <c r="BW105" s="2157"/>
      <c r="BX105" s="2157"/>
      <c r="BY105" s="2157"/>
      <c r="BZ105" s="2157"/>
      <c r="CA105" s="2157"/>
      <c r="CB105" s="2157"/>
      <c r="CC105" s="2157"/>
      <c r="CD105" s="2157"/>
      <c r="CE105" s="2157"/>
      <c r="CF105" s="2157"/>
      <c r="CG105" s="2157"/>
      <c r="CH105" s="2157"/>
      <c r="CI105" s="2157"/>
      <c r="CJ105" s="2157"/>
      <c r="CK105" s="2157"/>
      <c r="CL105" s="2157"/>
      <c r="CM105" s="2157"/>
      <c r="CN105" s="2157"/>
      <c r="CO105" s="2157"/>
      <c r="CP105" s="2157"/>
      <c r="CQ105" s="2157"/>
      <c r="CR105" s="2157"/>
      <c r="CS105" s="2157"/>
      <c r="CT105" s="2157"/>
      <c r="CU105" s="2157"/>
      <c r="CV105" s="2157"/>
      <c r="CW105" s="2157"/>
      <c r="CX105" s="2157"/>
      <c r="CY105" s="2157"/>
      <c r="CZ105" s="2157"/>
      <c r="DA105" s="2157"/>
      <c r="DB105" s="2157"/>
      <c r="DC105" s="2157"/>
      <c r="DD105" s="2157"/>
      <c r="DE105" s="2157"/>
      <c r="DF105" s="2157"/>
      <c r="DG105" s="2157"/>
      <c r="DH105" s="2157"/>
      <c r="DI105" s="2157"/>
      <c r="DJ105" s="2157"/>
      <c r="DK105" s="2157"/>
      <c r="DL105" s="2157"/>
      <c r="DM105" s="2157"/>
      <c r="DN105" s="2157"/>
      <c r="DO105" s="2157"/>
      <c r="DP105" s="2157"/>
      <c r="DQ105" s="2157"/>
      <c r="DR105" s="2158"/>
      <c r="DS105" s="313"/>
      <c r="DT105" s="311"/>
      <c r="DU105" s="305"/>
      <c r="DV105" s="305"/>
      <c r="DW105" s="126"/>
      <c r="DX105" s="126"/>
      <c r="DY105" s="126"/>
      <c r="DZ105" s="126"/>
      <c r="EA105" s="126"/>
      <c r="EB105" s="126"/>
      <c r="EC105" s="126"/>
      <c r="ED105" s="126"/>
      <c r="EE105" s="126"/>
      <c r="EF105" s="187"/>
    </row>
    <row r="106" spans="1:136" s="320" customFormat="1" ht="30" customHeight="1">
      <c r="A106" s="318"/>
      <c r="B106" s="312"/>
      <c r="C106" s="313"/>
      <c r="D106" s="2152"/>
      <c r="E106" s="2152"/>
      <c r="F106" s="2152"/>
      <c r="G106" s="316"/>
      <c r="H106" s="2159"/>
      <c r="I106" s="2160"/>
      <c r="J106" s="2160"/>
      <c r="K106" s="2160"/>
      <c r="L106" s="2160"/>
      <c r="M106" s="2160"/>
      <c r="N106" s="2160"/>
      <c r="O106" s="2160"/>
      <c r="P106" s="2160"/>
      <c r="Q106" s="2160"/>
      <c r="R106" s="2160"/>
      <c r="S106" s="2160"/>
      <c r="T106" s="2160"/>
      <c r="U106" s="2160"/>
      <c r="V106" s="2160"/>
      <c r="W106" s="2160"/>
      <c r="X106" s="2160"/>
      <c r="Y106" s="2160"/>
      <c r="Z106" s="2160"/>
      <c r="AA106" s="2160"/>
      <c r="AB106" s="2160"/>
      <c r="AC106" s="2160"/>
      <c r="AD106" s="2160"/>
      <c r="AE106" s="2160"/>
      <c r="AF106" s="2160"/>
      <c r="AG106" s="2160"/>
      <c r="AH106" s="2160"/>
      <c r="AI106" s="2160"/>
      <c r="AJ106" s="2160"/>
      <c r="AK106" s="2160"/>
      <c r="AL106" s="2160"/>
      <c r="AM106" s="2160"/>
      <c r="AN106" s="2160"/>
      <c r="AO106" s="2160"/>
      <c r="AP106" s="2160"/>
      <c r="AQ106" s="2160"/>
      <c r="AR106" s="2160"/>
      <c r="AS106" s="2160"/>
      <c r="AT106" s="2160"/>
      <c r="AU106" s="2160"/>
      <c r="AV106" s="2160"/>
      <c r="AW106" s="2160"/>
      <c r="AX106" s="2160"/>
      <c r="AY106" s="2160"/>
      <c r="AZ106" s="2160"/>
      <c r="BA106" s="2160"/>
      <c r="BB106" s="2160"/>
      <c r="BC106" s="2160"/>
      <c r="BD106" s="2160"/>
      <c r="BE106" s="2160"/>
      <c r="BF106" s="2160"/>
      <c r="BG106" s="2160"/>
      <c r="BH106" s="2160"/>
      <c r="BI106" s="2160"/>
      <c r="BJ106" s="2160"/>
      <c r="BK106" s="2160"/>
      <c r="BL106" s="2160"/>
      <c r="BM106" s="2160"/>
      <c r="BN106" s="2160"/>
      <c r="BO106" s="2160"/>
      <c r="BP106" s="2160"/>
      <c r="BQ106" s="2160"/>
      <c r="BR106" s="2160"/>
      <c r="BS106" s="2160"/>
      <c r="BT106" s="2160"/>
      <c r="BU106" s="2160"/>
      <c r="BV106" s="2160"/>
      <c r="BW106" s="2160"/>
      <c r="BX106" s="2160"/>
      <c r="BY106" s="2160"/>
      <c r="BZ106" s="2160"/>
      <c r="CA106" s="2160"/>
      <c r="CB106" s="2160"/>
      <c r="CC106" s="2160"/>
      <c r="CD106" s="2160"/>
      <c r="CE106" s="2160"/>
      <c r="CF106" s="2160"/>
      <c r="CG106" s="2160"/>
      <c r="CH106" s="2160"/>
      <c r="CI106" s="2160"/>
      <c r="CJ106" s="2160"/>
      <c r="CK106" s="2160"/>
      <c r="CL106" s="2160"/>
      <c r="CM106" s="2160"/>
      <c r="CN106" s="2160"/>
      <c r="CO106" s="2160"/>
      <c r="CP106" s="2160"/>
      <c r="CQ106" s="2160"/>
      <c r="CR106" s="2160"/>
      <c r="CS106" s="2160"/>
      <c r="CT106" s="2160"/>
      <c r="CU106" s="2160"/>
      <c r="CV106" s="2160"/>
      <c r="CW106" s="2160"/>
      <c r="CX106" s="2160"/>
      <c r="CY106" s="2160"/>
      <c r="CZ106" s="2160"/>
      <c r="DA106" s="2160"/>
      <c r="DB106" s="2160"/>
      <c r="DC106" s="2160"/>
      <c r="DD106" s="2160"/>
      <c r="DE106" s="2160"/>
      <c r="DF106" s="2160"/>
      <c r="DG106" s="2160"/>
      <c r="DH106" s="2160"/>
      <c r="DI106" s="2160"/>
      <c r="DJ106" s="2160"/>
      <c r="DK106" s="2160"/>
      <c r="DL106" s="2160"/>
      <c r="DM106" s="2160"/>
      <c r="DN106" s="2160"/>
      <c r="DO106" s="2160"/>
      <c r="DP106" s="2160"/>
      <c r="DQ106" s="2160"/>
      <c r="DR106" s="2161"/>
      <c r="DS106" s="313"/>
      <c r="DT106" s="311"/>
      <c r="DW106" s="202"/>
      <c r="DX106" s="202"/>
      <c r="DY106" s="202"/>
      <c r="DZ106" s="202"/>
      <c r="EA106" s="202"/>
      <c r="EB106" s="202"/>
      <c r="EC106" s="202"/>
      <c r="ED106" s="202"/>
      <c r="EE106" s="202"/>
      <c r="EF106" s="204"/>
    </row>
    <row r="107" spans="1:136" s="320" customFormat="1" ht="6" customHeight="1">
      <c r="A107" s="318"/>
      <c r="B107" s="312"/>
      <c r="C107" s="313"/>
      <c r="D107" s="313"/>
      <c r="E107" s="313"/>
      <c r="F107" s="313"/>
      <c r="G107" s="313"/>
      <c r="H107" s="313"/>
      <c r="I107" s="313"/>
      <c r="J107" s="313"/>
      <c r="K107" s="313"/>
      <c r="L107" s="313"/>
      <c r="M107" s="313"/>
      <c r="N107" s="313"/>
      <c r="O107" s="313"/>
      <c r="P107" s="313"/>
      <c r="Q107" s="313"/>
      <c r="R107" s="313"/>
      <c r="S107" s="313"/>
      <c r="T107" s="313"/>
      <c r="U107" s="313"/>
      <c r="V107" s="313"/>
      <c r="W107" s="313"/>
      <c r="X107" s="313"/>
      <c r="Y107" s="313"/>
      <c r="Z107" s="313"/>
      <c r="AA107" s="313"/>
      <c r="AB107" s="313"/>
      <c r="AC107" s="313"/>
      <c r="AD107" s="313"/>
      <c r="AE107" s="313"/>
      <c r="AF107" s="313"/>
      <c r="AG107" s="313"/>
      <c r="AH107" s="313"/>
      <c r="AI107" s="313"/>
      <c r="AJ107" s="313"/>
      <c r="AK107" s="313"/>
      <c r="AL107" s="313"/>
      <c r="AM107" s="313"/>
      <c r="AN107" s="313"/>
      <c r="AO107" s="313"/>
      <c r="AP107" s="313"/>
      <c r="AQ107" s="313"/>
      <c r="AR107" s="313"/>
      <c r="AS107" s="313"/>
      <c r="AT107" s="313"/>
      <c r="AU107" s="313"/>
      <c r="AV107" s="313"/>
      <c r="AW107" s="313"/>
      <c r="AX107" s="313"/>
      <c r="AY107" s="313"/>
      <c r="AZ107" s="313"/>
      <c r="BA107" s="313"/>
      <c r="BB107" s="313"/>
      <c r="BC107" s="313"/>
      <c r="BD107" s="313"/>
      <c r="BE107" s="313"/>
      <c r="BF107" s="313"/>
      <c r="BG107" s="313"/>
      <c r="BH107" s="313"/>
      <c r="BI107" s="313"/>
      <c r="BJ107" s="313"/>
      <c r="BK107" s="313"/>
      <c r="BL107" s="313"/>
      <c r="BM107" s="313"/>
      <c r="BN107" s="313"/>
      <c r="BO107" s="313"/>
      <c r="BP107" s="313"/>
      <c r="BQ107" s="313"/>
      <c r="BR107" s="313"/>
      <c r="BS107" s="313"/>
      <c r="BT107" s="313"/>
      <c r="BU107" s="313"/>
      <c r="BV107" s="313"/>
      <c r="BW107" s="313"/>
      <c r="BX107" s="313"/>
      <c r="BY107" s="313"/>
      <c r="BZ107" s="313"/>
      <c r="CA107" s="313"/>
      <c r="CB107" s="313"/>
      <c r="CC107" s="313"/>
      <c r="CD107" s="313"/>
      <c r="CE107" s="313"/>
      <c r="CF107" s="313"/>
      <c r="CG107" s="313"/>
      <c r="CH107" s="313"/>
      <c r="CI107" s="313"/>
      <c r="CJ107" s="313"/>
      <c r="CK107" s="313"/>
      <c r="CL107" s="313"/>
      <c r="CM107" s="313"/>
      <c r="CN107" s="313"/>
      <c r="CO107" s="313"/>
      <c r="CP107" s="313"/>
      <c r="CQ107" s="313"/>
      <c r="CR107" s="313"/>
      <c r="CS107" s="313"/>
      <c r="CT107" s="313"/>
      <c r="CU107" s="313"/>
      <c r="CV107" s="313"/>
      <c r="CW107" s="313"/>
      <c r="CX107" s="313"/>
      <c r="CY107" s="313"/>
      <c r="CZ107" s="313"/>
      <c r="DA107" s="313"/>
      <c r="DB107" s="313"/>
      <c r="DC107" s="313"/>
      <c r="DD107" s="313"/>
      <c r="DE107" s="313"/>
      <c r="DF107" s="313"/>
      <c r="DG107" s="313"/>
      <c r="DH107" s="313"/>
      <c r="DI107" s="313"/>
      <c r="DJ107" s="313"/>
      <c r="DK107" s="313"/>
      <c r="DL107" s="313"/>
      <c r="DM107" s="313"/>
      <c r="DN107" s="313"/>
      <c r="DO107" s="313"/>
      <c r="DP107" s="313"/>
      <c r="DQ107" s="313"/>
      <c r="DR107" s="313"/>
      <c r="DS107" s="313"/>
      <c r="DT107" s="311"/>
      <c r="DW107" s="202"/>
      <c r="DX107" s="202"/>
      <c r="DY107" s="202"/>
      <c r="DZ107" s="202"/>
      <c r="EA107" s="202"/>
      <c r="EB107" s="202"/>
      <c r="EC107" s="202"/>
      <c r="ED107" s="202"/>
      <c r="EE107" s="202"/>
      <c r="EF107" s="204"/>
    </row>
    <row r="108" spans="1:136" s="320" customFormat="1" ht="6" customHeight="1" thickBot="1">
      <c r="A108" s="316"/>
      <c r="B108" s="314"/>
      <c r="C108" s="342"/>
      <c r="D108" s="342"/>
      <c r="E108" s="342"/>
      <c r="F108" s="342"/>
      <c r="G108" s="342"/>
      <c r="H108" s="342"/>
      <c r="I108" s="342"/>
      <c r="J108" s="342"/>
      <c r="K108" s="342"/>
      <c r="L108" s="342"/>
      <c r="M108" s="342"/>
      <c r="N108" s="326"/>
      <c r="O108" s="326"/>
      <c r="P108" s="326"/>
      <c r="Q108" s="326"/>
      <c r="R108" s="326"/>
      <c r="S108" s="326"/>
      <c r="T108" s="342"/>
      <c r="U108" s="342"/>
      <c r="V108" s="342"/>
      <c r="W108" s="342"/>
      <c r="X108" s="342"/>
      <c r="Y108" s="326"/>
      <c r="Z108" s="326"/>
      <c r="AA108" s="326"/>
      <c r="AB108" s="326"/>
      <c r="AC108" s="326"/>
      <c r="AD108" s="326"/>
      <c r="AE108" s="326"/>
      <c r="AF108" s="326"/>
      <c r="AG108" s="326"/>
      <c r="AH108" s="343"/>
      <c r="AI108" s="343"/>
      <c r="AJ108" s="343"/>
      <c r="AK108" s="343"/>
      <c r="AL108" s="343"/>
      <c r="AM108" s="343"/>
      <c r="AN108" s="343"/>
      <c r="AO108" s="343"/>
      <c r="AP108" s="326"/>
      <c r="AQ108" s="344"/>
      <c r="AR108" s="344"/>
      <c r="AS108" s="344"/>
      <c r="AT108" s="323"/>
      <c r="AU108" s="326"/>
      <c r="AV108" s="326"/>
      <c r="AW108" s="326"/>
      <c r="AX108" s="326"/>
      <c r="AY108" s="343"/>
      <c r="AZ108" s="343"/>
      <c r="BA108" s="343"/>
      <c r="BB108" s="343"/>
      <c r="BC108" s="343"/>
      <c r="BD108" s="326"/>
      <c r="BE108" s="326"/>
      <c r="BF108" s="326"/>
      <c r="BG108" s="326"/>
      <c r="BH108" s="343"/>
      <c r="BI108" s="343"/>
      <c r="BJ108" s="343"/>
      <c r="BK108" s="343"/>
      <c r="BL108" s="343"/>
      <c r="BM108" s="326"/>
      <c r="BN108" s="326"/>
      <c r="BO108" s="326"/>
      <c r="BP108" s="326"/>
      <c r="BQ108" s="343"/>
      <c r="BR108" s="343"/>
      <c r="BS108" s="343"/>
      <c r="BT108" s="343"/>
      <c r="BU108" s="343"/>
      <c r="BV108" s="326"/>
      <c r="BW108" s="326"/>
      <c r="BX108" s="326"/>
      <c r="BY108" s="326"/>
      <c r="BZ108" s="343"/>
      <c r="CA108" s="343"/>
      <c r="CB108" s="343"/>
      <c r="CC108" s="345"/>
      <c r="CD108" s="345"/>
      <c r="CE108" s="345"/>
      <c r="CF108" s="342"/>
      <c r="CG108" s="323"/>
      <c r="CH108" s="326"/>
      <c r="CI108" s="326"/>
      <c r="CJ108" s="326"/>
      <c r="CK108" s="326"/>
      <c r="CL108" s="326"/>
      <c r="CM108" s="326"/>
      <c r="CN108" s="326"/>
      <c r="CO108" s="326"/>
      <c r="CP108" s="326"/>
      <c r="CQ108" s="326"/>
      <c r="CR108" s="326"/>
      <c r="CS108" s="326"/>
      <c r="CT108" s="326"/>
      <c r="CU108" s="326"/>
      <c r="CV108" s="326"/>
      <c r="CW108" s="326"/>
      <c r="CX108" s="326"/>
      <c r="CY108" s="345"/>
      <c r="CZ108" s="345"/>
      <c r="DA108" s="345"/>
      <c r="DB108" s="345"/>
      <c r="DC108" s="345"/>
      <c r="DD108" s="345"/>
      <c r="DE108" s="345"/>
      <c r="DF108" s="345"/>
      <c r="DG108" s="345"/>
      <c r="DH108" s="345"/>
      <c r="DI108" s="345"/>
      <c r="DJ108" s="345"/>
      <c r="DK108" s="345"/>
      <c r="DL108" s="345"/>
      <c r="DM108" s="345"/>
      <c r="DN108" s="345"/>
      <c r="DO108" s="345"/>
      <c r="DP108" s="345"/>
      <c r="DQ108" s="345"/>
      <c r="DR108" s="345"/>
      <c r="DS108" s="345"/>
      <c r="DT108" s="327"/>
      <c r="DW108" s="202"/>
      <c r="DX108" s="202"/>
      <c r="DY108" s="202"/>
      <c r="DZ108" s="202"/>
      <c r="EA108" s="202"/>
      <c r="EB108" s="202"/>
      <c r="EC108" s="202"/>
      <c r="ED108" s="202"/>
      <c r="EE108" s="202"/>
      <c r="EF108" s="204"/>
    </row>
    <row r="109" spans="1:136" ht="6" customHeight="1">
      <c r="B109" s="312"/>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310"/>
      <c r="AF109" s="310"/>
      <c r="AG109" s="310"/>
      <c r="AH109" s="310"/>
      <c r="AI109" s="310"/>
      <c r="AJ109" s="310"/>
      <c r="AK109" s="310"/>
      <c r="AL109" s="310"/>
      <c r="AM109" s="310"/>
      <c r="AN109" s="310"/>
      <c r="AO109" s="310"/>
      <c r="AP109" s="310"/>
      <c r="AQ109" s="310"/>
      <c r="AR109" s="310"/>
      <c r="AS109" s="310"/>
      <c r="AT109" s="310"/>
      <c r="AU109" s="310"/>
      <c r="AV109" s="310"/>
      <c r="AW109" s="310"/>
      <c r="AX109" s="310"/>
      <c r="AY109" s="310"/>
      <c r="AZ109" s="310"/>
      <c r="BA109" s="310"/>
      <c r="BB109" s="310"/>
      <c r="BC109" s="310"/>
      <c r="BD109" s="310"/>
      <c r="BE109" s="310"/>
      <c r="BF109" s="310"/>
      <c r="BG109" s="310"/>
      <c r="BH109" s="310"/>
      <c r="BI109" s="310"/>
      <c r="BJ109" s="310"/>
      <c r="BK109" s="310"/>
      <c r="BL109" s="310"/>
      <c r="BM109" s="310"/>
      <c r="BN109" s="310"/>
      <c r="BO109" s="310"/>
      <c r="BP109" s="310"/>
      <c r="BQ109" s="199"/>
      <c r="BR109" s="310"/>
      <c r="BS109" s="309"/>
      <c r="BT109" s="310"/>
      <c r="BU109" s="310"/>
      <c r="BV109" s="310"/>
      <c r="BW109" s="310"/>
      <c r="BX109" s="209"/>
      <c r="BY109" s="209"/>
      <c r="BZ109" s="310"/>
      <c r="CA109" s="310"/>
      <c r="CB109" s="310"/>
      <c r="CC109" s="310"/>
      <c r="CD109" s="310"/>
      <c r="CE109" s="310"/>
      <c r="CF109" s="310"/>
      <c r="CG109" s="309"/>
      <c r="CH109" s="1839"/>
      <c r="CI109" s="1839"/>
      <c r="CJ109" s="1839"/>
      <c r="CK109" s="309"/>
      <c r="CL109" s="199"/>
      <c r="CM109" s="309"/>
      <c r="CN109" s="309"/>
      <c r="CO109" s="309"/>
      <c r="CP109" s="309"/>
      <c r="CQ109" s="309"/>
      <c r="CR109" s="310"/>
      <c r="CS109" s="310"/>
      <c r="CT109" s="310"/>
      <c r="CU109" s="310"/>
      <c r="CV109" s="310"/>
      <c r="CW109" s="310"/>
      <c r="CX109" s="310"/>
      <c r="CY109" s="310"/>
      <c r="CZ109" s="1839"/>
      <c r="DA109" s="1839"/>
      <c r="DB109" s="1839"/>
      <c r="DC109" s="309"/>
      <c r="DD109" s="209"/>
      <c r="DE109" s="309"/>
      <c r="DF109" s="310"/>
      <c r="DG109" s="310"/>
      <c r="DH109" s="310"/>
      <c r="DI109" s="310"/>
      <c r="DJ109" s="309"/>
      <c r="DK109" s="309"/>
      <c r="DL109" s="309"/>
      <c r="DM109" s="309"/>
      <c r="DN109" s="309"/>
      <c r="DO109" s="309"/>
      <c r="DP109" s="309"/>
      <c r="DQ109" s="309"/>
      <c r="DR109" s="310"/>
      <c r="DS109" s="310"/>
      <c r="DT109" s="311"/>
    </row>
    <row r="110" spans="1:136" ht="30" customHeight="1">
      <c r="B110" s="536" t="str">
        <f ca="1">INDIRECT($J$4&amp;"!C145")</f>
        <v>D4 - Root cause analysis</v>
      </c>
      <c r="C110" s="309"/>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309"/>
      <c r="AF110" s="309"/>
      <c r="AG110" s="309"/>
      <c r="AH110" s="309"/>
      <c r="AI110" s="309"/>
      <c r="AJ110" s="309"/>
      <c r="AK110" s="309"/>
      <c r="AL110" s="309"/>
      <c r="AM110" s="309"/>
      <c r="AN110" s="309"/>
      <c r="AO110" s="309"/>
      <c r="AP110" s="309"/>
      <c r="AQ110" s="309"/>
      <c r="AR110" s="309"/>
      <c r="AS110" s="309"/>
      <c r="AT110" s="309"/>
      <c r="AU110" s="309"/>
      <c r="AV110" s="309"/>
      <c r="AW110" s="309"/>
      <c r="AX110" s="309"/>
      <c r="AY110" s="309"/>
      <c r="AZ110" s="309"/>
      <c r="BA110" s="309"/>
      <c r="BB110" s="309"/>
      <c r="BC110" s="309"/>
      <c r="BD110" s="309"/>
      <c r="BE110" s="309"/>
      <c r="BF110" s="309"/>
      <c r="BG110" s="309"/>
      <c r="BH110" s="309"/>
      <c r="BI110" s="309"/>
      <c r="BJ110" s="309"/>
      <c r="BK110" s="309"/>
      <c r="BL110" s="309"/>
      <c r="BM110" s="309"/>
      <c r="BN110" s="309"/>
      <c r="BO110" s="309"/>
      <c r="BP110" s="309"/>
      <c r="BQ110" s="309"/>
      <c r="BR110" s="309"/>
      <c r="BS110" s="309"/>
      <c r="BT110" s="309"/>
      <c r="BU110" s="309"/>
      <c r="BV110" s="309"/>
      <c r="BW110" s="309"/>
      <c r="BX110" s="309"/>
      <c r="BY110" s="309"/>
      <c r="BZ110" s="309"/>
      <c r="CA110" s="309"/>
      <c r="CB110" s="309"/>
      <c r="CC110" s="309"/>
      <c r="CD110" s="309"/>
      <c r="CE110" s="309"/>
      <c r="CF110" s="309"/>
      <c r="CG110" s="309"/>
      <c r="CH110" s="309"/>
      <c r="CI110" s="309"/>
      <c r="CJ110" s="309"/>
      <c r="CK110" s="309"/>
      <c r="CL110" s="309"/>
      <c r="CM110" s="309"/>
      <c r="CN110" s="309"/>
      <c r="CO110" s="309"/>
      <c r="CP110" s="309"/>
      <c r="CQ110" s="309"/>
      <c r="CR110" s="309"/>
      <c r="CS110" s="309"/>
      <c r="CT110" s="309"/>
      <c r="CU110" s="309"/>
      <c r="CV110" s="309"/>
      <c r="CW110" s="309"/>
      <c r="CX110" s="309"/>
      <c r="CY110" s="309"/>
      <c r="CZ110" s="309"/>
      <c r="DA110" s="309"/>
      <c r="DB110" s="309"/>
      <c r="DC110" s="309"/>
      <c r="DD110" s="309"/>
      <c r="DE110" s="309"/>
      <c r="DF110" s="309"/>
      <c r="DG110" s="309"/>
      <c r="DH110" s="309"/>
      <c r="DI110" s="309"/>
      <c r="DJ110" s="309"/>
      <c r="DK110" s="309"/>
      <c r="DL110" s="309"/>
      <c r="DM110" s="309"/>
      <c r="DN110" s="309"/>
      <c r="DO110" s="309"/>
      <c r="DP110" s="309"/>
      <c r="DQ110" s="309"/>
      <c r="DR110" s="309"/>
      <c r="DS110" s="309"/>
      <c r="DT110" s="315"/>
    </row>
    <row r="111" spans="1:136" ht="6" customHeight="1">
      <c r="B111" s="312"/>
      <c r="C111" s="310"/>
      <c r="D111" s="310"/>
      <c r="E111" s="310"/>
      <c r="F111" s="310"/>
      <c r="G111" s="310"/>
      <c r="H111" s="310"/>
      <c r="I111" s="310"/>
      <c r="J111" s="310"/>
      <c r="K111" s="310"/>
      <c r="L111" s="310"/>
      <c r="M111" s="310"/>
      <c r="N111" s="310"/>
      <c r="O111" s="310"/>
      <c r="P111" s="310"/>
      <c r="Q111" s="310"/>
      <c r="R111" s="310"/>
      <c r="S111" s="310"/>
      <c r="T111" s="310"/>
      <c r="U111" s="310"/>
      <c r="V111" s="310"/>
      <c r="W111" s="310"/>
      <c r="X111" s="310"/>
      <c r="Y111" s="310"/>
      <c r="Z111" s="310"/>
      <c r="AA111" s="310"/>
      <c r="AB111" s="310"/>
      <c r="AC111" s="310"/>
      <c r="AD111" s="310"/>
      <c r="AE111" s="310"/>
      <c r="AF111" s="310"/>
      <c r="AG111" s="310"/>
      <c r="AH111" s="310"/>
      <c r="AI111" s="310"/>
      <c r="AJ111" s="310"/>
      <c r="AK111" s="310"/>
      <c r="AL111" s="310"/>
      <c r="AM111" s="310"/>
      <c r="AN111" s="310"/>
      <c r="AO111" s="310"/>
      <c r="AP111" s="310"/>
      <c r="AQ111" s="310"/>
      <c r="AR111" s="310"/>
      <c r="AS111" s="310"/>
      <c r="AT111" s="310"/>
      <c r="AU111" s="310"/>
      <c r="AV111" s="310"/>
      <c r="AW111" s="310"/>
      <c r="AX111" s="310"/>
      <c r="AY111" s="310"/>
      <c r="AZ111" s="310"/>
      <c r="BA111" s="310"/>
      <c r="BB111" s="310"/>
      <c r="BC111" s="310"/>
      <c r="BD111" s="310"/>
      <c r="BE111" s="310"/>
      <c r="BF111" s="310"/>
      <c r="BG111" s="310"/>
      <c r="BH111" s="310"/>
      <c r="BI111" s="310"/>
      <c r="BJ111" s="310"/>
      <c r="BK111" s="310"/>
      <c r="BL111" s="310"/>
      <c r="BM111" s="310"/>
      <c r="BN111" s="310"/>
      <c r="BO111" s="310"/>
      <c r="BP111" s="310"/>
      <c r="BQ111" s="310"/>
      <c r="BR111" s="310"/>
      <c r="BS111" s="310"/>
      <c r="BT111" s="310"/>
      <c r="BU111" s="310"/>
      <c r="BV111" s="310"/>
      <c r="BW111" s="310"/>
      <c r="BX111" s="310"/>
      <c r="BY111" s="310"/>
      <c r="BZ111" s="310"/>
      <c r="CA111" s="310"/>
      <c r="CB111" s="310"/>
      <c r="CC111" s="310"/>
      <c r="CD111" s="310"/>
      <c r="CE111" s="310"/>
      <c r="CF111" s="310"/>
      <c r="CG111" s="310"/>
      <c r="CH111" s="310"/>
      <c r="CI111" s="310"/>
      <c r="CJ111" s="310"/>
      <c r="CK111" s="310"/>
      <c r="CL111" s="310"/>
      <c r="CM111" s="310"/>
      <c r="CN111" s="310"/>
      <c r="CO111" s="310"/>
      <c r="CP111" s="310"/>
      <c r="CQ111" s="310"/>
      <c r="CR111" s="310"/>
      <c r="CS111" s="310"/>
      <c r="CT111" s="310"/>
      <c r="CU111" s="310"/>
      <c r="CV111" s="310"/>
      <c r="CW111" s="310"/>
      <c r="CX111" s="310"/>
      <c r="CY111" s="310"/>
      <c r="CZ111" s="310"/>
      <c r="DA111" s="310"/>
      <c r="DB111" s="310"/>
      <c r="DC111" s="310"/>
      <c r="DD111" s="310"/>
      <c r="DE111" s="310"/>
      <c r="DF111" s="310"/>
      <c r="DG111" s="310"/>
      <c r="DH111" s="310"/>
      <c r="DI111" s="310"/>
      <c r="DJ111" s="310"/>
      <c r="DK111" s="310"/>
      <c r="DL111" s="310"/>
      <c r="DM111" s="310"/>
      <c r="DN111" s="310"/>
      <c r="DO111" s="310"/>
      <c r="DP111" s="310"/>
      <c r="DQ111" s="310"/>
      <c r="DR111" s="310"/>
      <c r="DS111" s="310"/>
      <c r="DT111" s="311"/>
    </row>
    <row r="112" spans="1:136" ht="6" customHeight="1">
      <c r="B112" s="312"/>
      <c r="C112" s="313"/>
      <c r="D112" s="313"/>
      <c r="E112" s="313"/>
      <c r="F112" s="313"/>
      <c r="G112" s="313"/>
      <c r="H112" s="313"/>
      <c r="I112" s="313"/>
      <c r="J112" s="313"/>
      <c r="K112" s="313"/>
      <c r="L112" s="313"/>
      <c r="M112" s="313"/>
      <c r="N112" s="313"/>
      <c r="O112" s="313"/>
      <c r="P112" s="313"/>
      <c r="Q112" s="313"/>
      <c r="R112" s="313"/>
      <c r="S112" s="313"/>
      <c r="T112" s="313"/>
      <c r="U112" s="313"/>
      <c r="V112" s="313"/>
      <c r="W112" s="313"/>
      <c r="X112" s="313"/>
      <c r="Y112" s="313"/>
      <c r="Z112" s="313"/>
      <c r="AA112" s="313"/>
      <c r="AB112" s="313"/>
      <c r="AC112" s="313"/>
      <c r="AD112" s="313"/>
      <c r="AE112" s="313"/>
      <c r="AF112" s="313"/>
      <c r="AG112" s="313"/>
      <c r="AH112" s="313"/>
      <c r="AI112" s="313"/>
      <c r="AJ112" s="313"/>
      <c r="AK112" s="313"/>
      <c r="AL112" s="313"/>
      <c r="AM112" s="313"/>
      <c r="AN112" s="313"/>
      <c r="AO112" s="313"/>
      <c r="AP112" s="313"/>
      <c r="AQ112" s="313"/>
      <c r="AR112" s="313"/>
      <c r="AS112" s="313"/>
      <c r="AT112" s="313"/>
      <c r="AU112" s="313"/>
      <c r="AV112" s="313"/>
      <c r="AW112" s="313"/>
      <c r="AX112" s="313"/>
      <c r="AY112" s="313"/>
      <c r="AZ112" s="313"/>
      <c r="BA112" s="313"/>
      <c r="BB112" s="313"/>
      <c r="BC112" s="313"/>
      <c r="BD112" s="313"/>
      <c r="BE112" s="313"/>
      <c r="BF112" s="313"/>
      <c r="BG112" s="313"/>
      <c r="BH112" s="313"/>
      <c r="BI112" s="313"/>
      <c r="BJ112" s="313"/>
      <c r="BK112" s="313"/>
      <c r="BL112" s="313"/>
      <c r="BM112" s="313"/>
      <c r="BN112" s="313"/>
      <c r="BO112" s="313"/>
      <c r="BP112" s="313"/>
      <c r="BQ112" s="313"/>
      <c r="BR112" s="313"/>
      <c r="BS112" s="313"/>
      <c r="BT112" s="313"/>
      <c r="BU112" s="313"/>
      <c r="BV112" s="313"/>
      <c r="BW112" s="313"/>
      <c r="BX112" s="313"/>
      <c r="BY112" s="313"/>
      <c r="BZ112" s="313"/>
      <c r="CA112" s="313"/>
      <c r="CB112" s="313"/>
      <c r="CC112" s="313"/>
      <c r="CD112" s="313"/>
      <c r="CE112" s="313"/>
      <c r="CF112" s="313"/>
      <c r="CG112" s="313"/>
      <c r="CH112" s="313"/>
      <c r="CI112" s="313"/>
      <c r="CJ112" s="313"/>
      <c r="CK112" s="313"/>
      <c r="CL112" s="313"/>
      <c r="CM112" s="313"/>
      <c r="CN112" s="313"/>
      <c r="CO112" s="313"/>
      <c r="CP112" s="313"/>
      <c r="CQ112" s="313"/>
      <c r="CR112" s="313"/>
      <c r="CS112" s="313"/>
      <c r="CT112" s="313"/>
      <c r="CU112" s="313"/>
      <c r="CV112" s="313"/>
      <c r="CW112" s="313"/>
      <c r="CX112" s="313"/>
      <c r="CY112" s="313"/>
      <c r="CZ112" s="313"/>
      <c r="DA112" s="313"/>
      <c r="DB112" s="313"/>
      <c r="DC112" s="313"/>
      <c r="DD112" s="313"/>
      <c r="DE112" s="313"/>
      <c r="DF112" s="313"/>
      <c r="DG112" s="313"/>
      <c r="DH112" s="313"/>
      <c r="DI112" s="313"/>
      <c r="DJ112" s="313"/>
      <c r="DK112" s="313"/>
      <c r="DL112" s="313"/>
      <c r="DM112" s="313"/>
      <c r="DN112" s="313"/>
      <c r="DO112" s="313"/>
      <c r="DP112" s="313"/>
      <c r="DQ112" s="313"/>
      <c r="DR112" s="313"/>
      <c r="DS112" s="313"/>
      <c r="DT112" s="311"/>
    </row>
    <row r="113" spans="2:138" ht="32.1" customHeight="1">
      <c r="B113" s="312"/>
      <c r="C113" s="313"/>
      <c r="D113" s="2055" t="str">
        <f ca="1">INDIRECT($J$4&amp;"!C149")&amp;" / "&amp; INDIRECT($J$4&amp;"!C151")</f>
        <v>Factors identification / Influent factors</v>
      </c>
      <c r="E113" s="2056"/>
      <c r="F113" s="2056"/>
      <c r="G113" s="2056"/>
      <c r="H113" s="2056"/>
      <c r="I113" s="2056"/>
      <c r="J113" s="2056"/>
      <c r="K113" s="2056"/>
      <c r="L113" s="2056"/>
      <c r="M113" s="2056"/>
      <c r="N113" s="2056"/>
      <c r="O113" s="2056"/>
      <c r="P113" s="2056"/>
      <c r="Q113" s="2056"/>
      <c r="R113" s="2056"/>
      <c r="S113" s="2056"/>
      <c r="T113" s="2056"/>
      <c r="U113" s="2056"/>
      <c r="V113" s="2056"/>
      <c r="W113" s="2056"/>
      <c r="X113" s="2056"/>
      <c r="Y113" s="2056"/>
      <c r="Z113" s="2056"/>
      <c r="AA113" s="2056"/>
      <c r="AB113" s="2056"/>
      <c r="AC113" s="2056"/>
      <c r="AD113" s="2056"/>
      <c r="AE113" s="2056"/>
      <c r="AF113" s="2056"/>
      <c r="AG113" s="2057"/>
      <c r="AH113" s="2049" t="str">
        <f ca="1">INDIRECT($J$4&amp;"!C152")</f>
        <v>Why 1</v>
      </c>
      <c r="AI113" s="2049"/>
      <c r="AJ113" s="2049"/>
      <c r="AK113" s="2049"/>
      <c r="AL113" s="2049"/>
      <c r="AM113" s="2049"/>
      <c r="AN113" s="2049"/>
      <c r="AO113" s="2049"/>
      <c r="AP113" s="2049"/>
      <c r="AQ113" s="2049"/>
      <c r="AR113" s="2049"/>
      <c r="AS113" s="2049" t="str">
        <f ca="1">INDIRECT($J$4&amp;"!C153")</f>
        <v>Why 2</v>
      </c>
      <c r="AT113" s="2049"/>
      <c r="AU113" s="2049"/>
      <c r="AV113" s="2049"/>
      <c r="AW113" s="2049"/>
      <c r="AX113" s="2049"/>
      <c r="AY113" s="2049"/>
      <c r="AZ113" s="2049"/>
      <c r="BA113" s="2049"/>
      <c r="BB113" s="2049"/>
      <c r="BC113" s="2049"/>
      <c r="BD113" s="2049"/>
      <c r="BE113" s="2049"/>
      <c r="BF113" s="1875" t="str">
        <f ca="1">INDIRECT($J$4&amp;"!C154")</f>
        <v>Why 3</v>
      </c>
      <c r="BG113" s="1876"/>
      <c r="BH113" s="1876"/>
      <c r="BI113" s="1876"/>
      <c r="BJ113" s="1876"/>
      <c r="BK113" s="1876"/>
      <c r="BL113" s="1876"/>
      <c r="BM113" s="1876"/>
      <c r="BN113" s="1876"/>
      <c r="BO113" s="1876"/>
      <c r="BP113" s="1876"/>
      <c r="BQ113" s="1876"/>
      <c r="BR113" s="1877"/>
      <c r="BS113" s="1875" t="str">
        <f ca="1">INDIRECT($J$4&amp;"!C155")</f>
        <v>Why 4</v>
      </c>
      <c r="BT113" s="1876"/>
      <c r="BU113" s="1876"/>
      <c r="BV113" s="1876"/>
      <c r="BW113" s="1876"/>
      <c r="BX113" s="1876"/>
      <c r="BY113" s="1876"/>
      <c r="BZ113" s="1876"/>
      <c r="CA113" s="1876"/>
      <c r="CB113" s="1876"/>
      <c r="CC113" s="1876"/>
      <c r="CD113" s="1876"/>
      <c r="CE113" s="1877"/>
      <c r="CF113" s="1875" t="str">
        <f ca="1">INDIRECT($J$4&amp;"!C156")</f>
        <v>Why 5</v>
      </c>
      <c r="CG113" s="1876"/>
      <c r="CH113" s="1876"/>
      <c r="CI113" s="1876"/>
      <c r="CJ113" s="1876"/>
      <c r="CK113" s="1876"/>
      <c r="CL113" s="1876"/>
      <c r="CM113" s="1876"/>
      <c r="CN113" s="1876"/>
      <c r="CO113" s="1876"/>
      <c r="CP113" s="1876"/>
      <c r="CQ113" s="1876"/>
      <c r="CR113" s="1877"/>
      <c r="CS113" s="2046" t="str">
        <f ca="1">INDIRECT($J$4&amp;"!C157")</f>
        <v>Fault category</v>
      </c>
      <c r="CT113" s="2047"/>
      <c r="CU113" s="2047"/>
      <c r="CV113" s="2047"/>
      <c r="CW113" s="2047"/>
      <c r="CX113" s="2047"/>
      <c r="CY113" s="2047"/>
      <c r="CZ113" s="2047"/>
      <c r="DA113" s="2047"/>
      <c r="DB113" s="2048"/>
      <c r="DC113" s="2046" t="str">
        <f ca="1">INDIRECT($J$4&amp;"!C158")</f>
        <v>Verification of the causes</v>
      </c>
      <c r="DD113" s="2047"/>
      <c r="DE113" s="2047"/>
      <c r="DF113" s="2047"/>
      <c r="DG113" s="2047"/>
      <c r="DH113" s="2047"/>
      <c r="DI113" s="2047"/>
      <c r="DJ113" s="2047"/>
      <c r="DK113" s="2047"/>
      <c r="DL113" s="2047"/>
      <c r="DM113" s="2047"/>
      <c r="DN113" s="2047"/>
      <c r="DO113" s="2047"/>
      <c r="DP113" s="2047"/>
      <c r="DQ113" s="2047"/>
      <c r="DR113" s="2048"/>
      <c r="DS113" s="313"/>
      <c r="DT113" s="311"/>
    </row>
    <row r="114" spans="2:138" ht="6" customHeight="1">
      <c r="B114" s="312"/>
      <c r="C114" s="313"/>
      <c r="D114" s="533"/>
      <c r="E114" s="533"/>
      <c r="F114" s="533"/>
      <c r="G114" s="533"/>
      <c r="H114" s="533"/>
      <c r="I114" s="533"/>
      <c r="J114" s="533"/>
      <c r="K114" s="533"/>
      <c r="L114" s="533"/>
      <c r="M114" s="533"/>
      <c r="N114" s="533"/>
      <c r="O114" s="533"/>
      <c r="P114" s="534"/>
      <c r="Q114" s="534"/>
      <c r="R114" s="534"/>
      <c r="S114" s="534"/>
      <c r="T114" s="534"/>
      <c r="U114" s="534"/>
      <c r="V114" s="534"/>
      <c r="W114" s="534"/>
      <c r="X114" s="534"/>
      <c r="Y114" s="534"/>
      <c r="Z114" s="534"/>
      <c r="AA114" s="534"/>
      <c r="AB114" s="534"/>
      <c r="AC114" s="534"/>
      <c r="AD114" s="534"/>
      <c r="AE114" s="534"/>
      <c r="AF114" s="534"/>
      <c r="AG114" s="534"/>
      <c r="AH114" s="534"/>
      <c r="AI114" s="534"/>
      <c r="AJ114" s="534"/>
      <c r="AK114" s="534"/>
      <c r="AL114" s="534"/>
      <c r="AM114" s="534"/>
      <c r="AN114" s="534"/>
      <c r="AO114" s="534"/>
      <c r="AP114" s="534"/>
      <c r="AQ114" s="534"/>
      <c r="AR114" s="534"/>
      <c r="AS114" s="534"/>
      <c r="AT114" s="534"/>
      <c r="AU114" s="534"/>
      <c r="AV114" s="534"/>
      <c r="AW114" s="534"/>
      <c r="AX114" s="534"/>
      <c r="AY114" s="534"/>
      <c r="AZ114" s="534"/>
      <c r="BA114" s="534"/>
      <c r="BB114" s="534"/>
      <c r="BC114" s="534"/>
      <c r="BD114" s="534"/>
      <c r="BE114" s="534"/>
      <c r="BF114" s="534"/>
      <c r="BG114" s="534"/>
      <c r="BH114" s="534"/>
      <c r="BI114" s="534"/>
      <c r="BJ114" s="534"/>
      <c r="BK114" s="534"/>
      <c r="BL114" s="534"/>
      <c r="BM114" s="534"/>
      <c r="BN114" s="534"/>
      <c r="BO114" s="534"/>
      <c r="BP114" s="534"/>
      <c r="BQ114" s="534"/>
      <c r="BR114" s="534"/>
      <c r="BS114" s="534"/>
      <c r="BT114" s="534"/>
      <c r="BU114" s="534"/>
      <c r="BV114" s="534"/>
      <c r="BW114" s="534"/>
      <c r="BX114" s="534"/>
      <c r="BY114" s="534"/>
      <c r="BZ114" s="534"/>
      <c r="CA114" s="534"/>
      <c r="CB114" s="534"/>
      <c r="CC114" s="534"/>
      <c r="CD114" s="534"/>
      <c r="CE114" s="534"/>
      <c r="CF114" s="534"/>
      <c r="CG114" s="534"/>
      <c r="CH114" s="534"/>
      <c r="CI114" s="534"/>
      <c r="CJ114" s="534"/>
      <c r="CK114" s="534"/>
      <c r="CL114" s="534"/>
      <c r="CM114" s="534"/>
      <c r="CN114" s="534"/>
      <c r="CO114" s="534"/>
      <c r="CP114" s="534"/>
      <c r="CQ114" s="534"/>
      <c r="CR114" s="534"/>
      <c r="CS114" s="534"/>
      <c r="CT114" s="534"/>
      <c r="CU114" s="534"/>
      <c r="CV114" s="534"/>
      <c r="CW114" s="534"/>
      <c r="CX114" s="534"/>
      <c r="CY114" s="534"/>
      <c r="CZ114" s="534"/>
      <c r="DA114" s="534"/>
      <c r="DB114" s="534"/>
      <c r="DC114" s="534"/>
      <c r="DD114" s="534"/>
      <c r="DE114" s="534"/>
      <c r="DF114" s="534"/>
      <c r="DG114" s="534"/>
      <c r="DH114" s="534"/>
      <c r="DI114" s="534"/>
      <c r="DJ114" s="534"/>
      <c r="DK114" s="534"/>
      <c r="DL114" s="534"/>
      <c r="DM114" s="534"/>
      <c r="DN114" s="534"/>
      <c r="DO114" s="534"/>
      <c r="DP114" s="534"/>
      <c r="DQ114" s="534"/>
      <c r="DR114" s="534"/>
      <c r="DS114" s="313"/>
      <c r="DT114" s="311"/>
    </row>
    <row r="115" spans="2:138" ht="30" customHeight="1">
      <c r="B115" s="312"/>
      <c r="C115" s="313"/>
      <c r="D115" s="2082" t="str">
        <f ca="1">INDIRECT($J$4&amp;"!C137")</f>
        <v>Technical consideration</v>
      </c>
      <c r="E115" s="2146"/>
      <c r="F115" s="2147"/>
      <c r="G115" s="2147"/>
      <c r="H115" s="2147"/>
      <c r="I115" s="2147"/>
      <c r="J115" s="2147"/>
      <c r="K115" s="2147"/>
      <c r="L115" s="2148"/>
      <c r="M115" s="2149"/>
      <c r="N115" s="2150"/>
      <c r="O115" s="2150"/>
      <c r="P115" s="2150"/>
      <c r="Q115" s="2150"/>
      <c r="R115" s="2150"/>
      <c r="S115" s="2150"/>
      <c r="T115" s="2150"/>
      <c r="U115" s="2150"/>
      <c r="V115" s="2150"/>
      <c r="W115" s="2150"/>
      <c r="X115" s="2150"/>
      <c r="Y115" s="2150"/>
      <c r="Z115" s="2150"/>
      <c r="AA115" s="2150"/>
      <c r="AB115" s="2150"/>
      <c r="AC115" s="2150"/>
      <c r="AD115" s="2150"/>
      <c r="AE115" s="2150"/>
      <c r="AF115" s="2150"/>
      <c r="AG115" s="2151"/>
      <c r="AH115" s="2143"/>
      <c r="AI115" s="2144"/>
      <c r="AJ115" s="2144"/>
      <c r="AK115" s="2144"/>
      <c r="AL115" s="2144"/>
      <c r="AM115" s="2144"/>
      <c r="AN115" s="2144"/>
      <c r="AO115" s="2144"/>
      <c r="AP115" s="2144"/>
      <c r="AQ115" s="2144"/>
      <c r="AR115" s="2145"/>
      <c r="AS115" s="2142"/>
      <c r="AT115" s="2142"/>
      <c r="AU115" s="2142"/>
      <c r="AV115" s="2142"/>
      <c r="AW115" s="2142"/>
      <c r="AX115" s="2142"/>
      <c r="AY115" s="2142"/>
      <c r="AZ115" s="2142"/>
      <c r="BA115" s="2142"/>
      <c r="BB115" s="2142"/>
      <c r="BC115" s="2142"/>
      <c r="BD115" s="2142"/>
      <c r="BE115" s="2142"/>
      <c r="BF115" s="2142"/>
      <c r="BG115" s="2142"/>
      <c r="BH115" s="2142"/>
      <c r="BI115" s="2142"/>
      <c r="BJ115" s="2142"/>
      <c r="BK115" s="2142"/>
      <c r="BL115" s="2142"/>
      <c r="BM115" s="2142"/>
      <c r="BN115" s="2142"/>
      <c r="BO115" s="2142"/>
      <c r="BP115" s="2142"/>
      <c r="BQ115" s="2142"/>
      <c r="BR115" s="2142"/>
      <c r="BS115" s="2142"/>
      <c r="BT115" s="2142"/>
      <c r="BU115" s="2142"/>
      <c r="BV115" s="2142"/>
      <c r="BW115" s="2142"/>
      <c r="BX115" s="2142"/>
      <c r="BY115" s="2142"/>
      <c r="BZ115" s="2142"/>
      <c r="CA115" s="2142"/>
      <c r="CB115" s="2142"/>
      <c r="CC115" s="2142"/>
      <c r="CD115" s="2142"/>
      <c r="CE115" s="2142"/>
      <c r="CF115" s="2142"/>
      <c r="CG115" s="2142"/>
      <c r="CH115" s="2142"/>
      <c r="CI115" s="2142"/>
      <c r="CJ115" s="2142"/>
      <c r="CK115" s="2142"/>
      <c r="CL115" s="2142"/>
      <c r="CM115" s="2142"/>
      <c r="CN115" s="2142"/>
      <c r="CO115" s="2142"/>
      <c r="CP115" s="2142"/>
      <c r="CQ115" s="2142"/>
      <c r="CR115" s="2142"/>
      <c r="CS115" s="2142"/>
      <c r="CT115" s="2142"/>
      <c r="CU115" s="2142"/>
      <c r="CV115" s="2142"/>
      <c r="CW115" s="2142"/>
      <c r="CX115" s="2142"/>
      <c r="CY115" s="2142"/>
      <c r="CZ115" s="2142"/>
      <c r="DA115" s="2142"/>
      <c r="DB115" s="2142"/>
      <c r="DC115" s="2143"/>
      <c r="DD115" s="2144"/>
      <c r="DE115" s="2144"/>
      <c r="DF115" s="2144"/>
      <c r="DG115" s="2144"/>
      <c r="DH115" s="2144"/>
      <c r="DI115" s="2144"/>
      <c r="DJ115" s="2144"/>
      <c r="DK115" s="2144"/>
      <c r="DL115" s="2144"/>
      <c r="DM115" s="2144"/>
      <c r="DN115" s="2144"/>
      <c r="DO115" s="2144"/>
      <c r="DP115" s="2144"/>
      <c r="DQ115" s="2144"/>
      <c r="DR115" s="2145"/>
      <c r="DS115" s="313"/>
      <c r="DT115" s="311"/>
    </row>
    <row r="116" spans="2:138" ht="30" customHeight="1">
      <c r="B116" s="312"/>
      <c r="C116" s="313"/>
      <c r="D116" s="2083"/>
      <c r="E116" s="2146"/>
      <c r="F116" s="2147"/>
      <c r="G116" s="2147"/>
      <c r="H116" s="2147"/>
      <c r="I116" s="2147"/>
      <c r="J116" s="2147"/>
      <c r="K116" s="2147"/>
      <c r="L116" s="2148"/>
      <c r="M116" s="2149"/>
      <c r="N116" s="2150"/>
      <c r="O116" s="2150"/>
      <c r="P116" s="2150"/>
      <c r="Q116" s="2150"/>
      <c r="R116" s="2150"/>
      <c r="S116" s="2150"/>
      <c r="T116" s="2150"/>
      <c r="U116" s="2150"/>
      <c r="V116" s="2150"/>
      <c r="W116" s="2150"/>
      <c r="X116" s="2150"/>
      <c r="Y116" s="2150"/>
      <c r="Z116" s="2150"/>
      <c r="AA116" s="2150"/>
      <c r="AB116" s="2150"/>
      <c r="AC116" s="2150"/>
      <c r="AD116" s="2150"/>
      <c r="AE116" s="2150"/>
      <c r="AF116" s="2150"/>
      <c r="AG116" s="2151"/>
      <c r="AH116" s="2143"/>
      <c r="AI116" s="2144"/>
      <c r="AJ116" s="2144"/>
      <c r="AK116" s="2144"/>
      <c r="AL116" s="2144"/>
      <c r="AM116" s="2144"/>
      <c r="AN116" s="2144"/>
      <c r="AO116" s="2144"/>
      <c r="AP116" s="2144"/>
      <c r="AQ116" s="2144"/>
      <c r="AR116" s="2145"/>
      <c r="AS116" s="2142"/>
      <c r="AT116" s="2142"/>
      <c r="AU116" s="2142"/>
      <c r="AV116" s="2142"/>
      <c r="AW116" s="2142"/>
      <c r="AX116" s="2142"/>
      <c r="AY116" s="2142"/>
      <c r="AZ116" s="2142"/>
      <c r="BA116" s="2142"/>
      <c r="BB116" s="2142"/>
      <c r="BC116" s="2142"/>
      <c r="BD116" s="2142"/>
      <c r="BE116" s="2142"/>
      <c r="BF116" s="2142"/>
      <c r="BG116" s="2142"/>
      <c r="BH116" s="2142"/>
      <c r="BI116" s="2142"/>
      <c r="BJ116" s="2142"/>
      <c r="BK116" s="2142"/>
      <c r="BL116" s="2142"/>
      <c r="BM116" s="2142"/>
      <c r="BN116" s="2142"/>
      <c r="BO116" s="2142"/>
      <c r="BP116" s="2142"/>
      <c r="BQ116" s="2142"/>
      <c r="BR116" s="2142"/>
      <c r="BS116" s="2142"/>
      <c r="BT116" s="2142"/>
      <c r="BU116" s="2142"/>
      <c r="BV116" s="2142"/>
      <c r="BW116" s="2142"/>
      <c r="BX116" s="2142"/>
      <c r="BY116" s="2142"/>
      <c r="BZ116" s="2142"/>
      <c r="CA116" s="2142"/>
      <c r="CB116" s="2142"/>
      <c r="CC116" s="2142"/>
      <c r="CD116" s="2142"/>
      <c r="CE116" s="2142"/>
      <c r="CF116" s="2142"/>
      <c r="CG116" s="2142"/>
      <c r="CH116" s="2142"/>
      <c r="CI116" s="2142"/>
      <c r="CJ116" s="2142"/>
      <c r="CK116" s="2142"/>
      <c r="CL116" s="2142"/>
      <c r="CM116" s="2142"/>
      <c r="CN116" s="2142"/>
      <c r="CO116" s="2142"/>
      <c r="CP116" s="2142"/>
      <c r="CQ116" s="2142"/>
      <c r="CR116" s="2142"/>
      <c r="CS116" s="2142"/>
      <c r="CT116" s="2142"/>
      <c r="CU116" s="2142"/>
      <c r="CV116" s="2142"/>
      <c r="CW116" s="2142"/>
      <c r="CX116" s="2142"/>
      <c r="CY116" s="2142"/>
      <c r="CZ116" s="2142"/>
      <c r="DA116" s="2142"/>
      <c r="DB116" s="2142"/>
      <c r="DC116" s="2143"/>
      <c r="DD116" s="2144"/>
      <c r="DE116" s="2144"/>
      <c r="DF116" s="2144"/>
      <c r="DG116" s="2144"/>
      <c r="DH116" s="2144"/>
      <c r="DI116" s="2144"/>
      <c r="DJ116" s="2144"/>
      <c r="DK116" s="2144"/>
      <c r="DL116" s="2144"/>
      <c r="DM116" s="2144"/>
      <c r="DN116" s="2144"/>
      <c r="DO116" s="2144"/>
      <c r="DP116" s="2144"/>
      <c r="DQ116" s="2144"/>
      <c r="DR116" s="2145"/>
      <c r="DS116" s="313"/>
      <c r="DT116" s="311"/>
    </row>
    <row r="117" spans="2:138" ht="30" customHeight="1">
      <c r="B117" s="319"/>
      <c r="C117" s="313"/>
      <c r="D117" s="2083"/>
      <c r="E117" s="2146"/>
      <c r="F117" s="2147"/>
      <c r="G117" s="2147"/>
      <c r="H117" s="2147"/>
      <c r="I117" s="2147"/>
      <c r="J117" s="2147"/>
      <c r="K117" s="2147"/>
      <c r="L117" s="2148"/>
      <c r="M117" s="2149"/>
      <c r="N117" s="2150"/>
      <c r="O117" s="2150"/>
      <c r="P117" s="2150"/>
      <c r="Q117" s="2150"/>
      <c r="R117" s="2150"/>
      <c r="S117" s="2150"/>
      <c r="T117" s="2150"/>
      <c r="U117" s="2150"/>
      <c r="V117" s="2150"/>
      <c r="W117" s="2150"/>
      <c r="X117" s="2150"/>
      <c r="Y117" s="2150"/>
      <c r="Z117" s="2150"/>
      <c r="AA117" s="2150"/>
      <c r="AB117" s="2150"/>
      <c r="AC117" s="2150"/>
      <c r="AD117" s="2150"/>
      <c r="AE117" s="2150"/>
      <c r="AF117" s="2150"/>
      <c r="AG117" s="2151"/>
      <c r="AH117" s="2143"/>
      <c r="AI117" s="2144"/>
      <c r="AJ117" s="2144"/>
      <c r="AK117" s="2144"/>
      <c r="AL117" s="2144"/>
      <c r="AM117" s="2144"/>
      <c r="AN117" s="2144"/>
      <c r="AO117" s="2144"/>
      <c r="AP117" s="2144"/>
      <c r="AQ117" s="2144"/>
      <c r="AR117" s="2145"/>
      <c r="AS117" s="2142"/>
      <c r="AT117" s="2142"/>
      <c r="AU117" s="2142"/>
      <c r="AV117" s="2142"/>
      <c r="AW117" s="2142"/>
      <c r="AX117" s="2142"/>
      <c r="AY117" s="2142"/>
      <c r="AZ117" s="2142"/>
      <c r="BA117" s="2142"/>
      <c r="BB117" s="2142"/>
      <c r="BC117" s="2142"/>
      <c r="BD117" s="2142"/>
      <c r="BE117" s="2142"/>
      <c r="BF117" s="2142"/>
      <c r="BG117" s="2142"/>
      <c r="BH117" s="2142"/>
      <c r="BI117" s="2142"/>
      <c r="BJ117" s="2142"/>
      <c r="BK117" s="2142"/>
      <c r="BL117" s="2142"/>
      <c r="BM117" s="2142"/>
      <c r="BN117" s="2142"/>
      <c r="BO117" s="2142"/>
      <c r="BP117" s="2142"/>
      <c r="BQ117" s="2142"/>
      <c r="BR117" s="2142"/>
      <c r="BS117" s="2142"/>
      <c r="BT117" s="2142"/>
      <c r="BU117" s="2142"/>
      <c r="BV117" s="2142"/>
      <c r="BW117" s="2142"/>
      <c r="BX117" s="2142"/>
      <c r="BY117" s="2142"/>
      <c r="BZ117" s="2142"/>
      <c r="CA117" s="2142"/>
      <c r="CB117" s="2142"/>
      <c r="CC117" s="2142"/>
      <c r="CD117" s="2142"/>
      <c r="CE117" s="2142"/>
      <c r="CF117" s="2142"/>
      <c r="CG117" s="2142"/>
      <c r="CH117" s="2142"/>
      <c r="CI117" s="2142"/>
      <c r="CJ117" s="2142"/>
      <c r="CK117" s="2142"/>
      <c r="CL117" s="2142"/>
      <c r="CM117" s="2142"/>
      <c r="CN117" s="2142"/>
      <c r="CO117" s="2142"/>
      <c r="CP117" s="2142"/>
      <c r="CQ117" s="2142"/>
      <c r="CR117" s="2142"/>
      <c r="CS117" s="2142"/>
      <c r="CT117" s="2142"/>
      <c r="CU117" s="2142"/>
      <c r="CV117" s="2142"/>
      <c r="CW117" s="2142"/>
      <c r="CX117" s="2142"/>
      <c r="CY117" s="2142"/>
      <c r="CZ117" s="2142"/>
      <c r="DA117" s="2142"/>
      <c r="DB117" s="2142"/>
      <c r="DC117" s="2143"/>
      <c r="DD117" s="2144"/>
      <c r="DE117" s="2144"/>
      <c r="DF117" s="2144"/>
      <c r="DG117" s="2144"/>
      <c r="DH117" s="2144"/>
      <c r="DI117" s="2144"/>
      <c r="DJ117" s="2144"/>
      <c r="DK117" s="2144"/>
      <c r="DL117" s="2144"/>
      <c r="DM117" s="2144"/>
      <c r="DN117" s="2144"/>
      <c r="DO117" s="2144"/>
      <c r="DP117" s="2144"/>
      <c r="DQ117" s="2144"/>
      <c r="DR117" s="2145"/>
      <c r="DS117" s="313"/>
      <c r="DT117" s="311"/>
      <c r="DY117" s="616"/>
      <c r="DZ117" s="616"/>
      <c r="EB117" s="617"/>
      <c r="EC117" s="617"/>
      <c r="ED117" s="617"/>
      <c r="EE117" s="617"/>
      <c r="EF117" s="617"/>
      <c r="EG117" s="617"/>
      <c r="EH117" s="617"/>
    </row>
    <row r="118" spans="2:138" ht="30" customHeight="1">
      <c r="B118" s="319"/>
      <c r="C118" s="313"/>
      <c r="D118" s="2083"/>
      <c r="E118" s="2146"/>
      <c r="F118" s="2147"/>
      <c r="G118" s="2147"/>
      <c r="H118" s="2147"/>
      <c r="I118" s="2147"/>
      <c r="J118" s="2147"/>
      <c r="K118" s="2147"/>
      <c r="L118" s="2148"/>
      <c r="M118" s="2149"/>
      <c r="N118" s="2150"/>
      <c r="O118" s="2150"/>
      <c r="P118" s="2150"/>
      <c r="Q118" s="2150"/>
      <c r="R118" s="2150"/>
      <c r="S118" s="2150"/>
      <c r="T118" s="2150"/>
      <c r="U118" s="2150"/>
      <c r="V118" s="2150"/>
      <c r="W118" s="2150"/>
      <c r="X118" s="2150"/>
      <c r="Y118" s="2150"/>
      <c r="Z118" s="2150"/>
      <c r="AA118" s="2150"/>
      <c r="AB118" s="2150"/>
      <c r="AC118" s="2150"/>
      <c r="AD118" s="2150"/>
      <c r="AE118" s="2150"/>
      <c r="AF118" s="2150"/>
      <c r="AG118" s="2151"/>
      <c r="AH118" s="2143"/>
      <c r="AI118" s="2144"/>
      <c r="AJ118" s="2144"/>
      <c r="AK118" s="2144"/>
      <c r="AL118" s="2144"/>
      <c r="AM118" s="2144"/>
      <c r="AN118" s="2144"/>
      <c r="AO118" s="2144"/>
      <c r="AP118" s="2144"/>
      <c r="AQ118" s="2144"/>
      <c r="AR118" s="2145"/>
      <c r="AS118" s="2142"/>
      <c r="AT118" s="2142"/>
      <c r="AU118" s="2142"/>
      <c r="AV118" s="2142"/>
      <c r="AW118" s="2142"/>
      <c r="AX118" s="2142"/>
      <c r="AY118" s="2142"/>
      <c r="AZ118" s="2142"/>
      <c r="BA118" s="2142"/>
      <c r="BB118" s="2142"/>
      <c r="BC118" s="2142"/>
      <c r="BD118" s="2142"/>
      <c r="BE118" s="2142"/>
      <c r="BF118" s="2142"/>
      <c r="BG118" s="2142"/>
      <c r="BH118" s="2142"/>
      <c r="BI118" s="2142"/>
      <c r="BJ118" s="2142"/>
      <c r="BK118" s="2142"/>
      <c r="BL118" s="2142"/>
      <c r="BM118" s="2142"/>
      <c r="BN118" s="2142"/>
      <c r="BO118" s="2142"/>
      <c r="BP118" s="2142"/>
      <c r="BQ118" s="2142"/>
      <c r="BR118" s="2142"/>
      <c r="BS118" s="2142"/>
      <c r="BT118" s="2142"/>
      <c r="BU118" s="2142"/>
      <c r="BV118" s="2142"/>
      <c r="BW118" s="2142"/>
      <c r="BX118" s="2142"/>
      <c r="BY118" s="2142"/>
      <c r="BZ118" s="2142"/>
      <c r="CA118" s="2142"/>
      <c r="CB118" s="2142"/>
      <c r="CC118" s="2142"/>
      <c r="CD118" s="2142"/>
      <c r="CE118" s="2142"/>
      <c r="CF118" s="2142"/>
      <c r="CG118" s="2142"/>
      <c r="CH118" s="2142"/>
      <c r="CI118" s="2142"/>
      <c r="CJ118" s="2142"/>
      <c r="CK118" s="2142"/>
      <c r="CL118" s="2142"/>
      <c r="CM118" s="2142"/>
      <c r="CN118" s="2142"/>
      <c r="CO118" s="2142"/>
      <c r="CP118" s="2142"/>
      <c r="CQ118" s="2142"/>
      <c r="CR118" s="2142"/>
      <c r="CS118" s="2142"/>
      <c r="CT118" s="2142"/>
      <c r="CU118" s="2142"/>
      <c r="CV118" s="2142"/>
      <c r="CW118" s="2142"/>
      <c r="CX118" s="2142"/>
      <c r="CY118" s="2142"/>
      <c r="CZ118" s="2142"/>
      <c r="DA118" s="2142"/>
      <c r="DB118" s="2142"/>
      <c r="DC118" s="2143"/>
      <c r="DD118" s="2144"/>
      <c r="DE118" s="2144"/>
      <c r="DF118" s="2144"/>
      <c r="DG118" s="2144"/>
      <c r="DH118" s="2144"/>
      <c r="DI118" s="2144"/>
      <c r="DJ118" s="2144"/>
      <c r="DK118" s="2144"/>
      <c r="DL118" s="2144"/>
      <c r="DM118" s="2144"/>
      <c r="DN118" s="2144"/>
      <c r="DO118" s="2144"/>
      <c r="DP118" s="2144"/>
      <c r="DQ118" s="2144"/>
      <c r="DR118" s="2145"/>
      <c r="DS118" s="313"/>
      <c r="DT118" s="311"/>
      <c r="DX118" s="616"/>
      <c r="DY118" s="616"/>
      <c r="DZ118" s="616"/>
      <c r="EB118" s="617"/>
      <c r="EC118" s="617"/>
      <c r="ED118" s="617"/>
      <c r="EE118" s="617"/>
      <c r="EF118" s="617"/>
      <c r="EG118" s="617"/>
      <c r="EH118" s="617"/>
    </row>
    <row r="119" spans="2:138" ht="30" customHeight="1">
      <c r="B119" s="319"/>
      <c r="C119" s="313"/>
      <c r="D119" s="2083"/>
      <c r="E119" s="2146"/>
      <c r="F119" s="2147"/>
      <c r="G119" s="2147"/>
      <c r="H119" s="2147"/>
      <c r="I119" s="2147"/>
      <c r="J119" s="2147"/>
      <c r="K119" s="2147"/>
      <c r="L119" s="2148"/>
      <c r="M119" s="2149"/>
      <c r="N119" s="2150"/>
      <c r="O119" s="2150"/>
      <c r="P119" s="2150"/>
      <c r="Q119" s="2150"/>
      <c r="R119" s="2150"/>
      <c r="S119" s="2150"/>
      <c r="T119" s="2150"/>
      <c r="U119" s="2150"/>
      <c r="V119" s="2150"/>
      <c r="W119" s="2150"/>
      <c r="X119" s="2150"/>
      <c r="Y119" s="2150"/>
      <c r="Z119" s="2150"/>
      <c r="AA119" s="2150"/>
      <c r="AB119" s="2150"/>
      <c r="AC119" s="2150"/>
      <c r="AD119" s="2150"/>
      <c r="AE119" s="2150"/>
      <c r="AF119" s="2150"/>
      <c r="AG119" s="2151"/>
      <c r="AH119" s="2143"/>
      <c r="AI119" s="2144"/>
      <c r="AJ119" s="2144"/>
      <c r="AK119" s="2144"/>
      <c r="AL119" s="2144"/>
      <c r="AM119" s="2144"/>
      <c r="AN119" s="2144"/>
      <c r="AO119" s="2144"/>
      <c r="AP119" s="2144"/>
      <c r="AQ119" s="2144"/>
      <c r="AR119" s="2145"/>
      <c r="AS119" s="2142"/>
      <c r="AT119" s="2142"/>
      <c r="AU119" s="2142"/>
      <c r="AV119" s="2142"/>
      <c r="AW119" s="2142"/>
      <c r="AX119" s="2142"/>
      <c r="AY119" s="2142"/>
      <c r="AZ119" s="2142"/>
      <c r="BA119" s="2142"/>
      <c r="BB119" s="2142"/>
      <c r="BC119" s="2142"/>
      <c r="BD119" s="2142"/>
      <c r="BE119" s="2142"/>
      <c r="BF119" s="2142"/>
      <c r="BG119" s="2142"/>
      <c r="BH119" s="2142"/>
      <c r="BI119" s="2142"/>
      <c r="BJ119" s="2142"/>
      <c r="BK119" s="2142"/>
      <c r="BL119" s="2142"/>
      <c r="BM119" s="2142"/>
      <c r="BN119" s="2142"/>
      <c r="BO119" s="2142"/>
      <c r="BP119" s="2142"/>
      <c r="BQ119" s="2142"/>
      <c r="BR119" s="2142"/>
      <c r="BS119" s="2142"/>
      <c r="BT119" s="2142"/>
      <c r="BU119" s="2142"/>
      <c r="BV119" s="2142"/>
      <c r="BW119" s="2142"/>
      <c r="BX119" s="2142"/>
      <c r="BY119" s="2142"/>
      <c r="BZ119" s="2142"/>
      <c r="CA119" s="2142"/>
      <c r="CB119" s="2142"/>
      <c r="CC119" s="2142"/>
      <c r="CD119" s="2142"/>
      <c r="CE119" s="2142"/>
      <c r="CF119" s="2142"/>
      <c r="CG119" s="2142"/>
      <c r="CH119" s="2142"/>
      <c r="CI119" s="2142"/>
      <c r="CJ119" s="2142"/>
      <c r="CK119" s="2142"/>
      <c r="CL119" s="2142"/>
      <c r="CM119" s="2142"/>
      <c r="CN119" s="2142"/>
      <c r="CO119" s="2142"/>
      <c r="CP119" s="2142"/>
      <c r="CQ119" s="2142"/>
      <c r="CR119" s="2142"/>
      <c r="CS119" s="2142"/>
      <c r="CT119" s="2142"/>
      <c r="CU119" s="2142"/>
      <c r="CV119" s="2142"/>
      <c r="CW119" s="2142"/>
      <c r="CX119" s="2142"/>
      <c r="CY119" s="2142"/>
      <c r="CZ119" s="2142"/>
      <c r="DA119" s="2142"/>
      <c r="DB119" s="2142"/>
      <c r="DC119" s="2143"/>
      <c r="DD119" s="2144"/>
      <c r="DE119" s="2144"/>
      <c r="DF119" s="2144"/>
      <c r="DG119" s="2144"/>
      <c r="DH119" s="2144"/>
      <c r="DI119" s="2144"/>
      <c r="DJ119" s="2144"/>
      <c r="DK119" s="2144"/>
      <c r="DL119" s="2144"/>
      <c r="DM119" s="2144"/>
      <c r="DN119" s="2144"/>
      <c r="DO119" s="2144"/>
      <c r="DP119" s="2144"/>
      <c r="DQ119" s="2144"/>
      <c r="DR119" s="2145"/>
      <c r="DS119" s="313"/>
      <c r="DT119" s="311"/>
      <c r="DX119" s="616"/>
      <c r="DY119" s="616"/>
      <c r="DZ119" s="616"/>
      <c r="EB119" s="617"/>
      <c r="EC119" s="617"/>
      <c r="ED119" s="617"/>
      <c r="EE119" s="617"/>
      <c r="EF119" s="617"/>
      <c r="EG119" s="617"/>
      <c r="EH119" s="617"/>
    </row>
    <row r="120" spans="2:138" ht="30" customHeight="1">
      <c r="B120" s="319"/>
      <c r="C120" s="313"/>
      <c r="D120" s="2083"/>
      <c r="E120" s="2146"/>
      <c r="F120" s="2147"/>
      <c r="G120" s="2147"/>
      <c r="H120" s="2147"/>
      <c r="I120" s="2147"/>
      <c r="J120" s="2147"/>
      <c r="K120" s="2147"/>
      <c r="L120" s="2148"/>
      <c r="M120" s="2149"/>
      <c r="N120" s="2150"/>
      <c r="O120" s="2150"/>
      <c r="P120" s="2150"/>
      <c r="Q120" s="2150"/>
      <c r="R120" s="2150"/>
      <c r="S120" s="2150"/>
      <c r="T120" s="2150"/>
      <c r="U120" s="2150"/>
      <c r="V120" s="2150"/>
      <c r="W120" s="2150"/>
      <c r="X120" s="2150"/>
      <c r="Y120" s="2150"/>
      <c r="Z120" s="2150"/>
      <c r="AA120" s="2150"/>
      <c r="AB120" s="2150"/>
      <c r="AC120" s="2150"/>
      <c r="AD120" s="2150"/>
      <c r="AE120" s="2150"/>
      <c r="AF120" s="2150"/>
      <c r="AG120" s="2151"/>
      <c r="AH120" s="2143"/>
      <c r="AI120" s="2144"/>
      <c r="AJ120" s="2144"/>
      <c r="AK120" s="2144"/>
      <c r="AL120" s="2144"/>
      <c r="AM120" s="2144"/>
      <c r="AN120" s="2144"/>
      <c r="AO120" s="2144"/>
      <c r="AP120" s="2144"/>
      <c r="AQ120" s="2144"/>
      <c r="AR120" s="2145"/>
      <c r="AS120" s="2142"/>
      <c r="AT120" s="2142"/>
      <c r="AU120" s="2142"/>
      <c r="AV120" s="2142"/>
      <c r="AW120" s="2142"/>
      <c r="AX120" s="2142"/>
      <c r="AY120" s="2142"/>
      <c r="AZ120" s="2142"/>
      <c r="BA120" s="2142"/>
      <c r="BB120" s="2142"/>
      <c r="BC120" s="2142"/>
      <c r="BD120" s="2142"/>
      <c r="BE120" s="2142"/>
      <c r="BF120" s="2142"/>
      <c r="BG120" s="2142"/>
      <c r="BH120" s="2142"/>
      <c r="BI120" s="2142"/>
      <c r="BJ120" s="2142"/>
      <c r="BK120" s="2142"/>
      <c r="BL120" s="2142"/>
      <c r="BM120" s="2142"/>
      <c r="BN120" s="2142"/>
      <c r="BO120" s="2142"/>
      <c r="BP120" s="2142"/>
      <c r="BQ120" s="2142"/>
      <c r="BR120" s="2142"/>
      <c r="BS120" s="2142"/>
      <c r="BT120" s="2142"/>
      <c r="BU120" s="2142"/>
      <c r="BV120" s="2142"/>
      <c r="BW120" s="2142"/>
      <c r="BX120" s="2142"/>
      <c r="BY120" s="2142"/>
      <c r="BZ120" s="2142"/>
      <c r="CA120" s="2142"/>
      <c r="CB120" s="2142"/>
      <c r="CC120" s="2142"/>
      <c r="CD120" s="2142"/>
      <c r="CE120" s="2142"/>
      <c r="CF120" s="2142"/>
      <c r="CG120" s="2142"/>
      <c r="CH120" s="2142"/>
      <c r="CI120" s="2142"/>
      <c r="CJ120" s="2142"/>
      <c r="CK120" s="2142"/>
      <c r="CL120" s="2142"/>
      <c r="CM120" s="2142"/>
      <c r="CN120" s="2142"/>
      <c r="CO120" s="2142"/>
      <c r="CP120" s="2142"/>
      <c r="CQ120" s="2142"/>
      <c r="CR120" s="2142"/>
      <c r="CS120" s="2142"/>
      <c r="CT120" s="2142"/>
      <c r="CU120" s="2142"/>
      <c r="CV120" s="2142"/>
      <c r="CW120" s="2142"/>
      <c r="CX120" s="2142"/>
      <c r="CY120" s="2142"/>
      <c r="CZ120" s="2142"/>
      <c r="DA120" s="2142"/>
      <c r="DB120" s="2142"/>
      <c r="DC120" s="2143"/>
      <c r="DD120" s="2144"/>
      <c r="DE120" s="2144"/>
      <c r="DF120" s="2144"/>
      <c r="DG120" s="2144"/>
      <c r="DH120" s="2144"/>
      <c r="DI120" s="2144"/>
      <c r="DJ120" s="2144"/>
      <c r="DK120" s="2144"/>
      <c r="DL120" s="2144"/>
      <c r="DM120" s="2144"/>
      <c r="DN120" s="2144"/>
      <c r="DO120" s="2144"/>
      <c r="DP120" s="2144"/>
      <c r="DQ120" s="2144"/>
      <c r="DR120" s="2145"/>
      <c r="DS120" s="313"/>
      <c r="DT120" s="311"/>
      <c r="DX120" s="616"/>
      <c r="DY120" s="616"/>
      <c r="DZ120" s="616"/>
      <c r="EB120" s="617"/>
      <c r="EC120" s="617"/>
      <c r="ED120" s="617"/>
      <c r="EE120" s="617"/>
      <c r="EF120" s="617"/>
      <c r="EG120" s="617"/>
      <c r="EH120" s="617"/>
    </row>
    <row r="121" spans="2:138" ht="30" customHeight="1">
      <c r="B121" s="319"/>
      <c r="C121" s="313"/>
      <c r="D121" s="2083"/>
      <c r="E121" s="2146"/>
      <c r="F121" s="2147"/>
      <c r="G121" s="2147"/>
      <c r="H121" s="2147"/>
      <c r="I121" s="2147"/>
      <c r="J121" s="2147"/>
      <c r="K121" s="2147"/>
      <c r="L121" s="2148"/>
      <c r="M121" s="2149"/>
      <c r="N121" s="2150"/>
      <c r="O121" s="2150"/>
      <c r="P121" s="2150"/>
      <c r="Q121" s="2150"/>
      <c r="R121" s="2150"/>
      <c r="S121" s="2150"/>
      <c r="T121" s="2150"/>
      <c r="U121" s="2150"/>
      <c r="V121" s="2150"/>
      <c r="W121" s="2150"/>
      <c r="X121" s="2150"/>
      <c r="Y121" s="2150"/>
      <c r="Z121" s="2150"/>
      <c r="AA121" s="2150"/>
      <c r="AB121" s="2150"/>
      <c r="AC121" s="2150"/>
      <c r="AD121" s="2150"/>
      <c r="AE121" s="2150"/>
      <c r="AF121" s="2150"/>
      <c r="AG121" s="2151"/>
      <c r="AH121" s="2143"/>
      <c r="AI121" s="2144"/>
      <c r="AJ121" s="2144"/>
      <c r="AK121" s="2144"/>
      <c r="AL121" s="2144"/>
      <c r="AM121" s="2144"/>
      <c r="AN121" s="2144"/>
      <c r="AO121" s="2144"/>
      <c r="AP121" s="2144"/>
      <c r="AQ121" s="2144"/>
      <c r="AR121" s="2145"/>
      <c r="AS121" s="2142"/>
      <c r="AT121" s="2142"/>
      <c r="AU121" s="2142"/>
      <c r="AV121" s="2142"/>
      <c r="AW121" s="2142"/>
      <c r="AX121" s="2142"/>
      <c r="AY121" s="2142"/>
      <c r="AZ121" s="2142"/>
      <c r="BA121" s="2142"/>
      <c r="BB121" s="2142"/>
      <c r="BC121" s="2142"/>
      <c r="BD121" s="2142"/>
      <c r="BE121" s="2142"/>
      <c r="BF121" s="2142"/>
      <c r="BG121" s="2142"/>
      <c r="BH121" s="2142"/>
      <c r="BI121" s="2142"/>
      <c r="BJ121" s="2142"/>
      <c r="BK121" s="2142"/>
      <c r="BL121" s="2142"/>
      <c r="BM121" s="2142"/>
      <c r="BN121" s="2142"/>
      <c r="BO121" s="2142"/>
      <c r="BP121" s="2142"/>
      <c r="BQ121" s="2142"/>
      <c r="BR121" s="2142"/>
      <c r="BS121" s="2142"/>
      <c r="BT121" s="2142"/>
      <c r="BU121" s="2142"/>
      <c r="BV121" s="2142"/>
      <c r="BW121" s="2142"/>
      <c r="BX121" s="2142"/>
      <c r="BY121" s="2142"/>
      <c r="BZ121" s="2142"/>
      <c r="CA121" s="2142"/>
      <c r="CB121" s="2142"/>
      <c r="CC121" s="2142"/>
      <c r="CD121" s="2142"/>
      <c r="CE121" s="2142"/>
      <c r="CF121" s="2142"/>
      <c r="CG121" s="2142"/>
      <c r="CH121" s="2142"/>
      <c r="CI121" s="2142"/>
      <c r="CJ121" s="2142"/>
      <c r="CK121" s="2142"/>
      <c r="CL121" s="2142"/>
      <c r="CM121" s="2142"/>
      <c r="CN121" s="2142"/>
      <c r="CO121" s="2142"/>
      <c r="CP121" s="2142"/>
      <c r="CQ121" s="2142"/>
      <c r="CR121" s="2142"/>
      <c r="CS121" s="2142"/>
      <c r="CT121" s="2142"/>
      <c r="CU121" s="2142"/>
      <c r="CV121" s="2142"/>
      <c r="CW121" s="2142"/>
      <c r="CX121" s="2142"/>
      <c r="CY121" s="2142"/>
      <c r="CZ121" s="2142"/>
      <c r="DA121" s="2142"/>
      <c r="DB121" s="2142"/>
      <c r="DC121" s="2143"/>
      <c r="DD121" s="2144"/>
      <c r="DE121" s="2144"/>
      <c r="DF121" s="2144"/>
      <c r="DG121" s="2144"/>
      <c r="DH121" s="2144"/>
      <c r="DI121" s="2144"/>
      <c r="DJ121" s="2144"/>
      <c r="DK121" s="2144"/>
      <c r="DL121" s="2144"/>
      <c r="DM121" s="2144"/>
      <c r="DN121" s="2144"/>
      <c r="DO121" s="2144"/>
      <c r="DP121" s="2144"/>
      <c r="DQ121" s="2144"/>
      <c r="DR121" s="2145"/>
      <c r="DS121" s="313"/>
      <c r="DT121" s="311"/>
      <c r="DX121" s="616"/>
      <c r="DY121" s="616"/>
      <c r="DZ121" s="616"/>
      <c r="EB121" s="617"/>
      <c r="EC121" s="617"/>
      <c r="ED121" s="617"/>
      <c r="EE121" s="617"/>
      <c r="EF121" s="617"/>
      <c r="EG121" s="617"/>
      <c r="EH121" s="617"/>
    </row>
    <row r="122" spans="2:138" ht="30" customHeight="1">
      <c r="B122" s="319"/>
      <c r="C122" s="313"/>
      <c r="D122" s="2083"/>
      <c r="E122" s="2146"/>
      <c r="F122" s="2147"/>
      <c r="G122" s="2147"/>
      <c r="H122" s="2147"/>
      <c r="I122" s="2147"/>
      <c r="J122" s="2147"/>
      <c r="K122" s="2147"/>
      <c r="L122" s="2148"/>
      <c r="M122" s="2149"/>
      <c r="N122" s="2150"/>
      <c r="O122" s="2150"/>
      <c r="P122" s="2150"/>
      <c r="Q122" s="2150"/>
      <c r="R122" s="2150"/>
      <c r="S122" s="2150"/>
      <c r="T122" s="2150"/>
      <c r="U122" s="2150"/>
      <c r="V122" s="2150"/>
      <c r="W122" s="2150"/>
      <c r="X122" s="2150"/>
      <c r="Y122" s="2150"/>
      <c r="Z122" s="2150"/>
      <c r="AA122" s="2150"/>
      <c r="AB122" s="2150"/>
      <c r="AC122" s="2150"/>
      <c r="AD122" s="2150"/>
      <c r="AE122" s="2150"/>
      <c r="AF122" s="2150"/>
      <c r="AG122" s="2151"/>
      <c r="AH122" s="2143"/>
      <c r="AI122" s="2144"/>
      <c r="AJ122" s="2144"/>
      <c r="AK122" s="2144"/>
      <c r="AL122" s="2144"/>
      <c r="AM122" s="2144"/>
      <c r="AN122" s="2144"/>
      <c r="AO122" s="2144"/>
      <c r="AP122" s="2144"/>
      <c r="AQ122" s="2144"/>
      <c r="AR122" s="2145"/>
      <c r="AS122" s="2142"/>
      <c r="AT122" s="2142"/>
      <c r="AU122" s="2142"/>
      <c r="AV122" s="2142"/>
      <c r="AW122" s="2142"/>
      <c r="AX122" s="2142"/>
      <c r="AY122" s="2142"/>
      <c r="AZ122" s="2142"/>
      <c r="BA122" s="2142"/>
      <c r="BB122" s="2142"/>
      <c r="BC122" s="2142"/>
      <c r="BD122" s="2142"/>
      <c r="BE122" s="2142"/>
      <c r="BF122" s="2142"/>
      <c r="BG122" s="2142"/>
      <c r="BH122" s="2142"/>
      <c r="BI122" s="2142"/>
      <c r="BJ122" s="2142"/>
      <c r="BK122" s="2142"/>
      <c r="BL122" s="2142"/>
      <c r="BM122" s="2142"/>
      <c r="BN122" s="2142"/>
      <c r="BO122" s="2142"/>
      <c r="BP122" s="2142"/>
      <c r="BQ122" s="2142"/>
      <c r="BR122" s="2142"/>
      <c r="BS122" s="2142"/>
      <c r="BT122" s="2142"/>
      <c r="BU122" s="2142"/>
      <c r="BV122" s="2142"/>
      <c r="BW122" s="2142"/>
      <c r="BX122" s="2142"/>
      <c r="BY122" s="2142"/>
      <c r="BZ122" s="2142"/>
      <c r="CA122" s="2142"/>
      <c r="CB122" s="2142"/>
      <c r="CC122" s="2142"/>
      <c r="CD122" s="2142"/>
      <c r="CE122" s="2142"/>
      <c r="CF122" s="2142"/>
      <c r="CG122" s="2142"/>
      <c r="CH122" s="2142"/>
      <c r="CI122" s="2142"/>
      <c r="CJ122" s="2142"/>
      <c r="CK122" s="2142"/>
      <c r="CL122" s="2142"/>
      <c r="CM122" s="2142"/>
      <c r="CN122" s="2142"/>
      <c r="CO122" s="2142"/>
      <c r="CP122" s="2142"/>
      <c r="CQ122" s="2142"/>
      <c r="CR122" s="2142"/>
      <c r="CS122" s="2142"/>
      <c r="CT122" s="2142"/>
      <c r="CU122" s="2142"/>
      <c r="CV122" s="2142"/>
      <c r="CW122" s="2142"/>
      <c r="CX122" s="2142"/>
      <c r="CY122" s="2142"/>
      <c r="CZ122" s="2142"/>
      <c r="DA122" s="2142"/>
      <c r="DB122" s="2142"/>
      <c r="DC122" s="2143"/>
      <c r="DD122" s="2144"/>
      <c r="DE122" s="2144"/>
      <c r="DF122" s="2144"/>
      <c r="DG122" s="2144"/>
      <c r="DH122" s="2144"/>
      <c r="DI122" s="2144"/>
      <c r="DJ122" s="2144"/>
      <c r="DK122" s="2144"/>
      <c r="DL122" s="2144"/>
      <c r="DM122" s="2144"/>
      <c r="DN122" s="2144"/>
      <c r="DO122" s="2144"/>
      <c r="DP122" s="2144"/>
      <c r="DQ122" s="2144"/>
      <c r="DR122" s="2145"/>
      <c r="DS122" s="313"/>
      <c r="DT122" s="311"/>
      <c r="DX122" s="616"/>
      <c r="DY122" s="616"/>
      <c r="DZ122" s="616"/>
      <c r="EB122" s="617"/>
      <c r="EC122" s="617"/>
      <c r="ED122" s="617"/>
      <c r="EE122" s="617"/>
      <c r="EF122" s="617"/>
      <c r="EG122" s="617"/>
      <c r="EH122" s="617"/>
    </row>
    <row r="123" spans="2:138" ht="30" customHeight="1">
      <c r="B123" s="319"/>
      <c r="C123" s="313"/>
      <c r="D123" s="2083"/>
      <c r="E123" s="2146"/>
      <c r="F123" s="2147"/>
      <c r="G123" s="2147"/>
      <c r="H123" s="2147"/>
      <c r="I123" s="2147"/>
      <c r="J123" s="2147"/>
      <c r="K123" s="2147"/>
      <c r="L123" s="2148"/>
      <c r="M123" s="2149"/>
      <c r="N123" s="2150"/>
      <c r="O123" s="2150"/>
      <c r="P123" s="2150"/>
      <c r="Q123" s="2150"/>
      <c r="R123" s="2150"/>
      <c r="S123" s="2150"/>
      <c r="T123" s="2150"/>
      <c r="U123" s="2150"/>
      <c r="V123" s="2150"/>
      <c r="W123" s="2150"/>
      <c r="X123" s="2150"/>
      <c r="Y123" s="2150"/>
      <c r="Z123" s="2150"/>
      <c r="AA123" s="2150"/>
      <c r="AB123" s="2150"/>
      <c r="AC123" s="2150"/>
      <c r="AD123" s="2150"/>
      <c r="AE123" s="2150"/>
      <c r="AF123" s="2150"/>
      <c r="AG123" s="2151"/>
      <c r="AH123" s="2143"/>
      <c r="AI123" s="2144"/>
      <c r="AJ123" s="2144"/>
      <c r="AK123" s="2144"/>
      <c r="AL123" s="2144"/>
      <c r="AM123" s="2144"/>
      <c r="AN123" s="2144"/>
      <c r="AO123" s="2144"/>
      <c r="AP123" s="2144"/>
      <c r="AQ123" s="2144"/>
      <c r="AR123" s="2145"/>
      <c r="AS123" s="2142"/>
      <c r="AT123" s="2142"/>
      <c r="AU123" s="2142"/>
      <c r="AV123" s="2142"/>
      <c r="AW123" s="2142"/>
      <c r="AX123" s="2142"/>
      <c r="AY123" s="2142"/>
      <c r="AZ123" s="2142"/>
      <c r="BA123" s="2142"/>
      <c r="BB123" s="2142"/>
      <c r="BC123" s="2142"/>
      <c r="BD123" s="2142"/>
      <c r="BE123" s="2142"/>
      <c r="BF123" s="2142"/>
      <c r="BG123" s="2142"/>
      <c r="BH123" s="2142"/>
      <c r="BI123" s="2142"/>
      <c r="BJ123" s="2142"/>
      <c r="BK123" s="2142"/>
      <c r="BL123" s="2142"/>
      <c r="BM123" s="2142"/>
      <c r="BN123" s="2142"/>
      <c r="BO123" s="2142"/>
      <c r="BP123" s="2142"/>
      <c r="BQ123" s="2142"/>
      <c r="BR123" s="2142"/>
      <c r="BS123" s="2142"/>
      <c r="BT123" s="2142"/>
      <c r="BU123" s="2142"/>
      <c r="BV123" s="2142"/>
      <c r="BW123" s="2142"/>
      <c r="BX123" s="2142"/>
      <c r="BY123" s="2142"/>
      <c r="BZ123" s="2142"/>
      <c r="CA123" s="2142"/>
      <c r="CB123" s="2142"/>
      <c r="CC123" s="2142"/>
      <c r="CD123" s="2142"/>
      <c r="CE123" s="2142"/>
      <c r="CF123" s="2142"/>
      <c r="CG123" s="2142"/>
      <c r="CH123" s="2142"/>
      <c r="CI123" s="2142"/>
      <c r="CJ123" s="2142"/>
      <c r="CK123" s="2142"/>
      <c r="CL123" s="2142"/>
      <c r="CM123" s="2142"/>
      <c r="CN123" s="2142"/>
      <c r="CO123" s="2142"/>
      <c r="CP123" s="2142"/>
      <c r="CQ123" s="2142"/>
      <c r="CR123" s="2142"/>
      <c r="CS123" s="2142"/>
      <c r="CT123" s="2142"/>
      <c r="CU123" s="2142"/>
      <c r="CV123" s="2142"/>
      <c r="CW123" s="2142"/>
      <c r="CX123" s="2142"/>
      <c r="CY123" s="2142"/>
      <c r="CZ123" s="2142"/>
      <c r="DA123" s="2142"/>
      <c r="DB123" s="2142"/>
      <c r="DC123" s="2143"/>
      <c r="DD123" s="2144"/>
      <c r="DE123" s="2144"/>
      <c r="DF123" s="2144"/>
      <c r="DG123" s="2144"/>
      <c r="DH123" s="2144"/>
      <c r="DI123" s="2144"/>
      <c r="DJ123" s="2144"/>
      <c r="DK123" s="2144"/>
      <c r="DL123" s="2144"/>
      <c r="DM123" s="2144"/>
      <c r="DN123" s="2144"/>
      <c r="DO123" s="2144"/>
      <c r="DP123" s="2144"/>
      <c r="DQ123" s="2144"/>
      <c r="DR123" s="2145"/>
      <c r="DS123" s="313"/>
      <c r="DT123" s="311"/>
      <c r="DX123" s="616"/>
      <c r="DY123" s="616"/>
      <c r="DZ123" s="616"/>
      <c r="EB123" s="617"/>
      <c r="EC123" s="617"/>
      <c r="ED123" s="617"/>
      <c r="EE123" s="617"/>
      <c r="EF123" s="617"/>
      <c r="EG123" s="617"/>
      <c r="EH123" s="617"/>
    </row>
    <row r="124" spans="2:138" ht="30" customHeight="1">
      <c r="B124" s="319"/>
      <c r="C124" s="313"/>
      <c r="D124" s="2084"/>
      <c r="E124" s="2146"/>
      <c r="F124" s="2147"/>
      <c r="G124" s="2147"/>
      <c r="H124" s="2147"/>
      <c r="I124" s="2147"/>
      <c r="J124" s="2147"/>
      <c r="K124" s="2147"/>
      <c r="L124" s="2148"/>
      <c r="M124" s="2149"/>
      <c r="N124" s="2150"/>
      <c r="O124" s="2150"/>
      <c r="P124" s="2150"/>
      <c r="Q124" s="2150"/>
      <c r="R124" s="2150"/>
      <c r="S124" s="2150"/>
      <c r="T124" s="2150"/>
      <c r="U124" s="2150"/>
      <c r="V124" s="2150"/>
      <c r="W124" s="2150"/>
      <c r="X124" s="2150"/>
      <c r="Y124" s="2150"/>
      <c r="Z124" s="2150"/>
      <c r="AA124" s="2150"/>
      <c r="AB124" s="2150"/>
      <c r="AC124" s="2150"/>
      <c r="AD124" s="2150"/>
      <c r="AE124" s="2150"/>
      <c r="AF124" s="2150"/>
      <c r="AG124" s="2151"/>
      <c r="AH124" s="2143"/>
      <c r="AI124" s="2144"/>
      <c r="AJ124" s="2144"/>
      <c r="AK124" s="2144"/>
      <c r="AL124" s="2144"/>
      <c r="AM124" s="2144"/>
      <c r="AN124" s="2144"/>
      <c r="AO124" s="2144"/>
      <c r="AP124" s="2144"/>
      <c r="AQ124" s="2144"/>
      <c r="AR124" s="2145"/>
      <c r="AS124" s="2142"/>
      <c r="AT124" s="2142"/>
      <c r="AU124" s="2142"/>
      <c r="AV124" s="2142"/>
      <c r="AW124" s="2142"/>
      <c r="AX124" s="2142"/>
      <c r="AY124" s="2142"/>
      <c r="AZ124" s="2142"/>
      <c r="BA124" s="2142"/>
      <c r="BB124" s="2142"/>
      <c r="BC124" s="2142"/>
      <c r="BD124" s="2142"/>
      <c r="BE124" s="2142"/>
      <c r="BF124" s="2142"/>
      <c r="BG124" s="2142"/>
      <c r="BH124" s="2142"/>
      <c r="BI124" s="2142"/>
      <c r="BJ124" s="2142"/>
      <c r="BK124" s="2142"/>
      <c r="BL124" s="2142"/>
      <c r="BM124" s="2142"/>
      <c r="BN124" s="2142"/>
      <c r="BO124" s="2142"/>
      <c r="BP124" s="2142"/>
      <c r="BQ124" s="2142"/>
      <c r="BR124" s="2142"/>
      <c r="BS124" s="2142"/>
      <c r="BT124" s="2142"/>
      <c r="BU124" s="2142"/>
      <c r="BV124" s="2142"/>
      <c r="BW124" s="2142"/>
      <c r="BX124" s="2142"/>
      <c r="BY124" s="2142"/>
      <c r="BZ124" s="2142"/>
      <c r="CA124" s="2142"/>
      <c r="CB124" s="2142"/>
      <c r="CC124" s="2142"/>
      <c r="CD124" s="2142"/>
      <c r="CE124" s="2142"/>
      <c r="CF124" s="2142"/>
      <c r="CG124" s="2142"/>
      <c r="CH124" s="2142"/>
      <c r="CI124" s="2142"/>
      <c r="CJ124" s="2142"/>
      <c r="CK124" s="2142"/>
      <c r="CL124" s="2142"/>
      <c r="CM124" s="2142"/>
      <c r="CN124" s="2142"/>
      <c r="CO124" s="2142"/>
      <c r="CP124" s="2142"/>
      <c r="CQ124" s="2142"/>
      <c r="CR124" s="2142"/>
      <c r="CS124" s="2142"/>
      <c r="CT124" s="2142"/>
      <c r="CU124" s="2142"/>
      <c r="CV124" s="2142"/>
      <c r="CW124" s="2142"/>
      <c r="CX124" s="2142"/>
      <c r="CY124" s="2142"/>
      <c r="CZ124" s="2142"/>
      <c r="DA124" s="2142"/>
      <c r="DB124" s="2142"/>
      <c r="DC124" s="2143"/>
      <c r="DD124" s="2144"/>
      <c r="DE124" s="2144"/>
      <c r="DF124" s="2144"/>
      <c r="DG124" s="2144"/>
      <c r="DH124" s="2144"/>
      <c r="DI124" s="2144"/>
      <c r="DJ124" s="2144"/>
      <c r="DK124" s="2144"/>
      <c r="DL124" s="2144"/>
      <c r="DM124" s="2144"/>
      <c r="DN124" s="2144"/>
      <c r="DO124" s="2144"/>
      <c r="DP124" s="2144"/>
      <c r="DQ124" s="2144"/>
      <c r="DR124" s="2145"/>
      <c r="DS124" s="313"/>
      <c r="DT124" s="311"/>
      <c r="DX124" s="616"/>
      <c r="DY124" s="616"/>
      <c r="DZ124" s="616"/>
      <c r="EB124" s="617"/>
      <c r="EC124" s="617"/>
      <c r="ED124" s="617"/>
      <c r="EE124" s="617"/>
      <c r="EF124" s="617"/>
      <c r="EG124" s="617"/>
      <c r="EH124" s="617"/>
    </row>
    <row r="125" spans="2:138" ht="6" customHeight="1">
      <c r="B125" s="319"/>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3"/>
      <c r="AG125" s="313"/>
      <c r="AH125" s="313"/>
      <c r="AI125" s="313"/>
      <c r="AJ125" s="313"/>
      <c r="AK125" s="313"/>
      <c r="AL125" s="313"/>
      <c r="AM125" s="313"/>
      <c r="AN125" s="313"/>
      <c r="AO125" s="313"/>
      <c r="AP125" s="313"/>
      <c r="AQ125" s="313"/>
      <c r="AR125" s="313"/>
      <c r="AS125" s="313"/>
      <c r="AT125" s="313"/>
      <c r="AU125" s="313"/>
      <c r="AV125" s="313"/>
      <c r="AW125" s="313"/>
      <c r="AX125" s="313"/>
      <c r="AY125" s="313"/>
      <c r="AZ125" s="313"/>
      <c r="BA125" s="313"/>
      <c r="BB125" s="313"/>
      <c r="BC125" s="313"/>
      <c r="BD125" s="313"/>
      <c r="BE125" s="313"/>
      <c r="BF125" s="313"/>
      <c r="BG125" s="313"/>
      <c r="BH125" s="313"/>
      <c r="BI125" s="313"/>
      <c r="BJ125" s="313"/>
      <c r="BK125" s="313"/>
      <c r="BL125" s="313"/>
      <c r="BM125" s="313"/>
      <c r="BN125" s="313"/>
      <c r="BO125" s="313"/>
      <c r="BP125" s="313"/>
      <c r="BQ125" s="313"/>
      <c r="BR125" s="313"/>
      <c r="BS125" s="313"/>
      <c r="BT125" s="313"/>
      <c r="BU125" s="313"/>
      <c r="BV125" s="313"/>
      <c r="BW125" s="313"/>
      <c r="BX125" s="313"/>
      <c r="BY125" s="313"/>
      <c r="BZ125" s="313"/>
      <c r="CA125" s="313"/>
      <c r="CB125" s="313"/>
      <c r="CC125" s="313"/>
      <c r="CD125" s="313"/>
      <c r="CE125" s="313"/>
      <c r="CF125" s="313"/>
      <c r="CG125" s="313"/>
      <c r="CH125" s="313"/>
      <c r="CI125" s="313"/>
      <c r="CJ125" s="313"/>
      <c r="CK125" s="313"/>
      <c r="CL125" s="313"/>
      <c r="CM125" s="313"/>
      <c r="CN125" s="313"/>
      <c r="CO125" s="313"/>
      <c r="CP125" s="313"/>
      <c r="CQ125" s="313"/>
      <c r="CR125" s="313"/>
      <c r="CS125" s="313"/>
      <c r="CT125" s="313"/>
      <c r="CU125" s="313"/>
      <c r="CV125" s="313"/>
      <c r="CW125" s="313"/>
      <c r="CX125" s="313"/>
      <c r="CY125" s="313"/>
      <c r="CZ125" s="313"/>
      <c r="DA125" s="313"/>
      <c r="DB125" s="313"/>
      <c r="DC125" s="313"/>
      <c r="DD125" s="313"/>
      <c r="DE125" s="313"/>
      <c r="DF125" s="313"/>
      <c r="DG125" s="313"/>
      <c r="DH125" s="313"/>
      <c r="DI125" s="313"/>
      <c r="DJ125" s="313"/>
      <c r="DK125" s="313"/>
      <c r="DL125" s="313"/>
      <c r="DM125" s="313"/>
      <c r="DN125" s="313"/>
      <c r="DO125" s="313"/>
      <c r="DP125" s="313"/>
      <c r="DQ125" s="313"/>
      <c r="DR125" s="313"/>
      <c r="DS125" s="313"/>
      <c r="DT125" s="311"/>
      <c r="DX125" s="616"/>
      <c r="DY125" s="616"/>
      <c r="DZ125" s="616"/>
      <c r="EB125" s="617"/>
      <c r="EC125" s="617"/>
      <c r="ED125" s="617"/>
      <c r="EE125" s="617"/>
      <c r="EF125" s="617"/>
      <c r="EG125" s="617"/>
      <c r="EH125" s="617"/>
    </row>
    <row r="126" spans="2:138" ht="30" customHeight="1">
      <c r="B126" s="319"/>
      <c r="C126" s="313"/>
      <c r="D126" s="2082" t="str">
        <f ca="1">INDIRECT($J$4&amp;"!C138")</f>
        <v>Systemic consideration</v>
      </c>
      <c r="E126" s="2146"/>
      <c r="F126" s="2147"/>
      <c r="G126" s="2147"/>
      <c r="H126" s="2147"/>
      <c r="I126" s="2147"/>
      <c r="J126" s="2147"/>
      <c r="K126" s="2147"/>
      <c r="L126" s="2148"/>
      <c r="M126" s="2149"/>
      <c r="N126" s="2150"/>
      <c r="O126" s="2150"/>
      <c r="P126" s="2150"/>
      <c r="Q126" s="2150"/>
      <c r="R126" s="2150"/>
      <c r="S126" s="2150"/>
      <c r="T126" s="2150"/>
      <c r="U126" s="2150"/>
      <c r="V126" s="2150"/>
      <c r="W126" s="2150"/>
      <c r="X126" s="2150"/>
      <c r="Y126" s="2150"/>
      <c r="Z126" s="2150"/>
      <c r="AA126" s="2150"/>
      <c r="AB126" s="2150"/>
      <c r="AC126" s="2150"/>
      <c r="AD126" s="2150"/>
      <c r="AE126" s="2150"/>
      <c r="AF126" s="2150"/>
      <c r="AG126" s="2151"/>
      <c r="AH126" s="2143"/>
      <c r="AI126" s="2144"/>
      <c r="AJ126" s="2144"/>
      <c r="AK126" s="2144"/>
      <c r="AL126" s="2144"/>
      <c r="AM126" s="2144"/>
      <c r="AN126" s="2144"/>
      <c r="AO126" s="2144"/>
      <c r="AP126" s="2144"/>
      <c r="AQ126" s="2144"/>
      <c r="AR126" s="2145"/>
      <c r="AS126" s="2142"/>
      <c r="AT126" s="2142"/>
      <c r="AU126" s="2142"/>
      <c r="AV126" s="2142"/>
      <c r="AW126" s="2142"/>
      <c r="AX126" s="2142"/>
      <c r="AY126" s="2142"/>
      <c r="AZ126" s="2142"/>
      <c r="BA126" s="2142"/>
      <c r="BB126" s="2142"/>
      <c r="BC126" s="2142"/>
      <c r="BD126" s="2142"/>
      <c r="BE126" s="2142"/>
      <c r="BF126" s="2142"/>
      <c r="BG126" s="2142"/>
      <c r="BH126" s="2142"/>
      <c r="BI126" s="2142"/>
      <c r="BJ126" s="2142"/>
      <c r="BK126" s="2142"/>
      <c r="BL126" s="2142"/>
      <c r="BM126" s="2142"/>
      <c r="BN126" s="2142"/>
      <c r="BO126" s="2142"/>
      <c r="BP126" s="2142"/>
      <c r="BQ126" s="2142"/>
      <c r="BR126" s="2142"/>
      <c r="BS126" s="2142"/>
      <c r="BT126" s="2142"/>
      <c r="BU126" s="2142"/>
      <c r="BV126" s="2142"/>
      <c r="BW126" s="2142"/>
      <c r="BX126" s="2142"/>
      <c r="BY126" s="2142"/>
      <c r="BZ126" s="2142"/>
      <c r="CA126" s="2142"/>
      <c r="CB126" s="2142"/>
      <c r="CC126" s="2142"/>
      <c r="CD126" s="2142"/>
      <c r="CE126" s="2142"/>
      <c r="CF126" s="2142"/>
      <c r="CG126" s="2142"/>
      <c r="CH126" s="2142"/>
      <c r="CI126" s="2142"/>
      <c r="CJ126" s="2142"/>
      <c r="CK126" s="2142"/>
      <c r="CL126" s="2142"/>
      <c r="CM126" s="2142"/>
      <c r="CN126" s="2142"/>
      <c r="CO126" s="2142"/>
      <c r="CP126" s="2142"/>
      <c r="CQ126" s="2142"/>
      <c r="CR126" s="2142"/>
      <c r="CS126" s="2142"/>
      <c r="CT126" s="2142"/>
      <c r="CU126" s="2142"/>
      <c r="CV126" s="2142"/>
      <c r="CW126" s="2142"/>
      <c r="CX126" s="2142"/>
      <c r="CY126" s="2142"/>
      <c r="CZ126" s="2142"/>
      <c r="DA126" s="2142"/>
      <c r="DB126" s="2142"/>
      <c r="DC126" s="2143"/>
      <c r="DD126" s="2144"/>
      <c r="DE126" s="2144"/>
      <c r="DF126" s="2144"/>
      <c r="DG126" s="2144"/>
      <c r="DH126" s="2144"/>
      <c r="DI126" s="2144"/>
      <c r="DJ126" s="2144"/>
      <c r="DK126" s="2144"/>
      <c r="DL126" s="2144"/>
      <c r="DM126" s="2144"/>
      <c r="DN126" s="2144"/>
      <c r="DO126" s="2144"/>
      <c r="DP126" s="2144"/>
      <c r="DQ126" s="2144"/>
      <c r="DR126" s="2145"/>
      <c r="DS126" s="313"/>
      <c r="DT126" s="311"/>
      <c r="DX126" s="618"/>
      <c r="DY126" s="616"/>
      <c r="DZ126" s="616"/>
      <c r="EB126" s="617"/>
      <c r="EC126" s="617"/>
      <c r="ED126" s="617"/>
      <c r="EE126" s="617"/>
      <c r="EF126" s="617"/>
      <c r="EG126" s="617"/>
      <c r="EH126" s="617"/>
    </row>
    <row r="127" spans="2:138" ht="30" customHeight="1">
      <c r="B127" s="319"/>
      <c r="C127" s="313"/>
      <c r="D127" s="2083"/>
      <c r="E127" s="2146"/>
      <c r="F127" s="2147"/>
      <c r="G127" s="2147"/>
      <c r="H127" s="2147"/>
      <c r="I127" s="2147"/>
      <c r="J127" s="2147"/>
      <c r="K127" s="2147"/>
      <c r="L127" s="2148"/>
      <c r="M127" s="2149"/>
      <c r="N127" s="2150"/>
      <c r="O127" s="2150"/>
      <c r="P127" s="2150"/>
      <c r="Q127" s="2150"/>
      <c r="R127" s="2150"/>
      <c r="S127" s="2150"/>
      <c r="T127" s="2150"/>
      <c r="U127" s="2150"/>
      <c r="V127" s="2150"/>
      <c r="W127" s="2150"/>
      <c r="X127" s="2150"/>
      <c r="Y127" s="2150"/>
      <c r="Z127" s="2150"/>
      <c r="AA127" s="2150"/>
      <c r="AB127" s="2150"/>
      <c r="AC127" s="2150"/>
      <c r="AD127" s="2150"/>
      <c r="AE127" s="2150"/>
      <c r="AF127" s="2150"/>
      <c r="AG127" s="2151"/>
      <c r="AH127" s="2143"/>
      <c r="AI127" s="2144"/>
      <c r="AJ127" s="2144"/>
      <c r="AK127" s="2144"/>
      <c r="AL127" s="2144"/>
      <c r="AM127" s="2144"/>
      <c r="AN127" s="2144"/>
      <c r="AO127" s="2144"/>
      <c r="AP127" s="2144"/>
      <c r="AQ127" s="2144"/>
      <c r="AR127" s="2145"/>
      <c r="AS127" s="2142"/>
      <c r="AT127" s="2142"/>
      <c r="AU127" s="2142"/>
      <c r="AV127" s="2142"/>
      <c r="AW127" s="2142"/>
      <c r="AX127" s="2142"/>
      <c r="AY127" s="2142"/>
      <c r="AZ127" s="2142"/>
      <c r="BA127" s="2142"/>
      <c r="BB127" s="2142"/>
      <c r="BC127" s="2142"/>
      <c r="BD127" s="2142"/>
      <c r="BE127" s="2142"/>
      <c r="BF127" s="2142"/>
      <c r="BG127" s="2142"/>
      <c r="BH127" s="2142"/>
      <c r="BI127" s="2142"/>
      <c r="BJ127" s="2142"/>
      <c r="BK127" s="2142"/>
      <c r="BL127" s="2142"/>
      <c r="BM127" s="2142"/>
      <c r="BN127" s="2142"/>
      <c r="BO127" s="2142"/>
      <c r="BP127" s="2142"/>
      <c r="BQ127" s="2142"/>
      <c r="BR127" s="2142"/>
      <c r="BS127" s="2142"/>
      <c r="BT127" s="2142"/>
      <c r="BU127" s="2142"/>
      <c r="BV127" s="2142"/>
      <c r="BW127" s="2142"/>
      <c r="BX127" s="2142"/>
      <c r="BY127" s="2142"/>
      <c r="BZ127" s="2142"/>
      <c r="CA127" s="2142"/>
      <c r="CB127" s="2142"/>
      <c r="CC127" s="2142"/>
      <c r="CD127" s="2142"/>
      <c r="CE127" s="2142"/>
      <c r="CF127" s="2142"/>
      <c r="CG127" s="2142"/>
      <c r="CH127" s="2142"/>
      <c r="CI127" s="2142"/>
      <c r="CJ127" s="2142"/>
      <c r="CK127" s="2142"/>
      <c r="CL127" s="2142"/>
      <c r="CM127" s="2142"/>
      <c r="CN127" s="2142"/>
      <c r="CO127" s="2142"/>
      <c r="CP127" s="2142"/>
      <c r="CQ127" s="2142"/>
      <c r="CR127" s="2142"/>
      <c r="CS127" s="2142"/>
      <c r="CT127" s="2142"/>
      <c r="CU127" s="2142"/>
      <c r="CV127" s="2142"/>
      <c r="CW127" s="2142"/>
      <c r="CX127" s="2142"/>
      <c r="CY127" s="2142"/>
      <c r="CZ127" s="2142"/>
      <c r="DA127" s="2142"/>
      <c r="DB127" s="2142"/>
      <c r="DC127" s="2143"/>
      <c r="DD127" s="2144"/>
      <c r="DE127" s="2144"/>
      <c r="DF127" s="2144"/>
      <c r="DG127" s="2144"/>
      <c r="DH127" s="2144"/>
      <c r="DI127" s="2144"/>
      <c r="DJ127" s="2144"/>
      <c r="DK127" s="2144"/>
      <c r="DL127" s="2144"/>
      <c r="DM127" s="2144"/>
      <c r="DN127" s="2144"/>
      <c r="DO127" s="2144"/>
      <c r="DP127" s="2144"/>
      <c r="DQ127" s="2144"/>
      <c r="DR127" s="2145"/>
      <c r="DS127" s="313"/>
      <c r="DT127" s="311"/>
      <c r="DX127" s="618"/>
    </row>
    <row r="128" spans="2:138" ht="30" customHeight="1">
      <c r="B128" s="319"/>
      <c r="C128" s="313"/>
      <c r="D128" s="2083"/>
      <c r="E128" s="2146"/>
      <c r="F128" s="2147"/>
      <c r="G128" s="2147"/>
      <c r="H128" s="2147"/>
      <c r="I128" s="2147"/>
      <c r="J128" s="2147"/>
      <c r="K128" s="2147"/>
      <c r="L128" s="2148"/>
      <c r="M128" s="2149"/>
      <c r="N128" s="2150"/>
      <c r="O128" s="2150"/>
      <c r="P128" s="2150"/>
      <c r="Q128" s="2150"/>
      <c r="R128" s="2150"/>
      <c r="S128" s="2150"/>
      <c r="T128" s="2150"/>
      <c r="U128" s="2150"/>
      <c r="V128" s="2150"/>
      <c r="W128" s="2150"/>
      <c r="X128" s="2150"/>
      <c r="Y128" s="2150"/>
      <c r="Z128" s="2150"/>
      <c r="AA128" s="2150"/>
      <c r="AB128" s="2150"/>
      <c r="AC128" s="2150"/>
      <c r="AD128" s="2150"/>
      <c r="AE128" s="2150"/>
      <c r="AF128" s="2150"/>
      <c r="AG128" s="2151"/>
      <c r="AH128" s="2143"/>
      <c r="AI128" s="2144"/>
      <c r="AJ128" s="2144"/>
      <c r="AK128" s="2144"/>
      <c r="AL128" s="2144"/>
      <c r="AM128" s="2144"/>
      <c r="AN128" s="2144"/>
      <c r="AO128" s="2144"/>
      <c r="AP128" s="2144"/>
      <c r="AQ128" s="2144"/>
      <c r="AR128" s="2145"/>
      <c r="AS128" s="2142"/>
      <c r="AT128" s="2142"/>
      <c r="AU128" s="2142"/>
      <c r="AV128" s="2142"/>
      <c r="AW128" s="2142"/>
      <c r="AX128" s="2142"/>
      <c r="AY128" s="2142"/>
      <c r="AZ128" s="2142"/>
      <c r="BA128" s="2142"/>
      <c r="BB128" s="2142"/>
      <c r="BC128" s="2142"/>
      <c r="BD128" s="2142"/>
      <c r="BE128" s="2142"/>
      <c r="BF128" s="2142"/>
      <c r="BG128" s="2142"/>
      <c r="BH128" s="2142"/>
      <c r="BI128" s="2142"/>
      <c r="BJ128" s="2142"/>
      <c r="BK128" s="2142"/>
      <c r="BL128" s="2142"/>
      <c r="BM128" s="2142"/>
      <c r="BN128" s="2142"/>
      <c r="BO128" s="2142"/>
      <c r="BP128" s="2142"/>
      <c r="BQ128" s="2142"/>
      <c r="BR128" s="2142"/>
      <c r="BS128" s="2142"/>
      <c r="BT128" s="2142"/>
      <c r="BU128" s="2142"/>
      <c r="BV128" s="2142"/>
      <c r="BW128" s="2142"/>
      <c r="BX128" s="2142"/>
      <c r="BY128" s="2142"/>
      <c r="BZ128" s="2142"/>
      <c r="CA128" s="2142"/>
      <c r="CB128" s="2142"/>
      <c r="CC128" s="2142"/>
      <c r="CD128" s="2142"/>
      <c r="CE128" s="2142"/>
      <c r="CF128" s="2142"/>
      <c r="CG128" s="2142"/>
      <c r="CH128" s="2142"/>
      <c r="CI128" s="2142"/>
      <c r="CJ128" s="2142"/>
      <c r="CK128" s="2142"/>
      <c r="CL128" s="2142"/>
      <c r="CM128" s="2142"/>
      <c r="CN128" s="2142"/>
      <c r="CO128" s="2142"/>
      <c r="CP128" s="2142"/>
      <c r="CQ128" s="2142"/>
      <c r="CR128" s="2142"/>
      <c r="CS128" s="2142"/>
      <c r="CT128" s="2142"/>
      <c r="CU128" s="2142"/>
      <c r="CV128" s="2142"/>
      <c r="CW128" s="2142"/>
      <c r="CX128" s="2142"/>
      <c r="CY128" s="2142"/>
      <c r="CZ128" s="2142"/>
      <c r="DA128" s="2142"/>
      <c r="DB128" s="2142"/>
      <c r="DC128" s="2143"/>
      <c r="DD128" s="2144"/>
      <c r="DE128" s="2144"/>
      <c r="DF128" s="2144"/>
      <c r="DG128" s="2144"/>
      <c r="DH128" s="2144"/>
      <c r="DI128" s="2144"/>
      <c r="DJ128" s="2144"/>
      <c r="DK128" s="2144"/>
      <c r="DL128" s="2144"/>
      <c r="DM128" s="2144"/>
      <c r="DN128" s="2144"/>
      <c r="DO128" s="2144"/>
      <c r="DP128" s="2144"/>
      <c r="DQ128" s="2144"/>
      <c r="DR128" s="2145"/>
      <c r="DS128" s="313"/>
      <c r="DT128" s="311"/>
      <c r="DX128" s="618"/>
    </row>
    <row r="129" spans="2:128" ht="30" customHeight="1">
      <c r="B129" s="319"/>
      <c r="C129" s="313"/>
      <c r="D129" s="2083"/>
      <c r="E129" s="2146"/>
      <c r="F129" s="2147"/>
      <c r="G129" s="2147"/>
      <c r="H129" s="2147"/>
      <c r="I129" s="2147"/>
      <c r="J129" s="2147"/>
      <c r="K129" s="2147"/>
      <c r="L129" s="2148"/>
      <c r="M129" s="2149"/>
      <c r="N129" s="2150"/>
      <c r="O129" s="2150"/>
      <c r="P129" s="2150"/>
      <c r="Q129" s="2150"/>
      <c r="R129" s="2150"/>
      <c r="S129" s="2150"/>
      <c r="T129" s="2150"/>
      <c r="U129" s="2150"/>
      <c r="V129" s="2150"/>
      <c r="W129" s="2150"/>
      <c r="X129" s="2150"/>
      <c r="Y129" s="2150"/>
      <c r="Z129" s="2150"/>
      <c r="AA129" s="2150"/>
      <c r="AB129" s="2150"/>
      <c r="AC129" s="2150"/>
      <c r="AD129" s="2150"/>
      <c r="AE129" s="2150"/>
      <c r="AF129" s="2150"/>
      <c r="AG129" s="2151"/>
      <c r="AH129" s="2143"/>
      <c r="AI129" s="2144"/>
      <c r="AJ129" s="2144"/>
      <c r="AK129" s="2144"/>
      <c r="AL129" s="2144"/>
      <c r="AM129" s="2144"/>
      <c r="AN129" s="2144"/>
      <c r="AO129" s="2144"/>
      <c r="AP129" s="2144"/>
      <c r="AQ129" s="2144"/>
      <c r="AR129" s="2145"/>
      <c r="AS129" s="2142"/>
      <c r="AT129" s="2142"/>
      <c r="AU129" s="2142"/>
      <c r="AV129" s="2142"/>
      <c r="AW129" s="2142"/>
      <c r="AX129" s="2142"/>
      <c r="AY129" s="2142"/>
      <c r="AZ129" s="2142"/>
      <c r="BA129" s="2142"/>
      <c r="BB129" s="2142"/>
      <c r="BC129" s="2142"/>
      <c r="BD129" s="2142"/>
      <c r="BE129" s="2142"/>
      <c r="BF129" s="2142"/>
      <c r="BG129" s="2142"/>
      <c r="BH129" s="2142"/>
      <c r="BI129" s="2142"/>
      <c r="BJ129" s="2142"/>
      <c r="BK129" s="2142"/>
      <c r="BL129" s="2142"/>
      <c r="BM129" s="2142"/>
      <c r="BN129" s="2142"/>
      <c r="BO129" s="2142"/>
      <c r="BP129" s="2142"/>
      <c r="BQ129" s="2142"/>
      <c r="BR129" s="2142"/>
      <c r="BS129" s="2142"/>
      <c r="BT129" s="2142"/>
      <c r="BU129" s="2142"/>
      <c r="BV129" s="2142"/>
      <c r="BW129" s="2142"/>
      <c r="BX129" s="2142"/>
      <c r="BY129" s="2142"/>
      <c r="BZ129" s="2142"/>
      <c r="CA129" s="2142"/>
      <c r="CB129" s="2142"/>
      <c r="CC129" s="2142"/>
      <c r="CD129" s="2142"/>
      <c r="CE129" s="2142"/>
      <c r="CF129" s="2142"/>
      <c r="CG129" s="2142"/>
      <c r="CH129" s="2142"/>
      <c r="CI129" s="2142"/>
      <c r="CJ129" s="2142"/>
      <c r="CK129" s="2142"/>
      <c r="CL129" s="2142"/>
      <c r="CM129" s="2142"/>
      <c r="CN129" s="2142"/>
      <c r="CO129" s="2142"/>
      <c r="CP129" s="2142"/>
      <c r="CQ129" s="2142"/>
      <c r="CR129" s="2142"/>
      <c r="CS129" s="2142"/>
      <c r="CT129" s="2142"/>
      <c r="CU129" s="2142"/>
      <c r="CV129" s="2142"/>
      <c r="CW129" s="2142"/>
      <c r="CX129" s="2142"/>
      <c r="CY129" s="2142"/>
      <c r="CZ129" s="2142"/>
      <c r="DA129" s="2142"/>
      <c r="DB129" s="2142"/>
      <c r="DC129" s="2143"/>
      <c r="DD129" s="2144"/>
      <c r="DE129" s="2144"/>
      <c r="DF129" s="2144"/>
      <c r="DG129" s="2144"/>
      <c r="DH129" s="2144"/>
      <c r="DI129" s="2144"/>
      <c r="DJ129" s="2144"/>
      <c r="DK129" s="2144"/>
      <c r="DL129" s="2144"/>
      <c r="DM129" s="2144"/>
      <c r="DN129" s="2144"/>
      <c r="DO129" s="2144"/>
      <c r="DP129" s="2144"/>
      <c r="DQ129" s="2144"/>
      <c r="DR129" s="2145"/>
      <c r="DS129" s="313"/>
      <c r="DT129" s="311"/>
      <c r="DX129" s="618"/>
    </row>
    <row r="130" spans="2:128" ht="30" customHeight="1">
      <c r="B130" s="319"/>
      <c r="C130" s="313"/>
      <c r="D130" s="2083"/>
      <c r="E130" s="2146"/>
      <c r="F130" s="2147"/>
      <c r="G130" s="2147"/>
      <c r="H130" s="2147"/>
      <c r="I130" s="2147"/>
      <c r="J130" s="2147"/>
      <c r="K130" s="2147"/>
      <c r="L130" s="2148"/>
      <c r="M130" s="2149"/>
      <c r="N130" s="2150"/>
      <c r="O130" s="2150"/>
      <c r="P130" s="2150"/>
      <c r="Q130" s="2150"/>
      <c r="R130" s="2150"/>
      <c r="S130" s="2150"/>
      <c r="T130" s="2150"/>
      <c r="U130" s="2150"/>
      <c r="V130" s="2150"/>
      <c r="W130" s="2150"/>
      <c r="X130" s="2150"/>
      <c r="Y130" s="2150"/>
      <c r="Z130" s="2150"/>
      <c r="AA130" s="2150"/>
      <c r="AB130" s="2150"/>
      <c r="AC130" s="2150"/>
      <c r="AD130" s="2150"/>
      <c r="AE130" s="2150"/>
      <c r="AF130" s="2150"/>
      <c r="AG130" s="2151"/>
      <c r="AH130" s="2143"/>
      <c r="AI130" s="2144"/>
      <c r="AJ130" s="2144"/>
      <c r="AK130" s="2144"/>
      <c r="AL130" s="2144"/>
      <c r="AM130" s="2144"/>
      <c r="AN130" s="2144"/>
      <c r="AO130" s="2144"/>
      <c r="AP130" s="2144"/>
      <c r="AQ130" s="2144"/>
      <c r="AR130" s="2145"/>
      <c r="AS130" s="2142"/>
      <c r="AT130" s="2142"/>
      <c r="AU130" s="2142"/>
      <c r="AV130" s="2142"/>
      <c r="AW130" s="2142"/>
      <c r="AX130" s="2142"/>
      <c r="AY130" s="2142"/>
      <c r="AZ130" s="2142"/>
      <c r="BA130" s="2142"/>
      <c r="BB130" s="2142"/>
      <c r="BC130" s="2142"/>
      <c r="BD130" s="2142"/>
      <c r="BE130" s="2142"/>
      <c r="BF130" s="2142"/>
      <c r="BG130" s="2142"/>
      <c r="BH130" s="2142"/>
      <c r="BI130" s="2142"/>
      <c r="BJ130" s="2142"/>
      <c r="BK130" s="2142"/>
      <c r="BL130" s="2142"/>
      <c r="BM130" s="2142"/>
      <c r="BN130" s="2142"/>
      <c r="BO130" s="2142"/>
      <c r="BP130" s="2142"/>
      <c r="BQ130" s="2142"/>
      <c r="BR130" s="2142"/>
      <c r="BS130" s="2142"/>
      <c r="BT130" s="2142"/>
      <c r="BU130" s="2142"/>
      <c r="BV130" s="2142"/>
      <c r="BW130" s="2142"/>
      <c r="BX130" s="2142"/>
      <c r="BY130" s="2142"/>
      <c r="BZ130" s="2142"/>
      <c r="CA130" s="2142"/>
      <c r="CB130" s="2142"/>
      <c r="CC130" s="2142"/>
      <c r="CD130" s="2142"/>
      <c r="CE130" s="2142"/>
      <c r="CF130" s="2142"/>
      <c r="CG130" s="2142"/>
      <c r="CH130" s="2142"/>
      <c r="CI130" s="2142"/>
      <c r="CJ130" s="2142"/>
      <c r="CK130" s="2142"/>
      <c r="CL130" s="2142"/>
      <c r="CM130" s="2142"/>
      <c r="CN130" s="2142"/>
      <c r="CO130" s="2142"/>
      <c r="CP130" s="2142"/>
      <c r="CQ130" s="2142"/>
      <c r="CR130" s="2142"/>
      <c r="CS130" s="2142"/>
      <c r="CT130" s="2142"/>
      <c r="CU130" s="2142"/>
      <c r="CV130" s="2142"/>
      <c r="CW130" s="2142"/>
      <c r="CX130" s="2142"/>
      <c r="CY130" s="2142"/>
      <c r="CZ130" s="2142"/>
      <c r="DA130" s="2142"/>
      <c r="DB130" s="2142"/>
      <c r="DC130" s="2143"/>
      <c r="DD130" s="2144"/>
      <c r="DE130" s="2144"/>
      <c r="DF130" s="2144"/>
      <c r="DG130" s="2144"/>
      <c r="DH130" s="2144"/>
      <c r="DI130" s="2144"/>
      <c r="DJ130" s="2144"/>
      <c r="DK130" s="2144"/>
      <c r="DL130" s="2144"/>
      <c r="DM130" s="2144"/>
      <c r="DN130" s="2144"/>
      <c r="DO130" s="2144"/>
      <c r="DP130" s="2144"/>
      <c r="DQ130" s="2144"/>
      <c r="DR130" s="2145"/>
      <c r="DS130" s="313"/>
      <c r="DT130" s="311"/>
      <c r="DX130" s="618"/>
    </row>
    <row r="131" spans="2:128" ht="30" customHeight="1">
      <c r="B131" s="312"/>
      <c r="C131" s="313"/>
      <c r="D131" s="2083"/>
      <c r="E131" s="2146"/>
      <c r="F131" s="2147"/>
      <c r="G131" s="2147"/>
      <c r="H131" s="2147"/>
      <c r="I131" s="2147"/>
      <c r="J131" s="2147"/>
      <c r="K131" s="2147"/>
      <c r="L131" s="2148"/>
      <c r="M131" s="2149"/>
      <c r="N131" s="2150"/>
      <c r="O131" s="2150"/>
      <c r="P131" s="2150"/>
      <c r="Q131" s="2150"/>
      <c r="R131" s="2150"/>
      <c r="S131" s="2150"/>
      <c r="T131" s="2150"/>
      <c r="U131" s="2150"/>
      <c r="V131" s="2150"/>
      <c r="W131" s="2150"/>
      <c r="X131" s="2150"/>
      <c r="Y131" s="2150"/>
      <c r="Z131" s="2150"/>
      <c r="AA131" s="2150"/>
      <c r="AB131" s="2150"/>
      <c r="AC131" s="2150"/>
      <c r="AD131" s="2150"/>
      <c r="AE131" s="2150"/>
      <c r="AF131" s="2150"/>
      <c r="AG131" s="2151"/>
      <c r="AH131" s="2143"/>
      <c r="AI131" s="2144"/>
      <c r="AJ131" s="2144"/>
      <c r="AK131" s="2144"/>
      <c r="AL131" s="2144"/>
      <c r="AM131" s="2144"/>
      <c r="AN131" s="2144"/>
      <c r="AO131" s="2144"/>
      <c r="AP131" s="2144"/>
      <c r="AQ131" s="2144"/>
      <c r="AR131" s="2145"/>
      <c r="AS131" s="2142"/>
      <c r="AT131" s="2142"/>
      <c r="AU131" s="2142"/>
      <c r="AV131" s="2142"/>
      <c r="AW131" s="2142"/>
      <c r="AX131" s="2142"/>
      <c r="AY131" s="2142"/>
      <c r="AZ131" s="2142"/>
      <c r="BA131" s="2142"/>
      <c r="BB131" s="2142"/>
      <c r="BC131" s="2142"/>
      <c r="BD131" s="2142"/>
      <c r="BE131" s="2142"/>
      <c r="BF131" s="2142"/>
      <c r="BG131" s="2142"/>
      <c r="BH131" s="2142"/>
      <c r="BI131" s="2142"/>
      <c r="BJ131" s="2142"/>
      <c r="BK131" s="2142"/>
      <c r="BL131" s="2142"/>
      <c r="BM131" s="2142"/>
      <c r="BN131" s="2142"/>
      <c r="BO131" s="2142"/>
      <c r="BP131" s="2142"/>
      <c r="BQ131" s="2142"/>
      <c r="BR131" s="2142"/>
      <c r="BS131" s="2142"/>
      <c r="BT131" s="2142"/>
      <c r="BU131" s="2142"/>
      <c r="BV131" s="2142"/>
      <c r="BW131" s="2142"/>
      <c r="BX131" s="2142"/>
      <c r="BY131" s="2142"/>
      <c r="BZ131" s="2142"/>
      <c r="CA131" s="2142"/>
      <c r="CB131" s="2142"/>
      <c r="CC131" s="2142"/>
      <c r="CD131" s="2142"/>
      <c r="CE131" s="2142"/>
      <c r="CF131" s="2142"/>
      <c r="CG131" s="2142"/>
      <c r="CH131" s="2142"/>
      <c r="CI131" s="2142"/>
      <c r="CJ131" s="2142"/>
      <c r="CK131" s="2142"/>
      <c r="CL131" s="2142"/>
      <c r="CM131" s="2142"/>
      <c r="CN131" s="2142"/>
      <c r="CO131" s="2142"/>
      <c r="CP131" s="2142"/>
      <c r="CQ131" s="2142"/>
      <c r="CR131" s="2142"/>
      <c r="CS131" s="2142"/>
      <c r="CT131" s="2142"/>
      <c r="CU131" s="2142"/>
      <c r="CV131" s="2142"/>
      <c r="CW131" s="2142"/>
      <c r="CX131" s="2142"/>
      <c r="CY131" s="2142"/>
      <c r="CZ131" s="2142"/>
      <c r="DA131" s="2142"/>
      <c r="DB131" s="2142"/>
      <c r="DC131" s="2143"/>
      <c r="DD131" s="2144"/>
      <c r="DE131" s="2144"/>
      <c r="DF131" s="2144"/>
      <c r="DG131" s="2144"/>
      <c r="DH131" s="2144"/>
      <c r="DI131" s="2144"/>
      <c r="DJ131" s="2144"/>
      <c r="DK131" s="2144"/>
      <c r="DL131" s="2144"/>
      <c r="DM131" s="2144"/>
      <c r="DN131" s="2144"/>
      <c r="DO131" s="2144"/>
      <c r="DP131" s="2144"/>
      <c r="DQ131" s="2144"/>
      <c r="DR131" s="2145"/>
      <c r="DS131" s="313"/>
      <c r="DT131" s="311"/>
      <c r="DX131" s="618"/>
    </row>
    <row r="132" spans="2:128" ht="30" customHeight="1">
      <c r="B132" s="312"/>
      <c r="C132" s="313"/>
      <c r="D132" s="2083"/>
      <c r="E132" s="2146"/>
      <c r="F132" s="2147"/>
      <c r="G132" s="2147"/>
      <c r="H132" s="2147"/>
      <c r="I132" s="2147"/>
      <c r="J132" s="2147"/>
      <c r="K132" s="2147"/>
      <c r="L132" s="2148"/>
      <c r="M132" s="2149"/>
      <c r="N132" s="2150"/>
      <c r="O132" s="2150"/>
      <c r="P132" s="2150"/>
      <c r="Q132" s="2150"/>
      <c r="R132" s="2150"/>
      <c r="S132" s="2150"/>
      <c r="T132" s="2150"/>
      <c r="U132" s="2150"/>
      <c r="V132" s="2150"/>
      <c r="W132" s="2150"/>
      <c r="X132" s="2150"/>
      <c r="Y132" s="2150"/>
      <c r="Z132" s="2150"/>
      <c r="AA132" s="2150"/>
      <c r="AB132" s="2150"/>
      <c r="AC132" s="2150"/>
      <c r="AD132" s="2150"/>
      <c r="AE132" s="2150"/>
      <c r="AF132" s="2150"/>
      <c r="AG132" s="2151"/>
      <c r="AH132" s="2143"/>
      <c r="AI132" s="2144"/>
      <c r="AJ132" s="2144"/>
      <c r="AK132" s="2144"/>
      <c r="AL132" s="2144"/>
      <c r="AM132" s="2144"/>
      <c r="AN132" s="2144"/>
      <c r="AO132" s="2144"/>
      <c r="AP132" s="2144"/>
      <c r="AQ132" s="2144"/>
      <c r="AR132" s="2145"/>
      <c r="AS132" s="2142"/>
      <c r="AT132" s="2142"/>
      <c r="AU132" s="2142"/>
      <c r="AV132" s="2142"/>
      <c r="AW132" s="2142"/>
      <c r="AX132" s="2142"/>
      <c r="AY132" s="2142"/>
      <c r="AZ132" s="2142"/>
      <c r="BA132" s="2142"/>
      <c r="BB132" s="2142"/>
      <c r="BC132" s="2142"/>
      <c r="BD132" s="2142"/>
      <c r="BE132" s="2142"/>
      <c r="BF132" s="2142"/>
      <c r="BG132" s="2142"/>
      <c r="BH132" s="2142"/>
      <c r="BI132" s="2142"/>
      <c r="BJ132" s="2142"/>
      <c r="BK132" s="2142"/>
      <c r="BL132" s="2142"/>
      <c r="BM132" s="2142"/>
      <c r="BN132" s="2142"/>
      <c r="BO132" s="2142"/>
      <c r="BP132" s="2142"/>
      <c r="BQ132" s="2142"/>
      <c r="BR132" s="2142"/>
      <c r="BS132" s="2142"/>
      <c r="BT132" s="2142"/>
      <c r="BU132" s="2142"/>
      <c r="BV132" s="2142"/>
      <c r="BW132" s="2142"/>
      <c r="BX132" s="2142"/>
      <c r="BY132" s="2142"/>
      <c r="BZ132" s="2142"/>
      <c r="CA132" s="2142"/>
      <c r="CB132" s="2142"/>
      <c r="CC132" s="2142"/>
      <c r="CD132" s="2142"/>
      <c r="CE132" s="2142"/>
      <c r="CF132" s="2142"/>
      <c r="CG132" s="2142"/>
      <c r="CH132" s="2142"/>
      <c r="CI132" s="2142"/>
      <c r="CJ132" s="2142"/>
      <c r="CK132" s="2142"/>
      <c r="CL132" s="2142"/>
      <c r="CM132" s="2142"/>
      <c r="CN132" s="2142"/>
      <c r="CO132" s="2142"/>
      <c r="CP132" s="2142"/>
      <c r="CQ132" s="2142"/>
      <c r="CR132" s="2142"/>
      <c r="CS132" s="2142"/>
      <c r="CT132" s="2142"/>
      <c r="CU132" s="2142"/>
      <c r="CV132" s="2142"/>
      <c r="CW132" s="2142"/>
      <c r="CX132" s="2142"/>
      <c r="CY132" s="2142"/>
      <c r="CZ132" s="2142"/>
      <c r="DA132" s="2142"/>
      <c r="DB132" s="2142"/>
      <c r="DC132" s="2143"/>
      <c r="DD132" s="2144"/>
      <c r="DE132" s="2144"/>
      <c r="DF132" s="2144"/>
      <c r="DG132" s="2144"/>
      <c r="DH132" s="2144"/>
      <c r="DI132" s="2144"/>
      <c r="DJ132" s="2144"/>
      <c r="DK132" s="2144"/>
      <c r="DL132" s="2144"/>
      <c r="DM132" s="2144"/>
      <c r="DN132" s="2144"/>
      <c r="DO132" s="2144"/>
      <c r="DP132" s="2144"/>
      <c r="DQ132" s="2144"/>
      <c r="DR132" s="2145"/>
      <c r="DS132" s="313"/>
      <c r="DT132" s="311"/>
      <c r="DX132" s="618"/>
    </row>
    <row r="133" spans="2:128" ht="30" customHeight="1">
      <c r="B133" s="312"/>
      <c r="C133" s="313"/>
      <c r="D133" s="2083"/>
      <c r="E133" s="2146"/>
      <c r="F133" s="2147"/>
      <c r="G133" s="2147"/>
      <c r="H133" s="2147"/>
      <c r="I133" s="2147"/>
      <c r="J133" s="2147"/>
      <c r="K133" s="2147"/>
      <c r="L133" s="2148"/>
      <c r="M133" s="2149"/>
      <c r="N133" s="2150"/>
      <c r="O133" s="2150"/>
      <c r="P133" s="2150"/>
      <c r="Q133" s="2150"/>
      <c r="R133" s="2150"/>
      <c r="S133" s="2150"/>
      <c r="T133" s="2150"/>
      <c r="U133" s="2150"/>
      <c r="V133" s="2150"/>
      <c r="W133" s="2150"/>
      <c r="X133" s="2150"/>
      <c r="Y133" s="2150"/>
      <c r="Z133" s="2150"/>
      <c r="AA133" s="2150"/>
      <c r="AB133" s="2150"/>
      <c r="AC133" s="2150"/>
      <c r="AD133" s="2150"/>
      <c r="AE133" s="2150"/>
      <c r="AF133" s="2150"/>
      <c r="AG133" s="2151"/>
      <c r="AH133" s="2143"/>
      <c r="AI133" s="2144"/>
      <c r="AJ133" s="2144"/>
      <c r="AK133" s="2144"/>
      <c r="AL133" s="2144"/>
      <c r="AM133" s="2144"/>
      <c r="AN133" s="2144"/>
      <c r="AO133" s="2144"/>
      <c r="AP133" s="2144"/>
      <c r="AQ133" s="2144"/>
      <c r="AR133" s="2145"/>
      <c r="AS133" s="2142"/>
      <c r="AT133" s="2142"/>
      <c r="AU133" s="2142"/>
      <c r="AV133" s="2142"/>
      <c r="AW133" s="2142"/>
      <c r="AX133" s="2142"/>
      <c r="AY133" s="2142"/>
      <c r="AZ133" s="2142"/>
      <c r="BA133" s="2142"/>
      <c r="BB133" s="2142"/>
      <c r="BC133" s="2142"/>
      <c r="BD133" s="2142"/>
      <c r="BE133" s="2142"/>
      <c r="BF133" s="2142"/>
      <c r="BG133" s="2142"/>
      <c r="BH133" s="2142"/>
      <c r="BI133" s="2142"/>
      <c r="BJ133" s="2142"/>
      <c r="BK133" s="2142"/>
      <c r="BL133" s="2142"/>
      <c r="BM133" s="2142"/>
      <c r="BN133" s="2142"/>
      <c r="BO133" s="2142"/>
      <c r="BP133" s="2142"/>
      <c r="BQ133" s="2142"/>
      <c r="BR133" s="2142"/>
      <c r="BS133" s="2142"/>
      <c r="BT133" s="2142"/>
      <c r="BU133" s="2142"/>
      <c r="BV133" s="2142"/>
      <c r="BW133" s="2142"/>
      <c r="BX133" s="2142"/>
      <c r="BY133" s="2142"/>
      <c r="BZ133" s="2142"/>
      <c r="CA133" s="2142"/>
      <c r="CB133" s="2142"/>
      <c r="CC133" s="2142"/>
      <c r="CD133" s="2142"/>
      <c r="CE133" s="2142"/>
      <c r="CF133" s="2142"/>
      <c r="CG133" s="2142"/>
      <c r="CH133" s="2142"/>
      <c r="CI133" s="2142"/>
      <c r="CJ133" s="2142"/>
      <c r="CK133" s="2142"/>
      <c r="CL133" s="2142"/>
      <c r="CM133" s="2142"/>
      <c r="CN133" s="2142"/>
      <c r="CO133" s="2142"/>
      <c r="CP133" s="2142"/>
      <c r="CQ133" s="2142"/>
      <c r="CR133" s="2142"/>
      <c r="CS133" s="2142"/>
      <c r="CT133" s="2142"/>
      <c r="CU133" s="2142"/>
      <c r="CV133" s="2142"/>
      <c r="CW133" s="2142"/>
      <c r="CX133" s="2142"/>
      <c r="CY133" s="2142"/>
      <c r="CZ133" s="2142"/>
      <c r="DA133" s="2142"/>
      <c r="DB133" s="2142"/>
      <c r="DC133" s="2143"/>
      <c r="DD133" s="2144"/>
      <c r="DE133" s="2144"/>
      <c r="DF133" s="2144"/>
      <c r="DG133" s="2144"/>
      <c r="DH133" s="2144"/>
      <c r="DI133" s="2144"/>
      <c r="DJ133" s="2144"/>
      <c r="DK133" s="2144"/>
      <c r="DL133" s="2144"/>
      <c r="DM133" s="2144"/>
      <c r="DN133" s="2144"/>
      <c r="DO133" s="2144"/>
      <c r="DP133" s="2144"/>
      <c r="DQ133" s="2144"/>
      <c r="DR133" s="2145"/>
      <c r="DS133" s="313"/>
      <c r="DT133" s="311"/>
      <c r="DX133" s="618"/>
    </row>
    <row r="134" spans="2:128" ht="30" customHeight="1">
      <c r="B134" s="312"/>
      <c r="C134" s="313"/>
      <c r="D134" s="2083"/>
      <c r="E134" s="2146"/>
      <c r="F134" s="2147"/>
      <c r="G134" s="2147"/>
      <c r="H134" s="2147"/>
      <c r="I134" s="2147"/>
      <c r="J134" s="2147"/>
      <c r="K134" s="2147"/>
      <c r="L134" s="2148"/>
      <c r="M134" s="2149"/>
      <c r="N134" s="2150"/>
      <c r="O134" s="2150"/>
      <c r="P134" s="2150"/>
      <c r="Q134" s="2150"/>
      <c r="R134" s="2150"/>
      <c r="S134" s="2150"/>
      <c r="T134" s="2150"/>
      <c r="U134" s="2150"/>
      <c r="V134" s="2150"/>
      <c r="W134" s="2150"/>
      <c r="X134" s="2150"/>
      <c r="Y134" s="2150"/>
      <c r="Z134" s="2150"/>
      <c r="AA134" s="2150"/>
      <c r="AB134" s="2150"/>
      <c r="AC134" s="2150"/>
      <c r="AD134" s="2150"/>
      <c r="AE134" s="2150"/>
      <c r="AF134" s="2150"/>
      <c r="AG134" s="2151"/>
      <c r="AH134" s="2143"/>
      <c r="AI134" s="2144"/>
      <c r="AJ134" s="2144"/>
      <c r="AK134" s="2144"/>
      <c r="AL134" s="2144"/>
      <c r="AM134" s="2144"/>
      <c r="AN134" s="2144"/>
      <c r="AO134" s="2144"/>
      <c r="AP134" s="2144"/>
      <c r="AQ134" s="2144"/>
      <c r="AR134" s="2145"/>
      <c r="AS134" s="2142"/>
      <c r="AT134" s="2142"/>
      <c r="AU134" s="2142"/>
      <c r="AV134" s="2142"/>
      <c r="AW134" s="2142"/>
      <c r="AX134" s="2142"/>
      <c r="AY134" s="2142"/>
      <c r="AZ134" s="2142"/>
      <c r="BA134" s="2142"/>
      <c r="BB134" s="2142"/>
      <c r="BC134" s="2142"/>
      <c r="BD134" s="2142"/>
      <c r="BE134" s="2142"/>
      <c r="BF134" s="2142"/>
      <c r="BG134" s="2142"/>
      <c r="BH134" s="2142"/>
      <c r="BI134" s="2142"/>
      <c r="BJ134" s="2142"/>
      <c r="BK134" s="2142"/>
      <c r="BL134" s="2142"/>
      <c r="BM134" s="2142"/>
      <c r="BN134" s="2142"/>
      <c r="BO134" s="2142"/>
      <c r="BP134" s="2142"/>
      <c r="BQ134" s="2142"/>
      <c r="BR134" s="2142"/>
      <c r="BS134" s="2142"/>
      <c r="BT134" s="2142"/>
      <c r="BU134" s="2142"/>
      <c r="BV134" s="2142"/>
      <c r="BW134" s="2142"/>
      <c r="BX134" s="2142"/>
      <c r="BY134" s="2142"/>
      <c r="BZ134" s="2142"/>
      <c r="CA134" s="2142"/>
      <c r="CB134" s="2142"/>
      <c r="CC134" s="2142"/>
      <c r="CD134" s="2142"/>
      <c r="CE134" s="2142"/>
      <c r="CF134" s="2142"/>
      <c r="CG134" s="2142"/>
      <c r="CH134" s="2142"/>
      <c r="CI134" s="2142"/>
      <c r="CJ134" s="2142"/>
      <c r="CK134" s="2142"/>
      <c r="CL134" s="2142"/>
      <c r="CM134" s="2142"/>
      <c r="CN134" s="2142"/>
      <c r="CO134" s="2142"/>
      <c r="CP134" s="2142"/>
      <c r="CQ134" s="2142"/>
      <c r="CR134" s="2142"/>
      <c r="CS134" s="2142"/>
      <c r="CT134" s="2142"/>
      <c r="CU134" s="2142"/>
      <c r="CV134" s="2142"/>
      <c r="CW134" s="2142"/>
      <c r="CX134" s="2142"/>
      <c r="CY134" s="2142"/>
      <c r="CZ134" s="2142"/>
      <c r="DA134" s="2142"/>
      <c r="DB134" s="2142"/>
      <c r="DC134" s="2143"/>
      <c r="DD134" s="2144"/>
      <c r="DE134" s="2144"/>
      <c r="DF134" s="2144"/>
      <c r="DG134" s="2144"/>
      <c r="DH134" s="2144"/>
      <c r="DI134" s="2144"/>
      <c r="DJ134" s="2144"/>
      <c r="DK134" s="2144"/>
      <c r="DL134" s="2144"/>
      <c r="DM134" s="2144"/>
      <c r="DN134" s="2144"/>
      <c r="DO134" s="2144"/>
      <c r="DP134" s="2144"/>
      <c r="DQ134" s="2144"/>
      <c r="DR134" s="2145"/>
      <c r="DS134" s="313"/>
      <c r="DT134" s="311"/>
      <c r="DX134" s="618"/>
    </row>
    <row r="135" spans="2:128" ht="30" customHeight="1">
      <c r="B135" s="312"/>
      <c r="C135" s="313"/>
      <c r="D135" s="2084"/>
      <c r="E135" s="2146"/>
      <c r="F135" s="2147"/>
      <c r="G135" s="2147"/>
      <c r="H135" s="2147"/>
      <c r="I135" s="2147"/>
      <c r="J135" s="2147"/>
      <c r="K135" s="2147"/>
      <c r="L135" s="2148"/>
      <c r="M135" s="2149"/>
      <c r="N135" s="2150"/>
      <c r="O135" s="2150"/>
      <c r="P135" s="2150"/>
      <c r="Q135" s="2150"/>
      <c r="R135" s="2150"/>
      <c r="S135" s="2150"/>
      <c r="T135" s="2150"/>
      <c r="U135" s="2150"/>
      <c r="V135" s="2150"/>
      <c r="W135" s="2150"/>
      <c r="X135" s="2150"/>
      <c r="Y135" s="2150"/>
      <c r="Z135" s="2150"/>
      <c r="AA135" s="2150"/>
      <c r="AB135" s="2150"/>
      <c r="AC135" s="2150"/>
      <c r="AD135" s="2150"/>
      <c r="AE135" s="2150"/>
      <c r="AF135" s="2150"/>
      <c r="AG135" s="2151"/>
      <c r="AH135" s="2143"/>
      <c r="AI135" s="2144"/>
      <c r="AJ135" s="2144"/>
      <c r="AK135" s="2144"/>
      <c r="AL135" s="2144"/>
      <c r="AM135" s="2144"/>
      <c r="AN135" s="2144"/>
      <c r="AO135" s="2144"/>
      <c r="AP135" s="2144"/>
      <c r="AQ135" s="2144"/>
      <c r="AR135" s="2145"/>
      <c r="AS135" s="2142"/>
      <c r="AT135" s="2142"/>
      <c r="AU135" s="2142"/>
      <c r="AV135" s="2142"/>
      <c r="AW135" s="2142"/>
      <c r="AX135" s="2142"/>
      <c r="AY135" s="2142"/>
      <c r="AZ135" s="2142"/>
      <c r="BA135" s="2142"/>
      <c r="BB135" s="2142"/>
      <c r="BC135" s="2142"/>
      <c r="BD135" s="2142"/>
      <c r="BE135" s="2142"/>
      <c r="BF135" s="2142"/>
      <c r="BG135" s="2142"/>
      <c r="BH135" s="2142"/>
      <c r="BI135" s="2142"/>
      <c r="BJ135" s="2142"/>
      <c r="BK135" s="2142"/>
      <c r="BL135" s="2142"/>
      <c r="BM135" s="2142"/>
      <c r="BN135" s="2142"/>
      <c r="BO135" s="2142"/>
      <c r="BP135" s="2142"/>
      <c r="BQ135" s="2142"/>
      <c r="BR135" s="2142"/>
      <c r="BS135" s="2142"/>
      <c r="BT135" s="2142"/>
      <c r="BU135" s="2142"/>
      <c r="BV135" s="2142"/>
      <c r="BW135" s="2142"/>
      <c r="BX135" s="2142"/>
      <c r="BY135" s="2142"/>
      <c r="BZ135" s="2142"/>
      <c r="CA135" s="2142"/>
      <c r="CB135" s="2142"/>
      <c r="CC135" s="2142"/>
      <c r="CD135" s="2142"/>
      <c r="CE135" s="2142"/>
      <c r="CF135" s="2142"/>
      <c r="CG135" s="2142"/>
      <c r="CH135" s="2142"/>
      <c r="CI135" s="2142"/>
      <c r="CJ135" s="2142"/>
      <c r="CK135" s="2142"/>
      <c r="CL135" s="2142"/>
      <c r="CM135" s="2142"/>
      <c r="CN135" s="2142"/>
      <c r="CO135" s="2142"/>
      <c r="CP135" s="2142"/>
      <c r="CQ135" s="2142"/>
      <c r="CR135" s="2142"/>
      <c r="CS135" s="2142"/>
      <c r="CT135" s="2142"/>
      <c r="CU135" s="2142"/>
      <c r="CV135" s="2142"/>
      <c r="CW135" s="2142"/>
      <c r="CX135" s="2142"/>
      <c r="CY135" s="2142"/>
      <c r="CZ135" s="2142"/>
      <c r="DA135" s="2142"/>
      <c r="DB135" s="2142"/>
      <c r="DC135" s="2143"/>
      <c r="DD135" s="2144"/>
      <c r="DE135" s="2144"/>
      <c r="DF135" s="2144"/>
      <c r="DG135" s="2144"/>
      <c r="DH135" s="2144"/>
      <c r="DI135" s="2144"/>
      <c r="DJ135" s="2144"/>
      <c r="DK135" s="2144"/>
      <c r="DL135" s="2144"/>
      <c r="DM135" s="2144"/>
      <c r="DN135" s="2144"/>
      <c r="DO135" s="2144"/>
      <c r="DP135" s="2144"/>
      <c r="DQ135" s="2144"/>
      <c r="DR135" s="2145"/>
      <c r="DS135" s="313"/>
      <c r="DT135" s="311"/>
      <c r="DX135" s="618"/>
    </row>
    <row r="136" spans="2:128" ht="6" customHeight="1">
      <c r="B136" s="312"/>
      <c r="C136" s="313"/>
      <c r="D136" s="313"/>
      <c r="E136" s="313"/>
      <c r="F136" s="313"/>
      <c r="G136" s="313"/>
      <c r="H136" s="313"/>
      <c r="I136" s="313"/>
      <c r="J136" s="313"/>
      <c r="K136" s="313"/>
      <c r="L136" s="313"/>
      <c r="M136" s="313"/>
      <c r="N136" s="313"/>
      <c r="O136" s="313"/>
      <c r="P136" s="313"/>
      <c r="Q136" s="313"/>
      <c r="R136" s="313"/>
      <c r="S136" s="313"/>
      <c r="T136" s="313"/>
      <c r="U136" s="313"/>
      <c r="V136" s="313"/>
      <c r="W136" s="313"/>
      <c r="X136" s="313"/>
      <c r="Y136" s="313"/>
      <c r="Z136" s="313"/>
      <c r="AA136" s="313"/>
      <c r="AB136" s="313"/>
      <c r="AC136" s="313"/>
      <c r="AD136" s="313"/>
      <c r="AE136" s="313"/>
      <c r="AF136" s="313"/>
      <c r="AG136" s="313"/>
      <c r="AH136" s="313"/>
      <c r="AI136" s="313"/>
      <c r="AJ136" s="313"/>
      <c r="AK136" s="313"/>
      <c r="AL136" s="313"/>
      <c r="AM136" s="313"/>
      <c r="AN136" s="313"/>
      <c r="AO136" s="313"/>
      <c r="AP136" s="313"/>
      <c r="AQ136" s="313"/>
      <c r="AR136" s="313"/>
      <c r="AS136" s="313"/>
      <c r="AT136" s="313"/>
      <c r="AU136" s="313"/>
      <c r="AV136" s="313"/>
      <c r="AW136" s="313"/>
      <c r="AX136" s="313"/>
      <c r="AY136" s="313"/>
      <c r="AZ136" s="313"/>
      <c r="BA136" s="313"/>
      <c r="BB136" s="313"/>
      <c r="BC136" s="313"/>
      <c r="BD136" s="313"/>
      <c r="BE136" s="313"/>
      <c r="BF136" s="313"/>
      <c r="BG136" s="313"/>
      <c r="BH136" s="313"/>
      <c r="BI136" s="313"/>
      <c r="BJ136" s="313"/>
      <c r="BK136" s="313"/>
      <c r="BL136" s="313"/>
      <c r="BM136" s="313"/>
      <c r="BN136" s="313"/>
      <c r="BO136" s="313"/>
      <c r="BP136" s="313"/>
      <c r="BQ136" s="313"/>
      <c r="BR136" s="313"/>
      <c r="BS136" s="313"/>
      <c r="BT136" s="313"/>
      <c r="BU136" s="313"/>
      <c r="BV136" s="313"/>
      <c r="BW136" s="313"/>
      <c r="BX136" s="313"/>
      <c r="BY136" s="313"/>
      <c r="BZ136" s="313"/>
      <c r="CA136" s="313"/>
      <c r="CB136" s="313"/>
      <c r="CC136" s="313"/>
      <c r="CD136" s="313"/>
      <c r="CE136" s="313"/>
      <c r="CF136" s="313"/>
      <c r="CG136" s="313"/>
      <c r="CH136" s="313"/>
      <c r="CI136" s="313"/>
      <c r="CJ136" s="313"/>
      <c r="CK136" s="313"/>
      <c r="CL136" s="313"/>
      <c r="CM136" s="313"/>
      <c r="CN136" s="313"/>
      <c r="CO136" s="313"/>
      <c r="CP136" s="313"/>
      <c r="CQ136" s="313"/>
      <c r="CR136" s="313"/>
      <c r="CS136" s="313"/>
      <c r="CT136" s="313"/>
      <c r="CU136" s="313"/>
      <c r="CV136" s="313"/>
      <c r="CW136" s="313"/>
      <c r="CX136" s="313"/>
      <c r="CY136" s="313"/>
      <c r="CZ136" s="313"/>
      <c r="DA136" s="313"/>
      <c r="DB136" s="313"/>
      <c r="DC136" s="313"/>
      <c r="DD136" s="313"/>
      <c r="DE136" s="313"/>
      <c r="DF136" s="313"/>
      <c r="DG136" s="313"/>
      <c r="DH136" s="313"/>
      <c r="DI136" s="313"/>
      <c r="DJ136" s="313"/>
      <c r="DK136" s="313"/>
      <c r="DL136" s="313"/>
      <c r="DM136" s="313"/>
      <c r="DN136" s="313"/>
      <c r="DO136" s="313"/>
      <c r="DP136" s="313"/>
      <c r="DQ136" s="313"/>
      <c r="DR136" s="313"/>
      <c r="DS136" s="313"/>
      <c r="DT136" s="311"/>
    </row>
    <row r="137" spans="2:128" ht="52.5" customHeight="1">
      <c r="B137" s="312"/>
      <c r="C137" s="313"/>
      <c r="D137" s="1140" t="str">
        <f ca="1">INDIRECT($J$4&amp;"!C93")</f>
        <v>Comments</v>
      </c>
      <c r="E137" s="1140"/>
      <c r="F137" s="1140"/>
      <c r="G137" s="83"/>
      <c r="H137" s="2035"/>
      <c r="I137" s="2036"/>
      <c r="J137" s="2036"/>
      <c r="K137" s="2036"/>
      <c r="L137" s="2036"/>
      <c r="M137" s="2036"/>
      <c r="N137" s="2036"/>
      <c r="O137" s="2036"/>
      <c r="P137" s="2036"/>
      <c r="Q137" s="2036"/>
      <c r="R137" s="2036"/>
      <c r="S137" s="2036"/>
      <c r="T137" s="2036"/>
      <c r="U137" s="2036"/>
      <c r="V137" s="2036"/>
      <c r="W137" s="2036"/>
      <c r="X137" s="2036"/>
      <c r="Y137" s="2036"/>
      <c r="Z137" s="2036"/>
      <c r="AA137" s="2036"/>
      <c r="AB137" s="2036"/>
      <c r="AC137" s="2036"/>
      <c r="AD137" s="2036"/>
      <c r="AE137" s="2036"/>
      <c r="AF137" s="2036"/>
      <c r="AG137" s="2036"/>
      <c r="AH137" s="2036"/>
      <c r="AI137" s="2036"/>
      <c r="AJ137" s="2036"/>
      <c r="AK137" s="2036"/>
      <c r="AL137" s="2036"/>
      <c r="AM137" s="2036"/>
      <c r="AN137" s="2036"/>
      <c r="AO137" s="2036"/>
      <c r="AP137" s="2036"/>
      <c r="AQ137" s="2036"/>
      <c r="AR137" s="2036"/>
      <c r="AS137" s="2036"/>
      <c r="AT137" s="2036"/>
      <c r="AU137" s="2036"/>
      <c r="AV137" s="2036"/>
      <c r="AW137" s="2036"/>
      <c r="AX137" s="2036"/>
      <c r="AY137" s="2036"/>
      <c r="AZ137" s="2036"/>
      <c r="BA137" s="2036"/>
      <c r="BB137" s="2036"/>
      <c r="BC137" s="2036"/>
      <c r="BD137" s="2036"/>
      <c r="BE137" s="2036"/>
      <c r="BF137" s="2036"/>
      <c r="BG137" s="2036"/>
      <c r="BH137" s="2036"/>
      <c r="BI137" s="2036"/>
      <c r="BJ137" s="2036"/>
      <c r="BK137" s="2036"/>
      <c r="BL137" s="2036"/>
      <c r="BM137" s="2036"/>
      <c r="BN137" s="2036"/>
      <c r="BO137" s="2036"/>
      <c r="BP137" s="2036"/>
      <c r="BQ137" s="2036"/>
      <c r="BR137" s="2036"/>
      <c r="BS137" s="2036"/>
      <c r="BT137" s="2036"/>
      <c r="BU137" s="2036"/>
      <c r="BV137" s="2036"/>
      <c r="BW137" s="2036"/>
      <c r="BX137" s="2036"/>
      <c r="BY137" s="2036"/>
      <c r="BZ137" s="2036"/>
      <c r="CA137" s="2036"/>
      <c r="CB137" s="2036"/>
      <c r="CC137" s="2036"/>
      <c r="CD137" s="2036"/>
      <c r="CE137" s="2036"/>
      <c r="CF137" s="2036"/>
      <c r="CG137" s="2036"/>
      <c r="CH137" s="2036"/>
      <c r="CI137" s="2036"/>
      <c r="CJ137" s="2036"/>
      <c r="CK137" s="2036"/>
      <c r="CL137" s="2036"/>
      <c r="CM137" s="2036"/>
      <c r="CN137" s="2036"/>
      <c r="CO137" s="2036"/>
      <c r="CP137" s="2036"/>
      <c r="CQ137" s="2036"/>
      <c r="CR137" s="2036"/>
      <c r="CS137" s="2036"/>
      <c r="CT137" s="2036"/>
      <c r="CU137" s="2036"/>
      <c r="CV137" s="2036"/>
      <c r="CW137" s="2036"/>
      <c r="CX137" s="2036"/>
      <c r="CY137" s="2036"/>
      <c r="CZ137" s="2036"/>
      <c r="DA137" s="2036"/>
      <c r="DB137" s="2036"/>
      <c r="DC137" s="2036"/>
      <c r="DD137" s="2036"/>
      <c r="DE137" s="2036"/>
      <c r="DF137" s="2036"/>
      <c r="DG137" s="2036"/>
      <c r="DH137" s="2036"/>
      <c r="DI137" s="2036"/>
      <c r="DJ137" s="2036"/>
      <c r="DK137" s="2036"/>
      <c r="DL137" s="2036"/>
      <c r="DM137" s="2036"/>
      <c r="DN137" s="2036"/>
      <c r="DO137" s="2036"/>
      <c r="DP137" s="2036"/>
      <c r="DQ137" s="2036"/>
      <c r="DR137" s="2037"/>
      <c r="DS137" s="313"/>
      <c r="DT137" s="311"/>
    </row>
    <row r="138" spans="2:128" ht="30" customHeight="1">
      <c r="B138" s="312"/>
      <c r="C138" s="313"/>
      <c r="D138" s="1140"/>
      <c r="E138" s="1140"/>
      <c r="F138" s="1140"/>
      <c r="G138" s="83"/>
      <c r="H138" s="2038"/>
      <c r="I138" s="2039"/>
      <c r="J138" s="2039"/>
      <c r="K138" s="2039"/>
      <c r="L138" s="2039"/>
      <c r="M138" s="2039"/>
      <c r="N138" s="2039"/>
      <c r="O138" s="2039"/>
      <c r="P138" s="2039"/>
      <c r="Q138" s="2039"/>
      <c r="R138" s="2039"/>
      <c r="S138" s="2039"/>
      <c r="T138" s="2039"/>
      <c r="U138" s="2039"/>
      <c r="V138" s="2039"/>
      <c r="W138" s="2039"/>
      <c r="X138" s="2039"/>
      <c r="Y138" s="2039"/>
      <c r="Z138" s="2039"/>
      <c r="AA138" s="2039"/>
      <c r="AB138" s="2039"/>
      <c r="AC138" s="2039"/>
      <c r="AD138" s="2039"/>
      <c r="AE138" s="2039"/>
      <c r="AF138" s="2039"/>
      <c r="AG138" s="2039"/>
      <c r="AH138" s="2039"/>
      <c r="AI138" s="2039"/>
      <c r="AJ138" s="2039"/>
      <c r="AK138" s="2039"/>
      <c r="AL138" s="2039"/>
      <c r="AM138" s="2039"/>
      <c r="AN138" s="2039"/>
      <c r="AO138" s="2039"/>
      <c r="AP138" s="2039"/>
      <c r="AQ138" s="2039"/>
      <c r="AR138" s="2039"/>
      <c r="AS138" s="2039"/>
      <c r="AT138" s="2039"/>
      <c r="AU138" s="2039"/>
      <c r="AV138" s="2039"/>
      <c r="AW138" s="2039"/>
      <c r="AX138" s="2039"/>
      <c r="AY138" s="2039"/>
      <c r="AZ138" s="2039"/>
      <c r="BA138" s="2039"/>
      <c r="BB138" s="2039"/>
      <c r="BC138" s="2039"/>
      <c r="BD138" s="2039"/>
      <c r="BE138" s="2039"/>
      <c r="BF138" s="2039"/>
      <c r="BG138" s="2039"/>
      <c r="BH138" s="2039"/>
      <c r="BI138" s="2039"/>
      <c r="BJ138" s="2039"/>
      <c r="BK138" s="2039"/>
      <c r="BL138" s="2039"/>
      <c r="BM138" s="2039"/>
      <c r="BN138" s="2039"/>
      <c r="BO138" s="2039"/>
      <c r="BP138" s="2039"/>
      <c r="BQ138" s="2039"/>
      <c r="BR138" s="2039"/>
      <c r="BS138" s="2039"/>
      <c r="BT138" s="2039"/>
      <c r="BU138" s="2039"/>
      <c r="BV138" s="2039"/>
      <c r="BW138" s="2039"/>
      <c r="BX138" s="2039"/>
      <c r="BY138" s="2039"/>
      <c r="BZ138" s="2039"/>
      <c r="CA138" s="2039"/>
      <c r="CB138" s="2039"/>
      <c r="CC138" s="2039"/>
      <c r="CD138" s="2039"/>
      <c r="CE138" s="2039"/>
      <c r="CF138" s="2039"/>
      <c r="CG138" s="2039"/>
      <c r="CH138" s="2039"/>
      <c r="CI138" s="2039"/>
      <c r="CJ138" s="2039"/>
      <c r="CK138" s="2039"/>
      <c r="CL138" s="2039"/>
      <c r="CM138" s="2039"/>
      <c r="CN138" s="2039"/>
      <c r="CO138" s="2039"/>
      <c r="CP138" s="2039"/>
      <c r="CQ138" s="2039"/>
      <c r="CR138" s="2039"/>
      <c r="CS138" s="2039"/>
      <c r="CT138" s="2039"/>
      <c r="CU138" s="2039"/>
      <c r="CV138" s="2039"/>
      <c r="CW138" s="2039"/>
      <c r="CX138" s="2039"/>
      <c r="CY138" s="2039"/>
      <c r="CZ138" s="2039"/>
      <c r="DA138" s="2039"/>
      <c r="DB138" s="2039"/>
      <c r="DC138" s="2039"/>
      <c r="DD138" s="2039"/>
      <c r="DE138" s="2039"/>
      <c r="DF138" s="2039"/>
      <c r="DG138" s="2039"/>
      <c r="DH138" s="2039"/>
      <c r="DI138" s="2039"/>
      <c r="DJ138" s="2039"/>
      <c r="DK138" s="2039"/>
      <c r="DL138" s="2039"/>
      <c r="DM138" s="2039"/>
      <c r="DN138" s="2039"/>
      <c r="DO138" s="2039"/>
      <c r="DP138" s="2039"/>
      <c r="DQ138" s="2039"/>
      <c r="DR138" s="2040"/>
      <c r="DS138" s="313"/>
      <c r="DT138" s="311"/>
    </row>
    <row r="139" spans="2:128" ht="30" customHeight="1">
      <c r="B139" s="312"/>
      <c r="C139" s="313"/>
      <c r="D139" s="1140"/>
      <c r="E139" s="1140"/>
      <c r="F139" s="1140"/>
      <c r="G139" s="83"/>
      <c r="H139" s="2041"/>
      <c r="I139" s="2042"/>
      <c r="J139" s="2042"/>
      <c r="K139" s="2042"/>
      <c r="L139" s="2042"/>
      <c r="M139" s="2042"/>
      <c r="N139" s="2042"/>
      <c r="O139" s="2042"/>
      <c r="P139" s="2042"/>
      <c r="Q139" s="2042"/>
      <c r="R139" s="2042"/>
      <c r="S139" s="2042"/>
      <c r="T139" s="2042"/>
      <c r="U139" s="2042"/>
      <c r="V139" s="2042"/>
      <c r="W139" s="2042"/>
      <c r="X139" s="2042"/>
      <c r="Y139" s="2042"/>
      <c r="Z139" s="2042"/>
      <c r="AA139" s="2042"/>
      <c r="AB139" s="2042"/>
      <c r="AC139" s="2042"/>
      <c r="AD139" s="2042"/>
      <c r="AE139" s="2042"/>
      <c r="AF139" s="2042"/>
      <c r="AG139" s="2042"/>
      <c r="AH139" s="2042"/>
      <c r="AI139" s="2042"/>
      <c r="AJ139" s="2042"/>
      <c r="AK139" s="2042"/>
      <c r="AL139" s="2042"/>
      <c r="AM139" s="2042"/>
      <c r="AN139" s="2042"/>
      <c r="AO139" s="2042"/>
      <c r="AP139" s="2042"/>
      <c r="AQ139" s="2042"/>
      <c r="AR139" s="2042"/>
      <c r="AS139" s="2042"/>
      <c r="AT139" s="2042"/>
      <c r="AU139" s="2042"/>
      <c r="AV139" s="2042"/>
      <c r="AW139" s="2042"/>
      <c r="AX139" s="2042"/>
      <c r="AY139" s="2042"/>
      <c r="AZ139" s="2042"/>
      <c r="BA139" s="2042"/>
      <c r="BB139" s="2042"/>
      <c r="BC139" s="2042"/>
      <c r="BD139" s="2042"/>
      <c r="BE139" s="2042"/>
      <c r="BF139" s="2042"/>
      <c r="BG139" s="2042"/>
      <c r="BH139" s="2042"/>
      <c r="BI139" s="2042"/>
      <c r="BJ139" s="2042"/>
      <c r="BK139" s="2042"/>
      <c r="BL139" s="2042"/>
      <c r="BM139" s="2042"/>
      <c r="BN139" s="2042"/>
      <c r="BO139" s="2042"/>
      <c r="BP139" s="2042"/>
      <c r="BQ139" s="2042"/>
      <c r="BR139" s="2042"/>
      <c r="BS139" s="2042"/>
      <c r="BT139" s="2042"/>
      <c r="BU139" s="2042"/>
      <c r="BV139" s="2042"/>
      <c r="BW139" s="2042"/>
      <c r="BX139" s="2042"/>
      <c r="BY139" s="2042"/>
      <c r="BZ139" s="2042"/>
      <c r="CA139" s="2042"/>
      <c r="CB139" s="2042"/>
      <c r="CC139" s="2042"/>
      <c r="CD139" s="2042"/>
      <c r="CE139" s="2042"/>
      <c r="CF139" s="2042"/>
      <c r="CG139" s="2042"/>
      <c r="CH139" s="2042"/>
      <c r="CI139" s="2042"/>
      <c r="CJ139" s="2042"/>
      <c r="CK139" s="2042"/>
      <c r="CL139" s="2042"/>
      <c r="CM139" s="2042"/>
      <c r="CN139" s="2042"/>
      <c r="CO139" s="2042"/>
      <c r="CP139" s="2042"/>
      <c r="CQ139" s="2042"/>
      <c r="CR139" s="2042"/>
      <c r="CS139" s="2042"/>
      <c r="CT139" s="2042"/>
      <c r="CU139" s="2042"/>
      <c r="CV139" s="2042"/>
      <c r="CW139" s="2042"/>
      <c r="CX139" s="2042"/>
      <c r="CY139" s="2042"/>
      <c r="CZ139" s="2042"/>
      <c r="DA139" s="2042"/>
      <c r="DB139" s="2042"/>
      <c r="DC139" s="2042"/>
      <c r="DD139" s="2042"/>
      <c r="DE139" s="2042"/>
      <c r="DF139" s="2042"/>
      <c r="DG139" s="2042"/>
      <c r="DH139" s="2042"/>
      <c r="DI139" s="2042"/>
      <c r="DJ139" s="2042"/>
      <c r="DK139" s="2042"/>
      <c r="DL139" s="2042"/>
      <c r="DM139" s="2042"/>
      <c r="DN139" s="2042"/>
      <c r="DO139" s="2042"/>
      <c r="DP139" s="2042"/>
      <c r="DQ139" s="2042"/>
      <c r="DR139" s="2043"/>
      <c r="DS139" s="313"/>
      <c r="DT139" s="311"/>
    </row>
    <row r="140" spans="2:128" ht="6" customHeight="1">
      <c r="B140" s="312"/>
      <c r="C140" s="313"/>
      <c r="D140" s="313"/>
      <c r="E140" s="313"/>
      <c r="F140" s="313"/>
      <c r="G140" s="313"/>
      <c r="H140" s="313"/>
      <c r="I140" s="313"/>
      <c r="J140" s="313"/>
      <c r="K140" s="313"/>
      <c r="L140" s="313"/>
      <c r="M140" s="313"/>
      <c r="N140" s="313"/>
      <c r="O140" s="313"/>
      <c r="P140" s="313"/>
      <c r="Q140" s="313"/>
      <c r="R140" s="313"/>
      <c r="S140" s="313"/>
      <c r="T140" s="313"/>
      <c r="U140" s="313"/>
      <c r="V140" s="313"/>
      <c r="W140" s="313"/>
      <c r="X140" s="313"/>
      <c r="Y140" s="313"/>
      <c r="Z140" s="313"/>
      <c r="AA140" s="313"/>
      <c r="AB140" s="313"/>
      <c r="AC140" s="313"/>
      <c r="AD140" s="313"/>
      <c r="AE140" s="313"/>
      <c r="AF140" s="313"/>
      <c r="AG140" s="313"/>
      <c r="AH140" s="313"/>
      <c r="AI140" s="313"/>
      <c r="AJ140" s="313"/>
      <c r="AK140" s="313"/>
      <c r="AL140" s="313"/>
      <c r="AM140" s="313"/>
      <c r="AN140" s="313"/>
      <c r="AO140" s="313"/>
      <c r="AP140" s="313"/>
      <c r="AQ140" s="313"/>
      <c r="AR140" s="313"/>
      <c r="AS140" s="313"/>
      <c r="AT140" s="313"/>
      <c r="AU140" s="313"/>
      <c r="AV140" s="313"/>
      <c r="AW140" s="313"/>
      <c r="AX140" s="313"/>
      <c r="AY140" s="313"/>
      <c r="AZ140" s="313"/>
      <c r="BA140" s="313"/>
      <c r="BB140" s="313"/>
      <c r="BC140" s="313"/>
      <c r="BD140" s="313"/>
      <c r="BE140" s="313"/>
      <c r="BF140" s="313"/>
      <c r="BG140" s="313"/>
      <c r="BH140" s="313"/>
      <c r="BI140" s="313"/>
      <c r="BJ140" s="313"/>
      <c r="BK140" s="313"/>
      <c r="BL140" s="313"/>
      <c r="BM140" s="313"/>
      <c r="BN140" s="313"/>
      <c r="BO140" s="313"/>
      <c r="BP140" s="313"/>
      <c r="BQ140" s="313"/>
      <c r="BR140" s="313"/>
      <c r="BS140" s="313"/>
      <c r="BT140" s="313"/>
      <c r="BU140" s="313"/>
      <c r="BV140" s="313"/>
      <c r="BW140" s="313"/>
      <c r="BX140" s="313"/>
      <c r="BY140" s="313"/>
      <c r="BZ140" s="313"/>
      <c r="CA140" s="313"/>
      <c r="CB140" s="313"/>
      <c r="CC140" s="313"/>
      <c r="CD140" s="313"/>
      <c r="CE140" s="313"/>
      <c r="CF140" s="313"/>
      <c r="CG140" s="313"/>
      <c r="CH140" s="313"/>
      <c r="CI140" s="313"/>
      <c r="CJ140" s="313"/>
      <c r="CK140" s="313"/>
      <c r="CL140" s="313"/>
      <c r="CM140" s="313"/>
      <c r="CN140" s="313"/>
      <c r="CO140" s="313"/>
      <c r="CP140" s="313"/>
      <c r="CQ140" s="313"/>
      <c r="CR140" s="313"/>
      <c r="CS140" s="313"/>
      <c r="CT140" s="313"/>
      <c r="CU140" s="313"/>
      <c r="CV140" s="313"/>
      <c r="CW140" s="313"/>
      <c r="CX140" s="313"/>
      <c r="CY140" s="313"/>
      <c r="CZ140" s="313"/>
      <c r="DA140" s="313"/>
      <c r="DB140" s="313"/>
      <c r="DC140" s="313"/>
      <c r="DD140" s="313"/>
      <c r="DE140" s="313"/>
      <c r="DF140" s="313"/>
      <c r="DG140" s="313"/>
      <c r="DH140" s="313"/>
      <c r="DI140" s="313"/>
      <c r="DJ140" s="313"/>
      <c r="DK140" s="313"/>
      <c r="DL140" s="313"/>
      <c r="DM140" s="313"/>
      <c r="DN140" s="313"/>
      <c r="DO140" s="313"/>
      <c r="DP140" s="313"/>
      <c r="DQ140" s="313"/>
      <c r="DR140" s="313"/>
      <c r="DS140" s="313"/>
      <c r="DT140" s="311"/>
    </row>
    <row r="141" spans="2:128" ht="6" customHeight="1" thickBot="1">
      <c r="B141" s="339"/>
      <c r="C141" s="340"/>
      <c r="D141" s="340"/>
      <c r="E141" s="340"/>
      <c r="F141" s="340"/>
      <c r="G141" s="340"/>
      <c r="H141" s="340"/>
      <c r="I141" s="340"/>
      <c r="J141" s="340"/>
      <c r="K141" s="340"/>
      <c r="L141" s="340"/>
      <c r="M141" s="340"/>
      <c r="N141" s="340"/>
      <c r="O141" s="340"/>
      <c r="P141" s="340"/>
      <c r="Q141" s="340"/>
      <c r="R141" s="340"/>
      <c r="S141" s="340"/>
      <c r="T141" s="340"/>
      <c r="U141" s="340"/>
      <c r="V141" s="340"/>
      <c r="W141" s="340"/>
      <c r="X141" s="340"/>
      <c r="Y141" s="340"/>
      <c r="Z141" s="340"/>
      <c r="AA141" s="340"/>
      <c r="AB141" s="340"/>
      <c r="AC141" s="340"/>
      <c r="AD141" s="340"/>
      <c r="AE141" s="340"/>
      <c r="AF141" s="340"/>
      <c r="AG141" s="340"/>
      <c r="AH141" s="340"/>
      <c r="AI141" s="340"/>
      <c r="AJ141" s="340"/>
      <c r="AK141" s="340"/>
      <c r="AL141" s="340"/>
      <c r="AM141" s="340"/>
      <c r="AN141" s="340"/>
      <c r="AO141" s="340"/>
      <c r="AP141" s="340"/>
      <c r="AQ141" s="340"/>
      <c r="AR141" s="340"/>
      <c r="AS141" s="340"/>
      <c r="AT141" s="340"/>
      <c r="AU141" s="340"/>
      <c r="AV141" s="340"/>
      <c r="AW141" s="340"/>
      <c r="AX141" s="340"/>
      <c r="AY141" s="340"/>
      <c r="AZ141" s="340"/>
      <c r="BA141" s="340"/>
      <c r="BB141" s="340"/>
      <c r="BC141" s="340"/>
      <c r="BD141" s="340"/>
      <c r="BE141" s="340"/>
      <c r="BF141" s="340"/>
      <c r="BG141" s="340"/>
      <c r="BH141" s="340"/>
      <c r="BI141" s="340"/>
      <c r="BJ141" s="340"/>
      <c r="BK141" s="340"/>
      <c r="BL141" s="340"/>
      <c r="BM141" s="340"/>
      <c r="BN141" s="340"/>
      <c r="BO141" s="340"/>
      <c r="BP141" s="340"/>
      <c r="BQ141" s="340"/>
      <c r="BR141" s="340"/>
      <c r="BS141" s="340"/>
      <c r="BT141" s="340"/>
      <c r="BU141" s="340"/>
      <c r="BV141" s="340"/>
      <c r="BW141" s="340"/>
      <c r="BX141" s="340"/>
      <c r="BY141" s="340"/>
      <c r="BZ141" s="340"/>
      <c r="CA141" s="340"/>
      <c r="CB141" s="340"/>
      <c r="CC141" s="340"/>
      <c r="CD141" s="340"/>
      <c r="CE141" s="340"/>
      <c r="CF141" s="340"/>
      <c r="CG141" s="340"/>
      <c r="CH141" s="340"/>
      <c r="CI141" s="340"/>
      <c r="CJ141" s="340"/>
      <c r="CK141" s="340"/>
      <c r="CL141" s="340"/>
      <c r="CM141" s="340"/>
      <c r="CN141" s="340"/>
      <c r="CO141" s="340"/>
      <c r="CP141" s="340"/>
      <c r="CQ141" s="340"/>
      <c r="CR141" s="340"/>
      <c r="CS141" s="340"/>
      <c r="CT141" s="340"/>
      <c r="CU141" s="340"/>
      <c r="CV141" s="340"/>
      <c r="CW141" s="340"/>
      <c r="CX141" s="340"/>
      <c r="CY141" s="340"/>
      <c r="CZ141" s="340"/>
      <c r="DA141" s="340"/>
      <c r="DB141" s="340"/>
      <c r="DC141" s="340"/>
      <c r="DD141" s="340"/>
      <c r="DE141" s="340"/>
      <c r="DF141" s="340"/>
      <c r="DG141" s="340"/>
      <c r="DH141" s="340"/>
      <c r="DI141" s="340"/>
      <c r="DJ141" s="340"/>
      <c r="DK141" s="340"/>
      <c r="DL141" s="340"/>
      <c r="DM141" s="340"/>
      <c r="DN141" s="340"/>
      <c r="DO141" s="340"/>
      <c r="DP141" s="340"/>
      <c r="DQ141" s="340"/>
      <c r="DR141" s="340"/>
      <c r="DS141" s="340"/>
      <c r="DT141" s="341"/>
    </row>
    <row r="142" spans="2:128" ht="6" customHeight="1">
      <c r="B142" s="536"/>
      <c r="C142" s="758"/>
      <c r="D142" s="758"/>
      <c r="E142" s="758"/>
      <c r="F142" s="758"/>
      <c r="G142" s="758"/>
      <c r="H142" s="758"/>
      <c r="I142" s="758"/>
      <c r="J142" s="758"/>
      <c r="K142" s="758"/>
      <c r="L142" s="758"/>
      <c r="M142" s="758"/>
      <c r="N142" s="758"/>
      <c r="O142" s="758"/>
      <c r="P142" s="758"/>
      <c r="Q142" s="758"/>
      <c r="R142" s="758"/>
      <c r="S142" s="758"/>
      <c r="T142" s="758"/>
      <c r="U142" s="758"/>
      <c r="V142" s="758"/>
      <c r="W142" s="758"/>
      <c r="X142" s="758"/>
      <c r="Y142" s="758"/>
      <c r="Z142" s="758"/>
      <c r="AA142" s="758"/>
      <c r="AB142" s="758"/>
      <c r="AC142" s="758"/>
      <c r="AD142" s="758"/>
      <c r="AE142" s="307"/>
      <c r="AF142" s="307"/>
      <c r="AG142" s="307"/>
      <c r="AH142" s="307"/>
      <c r="AI142" s="307"/>
      <c r="AJ142" s="307"/>
      <c r="AK142" s="307"/>
      <c r="AL142" s="307"/>
      <c r="AM142" s="307"/>
      <c r="AN142" s="307"/>
      <c r="AO142" s="307"/>
      <c r="AP142" s="307"/>
      <c r="AQ142" s="307"/>
      <c r="AR142" s="307"/>
      <c r="AS142" s="307"/>
      <c r="AT142" s="307"/>
      <c r="AU142" s="307"/>
      <c r="AV142" s="307"/>
      <c r="AW142" s="307"/>
      <c r="AX142" s="307"/>
      <c r="AY142" s="307"/>
      <c r="AZ142" s="307"/>
      <c r="BA142" s="307"/>
      <c r="BB142" s="307"/>
      <c r="BC142" s="307"/>
      <c r="BD142" s="307"/>
      <c r="BE142" s="307"/>
      <c r="BF142" s="307"/>
      <c r="BG142" s="307"/>
      <c r="BH142" s="307"/>
      <c r="BI142" s="307"/>
      <c r="BJ142" s="307"/>
      <c r="BK142" s="307"/>
      <c r="BL142" s="758"/>
      <c r="BM142" s="758"/>
      <c r="BN142" s="758"/>
      <c r="BO142" s="758"/>
      <c r="BP142" s="758"/>
      <c r="BQ142" s="758"/>
      <c r="BR142" s="758"/>
      <c r="BS142" s="758"/>
      <c r="BT142" s="758"/>
      <c r="BU142" s="758"/>
      <c r="BV142" s="758"/>
      <c r="BW142" s="758"/>
      <c r="BX142" s="758"/>
      <c r="BY142" s="758"/>
      <c r="BZ142" s="758"/>
      <c r="CA142" s="758"/>
      <c r="CB142" s="758"/>
      <c r="CC142" s="758"/>
      <c r="CD142" s="758"/>
      <c r="CE142" s="758"/>
      <c r="CF142" s="758"/>
      <c r="CG142" s="758"/>
      <c r="CH142" s="758"/>
      <c r="CI142" s="758"/>
      <c r="CJ142" s="758"/>
      <c r="CK142" s="758"/>
      <c r="CL142" s="758"/>
      <c r="CM142" s="758"/>
      <c r="CN142" s="758"/>
      <c r="CO142" s="758"/>
      <c r="CP142" s="758"/>
      <c r="CQ142" s="758"/>
      <c r="CR142" s="758"/>
      <c r="CS142" s="758"/>
      <c r="CT142" s="758"/>
      <c r="CU142" s="758"/>
      <c r="CV142" s="758"/>
      <c r="CW142" s="758"/>
      <c r="CX142" s="758"/>
      <c r="CY142" s="758"/>
      <c r="CZ142" s="758"/>
      <c r="DA142" s="758"/>
      <c r="DB142" s="758"/>
      <c r="DC142" s="758"/>
      <c r="DD142" s="758"/>
      <c r="DE142" s="758"/>
      <c r="DF142" s="758"/>
      <c r="DG142" s="758"/>
      <c r="DH142" s="758"/>
      <c r="DI142" s="758"/>
      <c r="DJ142" s="758"/>
      <c r="DK142" s="758"/>
      <c r="DL142" s="758"/>
      <c r="DM142" s="758"/>
      <c r="DN142" s="758"/>
      <c r="DO142" s="758"/>
      <c r="DP142" s="758"/>
      <c r="DQ142" s="758"/>
      <c r="DR142" s="758"/>
      <c r="DS142" s="307"/>
      <c r="DT142" s="308"/>
    </row>
    <row r="143" spans="2:128" ht="24.9" customHeight="1">
      <c r="B143" s="536" t="str">
        <f ca="1">INDIRECT($J$4&amp;"!C161")&amp;" / "&amp; INDIRECT($J$4&amp;"!C162")</f>
        <v>D5 - Corrective Action(s) / D6 - Implementation of permanent corrective action(s)</v>
      </c>
      <c r="C143" s="711"/>
      <c r="D143" s="711"/>
      <c r="E143" s="711"/>
      <c r="F143" s="711"/>
      <c r="G143" s="711"/>
      <c r="H143" s="711"/>
      <c r="I143" s="711"/>
      <c r="J143" s="711"/>
      <c r="K143" s="711"/>
      <c r="L143" s="711"/>
      <c r="M143" s="711"/>
      <c r="N143" s="711"/>
      <c r="O143" s="711"/>
      <c r="P143" s="711"/>
      <c r="Q143" s="711"/>
      <c r="R143" s="711"/>
      <c r="S143" s="711"/>
      <c r="T143" s="711"/>
      <c r="U143" s="711"/>
      <c r="V143" s="711"/>
      <c r="W143" s="711"/>
      <c r="X143" s="711"/>
      <c r="Y143" s="711"/>
      <c r="Z143" s="711"/>
      <c r="AA143" s="711"/>
      <c r="AB143" s="711"/>
      <c r="AC143" s="711"/>
      <c r="AD143" s="711"/>
      <c r="AE143" s="711"/>
      <c r="AF143" s="711"/>
      <c r="AG143" s="711"/>
      <c r="AH143" s="711"/>
      <c r="AI143" s="711"/>
      <c r="AJ143" s="711"/>
      <c r="AK143" s="711"/>
      <c r="AL143" s="310"/>
      <c r="AM143" s="310"/>
      <c r="AN143" s="310"/>
      <c r="AO143" s="310"/>
      <c r="AP143" s="310"/>
      <c r="AQ143" s="310"/>
      <c r="AR143" s="310"/>
      <c r="AS143" s="310"/>
      <c r="AT143" s="310"/>
      <c r="AU143" s="310"/>
      <c r="AV143" s="310"/>
      <c r="AW143" s="310"/>
      <c r="AX143" s="310"/>
      <c r="AY143" s="310"/>
      <c r="AZ143" s="310"/>
      <c r="BA143" s="525"/>
      <c r="BB143" s="525"/>
      <c r="BC143" s="525"/>
      <c r="BD143" s="525"/>
      <c r="BE143" s="525"/>
      <c r="BF143" s="525"/>
      <c r="BG143" s="525"/>
      <c r="BH143" s="525"/>
      <c r="BI143" s="525"/>
      <c r="BJ143" s="525"/>
      <c r="BK143" s="525"/>
      <c r="BL143" s="711"/>
      <c r="BM143" s="711"/>
      <c r="BN143" s="711"/>
      <c r="BO143" s="711"/>
      <c r="BP143" s="711"/>
      <c r="BQ143" s="711"/>
      <c r="BR143" s="711"/>
      <c r="BS143" s="711"/>
      <c r="BT143" s="711"/>
      <c r="BU143" s="711"/>
      <c r="BV143" s="711"/>
      <c r="BW143" s="711"/>
      <c r="BX143" s="711"/>
      <c r="BY143" s="711"/>
      <c r="BZ143" s="711"/>
      <c r="CA143" s="711"/>
      <c r="CB143" s="711"/>
      <c r="CC143" s="711"/>
      <c r="CD143" s="711"/>
      <c r="CE143" s="711"/>
      <c r="CF143" s="711"/>
      <c r="CG143" s="711"/>
      <c r="CH143" s="711"/>
      <c r="CI143" s="711"/>
      <c r="CJ143" s="711"/>
      <c r="CK143" s="711"/>
      <c r="CL143" s="711"/>
      <c r="CM143" s="711"/>
      <c r="CN143" s="711"/>
      <c r="CO143" s="711"/>
      <c r="CP143" s="711"/>
      <c r="CQ143" s="711"/>
      <c r="CR143" s="711"/>
      <c r="CS143" s="711"/>
      <c r="CT143" s="711"/>
      <c r="CU143" s="711"/>
      <c r="CV143" s="711"/>
      <c r="CW143" s="711"/>
      <c r="CX143" s="711"/>
      <c r="CY143" s="711"/>
      <c r="CZ143" s="711"/>
      <c r="DA143" s="711"/>
      <c r="DB143" s="711"/>
      <c r="DC143" s="711"/>
      <c r="DD143" s="711"/>
      <c r="DE143" s="711"/>
      <c r="DF143" s="711"/>
      <c r="DG143" s="711"/>
      <c r="DH143" s="711"/>
      <c r="DI143" s="711"/>
      <c r="DJ143" s="711"/>
      <c r="DK143" s="711"/>
      <c r="DL143" s="711"/>
      <c r="DM143" s="711"/>
      <c r="DN143" s="711"/>
      <c r="DO143" s="711"/>
      <c r="DP143" s="711"/>
      <c r="DQ143" s="711"/>
      <c r="DR143" s="711"/>
      <c r="DS143" s="310"/>
      <c r="DT143" s="311"/>
    </row>
    <row r="144" spans="2:128" ht="6" customHeight="1">
      <c r="B144" s="536"/>
      <c r="C144" s="711"/>
      <c r="D144" s="711"/>
      <c r="E144" s="711"/>
      <c r="F144" s="711"/>
      <c r="G144" s="711"/>
      <c r="H144" s="711"/>
      <c r="I144" s="711"/>
      <c r="J144" s="711"/>
      <c r="K144" s="711"/>
      <c r="L144" s="711"/>
      <c r="M144" s="711"/>
      <c r="N144" s="711"/>
      <c r="O144" s="711"/>
      <c r="P144" s="711"/>
      <c r="Q144" s="711"/>
      <c r="R144" s="711"/>
      <c r="S144" s="711"/>
      <c r="T144" s="711"/>
      <c r="U144" s="711"/>
      <c r="V144" s="711"/>
      <c r="W144" s="711"/>
      <c r="X144" s="711"/>
      <c r="Y144" s="711"/>
      <c r="Z144" s="711"/>
      <c r="AA144" s="711"/>
      <c r="AB144" s="711"/>
      <c r="AC144" s="711"/>
      <c r="AD144" s="711"/>
      <c r="AE144" s="711"/>
      <c r="AF144" s="711"/>
      <c r="AG144" s="711"/>
      <c r="AH144" s="711"/>
      <c r="AI144" s="711"/>
      <c r="AJ144" s="711"/>
      <c r="AK144" s="711"/>
      <c r="AL144" s="310"/>
      <c r="AM144" s="310"/>
      <c r="AN144" s="310"/>
      <c r="AO144" s="310"/>
      <c r="AP144" s="310"/>
      <c r="AQ144" s="310"/>
      <c r="AR144" s="310"/>
      <c r="AS144" s="310"/>
      <c r="AT144" s="310"/>
      <c r="AU144" s="310"/>
      <c r="AV144" s="310"/>
      <c r="AW144" s="310"/>
      <c r="AX144" s="310"/>
      <c r="AY144" s="310"/>
      <c r="AZ144" s="310"/>
      <c r="BA144" s="525"/>
      <c r="BB144" s="525"/>
      <c r="BC144" s="525"/>
      <c r="BD144" s="525"/>
      <c r="BE144" s="525"/>
      <c r="BF144" s="525"/>
      <c r="BG144" s="525"/>
      <c r="BH144" s="525"/>
      <c r="BI144" s="525"/>
      <c r="BJ144" s="525"/>
      <c r="BK144" s="525"/>
      <c r="BL144" s="711"/>
      <c r="BM144" s="711"/>
      <c r="BN144" s="711"/>
      <c r="BO144" s="711"/>
      <c r="BP144" s="711"/>
      <c r="BQ144" s="711"/>
      <c r="BR144" s="711"/>
      <c r="BS144" s="711"/>
      <c r="BT144" s="711"/>
      <c r="BU144" s="711"/>
      <c r="BV144" s="711"/>
      <c r="BW144" s="711"/>
      <c r="BX144" s="711"/>
      <c r="BY144" s="711"/>
      <c r="BZ144" s="711"/>
      <c r="CA144" s="711"/>
      <c r="CB144" s="711"/>
      <c r="CC144" s="711"/>
      <c r="CD144" s="711"/>
      <c r="CE144" s="711"/>
      <c r="CF144" s="711"/>
      <c r="CG144" s="711"/>
      <c r="CH144" s="711"/>
      <c r="CI144" s="711"/>
      <c r="CJ144" s="711"/>
      <c r="CK144" s="711"/>
      <c r="CL144" s="711"/>
      <c r="CM144" s="711"/>
      <c r="CN144" s="711"/>
      <c r="CO144" s="711"/>
      <c r="CP144" s="711"/>
      <c r="CQ144" s="711"/>
      <c r="CR144" s="711"/>
      <c r="CS144" s="711"/>
      <c r="CT144" s="711"/>
      <c r="CU144" s="711"/>
      <c r="CV144" s="711"/>
      <c r="CW144" s="711"/>
      <c r="CX144" s="711"/>
      <c r="CY144" s="711"/>
      <c r="CZ144" s="711"/>
      <c r="DA144" s="711"/>
      <c r="DB144" s="711"/>
      <c r="DC144" s="711"/>
      <c r="DD144" s="711"/>
      <c r="DE144" s="711"/>
      <c r="DF144" s="711"/>
      <c r="DG144" s="711"/>
      <c r="DH144" s="711"/>
      <c r="DI144" s="711"/>
      <c r="DJ144" s="711"/>
      <c r="DK144" s="711"/>
      <c r="DL144" s="711"/>
      <c r="DM144" s="711"/>
      <c r="DN144" s="711"/>
      <c r="DO144" s="711"/>
      <c r="DP144" s="711"/>
      <c r="DQ144" s="711"/>
      <c r="DR144" s="711"/>
      <c r="DS144" s="310"/>
      <c r="DT144" s="311"/>
    </row>
    <row r="145" spans="1:124" ht="6" customHeight="1">
      <c r="B145" s="207"/>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c r="AA145" s="264"/>
      <c r="AB145" s="264"/>
      <c r="AC145" s="264"/>
      <c r="AD145" s="264"/>
      <c r="AE145" s="293"/>
      <c r="AF145" s="293"/>
      <c r="AG145" s="293"/>
      <c r="AH145" s="293"/>
      <c r="AI145" s="293"/>
      <c r="AJ145" s="293"/>
      <c r="AK145" s="293"/>
      <c r="AL145" s="293"/>
      <c r="AM145" s="293"/>
      <c r="AN145" s="293"/>
      <c r="AO145" s="293"/>
      <c r="AP145" s="293"/>
      <c r="AQ145" s="293"/>
      <c r="AR145" s="293"/>
      <c r="AS145" s="293"/>
      <c r="AT145" s="293"/>
      <c r="AU145" s="293"/>
      <c r="AV145" s="293"/>
      <c r="AW145" s="293"/>
      <c r="AX145" s="293"/>
      <c r="AY145" s="293"/>
      <c r="AZ145" s="293"/>
      <c r="BA145" s="293"/>
      <c r="BB145" s="293"/>
      <c r="BC145" s="293"/>
      <c r="BD145" s="293"/>
      <c r="BE145" s="293"/>
      <c r="BF145" s="293"/>
      <c r="BG145" s="293"/>
      <c r="BH145" s="293"/>
      <c r="BI145" s="293"/>
      <c r="BJ145" s="293"/>
      <c r="BK145" s="293"/>
      <c r="BL145" s="293"/>
      <c r="BM145" s="293"/>
      <c r="BN145" s="293"/>
      <c r="BO145" s="293"/>
      <c r="BP145" s="293"/>
      <c r="BQ145" s="293"/>
      <c r="BR145" s="293"/>
      <c r="BS145" s="293"/>
      <c r="BT145" s="293"/>
      <c r="BU145" s="293"/>
      <c r="BV145" s="293"/>
      <c r="BW145" s="293"/>
      <c r="BX145" s="293"/>
      <c r="BY145" s="293"/>
      <c r="BZ145" s="293"/>
      <c r="CA145" s="293"/>
      <c r="CB145" s="293"/>
      <c r="CC145" s="293"/>
      <c r="CD145" s="293"/>
      <c r="CE145" s="293"/>
      <c r="CF145" s="293"/>
      <c r="CG145" s="293"/>
      <c r="CH145" s="293"/>
      <c r="CI145" s="293"/>
      <c r="CJ145" s="293"/>
      <c r="CK145" s="293"/>
      <c r="CL145" s="293"/>
      <c r="CM145" s="293"/>
      <c r="CN145" s="293"/>
      <c r="CO145" s="293"/>
      <c r="CP145" s="293"/>
      <c r="CQ145" s="293"/>
      <c r="CR145" s="293"/>
      <c r="CS145" s="293"/>
      <c r="CT145" s="293"/>
      <c r="CU145" s="293"/>
      <c r="CV145" s="293"/>
      <c r="CW145" s="293"/>
      <c r="CX145" s="293"/>
      <c r="CY145" s="293"/>
      <c r="CZ145" s="293"/>
      <c r="DA145" s="293"/>
      <c r="DB145" s="293"/>
      <c r="DC145" s="293"/>
      <c r="DD145" s="293"/>
      <c r="DE145" s="293"/>
      <c r="DF145" s="293"/>
      <c r="DG145" s="293"/>
      <c r="DH145" s="293"/>
      <c r="DI145" s="293"/>
      <c r="DJ145" s="293"/>
      <c r="DK145" s="293"/>
      <c r="DL145" s="293"/>
      <c r="DM145" s="293"/>
      <c r="DN145" s="293"/>
      <c r="DO145" s="293"/>
      <c r="DP145" s="293"/>
      <c r="DQ145" s="293"/>
      <c r="DR145" s="293"/>
      <c r="DS145" s="293"/>
      <c r="DT145" s="315"/>
    </row>
    <row r="146" spans="1:124" ht="15" customHeight="1">
      <c r="A146" s="298"/>
      <c r="B146" s="321"/>
      <c r="C146" s="309"/>
      <c r="D146" s="1475" t="str">
        <f ca="1">INDIRECT($J$4&amp;"!C163")&amp;":"</f>
        <v>Action Plan:</v>
      </c>
      <c r="E146" s="1475"/>
      <c r="F146" s="1475"/>
      <c r="G146" s="1475"/>
      <c r="H146" s="1475"/>
      <c r="I146" s="1475"/>
      <c r="J146" s="1475"/>
      <c r="K146" s="1475"/>
      <c r="L146" s="1475"/>
      <c r="M146" s="1475"/>
      <c r="N146" s="1475"/>
      <c r="O146" s="1475"/>
      <c r="P146" s="1475"/>
      <c r="Q146" s="1475"/>
      <c r="R146" s="1475"/>
      <c r="S146" s="1475"/>
      <c r="T146" s="1475"/>
      <c r="U146" s="1475"/>
      <c r="V146" s="1475"/>
      <c r="W146" s="1475"/>
      <c r="X146" s="1475"/>
      <c r="Y146" s="1475"/>
      <c r="Z146" s="1475"/>
      <c r="AA146" s="1475"/>
      <c r="AB146" s="1475"/>
      <c r="AC146" s="1475"/>
      <c r="AD146" s="1475"/>
      <c r="AE146" s="1475"/>
      <c r="AF146" s="1475"/>
      <c r="AG146" s="1475"/>
      <c r="AH146" s="1475"/>
      <c r="AI146" s="1475"/>
      <c r="AJ146" s="1475"/>
      <c r="AK146" s="1475"/>
      <c r="AL146" s="1475"/>
      <c r="AM146" s="1475"/>
      <c r="AN146" s="1475"/>
      <c r="AO146" s="1475"/>
      <c r="AP146" s="1475"/>
      <c r="AQ146" s="1475"/>
      <c r="AR146" s="1475"/>
      <c r="AS146" s="1475"/>
      <c r="AT146" s="1475"/>
      <c r="AU146" s="1475"/>
      <c r="AV146" s="1475"/>
      <c r="AW146" s="1475"/>
      <c r="AX146" s="1475"/>
      <c r="AY146" s="1475"/>
      <c r="AZ146" s="1475"/>
      <c r="BA146" s="1475"/>
      <c r="BB146" s="1475"/>
      <c r="BC146" s="1475"/>
      <c r="BD146" s="1475"/>
      <c r="BE146" s="1475"/>
      <c r="BF146" s="1475"/>
      <c r="BG146" s="1475"/>
      <c r="BH146" s="1475"/>
      <c r="BI146" s="1475"/>
      <c r="BJ146" s="1475"/>
      <c r="BK146" s="1475"/>
      <c r="BL146" s="1475"/>
      <c r="BM146" s="1475"/>
      <c r="BN146" s="1475"/>
      <c r="BO146" s="1475"/>
      <c r="BP146" s="1475"/>
      <c r="BQ146" s="1475"/>
      <c r="BR146" s="1475"/>
      <c r="BS146" s="1475"/>
      <c r="BT146" s="1475"/>
      <c r="BU146" s="1475"/>
      <c r="BV146" s="1475"/>
      <c r="BW146" s="1475"/>
      <c r="BX146" s="1475"/>
      <c r="BY146" s="1475"/>
      <c r="BZ146" s="1475"/>
      <c r="CA146" s="1475"/>
      <c r="CB146" s="1475"/>
      <c r="CC146" s="1475"/>
      <c r="CD146" s="1475"/>
      <c r="CE146" s="1475"/>
      <c r="CF146" s="1475"/>
      <c r="CG146" s="1475"/>
      <c r="CH146" s="1475"/>
      <c r="CI146" s="1475"/>
      <c r="CJ146" s="1475"/>
      <c r="CK146" s="1475"/>
      <c r="CL146" s="1475"/>
      <c r="CM146" s="1475"/>
      <c r="CN146" s="305"/>
      <c r="CO146" s="2045" t="str">
        <f ca="1">INDIRECT('D1-D2-D3'!$J$4&amp;"!C233")</f>
        <v>Risk assessment</v>
      </c>
      <c r="CP146" s="2045"/>
      <c r="CQ146" s="2045"/>
      <c r="CR146" s="2045"/>
      <c r="CS146" s="2045"/>
      <c r="CT146" s="2045"/>
      <c r="CU146" s="2045"/>
      <c r="CV146" s="2045"/>
      <c r="CW146" s="2045"/>
      <c r="CX146" s="2045"/>
      <c r="CY146" s="2045"/>
      <c r="CZ146" s="2045"/>
      <c r="DA146" s="2045"/>
      <c r="DB146" s="2045"/>
      <c r="DC146" s="2045"/>
      <c r="DD146" s="2045"/>
      <c r="DE146" s="2045"/>
      <c r="DF146" s="2045"/>
      <c r="DG146" s="2045"/>
      <c r="DH146" s="2045"/>
      <c r="DI146" s="2045"/>
      <c r="DJ146" s="2045"/>
      <c r="DK146" s="2045"/>
      <c r="DL146" s="2045"/>
      <c r="DM146" s="2045"/>
      <c r="DN146" s="2045"/>
      <c r="DO146" s="2045"/>
      <c r="DP146" s="2045"/>
      <c r="DQ146" s="2045"/>
      <c r="DR146" s="2045"/>
      <c r="DS146" s="310"/>
      <c r="DT146" s="311"/>
    </row>
    <row r="147" spans="1:124" ht="15" customHeight="1">
      <c r="A147" s="298"/>
      <c r="B147" s="321"/>
      <c r="C147" s="309"/>
      <c r="D147" s="1475"/>
      <c r="E147" s="1475"/>
      <c r="F147" s="1475"/>
      <c r="G147" s="1475"/>
      <c r="H147" s="1475"/>
      <c r="I147" s="1475"/>
      <c r="J147" s="1475"/>
      <c r="K147" s="1475"/>
      <c r="L147" s="1475"/>
      <c r="M147" s="1475"/>
      <c r="N147" s="1475"/>
      <c r="O147" s="1475"/>
      <c r="P147" s="1475"/>
      <c r="Q147" s="1475"/>
      <c r="R147" s="1475"/>
      <c r="S147" s="1475"/>
      <c r="T147" s="1475"/>
      <c r="U147" s="1475"/>
      <c r="V147" s="1475"/>
      <c r="W147" s="1475"/>
      <c r="X147" s="1475"/>
      <c r="Y147" s="1475"/>
      <c r="Z147" s="1475"/>
      <c r="AA147" s="1475"/>
      <c r="AB147" s="1475"/>
      <c r="AC147" s="1475"/>
      <c r="AD147" s="1475"/>
      <c r="AE147" s="1475"/>
      <c r="AF147" s="1475"/>
      <c r="AG147" s="1475"/>
      <c r="AH147" s="1475"/>
      <c r="AI147" s="1475"/>
      <c r="AJ147" s="1475"/>
      <c r="AK147" s="1475"/>
      <c r="AL147" s="1475"/>
      <c r="AM147" s="1475"/>
      <c r="AN147" s="1475"/>
      <c r="AO147" s="1475"/>
      <c r="AP147" s="1475"/>
      <c r="AQ147" s="1475"/>
      <c r="AR147" s="1475"/>
      <c r="AS147" s="1475"/>
      <c r="AT147" s="1475"/>
      <c r="AU147" s="1475"/>
      <c r="AV147" s="1475"/>
      <c r="AW147" s="1475"/>
      <c r="AX147" s="1475"/>
      <c r="AY147" s="1475"/>
      <c r="AZ147" s="1475"/>
      <c r="BA147" s="1475"/>
      <c r="BB147" s="1475"/>
      <c r="BC147" s="1475"/>
      <c r="BD147" s="1475"/>
      <c r="BE147" s="1475"/>
      <c r="BF147" s="1475"/>
      <c r="BG147" s="1475"/>
      <c r="BH147" s="1475"/>
      <c r="BI147" s="1475"/>
      <c r="BJ147" s="1475"/>
      <c r="BK147" s="1475"/>
      <c r="BL147" s="1475"/>
      <c r="BM147" s="1475"/>
      <c r="BN147" s="1475"/>
      <c r="BO147" s="1475"/>
      <c r="BP147" s="1475"/>
      <c r="BQ147" s="1475"/>
      <c r="BR147" s="1475"/>
      <c r="BS147" s="1475"/>
      <c r="BT147" s="1475"/>
      <c r="BU147" s="1475"/>
      <c r="BV147" s="1475"/>
      <c r="BW147" s="1475"/>
      <c r="BX147" s="1475"/>
      <c r="BY147" s="1475"/>
      <c r="BZ147" s="1475"/>
      <c r="CA147" s="1475"/>
      <c r="CB147" s="1475"/>
      <c r="CC147" s="1475"/>
      <c r="CD147" s="1475"/>
      <c r="CE147" s="1475"/>
      <c r="CF147" s="1475"/>
      <c r="CG147" s="1475"/>
      <c r="CH147" s="1475"/>
      <c r="CI147" s="1475"/>
      <c r="CJ147" s="1475"/>
      <c r="CK147" s="1475"/>
      <c r="CL147" s="1475"/>
      <c r="CM147" s="1475"/>
      <c r="CN147" s="305"/>
      <c r="CO147" s="2045"/>
      <c r="CP147" s="2045"/>
      <c r="CQ147" s="2045"/>
      <c r="CR147" s="2045"/>
      <c r="CS147" s="2045"/>
      <c r="CT147" s="2045"/>
      <c r="CU147" s="2045"/>
      <c r="CV147" s="2045"/>
      <c r="CW147" s="2045"/>
      <c r="CX147" s="2045"/>
      <c r="CY147" s="2045"/>
      <c r="CZ147" s="2045"/>
      <c r="DA147" s="2045"/>
      <c r="DB147" s="2045"/>
      <c r="DC147" s="2045"/>
      <c r="DD147" s="2045"/>
      <c r="DE147" s="2045"/>
      <c r="DF147" s="2045"/>
      <c r="DG147" s="2045"/>
      <c r="DH147" s="2045"/>
      <c r="DI147" s="2045"/>
      <c r="DJ147" s="2045"/>
      <c r="DK147" s="2045"/>
      <c r="DL147" s="2045"/>
      <c r="DM147" s="2045"/>
      <c r="DN147" s="2045"/>
      <c r="DO147" s="2045"/>
      <c r="DP147" s="2045"/>
      <c r="DQ147" s="2045"/>
      <c r="DR147" s="2045"/>
      <c r="DS147" s="310"/>
      <c r="DT147" s="311"/>
    </row>
    <row r="148" spans="1:124" ht="6" customHeight="1">
      <c r="B148" s="211"/>
      <c r="C148" s="305"/>
      <c r="D148" s="637"/>
      <c r="E148" s="637"/>
      <c r="F148" s="637"/>
      <c r="G148" s="637"/>
      <c r="H148" s="637"/>
      <c r="I148" s="637"/>
      <c r="J148" s="637"/>
      <c r="K148" s="637"/>
      <c r="L148" s="637"/>
      <c r="M148" s="637"/>
      <c r="N148" s="637"/>
      <c r="O148" s="637"/>
      <c r="P148" s="637"/>
      <c r="Q148" s="637"/>
      <c r="R148" s="637"/>
      <c r="S148" s="637"/>
      <c r="T148" s="637"/>
      <c r="U148" s="637"/>
      <c r="V148" s="637"/>
      <c r="W148" s="305"/>
      <c r="X148" s="305"/>
      <c r="Y148" s="305"/>
      <c r="Z148" s="305"/>
      <c r="AA148" s="305"/>
      <c r="AB148" s="305"/>
      <c r="AC148" s="305"/>
      <c r="AD148" s="305"/>
      <c r="AE148" s="305"/>
      <c r="AF148" s="305"/>
      <c r="AG148" s="305"/>
      <c r="AH148" s="305"/>
      <c r="AI148" s="305"/>
      <c r="AJ148" s="305"/>
      <c r="AK148" s="305"/>
      <c r="AL148" s="305"/>
      <c r="AM148" s="305"/>
      <c r="AN148" s="305"/>
      <c r="AO148" s="305"/>
      <c r="AP148" s="305"/>
      <c r="AQ148" s="305"/>
      <c r="AR148" s="305"/>
      <c r="AS148" s="305"/>
      <c r="AT148" s="305"/>
      <c r="AU148" s="305"/>
      <c r="AV148" s="305"/>
      <c r="AW148" s="305"/>
      <c r="AX148" s="305"/>
      <c r="AY148" s="305"/>
      <c r="AZ148" s="305"/>
      <c r="BA148" s="305"/>
      <c r="BB148" s="305"/>
      <c r="BC148" s="305"/>
      <c r="BD148" s="305"/>
      <c r="BE148" s="305"/>
      <c r="BF148" s="305"/>
      <c r="BG148" s="305"/>
      <c r="BH148" s="305"/>
      <c r="BI148" s="305"/>
      <c r="BJ148" s="305"/>
      <c r="BK148" s="293"/>
      <c r="BL148" s="638"/>
      <c r="BM148" s="638"/>
      <c r="BN148" s="638"/>
      <c r="BO148" s="638"/>
      <c r="BP148" s="638"/>
      <c r="BQ148" s="638"/>
      <c r="BR148" s="638"/>
      <c r="BS148" s="638"/>
      <c r="BT148" s="638"/>
      <c r="BU148" s="638"/>
      <c r="BV148" s="638"/>
      <c r="BW148" s="638"/>
      <c r="BX148" s="638"/>
      <c r="BY148" s="638"/>
      <c r="BZ148" s="638"/>
      <c r="CA148" s="638"/>
      <c r="CB148" s="638"/>
      <c r="CC148" s="638"/>
      <c r="CD148" s="638"/>
      <c r="CE148" s="638"/>
      <c r="CF148" s="638"/>
      <c r="CG148" s="638"/>
      <c r="CH148" s="638"/>
      <c r="CI148" s="638"/>
      <c r="CJ148" s="638"/>
      <c r="CK148" s="638"/>
      <c r="CL148" s="638"/>
      <c r="CM148" s="638"/>
      <c r="CN148" s="305"/>
      <c r="CO148" s="639"/>
      <c r="CP148" s="639"/>
      <c r="CQ148" s="639"/>
      <c r="CR148" s="639"/>
      <c r="CS148" s="639"/>
      <c r="CT148" s="639"/>
      <c r="CU148" s="639"/>
      <c r="CV148" s="639"/>
      <c r="CW148" s="639"/>
      <c r="CX148" s="639"/>
      <c r="CY148" s="639"/>
      <c r="CZ148" s="639"/>
      <c r="DA148" s="639"/>
      <c r="DB148" s="639"/>
      <c r="DC148" s="639"/>
      <c r="DD148" s="639"/>
      <c r="DE148" s="639"/>
      <c r="DF148" s="639"/>
      <c r="DG148" s="639"/>
      <c r="DH148" s="639"/>
      <c r="DI148" s="639"/>
      <c r="DJ148" s="639"/>
      <c r="DK148" s="639"/>
      <c r="DL148" s="639"/>
      <c r="DM148" s="639"/>
      <c r="DN148" s="639"/>
      <c r="DO148" s="639"/>
      <c r="DP148" s="639"/>
      <c r="DQ148" s="639"/>
      <c r="DR148" s="639"/>
      <c r="DS148" s="305"/>
      <c r="DT148" s="311"/>
    </row>
    <row r="149" spans="1:124" ht="20.100000000000001" customHeight="1">
      <c r="B149" s="211"/>
      <c r="C149" s="305"/>
      <c r="D149" s="757" t="str">
        <f ca="1">INDIRECT($J$4&amp;"!C137")</f>
        <v>Technical consideration</v>
      </c>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c r="AA149" s="305"/>
      <c r="AB149" s="305"/>
      <c r="AC149" s="305"/>
      <c r="AD149" s="305"/>
      <c r="AE149" s="305"/>
      <c r="AF149" s="305"/>
      <c r="AG149" s="305"/>
      <c r="AH149" s="305"/>
      <c r="AI149" s="305"/>
      <c r="AJ149" s="305"/>
      <c r="AK149" s="305"/>
      <c r="AL149" s="305"/>
      <c r="AM149" s="305"/>
      <c r="AN149" s="305"/>
      <c r="AO149" s="305"/>
      <c r="AP149" s="305"/>
      <c r="AQ149" s="305"/>
      <c r="AR149" s="305"/>
      <c r="AS149" s="305"/>
      <c r="AT149" s="305"/>
      <c r="AU149" s="305"/>
      <c r="AV149" s="305"/>
      <c r="AW149" s="305"/>
      <c r="AX149" s="305"/>
      <c r="AY149" s="305"/>
      <c r="AZ149" s="305"/>
      <c r="BA149" s="305"/>
      <c r="BB149" s="305"/>
      <c r="BC149" s="305"/>
      <c r="BD149" s="305"/>
      <c r="BE149" s="305"/>
      <c r="BF149" s="305"/>
      <c r="BG149" s="305"/>
      <c r="BH149" s="305"/>
      <c r="BI149" s="305"/>
      <c r="BJ149" s="305"/>
      <c r="BK149" s="305"/>
      <c r="BL149" s="305"/>
      <c r="BM149" s="305"/>
      <c r="BN149" s="305"/>
      <c r="BO149" s="305"/>
      <c r="BP149" s="305"/>
      <c r="BQ149" s="305"/>
      <c r="BR149" s="305"/>
      <c r="BS149" s="305"/>
      <c r="BT149" s="305"/>
      <c r="BU149" s="305"/>
      <c r="BV149" s="305"/>
      <c r="BW149" s="305"/>
      <c r="BX149" s="305"/>
      <c r="BY149" s="305"/>
      <c r="BZ149" s="305"/>
      <c r="CA149" s="305"/>
      <c r="CB149" s="305"/>
      <c r="CC149" s="305"/>
      <c r="CD149" s="305"/>
      <c r="CE149" s="305"/>
      <c r="CF149" s="305"/>
      <c r="CG149" s="305"/>
      <c r="CH149" s="305"/>
      <c r="CI149" s="305"/>
      <c r="CJ149" s="305"/>
      <c r="CK149" s="305"/>
      <c r="CL149" s="305"/>
      <c r="CM149" s="305"/>
      <c r="CN149" s="305"/>
      <c r="CO149" s="305"/>
      <c r="CP149" s="305"/>
      <c r="CQ149" s="305"/>
      <c r="CR149" s="305"/>
      <c r="CS149" s="305"/>
      <c r="CT149" s="305"/>
      <c r="CU149" s="305"/>
      <c r="CV149" s="305"/>
      <c r="CW149" s="305"/>
      <c r="CX149" s="305"/>
      <c r="CY149" s="305"/>
      <c r="CZ149" s="305"/>
      <c r="DA149" s="305"/>
      <c r="DB149" s="305"/>
      <c r="DC149" s="305"/>
      <c r="DD149" s="305"/>
      <c r="DE149" s="305"/>
      <c r="DF149" s="305"/>
      <c r="DG149" s="305"/>
      <c r="DH149" s="305"/>
      <c r="DI149" s="305"/>
      <c r="DJ149" s="305"/>
      <c r="DK149" s="305"/>
      <c r="DL149" s="305"/>
      <c r="DM149" s="305"/>
      <c r="DN149" s="305"/>
      <c r="DO149" s="305"/>
      <c r="DP149" s="305"/>
      <c r="DQ149" s="305"/>
      <c r="DR149" s="305"/>
      <c r="DS149" s="305"/>
      <c r="DT149" s="311"/>
    </row>
    <row r="150" spans="1:124" ht="6" customHeight="1">
      <c r="B150" s="312"/>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c r="AA150" s="305"/>
      <c r="AB150" s="305"/>
      <c r="AC150" s="305"/>
      <c r="AD150" s="305"/>
      <c r="AE150" s="305"/>
      <c r="AF150" s="305"/>
      <c r="AG150" s="305"/>
      <c r="AH150" s="305"/>
      <c r="AI150" s="305"/>
      <c r="AJ150" s="305"/>
      <c r="AK150" s="305"/>
      <c r="AL150" s="305"/>
      <c r="AM150" s="305"/>
      <c r="AN150" s="305"/>
      <c r="AO150" s="305"/>
      <c r="AP150" s="305"/>
      <c r="AQ150" s="305"/>
      <c r="AR150" s="305"/>
      <c r="AS150" s="305"/>
      <c r="AT150" s="305"/>
      <c r="AU150" s="305"/>
      <c r="AV150" s="305"/>
      <c r="AW150" s="305"/>
      <c r="AX150" s="305"/>
      <c r="AY150" s="305"/>
      <c r="AZ150" s="305"/>
      <c r="BA150" s="305"/>
      <c r="BB150" s="305"/>
      <c r="BC150" s="305"/>
      <c r="BD150" s="305"/>
      <c r="BE150" s="305"/>
      <c r="BF150" s="305"/>
      <c r="BG150" s="305"/>
      <c r="BH150" s="305"/>
      <c r="BI150" s="305"/>
      <c r="BJ150" s="305"/>
      <c r="BK150" s="305"/>
      <c r="BL150" s="305"/>
      <c r="BM150" s="305"/>
      <c r="BN150" s="305"/>
      <c r="BO150" s="305"/>
      <c r="BP150" s="305"/>
      <c r="BQ150" s="305"/>
      <c r="BR150" s="305"/>
      <c r="BS150" s="305"/>
      <c r="BT150" s="305"/>
      <c r="BU150" s="305"/>
      <c r="BV150" s="305"/>
      <c r="BW150" s="305"/>
      <c r="BX150" s="305"/>
      <c r="BY150" s="305"/>
      <c r="BZ150" s="305"/>
      <c r="CA150" s="305"/>
      <c r="CB150" s="305"/>
      <c r="CC150" s="305"/>
      <c r="CD150" s="305"/>
      <c r="CE150" s="305"/>
      <c r="CF150" s="305"/>
      <c r="CG150" s="305"/>
      <c r="CH150" s="305"/>
      <c r="CI150" s="305"/>
      <c r="CJ150" s="305"/>
      <c r="CK150" s="305"/>
      <c r="CL150" s="305"/>
      <c r="CM150" s="305"/>
      <c r="CN150" s="305"/>
      <c r="CO150" s="305"/>
      <c r="CP150" s="305"/>
      <c r="CQ150" s="305"/>
      <c r="CR150" s="305"/>
      <c r="CS150" s="305"/>
      <c r="CT150" s="305"/>
      <c r="CU150" s="305"/>
      <c r="CV150" s="305"/>
      <c r="CW150" s="305"/>
      <c r="CX150" s="305"/>
      <c r="CY150" s="305"/>
      <c r="CZ150" s="305"/>
      <c r="DA150" s="305"/>
      <c r="DB150" s="305"/>
      <c r="DC150" s="305"/>
      <c r="DD150" s="305"/>
      <c r="DE150" s="305"/>
      <c r="DF150" s="305"/>
      <c r="DG150" s="305"/>
      <c r="DH150" s="305"/>
      <c r="DI150" s="305"/>
      <c r="DJ150" s="305"/>
      <c r="DK150" s="305"/>
      <c r="DL150" s="305"/>
      <c r="DM150" s="305"/>
      <c r="DN150" s="305"/>
      <c r="DO150" s="305"/>
      <c r="DP150" s="305"/>
      <c r="DQ150" s="305"/>
      <c r="DR150" s="305"/>
      <c r="DS150" s="305"/>
      <c r="DT150" s="311"/>
    </row>
    <row r="151" spans="1:124" ht="24.9" customHeight="1">
      <c r="B151" s="312"/>
      <c r="C151" s="305"/>
      <c r="D151" s="1831" t="str">
        <f ca="1">INDIRECT($J$4&amp;"!C149")&amp;" / "&amp; INDIRECT($J$4&amp;"!C151")</f>
        <v>Factors identification / Influent factors</v>
      </c>
      <c r="E151" s="1831"/>
      <c r="F151" s="1831"/>
      <c r="G151" s="1831"/>
      <c r="H151" s="1831"/>
      <c r="I151" s="1831"/>
      <c r="J151" s="1831"/>
      <c r="K151" s="1831"/>
      <c r="L151" s="1831"/>
      <c r="M151" s="1831"/>
      <c r="N151" s="1831"/>
      <c r="O151" s="1831"/>
      <c r="P151" s="1831"/>
      <c r="Q151" s="1831"/>
      <c r="R151" s="1831"/>
      <c r="S151" s="1831"/>
      <c r="T151" s="1831"/>
      <c r="U151" s="1831"/>
      <c r="V151" s="1831"/>
      <c r="W151" s="1831"/>
      <c r="X151" s="1831"/>
      <c r="Y151" s="1831"/>
      <c r="Z151" s="1831"/>
      <c r="AA151" s="1831"/>
      <c r="AB151" s="1831"/>
      <c r="AC151" s="1815" t="str">
        <f ca="1">INDIRECT($J$4&amp;"!C164")</f>
        <v>Corrective Action</v>
      </c>
      <c r="AD151" s="1815"/>
      <c r="AE151" s="1815"/>
      <c r="AF151" s="1815"/>
      <c r="AG151" s="1815"/>
      <c r="AH151" s="1815"/>
      <c r="AI151" s="1815"/>
      <c r="AJ151" s="1815"/>
      <c r="AK151" s="1815"/>
      <c r="AL151" s="1815"/>
      <c r="AM151" s="1815"/>
      <c r="AN151" s="1815"/>
      <c r="AO151" s="1815"/>
      <c r="AP151" s="1815"/>
      <c r="AQ151" s="1815"/>
      <c r="AR151" s="1815"/>
      <c r="AS151" s="1815"/>
      <c r="AT151" s="1815"/>
      <c r="AU151" s="1815"/>
      <c r="AV151" s="1815"/>
      <c r="AW151" s="1815"/>
      <c r="AX151" s="1815"/>
      <c r="AY151" s="1815"/>
      <c r="AZ151" s="1815"/>
      <c r="BA151" s="1815"/>
      <c r="BB151" s="1815"/>
      <c r="BC151" s="1815"/>
      <c r="BD151" s="1815"/>
      <c r="BE151" s="1815"/>
      <c r="BF151" s="1815"/>
      <c r="BG151" s="1815"/>
      <c r="BH151" s="1815"/>
      <c r="BI151" s="1815"/>
      <c r="BJ151" s="1815"/>
      <c r="BK151" s="1815"/>
      <c r="BL151" s="1815"/>
      <c r="BM151" s="1815"/>
      <c r="BN151" s="1815"/>
      <c r="BO151" s="1815"/>
      <c r="BP151" s="305"/>
      <c r="BQ151" s="1832" t="str">
        <f ca="1">INDIRECT($J$4&amp;"!C83")</f>
        <v>Responsible</v>
      </c>
      <c r="BR151" s="1832"/>
      <c r="BS151" s="1832"/>
      <c r="BT151" s="1832"/>
      <c r="BU151" s="1832"/>
      <c r="BV151" s="1832"/>
      <c r="BW151" s="1832"/>
      <c r="BX151" s="1832"/>
      <c r="BY151" s="1832"/>
      <c r="BZ151" s="2141" t="str">
        <f ca="1">INDIRECT($J$4&amp;"!C166")</f>
        <v>Target Date</v>
      </c>
      <c r="CA151" s="2141"/>
      <c r="CB151" s="2141"/>
      <c r="CC151" s="2141"/>
      <c r="CD151" s="2141"/>
      <c r="CE151" s="2141"/>
      <c r="CF151" s="2141"/>
      <c r="CG151" s="1832" t="str">
        <f ca="1">INDIRECT($J$4&amp;"!C84")</f>
        <v>Impl. Date</v>
      </c>
      <c r="CH151" s="1832"/>
      <c r="CI151" s="1832"/>
      <c r="CJ151" s="1832"/>
      <c r="CK151" s="1832"/>
      <c r="CL151" s="1832"/>
      <c r="CM151" s="1832"/>
      <c r="CN151" s="305"/>
      <c r="CO151" s="1827" t="str">
        <f ca="1">INDIRECT($J$4&amp;"!C256")</f>
        <v>Hazard/ Risk</v>
      </c>
      <c r="CP151" s="1827"/>
      <c r="CQ151" s="1827"/>
      <c r="CR151" s="1827"/>
      <c r="CS151" s="1827"/>
      <c r="CT151" s="1827"/>
      <c r="CU151" s="1827"/>
      <c r="CV151" s="1827"/>
      <c r="CW151" s="1827"/>
      <c r="CX151" s="1827"/>
      <c r="CY151" s="1827"/>
      <c r="CZ151" s="1827"/>
      <c r="DA151" s="1031"/>
      <c r="DB151" s="1031"/>
      <c r="DC151" s="1031"/>
      <c r="DD151" s="1827" t="str">
        <f ca="1">INDIRECT($J$4&amp;"!C246")</f>
        <v>Level</v>
      </c>
      <c r="DE151" s="1827"/>
      <c r="DF151" s="1827"/>
      <c r="DG151" s="1827"/>
      <c r="DH151" s="378"/>
      <c r="DI151" s="1832" t="str">
        <f ca="1">INDIRECT($J$4&amp;"!C259")</f>
        <v>Measures</v>
      </c>
      <c r="DJ151" s="1832"/>
      <c r="DK151" s="1832"/>
      <c r="DL151" s="1832"/>
      <c r="DM151" s="1832"/>
      <c r="DN151" s="1832"/>
      <c r="DO151" s="1832"/>
      <c r="DP151" s="1832"/>
      <c r="DQ151" s="1832"/>
      <c r="DR151" s="1832"/>
      <c r="DS151" s="1010"/>
      <c r="DT151" s="311"/>
    </row>
    <row r="152" spans="1:124" ht="6" customHeight="1">
      <c r="B152" s="312"/>
      <c r="C152" s="305"/>
      <c r="D152" s="600"/>
      <c r="E152" s="601"/>
      <c r="F152" s="601"/>
      <c r="G152" s="601"/>
      <c r="H152" s="601"/>
      <c r="I152" s="601"/>
      <c r="J152" s="601"/>
      <c r="K152" s="601"/>
      <c r="L152" s="601"/>
      <c r="M152" s="602"/>
      <c r="N152" s="602"/>
      <c r="O152" s="602"/>
      <c r="P152" s="602"/>
      <c r="Q152" s="602"/>
      <c r="R152" s="602"/>
      <c r="S152" s="602"/>
      <c r="T152" s="602"/>
      <c r="U152" s="602"/>
      <c r="V152" s="602"/>
      <c r="W152" s="602"/>
      <c r="X152" s="602"/>
      <c r="Y152" s="602"/>
      <c r="Z152" s="602"/>
      <c r="AA152" s="602"/>
      <c r="AB152" s="305"/>
      <c r="AC152" s="305"/>
      <c r="AD152" s="305"/>
      <c r="AE152" s="305"/>
      <c r="AF152" s="305"/>
      <c r="AG152" s="305"/>
      <c r="AH152" s="305"/>
      <c r="AI152" s="305"/>
      <c r="AJ152" s="305"/>
      <c r="AK152" s="305"/>
      <c r="AL152" s="305"/>
      <c r="AM152" s="305"/>
      <c r="AN152" s="305"/>
      <c r="AO152" s="305"/>
      <c r="AP152" s="305"/>
      <c r="AQ152" s="305"/>
      <c r="AR152" s="305"/>
      <c r="AS152" s="305"/>
      <c r="AT152" s="305"/>
      <c r="AU152" s="305"/>
      <c r="AV152" s="305"/>
      <c r="AW152" s="305"/>
      <c r="AX152" s="305"/>
      <c r="AY152" s="305"/>
      <c r="AZ152" s="305"/>
      <c r="BA152" s="305"/>
      <c r="BB152" s="305"/>
      <c r="BC152" s="305"/>
      <c r="BD152" s="305"/>
      <c r="BE152" s="305"/>
      <c r="BF152" s="305"/>
      <c r="BG152" s="305"/>
      <c r="BH152" s="305"/>
      <c r="BI152" s="305"/>
      <c r="BJ152" s="305"/>
      <c r="BK152" s="305"/>
      <c r="BL152" s="305"/>
      <c r="BM152" s="305"/>
      <c r="BN152" s="305"/>
      <c r="BO152" s="305"/>
      <c r="BP152" s="305"/>
      <c r="BQ152" s="305"/>
      <c r="BR152" s="305"/>
      <c r="BS152" s="305"/>
      <c r="BT152" s="305"/>
      <c r="BU152" s="305"/>
      <c r="BV152" s="305"/>
      <c r="BW152" s="305"/>
      <c r="BX152" s="305"/>
      <c r="BY152" s="305"/>
      <c r="BZ152" s="305"/>
      <c r="CA152" s="305"/>
      <c r="CB152" s="305"/>
      <c r="CC152" s="305"/>
      <c r="CD152" s="305"/>
      <c r="CE152" s="305"/>
      <c r="CF152" s="305"/>
      <c r="CG152" s="305"/>
      <c r="CH152" s="305"/>
      <c r="CI152" s="305"/>
      <c r="CJ152" s="305"/>
      <c r="CK152" s="305"/>
      <c r="CL152" s="305"/>
      <c r="CM152" s="305"/>
      <c r="CN152" s="305"/>
      <c r="CO152" s="602"/>
      <c r="CP152" s="602"/>
      <c r="CQ152" s="602"/>
      <c r="CR152" s="602"/>
      <c r="CS152" s="602"/>
      <c r="CT152" s="602"/>
      <c r="CU152" s="602"/>
      <c r="CV152" s="602"/>
      <c r="CW152" s="602"/>
      <c r="CX152" s="602"/>
      <c r="CY152" s="602"/>
      <c r="CZ152" s="602"/>
      <c r="DA152" s="602"/>
      <c r="DB152" s="602"/>
      <c r="DC152" s="602"/>
      <c r="DD152" s="602"/>
      <c r="DE152" s="602"/>
      <c r="DF152" s="602"/>
      <c r="DG152" s="602"/>
      <c r="DH152" s="602"/>
      <c r="DI152" s="602"/>
      <c r="DJ152" s="602"/>
      <c r="DK152" s="602"/>
      <c r="DL152" s="1010"/>
      <c r="DM152" s="602"/>
      <c r="DN152" s="602"/>
      <c r="DO152" s="602"/>
      <c r="DP152" s="602"/>
      <c r="DQ152" s="602"/>
      <c r="DR152" s="602"/>
      <c r="DS152" s="532"/>
      <c r="DT152" s="311"/>
    </row>
    <row r="153" spans="1:124" ht="27" customHeight="1">
      <c r="B153" s="312"/>
      <c r="C153" s="313"/>
      <c r="D153" s="2140"/>
      <c r="E153" s="2130"/>
      <c r="F153" s="2130"/>
      <c r="G153" s="2130"/>
      <c r="H153" s="2131"/>
      <c r="I153" s="2132"/>
      <c r="J153" s="2132"/>
      <c r="K153" s="2132"/>
      <c r="L153" s="2132"/>
      <c r="M153" s="2132"/>
      <c r="N153" s="2132"/>
      <c r="O153" s="2132"/>
      <c r="P153" s="2132"/>
      <c r="Q153" s="2132"/>
      <c r="R153" s="2132"/>
      <c r="S153" s="2132"/>
      <c r="T153" s="2132"/>
      <c r="U153" s="2132"/>
      <c r="V153" s="2132"/>
      <c r="W153" s="2132"/>
      <c r="X153" s="2132"/>
      <c r="Y153" s="2132"/>
      <c r="Z153" s="2132"/>
      <c r="AA153" s="2132"/>
      <c r="AB153" s="2132"/>
      <c r="AC153" s="2133"/>
      <c r="AD153" s="2133"/>
      <c r="AE153" s="2133"/>
      <c r="AF153" s="2133"/>
      <c r="AG153" s="2133"/>
      <c r="AH153" s="2133"/>
      <c r="AI153" s="2133"/>
      <c r="AJ153" s="2133"/>
      <c r="AK153" s="2133"/>
      <c r="AL153" s="2133"/>
      <c r="AM153" s="2133"/>
      <c r="AN153" s="2133"/>
      <c r="AO153" s="2133"/>
      <c r="AP153" s="2133"/>
      <c r="AQ153" s="2133"/>
      <c r="AR153" s="2133"/>
      <c r="AS153" s="2133"/>
      <c r="AT153" s="2133"/>
      <c r="AU153" s="2133"/>
      <c r="AV153" s="2133"/>
      <c r="AW153" s="2133"/>
      <c r="AX153" s="2133"/>
      <c r="AY153" s="2133"/>
      <c r="AZ153" s="2133"/>
      <c r="BA153" s="2133"/>
      <c r="BB153" s="2133"/>
      <c r="BC153" s="2133"/>
      <c r="BD153" s="2133"/>
      <c r="BE153" s="2133"/>
      <c r="BF153" s="2133"/>
      <c r="BG153" s="2133"/>
      <c r="BH153" s="2133"/>
      <c r="BI153" s="2133"/>
      <c r="BJ153" s="2133"/>
      <c r="BK153" s="2133"/>
      <c r="BL153" s="2133"/>
      <c r="BM153" s="2133"/>
      <c r="BN153" s="2133"/>
      <c r="BO153" s="2133"/>
      <c r="BP153" s="2133"/>
      <c r="BQ153" s="2134"/>
      <c r="BR153" s="2134"/>
      <c r="BS153" s="2134"/>
      <c r="BT153" s="2134"/>
      <c r="BU153" s="2134"/>
      <c r="BV153" s="2134"/>
      <c r="BW153" s="2134"/>
      <c r="BX153" s="2134"/>
      <c r="BY153" s="2134"/>
      <c r="BZ153" s="2135"/>
      <c r="CA153" s="2135"/>
      <c r="CB153" s="2135"/>
      <c r="CC153" s="2135"/>
      <c r="CD153" s="2135"/>
      <c r="CE153" s="2135"/>
      <c r="CF153" s="2135"/>
      <c r="CG153" s="2135"/>
      <c r="CH153" s="2135"/>
      <c r="CI153" s="2135"/>
      <c r="CJ153" s="2135"/>
      <c r="CK153" s="2135"/>
      <c r="CL153" s="2135"/>
      <c r="CM153" s="2135"/>
      <c r="CN153" s="305"/>
      <c r="CO153" s="1826"/>
      <c r="CP153" s="1826"/>
      <c r="CQ153" s="1826"/>
      <c r="CR153" s="1826"/>
      <c r="CS153" s="1826"/>
      <c r="CT153" s="1826"/>
      <c r="CU153" s="1826"/>
      <c r="CV153" s="1826"/>
      <c r="CW153" s="1826"/>
      <c r="CX153" s="1826"/>
      <c r="CY153" s="1826"/>
      <c r="CZ153" s="1826"/>
      <c r="DA153" s="1826"/>
      <c r="DB153" s="1826"/>
      <c r="DC153" s="1826"/>
      <c r="DD153" s="2139"/>
      <c r="DE153" s="2139"/>
      <c r="DF153" s="2139"/>
      <c r="DG153" s="2139"/>
      <c r="DH153" s="1817"/>
      <c r="DI153" s="1818"/>
      <c r="DJ153" s="1818"/>
      <c r="DK153" s="1818"/>
      <c r="DL153" s="1818"/>
      <c r="DM153" s="1818"/>
      <c r="DN153" s="1818"/>
      <c r="DO153" s="1818"/>
      <c r="DP153" s="1818"/>
      <c r="DQ153" s="1818"/>
      <c r="DR153" s="1819"/>
      <c r="DS153" s="1010"/>
      <c r="DT153" s="311"/>
    </row>
    <row r="154" spans="1:124" ht="27" customHeight="1">
      <c r="B154" s="312"/>
      <c r="C154" s="313"/>
      <c r="D154" s="2129"/>
      <c r="E154" s="2130"/>
      <c r="F154" s="2130"/>
      <c r="G154" s="2130"/>
      <c r="H154" s="2131"/>
      <c r="I154" s="2132"/>
      <c r="J154" s="2132"/>
      <c r="K154" s="2132"/>
      <c r="L154" s="2132"/>
      <c r="M154" s="2132"/>
      <c r="N154" s="2132"/>
      <c r="O154" s="2132"/>
      <c r="P154" s="2132"/>
      <c r="Q154" s="2132"/>
      <c r="R154" s="2132"/>
      <c r="S154" s="2132"/>
      <c r="T154" s="2132"/>
      <c r="U154" s="2132"/>
      <c r="V154" s="2132"/>
      <c r="W154" s="2132"/>
      <c r="X154" s="2132"/>
      <c r="Y154" s="2132"/>
      <c r="Z154" s="2132"/>
      <c r="AA154" s="2132"/>
      <c r="AB154" s="2132"/>
      <c r="AC154" s="2133"/>
      <c r="AD154" s="2133"/>
      <c r="AE154" s="2133"/>
      <c r="AF154" s="2133"/>
      <c r="AG154" s="2133"/>
      <c r="AH154" s="2133"/>
      <c r="AI154" s="2133"/>
      <c r="AJ154" s="2133"/>
      <c r="AK154" s="2133"/>
      <c r="AL154" s="2133"/>
      <c r="AM154" s="2133"/>
      <c r="AN154" s="2133"/>
      <c r="AO154" s="2133"/>
      <c r="AP154" s="2133"/>
      <c r="AQ154" s="2133"/>
      <c r="AR154" s="2133"/>
      <c r="AS154" s="2133"/>
      <c r="AT154" s="2133"/>
      <c r="AU154" s="2133"/>
      <c r="AV154" s="2133"/>
      <c r="AW154" s="2133"/>
      <c r="AX154" s="2133"/>
      <c r="AY154" s="2133"/>
      <c r="AZ154" s="2133"/>
      <c r="BA154" s="2133"/>
      <c r="BB154" s="2133"/>
      <c r="BC154" s="2133"/>
      <c r="BD154" s="2133"/>
      <c r="BE154" s="2133"/>
      <c r="BF154" s="2133"/>
      <c r="BG154" s="2133"/>
      <c r="BH154" s="2133"/>
      <c r="BI154" s="2133"/>
      <c r="BJ154" s="2133"/>
      <c r="BK154" s="2133"/>
      <c r="BL154" s="2133"/>
      <c r="BM154" s="2133"/>
      <c r="BN154" s="2133"/>
      <c r="BO154" s="2133"/>
      <c r="BP154" s="2133"/>
      <c r="BQ154" s="2136"/>
      <c r="BR154" s="2137"/>
      <c r="BS154" s="2137"/>
      <c r="BT154" s="2137"/>
      <c r="BU154" s="2137"/>
      <c r="BV154" s="2137"/>
      <c r="BW154" s="2137"/>
      <c r="BX154" s="2137"/>
      <c r="BY154" s="2138"/>
      <c r="BZ154" s="2135"/>
      <c r="CA154" s="2135"/>
      <c r="CB154" s="2135"/>
      <c r="CC154" s="2135"/>
      <c r="CD154" s="2135"/>
      <c r="CE154" s="2135"/>
      <c r="CF154" s="2135"/>
      <c r="CG154" s="2135"/>
      <c r="CH154" s="2135"/>
      <c r="CI154" s="2135"/>
      <c r="CJ154" s="2135"/>
      <c r="CK154" s="2135"/>
      <c r="CL154" s="2135"/>
      <c r="CM154" s="2135"/>
      <c r="CN154" s="305"/>
      <c r="CO154" s="1826"/>
      <c r="CP154" s="1826"/>
      <c r="CQ154" s="1826"/>
      <c r="CR154" s="1826"/>
      <c r="CS154" s="1826"/>
      <c r="CT154" s="1826"/>
      <c r="CU154" s="1826"/>
      <c r="CV154" s="1826"/>
      <c r="CW154" s="1826"/>
      <c r="CX154" s="1826"/>
      <c r="CY154" s="1826"/>
      <c r="CZ154" s="1826"/>
      <c r="DA154" s="1826"/>
      <c r="DB154" s="1826"/>
      <c r="DC154" s="1826"/>
      <c r="DD154" s="2139"/>
      <c r="DE154" s="2139"/>
      <c r="DF154" s="2139"/>
      <c r="DG154" s="2139"/>
      <c r="DH154" s="1817"/>
      <c r="DI154" s="1818"/>
      <c r="DJ154" s="1818"/>
      <c r="DK154" s="1818"/>
      <c r="DL154" s="1818"/>
      <c r="DM154" s="1818"/>
      <c r="DN154" s="1818"/>
      <c r="DO154" s="1818"/>
      <c r="DP154" s="1818"/>
      <c r="DQ154" s="1818"/>
      <c r="DR154" s="1819"/>
      <c r="DS154" s="1010"/>
      <c r="DT154" s="311"/>
    </row>
    <row r="155" spans="1:124" ht="27" customHeight="1">
      <c r="B155" s="312"/>
      <c r="C155" s="313"/>
      <c r="D155" s="2129"/>
      <c r="E155" s="2130"/>
      <c r="F155" s="2130"/>
      <c r="G155" s="2130"/>
      <c r="H155" s="2131"/>
      <c r="I155" s="2132"/>
      <c r="J155" s="2132"/>
      <c r="K155" s="2132"/>
      <c r="L155" s="2132"/>
      <c r="M155" s="2132"/>
      <c r="N155" s="2132"/>
      <c r="O155" s="2132"/>
      <c r="P155" s="2132"/>
      <c r="Q155" s="2132"/>
      <c r="R155" s="2132"/>
      <c r="S155" s="2132"/>
      <c r="T155" s="2132"/>
      <c r="U155" s="2132"/>
      <c r="V155" s="2132"/>
      <c r="W155" s="2132"/>
      <c r="X155" s="2132"/>
      <c r="Y155" s="2132"/>
      <c r="Z155" s="2132"/>
      <c r="AA155" s="2132"/>
      <c r="AB155" s="2132"/>
      <c r="AC155" s="2133"/>
      <c r="AD155" s="2133"/>
      <c r="AE155" s="2133"/>
      <c r="AF155" s="2133"/>
      <c r="AG155" s="2133"/>
      <c r="AH155" s="2133"/>
      <c r="AI155" s="2133"/>
      <c r="AJ155" s="2133"/>
      <c r="AK155" s="2133"/>
      <c r="AL155" s="2133"/>
      <c r="AM155" s="2133"/>
      <c r="AN155" s="2133"/>
      <c r="AO155" s="2133"/>
      <c r="AP155" s="2133"/>
      <c r="AQ155" s="2133"/>
      <c r="AR155" s="2133"/>
      <c r="AS155" s="2133"/>
      <c r="AT155" s="2133"/>
      <c r="AU155" s="2133"/>
      <c r="AV155" s="2133"/>
      <c r="AW155" s="2133"/>
      <c r="AX155" s="2133"/>
      <c r="AY155" s="2133"/>
      <c r="AZ155" s="2133"/>
      <c r="BA155" s="2133"/>
      <c r="BB155" s="2133"/>
      <c r="BC155" s="2133"/>
      <c r="BD155" s="2133"/>
      <c r="BE155" s="2133"/>
      <c r="BF155" s="2133"/>
      <c r="BG155" s="2133"/>
      <c r="BH155" s="2133"/>
      <c r="BI155" s="2133"/>
      <c r="BJ155" s="2133"/>
      <c r="BK155" s="2133"/>
      <c r="BL155" s="2133"/>
      <c r="BM155" s="2133"/>
      <c r="BN155" s="2133"/>
      <c r="BO155" s="2133"/>
      <c r="BP155" s="2133"/>
      <c r="BQ155" s="2136"/>
      <c r="BR155" s="2137"/>
      <c r="BS155" s="2137"/>
      <c r="BT155" s="2137"/>
      <c r="BU155" s="2137"/>
      <c r="BV155" s="2137"/>
      <c r="BW155" s="2137"/>
      <c r="BX155" s="2137"/>
      <c r="BY155" s="2138"/>
      <c r="BZ155" s="2135"/>
      <c r="CA155" s="2135"/>
      <c r="CB155" s="2135"/>
      <c r="CC155" s="2135"/>
      <c r="CD155" s="2135"/>
      <c r="CE155" s="2135"/>
      <c r="CF155" s="2135"/>
      <c r="CG155" s="2135"/>
      <c r="CH155" s="2135"/>
      <c r="CI155" s="2135"/>
      <c r="CJ155" s="2135"/>
      <c r="CK155" s="2135"/>
      <c r="CL155" s="2135"/>
      <c r="CM155" s="2135"/>
      <c r="CN155" s="305"/>
      <c r="CO155" s="1826"/>
      <c r="CP155" s="1826"/>
      <c r="CQ155" s="1826"/>
      <c r="CR155" s="1826"/>
      <c r="CS155" s="1826"/>
      <c r="CT155" s="1826"/>
      <c r="CU155" s="1826"/>
      <c r="CV155" s="1826"/>
      <c r="CW155" s="1826"/>
      <c r="CX155" s="1826"/>
      <c r="CY155" s="1826"/>
      <c r="CZ155" s="1826"/>
      <c r="DA155" s="1826"/>
      <c r="DB155" s="1826"/>
      <c r="DC155" s="1826"/>
      <c r="DD155" s="2139"/>
      <c r="DE155" s="2139"/>
      <c r="DF155" s="2139"/>
      <c r="DG155" s="2139"/>
      <c r="DH155" s="1817"/>
      <c r="DI155" s="1818"/>
      <c r="DJ155" s="1818"/>
      <c r="DK155" s="1818"/>
      <c r="DL155" s="1818"/>
      <c r="DM155" s="1818"/>
      <c r="DN155" s="1818"/>
      <c r="DO155" s="1818"/>
      <c r="DP155" s="1818"/>
      <c r="DQ155" s="1818"/>
      <c r="DR155" s="1819"/>
      <c r="DS155" s="1010"/>
      <c r="DT155" s="311"/>
    </row>
    <row r="156" spans="1:124" ht="27" customHeight="1">
      <c r="B156" s="312"/>
      <c r="C156" s="313"/>
      <c r="D156" s="2129"/>
      <c r="E156" s="2130"/>
      <c r="F156" s="2130"/>
      <c r="G156" s="2130"/>
      <c r="H156" s="2131"/>
      <c r="I156" s="2132"/>
      <c r="J156" s="2132"/>
      <c r="K156" s="2132"/>
      <c r="L156" s="2132"/>
      <c r="M156" s="2132"/>
      <c r="N156" s="2132"/>
      <c r="O156" s="2132"/>
      <c r="P156" s="2132"/>
      <c r="Q156" s="2132"/>
      <c r="R156" s="2132"/>
      <c r="S156" s="2132"/>
      <c r="T156" s="2132"/>
      <c r="U156" s="2132"/>
      <c r="V156" s="2132"/>
      <c r="W156" s="2132"/>
      <c r="X156" s="2132"/>
      <c r="Y156" s="2132"/>
      <c r="Z156" s="2132"/>
      <c r="AA156" s="2132"/>
      <c r="AB156" s="2132"/>
      <c r="AC156" s="2133"/>
      <c r="AD156" s="2133"/>
      <c r="AE156" s="2133"/>
      <c r="AF156" s="2133"/>
      <c r="AG156" s="2133"/>
      <c r="AH156" s="2133"/>
      <c r="AI156" s="2133"/>
      <c r="AJ156" s="2133"/>
      <c r="AK156" s="2133"/>
      <c r="AL156" s="2133"/>
      <c r="AM156" s="2133"/>
      <c r="AN156" s="2133"/>
      <c r="AO156" s="2133"/>
      <c r="AP156" s="2133"/>
      <c r="AQ156" s="2133"/>
      <c r="AR156" s="2133"/>
      <c r="AS156" s="2133"/>
      <c r="AT156" s="2133"/>
      <c r="AU156" s="2133"/>
      <c r="AV156" s="2133"/>
      <c r="AW156" s="2133"/>
      <c r="AX156" s="2133"/>
      <c r="AY156" s="2133"/>
      <c r="AZ156" s="2133"/>
      <c r="BA156" s="2133"/>
      <c r="BB156" s="2133"/>
      <c r="BC156" s="2133"/>
      <c r="BD156" s="2133"/>
      <c r="BE156" s="2133"/>
      <c r="BF156" s="2133"/>
      <c r="BG156" s="2133"/>
      <c r="BH156" s="2133"/>
      <c r="BI156" s="2133"/>
      <c r="BJ156" s="2133"/>
      <c r="BK156" s="2133"/>
      <c r="BL156" s="2133"/>
      <c r="BM156" s="2133"/>
      <c r="BN156" s="2133"/>
      <c r="BO156" s="2133"/>
      <c r="BP156" s="2133"/>
      <c r="BQ156" s="2136"/>
      <c r="BR156" s="2137"/>
      <c r="BS156" s="2137"/>
      <c r="BT156" s="2137"/>
      <c r="BU156" s="2137"/>
      <c r="BV156" s="2137"/>
      <c r="BW156" s="2137"/>
      <c r="BX156" s="2137"/>
      <c r="BY156" s="2138"/>
      <c r="BZ156" s="2135"/>
      <c r="CA156" s="2135"/>
      <c r="CB156" s="2135"/>
      <c r="CC156" s="2135"/>
      <c r="CD156" s="2135"/>
      <c r="CE156" s="2135"/>
      <c r="CF156" s="2135"/>
      <c r="CG156" s="2135"/>
      <c r="CH156" s="2135"/>
      <c r="CI156" s="2135"/>
      <c r="CJ156" s="2135"/>
      <c r="CK156" s="2135"/>
      <c r="CL156" s="2135"/>
      <c r="CM156" s="2135"/>
      <c r="CN156" s="305"/>
      <c r="CO156" s="1826"/>
      <c r="CP156" s="1826"/>
      <c r="CQ156" s="1826"/>
      <c r="CR156" s="1826"/>
      <c r="CS156" s="1826"/>
      <c r="CT156" s="1826"/>
      <c r="CU156" s="1826"/>
      <c r="CV156" s="1826"/>
      <c r="CW156" s="1826"/>
      <c r="CX156" s="1826"/>
      <c r="CY156" s="1826"/>
      <c r="CZ156" s="1826"/>
      <c r="DA156" s="1826"/>
      <c r="DB156" s="1826"/>
      <c r="DC156" s="1826"/>
      <c r="DD156" s="2139"/>
      <c r="DE156" s="2139"/>
      <c r="DF156" s="2139"/>
      <c r="DG156" s="2139"/>
      <c r="DH156" s="1817"/>
      <c r="DI156" s="1818"/>
      <c r="DJ156" s="1818"/>
      <c r="DK156" s="1818"/>
      <c r="DL156" s="1818"/>
      <c r="DM156" s="1818"/>
      <c r="DN156" s="1818"/>
      <c r="DO156" s="1818"/>
      <c r="DP156" s="1818"/>
      <c r="DQ156" s="1818"/>
      <c r="DR156" s="1819"/>
      <c r="DS156" s="1010"/>
      <c r="DT156" s="311"/>
    </row>
    <row r="157" spans="1:124" ht="27" customHeight="1">
      <c r="B157" s="312"/>
      <c r="C157" s="313"/>
      <c r="D157" s="2129"/>
      <c r="E157" s="2130"/>
      <c r="F157" s="2130"/>
      <c r="G157" s="2130"/>
      <c r="H157" s="2131"/>
      <c r="I157" s="2132"/>
      <c r="J157" s="2132"/>
      <c r="K157" s="2132"/>
      <c r="L157" s="2132"/>
      <c r="M157" s="2132"/>
      <c r="N157" s="2132"/>
      <c r="O157" s="2132"/>
      <c r="P157" s="2132"/>
      <c r="Q157" s="2132"/>
      <c r="R157" s="2132"/>
      <c r="S157" s="2132"/>
      <c r="T157" s="2132"/>
      <c r="U157" s="2132"/>
      <c r="V157" s="2132"/>
      <c r="W157" s="2132"/>
      <c r="X157" s="2132"/>
      <c r="Y157" s="2132"/>
      <c r="Z157" s="2132"/>
      <c r="AA157" s="2132"/>
      <c r="AB157" s="2132"/>
      <c r="AC157" s="2133"/>
      <c r="AD157" s="2133"/>
      <c r="AE157" s="2133"/>
      <c r="AF157" s="2133"/>
      <c r="AG157" s="2133"/>
      <c r="AH157" s="2133"/>
      <c r="AI157" s="2133"/>
      <c r="AJ157" s="2133"/>
      <c r="AK157" s="2133"/>
      <c r="AL157" s="2133"/>
      <c r="AM157" s="2133"/>
      <c r="AN157" s="2133"/>
      <c r="AO157" s="2133"/>
      <c r="AP157" s="2133"/>
      <c r="AQ157" s="2133"/>
      <c r="AR157" s="2133"/>
      <c r="AS157" s="2133"/>
      <c r="AT157" s="2133"/>
      <c r="AU157" s="2133"/>
      <c r="AV157" s="2133"/>
      <c r="AW157" s="2133"/>
      <c r="AX157" s="2133"/>
      <c r="AY157" s="2133"/>
      <c r="AZ157" s="2133"/>
      <c r="BA157" s="2133"/>
      <c r="BB157" s="2133"/>
      <c r="BC157" s="2133"/>
      <c r="BD157" s="2133"/>
      <c r="BE157" s="2133"/>
      <c r="BF157" s="2133"/>
      <c r="BG157" s="2133"/>
      <c r="BH157" s="2133"/>
      <c r="BI157" s="2133"/>
      <c r="BJ157" s="2133"/>
      <c r="BK157" s="2133"/>
      <c r="BL157" s="2133"/>
      <c r="BM157" s="2133"/>
      <c r="BN157" s="2133"/>
      <c r="BO157" s="2133"/>
      <c r="BP157" s="2133"/>
      <c r="BQ157" s="2136"/>
      <c r="BR157" s="2137"/>
      <c r="BS157" s="2137"/>
      <c r="BT157" s="2137"/>
      <c r="BU157" s="2137"/>
      <c r="BV157" s="2137"/>
      <c r="BW157" s="2137"/>
      <c r="BX157" s="2137"/>
      <c r="BY157" s="2138"/>
      <c r="BZ157" s="2135"/>
      <c r="CA157" s="2135"/>
      <c r="CB157" s="2135"/>
      <c r="CC157" s="2135"/>
      <c r="CD157" s="2135"/>
      <c r="CE157" s="2135"/>
      <c r="CF157" s="2135"/>
      <c r="CG157" s="2135"/>
      <c r="CH157" s="2135"/>
      <c r="CI157" s="2135"/>
      <c r="CJ157" s="2135"/>
      <c r="CK157" s="2135"/>
      <c r="CL157" s="2135"/>
      <c r="CM157" s="2135"/>
      <c r="CN157" s="305"/>
      <c r="CO157" s="1826"/>
      <c r="CP157" s="1826"/>
      <c r="CQ157" s="1826"/>
      <c r="CR157" s="1826"/>
      <c r="CS157" s="1826"/>
      <c r="CT157" s="1826"/>
      <c r="CU157" s="1826"/>
      <c r="CV157" s="1826"/>
      <c r="CW157" s="1826"/>
      <c r="CX157" s="1826"/>
      <c r="CY157" s="1826"/>
      <c r="CZ157" s="1826"/>
      <c r="DA157" s="1826"/>
      <c r="DB157" s="1826"/>
      <c r="DC157" s="1826"/>
      <c r="DD157" s="2139"/>
      <c r="DE157" s="2139"/>
      <c r="DF157" s="2139"/>
      <c r="DG157" s="2139"/>
      <c r="DH157" s="1817"/>
      <c r="DI157" s="1818"/>
      <c r="DJ157" s="1818"/>
      <c r="DK157" s="1818"/>
      <c r="DL157" s="1818"/>
      <c r="DM157" s="1818"/>
      <c r="DN157" s="1818"/>
      <c r="DO157" s="1818"/>
      <c r="DP157" s="1818"/>
      <c r="DQ157" s="1818"/>
      <c r="DR157" s="1819"/>
      <c r="DS157" s="1010"/>
      <c r="DT157" s="311"/>
    </row>
    <row r="158" spans="1:124" ht="27" customHeight="1">
      <c r="B158" s="312"/>
      <c r="C158" s="313"/>
      <c r="D158" s="2129"/>
      <c r="E158" s="2130"/>
      <c r="F158" s="2130"/>
      <c r="G158" s="2130"/>
      <c r="H158" s="2131"/>
      <c r="I158" s="2132"/>
      <c r="J158" s="2132"/>
      <c r="K158" s="2132"/>
      <c r="L158" s="2132"/>
      <c r="M158" s="2132"/>
      <c r="N158" s="2132"/>
      <c r="O158" s="2132"/>
      <c r="P158" s="2132"/>
      <c r="Q158" s="2132"/>
      <c r="R158" s="2132"/>
      <c r="S158" s="2132"/>
      <c r="T158" s="2132"/>
      <c r="U158" s="2132"/>
      <c r="V158" s="2132"/>
      <c r="W158" s="2132"/>
      <c r="X158" s="2132"/>
      <c r="Y158" s="2132"/>
      <c r="Z158" s="2132"/>
      <c r="AA158" s="2132"/>
      <c r="AB158" s="2132"/>
      <c r="AC158" s="2133"/>
      <c r="AD158" s="2133"/>
      <c r="AE158" s="2133"/>
      <c r="AF158" s="2133"/>
      <c r="AG158" s="2133"/>
      <c r="AH158" s="2133"/>
      <c r="AI158" s="2133"/>
      <c r="AJ158" s="2133"/>
      <c r="AK158" s="2133"/>
      <c r="AL158" s="2133"/>
      <c r="AM158" s="2133"/>
      <c r="AN158" s="2133"/>
      <c r="AO158" s="2133"/>
      <c r="AP158" s="2133"/>
      <c r="AQ158" s="2133"/>
      <c r="AR158" s="2133"/>
      <c r="AS158" s="2133"/>
      <c r="AT158" s="2133"/>
      <c r="AU158" s="2133"/>
      <c r="AV158" s="2133"/>
      <c r="AW158" s="2133"/>
      <c r="AX158" s="2133"/>
      <c r="AY158" s="2133"/>
      <c r="AZ158" s="2133"/>
      <c r="BA158" s="2133"/>
      <c r="BB158" s="2133"/>
      <c r="BC158" s="2133"/>
      <c r="BD158" s="2133"/>
      <c r="BE158" s="2133"/>
      <c r="BF158" s="2133"/>
      <c r="BG158" s="2133"/>
      <c r="BH158" s="2133"/>
      <c r="BI158" s="2133"/>
      <c r="BJ158" s="2133"/>
      <c r="BK158" s="2133"/>
      <c r="BL158" s="2133"/>
      <c r="BM158" s="2133"/>
      <c r="BN158" s="2133"/>
      <c r="BO158" s="2133"/>
      <c r="BP158" s="2133"/>
      <c r="BQ158" s="2136"/>
      <c r="BR158" s="2137"/>
      <c r="BS158" s="2137"/>
      <c r="BT158" s="2137"/>
      <c r="BU158" s="2137"/>
      <c r="BV158" s="2137"/>
      <c r="BW158" s="2137"/>
      <c r="BX158" s="2137"/>
      <c r="BY158" s="2138"/>
      <c r="BZ158" s="2135"/>
      <c r="CA158" s="2135"/>
      <c r="CB158" s="2135"/>
      <c r="CC158" s="2135"/>
      <c r="CD158" s="2135"/>
      <c r="CE158" s="2135"/>
      <c r="CF158" s="2135"/>
      <c r="CG158" s="2135"/>
      <c r="CH158" s="2135"/>
      <c r="CI158" s="2135"/>
      <c r="CJ158" s="2135"/>
      <c r="CK158" s="2135"/>
      <c r="CL158" s="2135"/>
      <c r="CM158" s="2135"/>
      <c r="CN158" s="305"/>
      <c r="CO158" s="1826"/>
      <c r="CP158" s="1826"/>
      <c r="CQ158" s="1826"/>
      <c r="CR158" s="1826"/>
      <c r="CS158" s="1826"/>
      <c r="CT158" s="1826"/>
      <c r="CU158" s="1826"/>
      <c r="CV158" s="1826"/>
      <c r="CW158" s="1826"/>
      <c r="CX158" s="1826"/>
      <c r="CY158" s="1826"/>
      <c r="CZ158" s="1826"/>
      <c r="DA158" s="1826"/>
      <c r="DB158" s="1826"/>
      <c r="DC158" s="1826"/>
      <c r="DD158" s="2139"/>
      <c r="DE158" s="2139"/>
      <c r="DF158" s="2139"/>
      <c r="DG158" s="2139"/>
      <c r="DH158" s="1817"/>
      <c r="DI158" s="1818"/>
      <c r="DJ158" s="1818"/>
      <c r="DK158" s="1818"/>
      <c r="DL158" s="1818"/>
      <c r="DM158" s="1818"/>
      <c r="DN158" s="1818"/>
      <c r="DO158" s="1818"/>
      <c r="DP158" s="1818"/>
      <c r="DQ158" s="1818"/>
      <c r="DR158" s="1819"/>
      <c r="DS158" s="1010"/>
      <c r="DT158" s="311"/>
    </row>
    <row r="159" spans="1:124" ht="27" customHeight="1">
      <c r="B159" s="312"/>
      <c r="C159" s="313"/>
      <c r="D159" s="2129"/>
      <c r="E159" s="2130"/>
      <c r="F159" s="2130"/>
      <c r="G159" s="2130"/>
      <c r="H159" s="2131"/>
      <c r="I159" s="2132"/>
      <c r="J159" s="2132"/>
      <c r="K159" s="2132"/>
      <c r="L159" s="2132"/>
      <c r="M159" s="2132"/>
      <c r="N159" s="2132"/>
      <c r="O159" s="2132"/>
      <c r="P159" s="2132"/>
      <c r="Q159" s="2132"/>
      <c r="R159" s="2132"/>
      <c r="S159" s="2132"/>
      <c r="T159" s="2132"/>
      <c r="U159" s="2132"/>
      <c r="V159" s="2132"/>
      <c r="W159" s="2132"/>
      <c r="X159" s="2132"/>
      <c r="Y159" s="2132"/>
      <c r="Z159" s="2132"/>
      <c r="AA159" s="2132"/>
      <c r="AB159" s="2132"/>
      <c r="AC159" s="2133"/>
      <c r="AD159" s="2133"/>
      <c r="AE159" s="2133"/>
      <c r="AF159" s="2133"/>
      <c r="AG159" s="2133"/>
      <c r="AH159" s="2133"/>
      <c r="AI159" s="2133"/>
      <c r="AJ159" s="2133"/>
      <c r="AK159" s="2133"/>
      <c r="AL159" s="2133"/>
      <c r="AM159" s="2133"/>
      <c r="AN159" s="2133"/>
      <c r="AO159" s="2133"/>
      <c r="AP159" s="2133"/>
      <c r="AQ159" s="2133"/>
      <c r="AR159" s="2133"/>
      <c r="AS159" s="2133"/>
      <c r="AT159" s="2133"/>
      <c r="AU159" s="2133"/>
      <c r="AV159" s="2133"/>
      <c r="AW159" s="2133"/>
      <c r="AX159" s="2133"/>
      <c r="AY159" s="2133"/>
      <c r="AZ159" s="2133"/>
      <c r="BA159" s="2133"/>
      <c r="BB159" s="2133"/>
      <c r="BC159" s="2133"/>
      <c r="BD159" s="2133"/>
      <c r="BE159" s="2133"/>
      <c r="BF159" s="2133"/>
      <c r="BG159" s="2133"/>
      <c r="BH159" s="2133"/>
      <c r="BI159" s="2133"/>
      <c r="BJ159" s="2133"/>
      <c r="BK159" s="2133"/>
      <c r="BL159" s="2133"/>
      <c r="BM159" s="2133"/>
      <c r="BN159" s="2133"/>
      <c r="BO159" s="2133"/>
      <c r="BP159" s="2133"/>
      <c r="BQ159" s="2136"/>
      <c r="BR159" s="2137"/>
      <c r="BS159" s="2137"/>
      <c r="BT159" s="2137"/>
      <c r="BU159" s="2137"/>
      <c r="BV159" s="2137"/>
      <c r="BW159" s="2137"/>
      <c r="BX159" s="2137"/>
      <c r="BY159" s="2138"/>
      <c r="BZ159" s="2135"/>
      <c r="CA159" s="2135"/>
      <c r="CB159" s="2135"/>
      <c r="CC159" s="2135"/>
      <c r="CD159" s="2135"/>
      <c r="CE159" s="2135"/>
      <c r="CF159" s="2135"/>
      <c r="CG159" s="2135"/>
      <c r="CH159" s="2135"/>
      <c r="CI159" s="2135"/>
      <c r="CJ159" s="2135"/>
      <c r="CK159" s="2135"/>
      <c r="CL159" s="2135"/>
      <c r="CM159" s="2135"/>
      <c r="CN159" s="305"/>
      <c r="CO159" s="1826"/>
      <c r="CP159" s="1826"/>
      <c r="CQ159" s="1826"/>
      <c r="CR159" s="1826"/>
      <c r="CS159" s="1826"/>
      <c r="CT159" s="1826"/>
      <c r="CU159" s="1826"/>
      <c r="CV159" s="1826"/>
      <c r="CW159" s="1826"/>
      <c r="CX159" s="1826"/>
      <c r="CY159" s="1826"/>
      <c r="CZ159" s="1826"/>
      <c r="DA159" s="1826"/>
      <c r="DB159" s="1826"/>
      <c r="DC159" s="1826"/>
      <c r="DD159" s="2139"/>
      <c r="DE159" s="2139"/>
      <c r="DF159" s="2139"/>
      <c r="DG159" s="2139"/>
      <c r="DH159" s="1817"/>
      <c r="DI159" s="1818"/>
      <c r="DJ159" s="1818"/>
      <c r="DK159" s="1818"/>
      <c r="DL159" s="1818"/>
      <c r="DM159" s="1818"/>
      <c r="DN159" s="1818"/>
      <c r="DO159" s="1818"/>
      <c r="DP159" s="1818"/>
      <c r="DQ159" s="1818"/>
      <c r="DR159" s="1819"/>
      <c r="DS159" s="1010"/>
      <c r="DT159" s="311"/>
    </row>
    <row r="160" spans="1:124" ht="27" customHeight="1">
      <c r="B160" s="312"/>
      <c r="C160" s="313"/>
      <c r="D160" s="2129"/>
      <c r="E160" s="2130"/>
      <c r="F160" s="2130"/>
      <c r="G160" s="2130"/>
      <c r="H160" s="2131"/>
      <c r="I160" s="2132"/>
      <c r="J160" s="2132"/>
      <c r="K160" s="2132"/>
      <c r="L160" s="2132"/>
      <c r="M160" s="2132"/>
      <c r="N160" s="2132"/>
      <c r="O160" s="2132"/>
      <c r="P160" s="2132"/>
      <c r="Q160" s="2132"/>
      <c r="R160" s="2132"/>
      <c r="S160" s="2132"/>
      <c r="T160" s="2132"/>
      <c r="U160" s="2132"/>
      <c r="V160" s="2132"/>
      <c r="W160" s="2132"/>
      <c r="X160" s="2132"/>
      <c r="Y160" s="2132"/>
      <c r="Z160" s="2132"/>
      <c r="AA160" s="2132"/>
      <c r="AB160" s="2132"/>
      <c r="AC160" s="2133"/>
      <c r="AD160" s="2133"/>
      <c r="AE160" s="2133"/>
      <c r="AF160" s="2133"/>
      <c r="AG160" s="2133"/>
      <c r="AH160" s="2133"/>
      <c r="AI160" s="2133"/>
      <c r="AJ160" s="2133"/>
      <c r="AK160" s="2133"/>
      <c r="AL160" s="2133"/>
      <c r="AM160" s="2133"/>
      <c r="AN160" s="2133"/>
      <c r="AO160" s="2133"/>
      <c r="AP160" s="2133"/>
      <c r="AQ160" s="2133"/>
      <c r="AR160" s="2133"/>
      <c r="AS160" s="2133"/>
      <c r="AT160" s="2133"/>
      <c r="AU160" s="2133"/>
      <c r="AV160" s="2133"/>
      <c r="AW160" s="2133"/>
      <c r="AX160" s="2133"/>
      <c r="AY160" s="2133"/>
      <c r="AZ160" s="2133"/>
      <c r="BA160" s="2133"/>
      <c r="BB160" s="2133"/>
      <c r="BC160" s="2133"/>
      <c r="BD160" s="2133"/>
      <c r="BE160" s="2133"/>
      <c r="BF160" s="2133"/>
      <c r="BG160" s="2133"/>
      <c r="BH160" s="2133"/>
      <c r="BI160" s="2133"/>
      <c r="BJ160" s="2133"/>
      <c r="BK160" s="2133"/>
      <c r="BL160" s="2133"/>
      <c r="BM160" s="2133"/>
      <c r="BN160" s="2133"/>
      <c r="BO160" s="2133"/>
      <c r="BP160" s="2133"/>
      <c r="BQ160" s="2136"/>
      <c r="BR160" s="2137"/>
      <c r="BS160" s="2137"/>
      <c r="BT160" s="2137"/>
      <c r="BU160" s="2137"/>
      <c r="BV160" s="2137"/>
      <c r="BW160" s="2137"/>
      <c r="BX160" s="2137"/>
      <c r="BY160" s="2138"/>
      <c r="BZ160" s="2135"/>
      <c r="CA160" s="2135"/>
      <c r="CB160" s="2135"/>
      <c r="CC160" s="2135"/>
      <c r="CD160" s="2135"/>
      <c r="CE160" s="2135"/>
      <c r="CF160" s="2135"/>
      <c r="CG160" s="2135"/>
      <c r="CH160" s="2135"/>
      <c r="CI160" s="2135"/>
      <c r="CJ160" s="2135"/>
      <c r="CK160" s="2135"/>
      <c r="CL160" s="2135"/>
      <c r="CM160" s="2135"/>
      <c r="CN160" s="305"/>
      <c r="CO160" s="1826"/>
      <c r="CP160" s="1826"/>
      <c r="CQ160" s="1826"/>
      <c r="CR160" s="1826"/>
      <c r="CS160" s="1826"/>
      <c r="CT160" s="1826"/>
      <c r="CU160" s="1826"/>
      <c r="CV160" s="1826"/>
      <c r="CW160" s="1826"/>
      <c r="CX160" s="1826"/>
      <c r="CY160" s="1826"/>
      <c r="CZ160" s="1826"/>
      <c r="DA160" s="1826"/>
      <c r="DB160" s="1826"/>
      <c r="DC160" s="1826"/>
      <c r="DD160" s="2139"/>
      <c r="DE160" s="2139"/>
      <c r="DF160" s="2139"/>
      <c r="DG160" s="2139"/>
      <c r="DH160" s="1817"/>
      <c r="DI160" s="1818"/>
      <c r="DJ160" s="1818"/>
      <c r="DK160" s="1818"/>
      <c r="DL160" s="1818"/>
      <c r="DM160" s="1818"/>
      <c r="DN160" s="1818"/>
      <c r="DO160" s="1818"/>
      <c r="DP160" s="1818"/>
      <c r="DQ160" s="1818"/>
      <c r="DR160" s="1819"/>
      <c r="DS160" s="1010"/>
      <c r="DT160" s="311"/>
    </row>
    <row r="161" spans="2:124" ht="27" customHeight="1">
      <c r="B161" s="312"/>
      <c r="C161" s="313"/>
      <c r="D161" s="2129"/>
      <c r="E161" s="2130"/>
      <c r="F161" s="2130"/>
      <c r="G161" s="2130"/>
      <c r="H161" s="2131"/>
      <c r="I161" s="2132"/>
      <c r="J161" s="2132"/>
      <c r="K161" s="2132"/>
      <c r="L161" s="2132"/>
      <c r="M161" s="2132"/>
      <c r="N161" s="2132"/>
      <c r="O161" s="2132"/>
      <c r="P161" s="2132"/>
      <c r="Q161" s="2132"/>
      <c r="R161" s="2132"/>
      <c r="S161" s="2132"/>
      <c r="T161" s="2132"/>
      <c r="U161" s="2132"/>
      <c r="V161" s="2132"/>
      <c r="W161" s="2132"/>
      <c r="X161" s="2132"/>
      <c r="Y161" s="2132"/>
      <c r="Z161" s="2132"/>
      <c r="AA161" s="2132"/>
      <c r="AB161" s="2132"/>
      <c r="AC161" s="2133"/>
      <c r="AD161" s="2133"/>
      <c r="AE161" s="2133"/>
      <c r="AF161" s="2133"/>
      <c r="AG161" s="2133"/>
      <c r="AH161" s="2133"/>
      <c r="AI161" s="2133"/>
      <c r="AJ161" s="2133"/>
      <c r="AK161" s="2133"/>
      <c r="AL161" s="2133"/>
      <c r="AM161" s="2133"/>
      <c r="AN161" s="2133"/>
      <c r="AO161" s="2133"/>
      <c r="AP161" s="2133"/>
      <c r="AQ161" s="2133"/>
      <c r="AR161" s="2133"/>
      <c r="AS161" s="2133"/>
      <c r="AT161" s="2133"/>
      <c r="AU161" s="2133"/>
      <c r="AV161" s="2133"/>
      <c r="AW161" s="2133"/>
      <c r="AX161" s="2133"/>
      <c r="AY161" s="2133"/>
      <c r="AZ161" s="2133"/>
      <c r="BA161" s="2133"/>
      <c r="BB161" s="2133"/>
      <c r="BC161" s="2133"/>
      <c r="BD161" s="2133"/>
      <c r="BE161" s="2133"/>
      <c r="BF161" s="2133"/>
      <c r="BG161" s="2133"/>
      <c r="BH161" s="2133"/>
      <c r="BI161" s="2133"/>
      <c r="BJ161" s="2133"/>
      <c r="BK161" s="2133"/>
      <c r="BL161" s="2133"/>
      <c r="BM161" s="2133"/>
      <c r="BN161" s="2133"/>
      <c r="BO161" s="2133"/>
      <c r="BP161" s="2133"/>
      <c r="BQ161" s="2136"/>
      <c r="BR161" s="2137"/>
      <c r="BS161" s="2137"/>
      <c r="BT161" s="2137"/>
      <c r="BU161" s="2137"/>
      <c r="BV161" s="2137"/>
      <c r="BW161" s="2137"/>
      <c r="BX161" s="2137"/>
      <c r="BY161" s="2138"/>
      <c r="BZ161" s="2135"/>
      <c r="CA161" s="2135"/>
      <c r="CB161" s="2135"/>
      <c r="CC161" s="2135"/>
      <c r="CD161" s="2135"/>
      <c r="CE161" s="2135"/>
      <c r="CF161" s="2135"/>
      <c r="CG161" s="2135"/>
      <c r="CH161" s="2135"/>
      <c r="CI161" s="2135"/>
      <c r="CJ161" s="2135"/>
      <c r="CK161" s="2135"/>
      <c r="CL161" s="2135"/>
      <c r="CM161" s="2135"/>
      <c r="CN161" s="305"/>
      <c r="CO161" s="1826"/>
      <c r="CP161" s="1826"/>
      <c r="CQ161" s="1826"/>
      <c r="CR161" s="1826"/>
      <c r="CS161" s="1826"/>
      <c r="CT161" s="1826"/>
      <c r="CU161" s="1826"/>
      <c r="CV161" s="1826"/>
      <c r="CW161" s="1826"/>
      <c r="CX161" s="1826"/>
      <c r="CY161" s="1826"/>
      <c r="CZ161" s="1826"/>
      <c r="DA161" s="1826"/>
      <c r="DB161" s="1826"/>
      <c r="DC161" s="1826"/>
      <c r="DD161" s="2139"/>
      <c r="DE161" s="2139"/>
      <c r="DF161" s="2139"/>
      <c r="DG161" s="2139"/>
      <c r="DH161" s="1817"/>
      <c r="DI161" s="1818"/>
      <c r="DJ161" s="1818"/>
      <c r="DK161" s="1818"/>
      <c r="DL161" s="1818"/>
      <c r="DM161" s="1818"/>
      <c r="DN161" s="1818"/>
      <c r="DO161" s="1818"/>
      <c r="DP161" s="1818"/>
      <c r="DQ161" s="1818"/>
      <c r="DR161" s="1819"/>
      <c r="DS161" s="1010"/>
      <c r="DT161" s="311"/>
    </row>
    <row r="162" spans="2:124" ht="27" customHeight="1">
      <c r="B162" s="312"/>
      <c r="C162" s="313"/>
      <c r="D162" s="2129"/>
      <c r="E162" s="2130"/>
      <c r="F162" s="2130"/>
      <c r="G162" s="2130"/>
      <c r="H162" s="2131"/>
      <c r="I162" s="2132"/>
      <c r="J162" s="2132"/>
      <c r="K162" s="2132"/>
      <c r="L162" s="2132"/>
      <c r="M162" s="2132"/>
      <c r="N162" s="2132"/>
      <c r="O162" s="2132"/>
      <c r="P162" s="2132"/>
      <c r="Q162" s="2132"/>
      <c r="R162" s="2132"/>
      <c r="S162" s="2132"/>
      <c r="T162" s="2132"/>
      <c r="U162" s="2132"/>
      <c r="V162" s="2132"/>
      <c r="W162" s="2132"/>
      <c r="X162" s="2132"/>
      <c r="Y162" s="2132"/>
      <c r="Z162" s="2132"/>
      <c r="AA162" s="2132"/>
      <c r="AB162" s="2132"/>
      <c r="AC162" s="2133"/>
      <c r="AD162" s="2133"/>
      <c r="AE162" s="2133"/>
      <c r="AF162" s="2133"/>
      <c r="AG162" s="2133"/>
      <c r="AH162" s="2133"/>
      <c r="AI162" s="2133"/>
      <c r="AJ162" s="2133"/>
      <c r="AK162" s="2133"/>
      <c r="AL162" s="2133"/>
      <c r="AM162" s="2133"/>
      <c r="AN162" s="2133"/>
      <c r="AO162" s="2133"/>
      <c r="AP162" s="2133"/>
      <c r="AQ162" s="2133"/>
      <c r="AR162" s="2133"/>
      <c r="AS162" s="2133"/>
      <c r="AT162" s="2133"/>
      <c r="AU162" s="2133"/>
      <c r="AV162" s="2133"/>
      <c r="AW162" s="2133"/>
      <c r="AX162" s="2133"/>
      <c r="AY162" s="2133"/>
      <c r="AZ162" s="2133"/>
      <c r="BA162" s="2133"/>
      <c r="BB162" s="2133"/>
      <c r="BC162" s="2133"/>
      <c r="BD162" s="2133"/>
      <c r="BE162" s="2133"/>
      <c r="BF162" s="2133"/>
      <c r="BG162" s="2133"/>
      <c r="BH162" s="2133"/>
      <c r="BI162" s="2133"/>
      <c r="BJ162" s="2133"/>
      <c r="BK162" s="2133"/>
      <c r="BL162" s="2133"/>
      <c r="BM162" s="2133"/>
      <c r="BN162" s="2133"/>
      <c r="BO162" s="2133"/>
      <c r="BP162" s="2133"/>
      <c r="BQ162" s="2136"/>
      <c r="BR162" s="2137"/>
      <c r="BS162" s="2137"/>
      <c r="BT162" s="2137"/>
      <c r="BU162" s="2137"/>
      <c r="BV162" s="2137"/>
      <c r="BW162" s="2137"/>
      <c r="BX162" s="2137"/>
      <c r="BY162" s="2138"/>
      <c r="BZ162" s="2135"/>
      <c r="CA162" s="2135"/>
      <c r="CB162" s="2135"/>
      <c r="CC162" s="2135"/>
      <c r="CD162" s="2135"/>
      <c r="CE162" s="2135"/>
      <c r="CF162" s="2135"/>
      <c r="CG162" s="2135"/>
      <c r="CH162" s="2135"/>
      <c r="CI162" s="2135"/>
      <c r="CJ162" s="2135"/>
      <c r="CK162" s="2135"/>
      <c r="CL162" s="2135"/>
      <c r="CM162" s="2135"/>
      <c r="CN162" s="305"/>
      <c r="CO162" s="1826"/>
      <c r="CP162" s="1826"/>
      <c r="CQ162" s="1826"/>
      <c r="CR162" s="1826"/>
      <c r="CS162" s="1826"/>
      <c r="CT162" s="1826"/>
      <c r="CU162" s="1826"/>
      <c r="CV162" s="1826"/>
      <c r="CW162" s="1826"/>
      <c r="CX162" s="1826"/>
      <c r="CY162" s="1826"/>
      <c r="CZ162" s="1826"/>
      <c r="DA162" s="1826"/>
      <c r="DB162" s="1826"/>
      <c r="DC162" s="1826"/>
      <c r="DD162" s="2139"/>
      <c r="DE162" s="2139"/>
      <c r="DF162" s="2139"/>
      <c r="DG162" s="2139"/>
      <c r="DH162" s="1817"/>
      <c r="DI162" s="1818"/>
      <c r="DJ162" s="1818"/>
      <c r="DK162" s="1818"/>
      <c r="DL162" s="1818"/>
      <c r="DM162" s="1818"/>
      <c r="DN162" s="1818"/>
      <c r="DO162" s="1818"/>
      <c r="DP162" s="1818"/>
      <c r="DQ162" s="1818"/>
      <c r="DR162" s="1819"/>
      <c r="DS162" s="1010"/>
      <c r="DT162" s="311"/>
    </row>
    <row r="163" spans="2:124" ht="6" customHeight="1">
      <c r="B163" s="312"/>
      <c r="C163" s="1010"/>
      <c r="D163" s="1010"/>
      <c r="E163" s="1010"/>
      <c r="F163" s="1010"/>
      <c r="G163" s="1010"/>
      <c r="H163" s="712"/>
      <c r="I163" s="712"/>
      <c r="J163" s="712"/>
      <c r="K163" s="712"/>
      <c r="L163" s="712"/>
      <c r="M163" s="712"/>
      <c r="N163" s="712"/>
      <c r="O163" s="712"/>
      <c r="P163" s="712"/>
      <c r="Q163" s="712"/>
      <c r="R163" s="712"/>
      <c r="S163" s="712"/>
      <c r="T163" s="712"/>
      <c r="U163" s="712"/>
      <c r="V163" s="712"/>
      <c r="W163" s="712"/>
      <c r="X163" s="712"/>
      <c r="Y163" s="712"/>
      <c r="Z163" s="712"/>
      <c r="AA163" s="712"/>
      <c r="AB163" s="712"/>
      <c r="AC163" s="712"/>
      <c r="AD163" s="712"/>
      <c r="AE163" s="712"/>
      <c r="AF163" s="712"/>
      <c r="AG163" s="712"/>
      <c r="AH163" s="712"/>
      <c r="AI163" s="712"/>
      <c r="AJ163" s="712"/>
      <c r="AK163" s="712"/>
      <c r="AL163" s="712"/>
      <c r="AM163" s="712"/>
      <c r="AN163" s="712"/>
      <c r="AO163" s="712"/>
      <c r="AP163" s="712"/>
      <c r="AQ163" s="712"/>
      <c r="AR163" s="712"/>
      <c r="AS163" s="712"/>
      <c r="AT163" s="712"/>
      <c r="AU163" s="712"/>
      <c r="AV163" s="712"/>
      <c r="AW163" s="712"/>
      <c r="AX163" s="712"/>
      <c r="AY163" s="712"/>
      <c r="AZ163" s="712"/>
      <c r="BA163" s="712"/>
      <c r="BB163" s="712"/>
      <c r="BC163" s="712"/>
      <c r="BD163" s="712"/>
      <c r="BE163" s="712"/>
      <c r="BF163" s="712"/>
      <c r="BG163" s="712"/>
      <c r="BH163" s="712"/>
      <c r="BI163" s="712"/>
      <c r="BJ163" s="712"/>
      <c r="BK163" s="712"/>
      <c r="BL163" s="712"/>
      <c r="BM163" s="712"/>
      <c r="BN163" s="712"/>
      <c r="BO163" s="712"/>
      <c r="BP163" s="712"/>
      <c r="BQ163" s="712"/>
      <c r="BR163" s="712"/>
      <c r="BS163" s="712"/>
      <c r="BT163" s="712"/>
      <c r="BU163" s="712"/>
      <c r="BV163" s="712"/>
      <c r="BW163" s="712"/>
      <c r="BX163" s="712"/>
      <c r="BY163" s="712"/>
      <c r="BZ163" s="712"/>
      <c r="CA163" s="712"/>
      <c r="CB163" s="712"/>
      <c r="CC163" s="712"/>
      <c r="CD163" s="712"/>
      <c r="CE163" s="712"/>
      <c r="CF163" s="712"/>
      <c r="CG163" s="712"/>
      <c r="CH163" s="712"/>
      <c r="CI163" s="712"/>
      <c r="CJ163" s="712"/>
      <c r="CK163" s="712"/>
      <c r="CL163" s="712"/>
      <c r="CM163" s="712"/>
      <c r="CN163" s="712"/>
      <c r="CO163" s="712"/>
      <c r="CP163" s="712"/>
      <c r="CQ163" s="712"/>
      <c r="CR163" s="712"/>
      <c r="CS163" s="712"/>
      <c r="CT163" s="712"/>
      <c r="CU163" s="712"/>
      <c r="CV163" s="712"/>
      <c r="CW163" s="712"/>
      <c r="CX163" s="712"/>
      <c r="CY163" s="712"/>
      <c r="CZ163" s="712"/>
      <c r="DA163" s="712"/>
      <c r="DB163" s="712"/>
      <c r="DC163" s="712"/>
      <c r="DD163" s="712"/>
      <c r="DE163" s="712"/>
      <c r="DF163" s="712"/>
      <c r="DG163" s="712"/>
      <c r="DH163" s="712"/>
      <c r="DI163" s="712"/>
      <c r="DJ163" s="712"/>
      <c r="DK163" s="712"/>
      <c r="DL163" s="712"/>
      <c r="DM163" s="712"/>
      <c r="DN163" s="712"/>
      <c r="DO163" s="712"/>
      <c r="DP163" s="712"/>
      <c r="DQ163" s="712"/>
      <c r="DR163" s="712"/>
      <c r="DS163" s="606"/>
      <c r="DT163" s="311"/>
    </row>
    <row r="164" spans="2:124" ht="20.100000000000001" customHeight="1">
      <c r="B164" s="211"/>
      <c r="C164" s="1010"/>
      <c r="D164" s="757" t="str">
        <f ca="1">INDIRECT($J$4&amp;"!C138")</f>
        <v>Systemic consideration</v>
      </c>
      <c r="E164" s="325"/>
      <c r="F164" s="325"/>
      <c r="G164" s="325"/>
      <c r="H164" s="713"/>
      <c r="I164" s="712"/>
      <c r="J164" s="712"/>
      <c r="K164" s="712"/>
      <c r="L164" s="712"/>
      <c r="M164" s="712"/>
      <c r="N164" s="712"/>
      <c r="O164" s="712"/>
      <c r="P164" s="712"/>
      <c r="Q164" s="712"/>
      <c r="R164" s="712"/>
      <c r="S164" s="712"/>
      <c r="T164" s="712"/>
      <c r="U164" s="713"/>
      <c r="V164" s="712"/>
      <c r="W164" s="713"/>
      <c r="X164" s="712"/>
      <c r="Y164" s="712"/>
      <c r="Z164" s="712"/>
      <c r="AA164" s="712"/>
      <c r="AB164" s="712"/>
      <c r="AC164" s="712"/>
      <c r="AD164" s="712"/>
      <c r="AE164" s="712"/>
      <c r="AF164" s="712"/>
      <c r="AG164" s="712"/>
      <c r="AH164" s="712"/>
      <c r="AI164" s="712"/>
      <c r="AJ164" s="712"/>
      <c r="AK164" s="712"/>
      <c r="AL164" s="712"/>
      <c r="AM164" s="712"/>
      <c r="AN164" s="712"/>
      <c r="AO164" s="712"/>
      <c r="AP164" s="712"/>
      <c r="AQ164" s="712"/>
      <c r="AR164" s="712"/>
      <c r="AS164" s="712"/>
      <c r="AT164" s="712"/>
      <c r="AU164" s="712"/>
      <c r="AV164" s="712"/>
      <c r="AW164" s="712"/>
      <c r="AX164" s="712"/>
      <c r="AY164" s="712"/>
      <c r="AZ164" s="712"/>
      <c r="BA164" s="712"/>
      <c r="BB164" s="712"/>
      <c r="BC164" s="712"/>
      <c r="BD164" s="712"/>
      <c r="BE164" s="712"/>
      <c r="BF164" s="712"/>
      <c r="BG164" s="712"/>
      <c r="BH164" s="712"/>
      <c r="BI164" s="712"/>
      <c r="BJ164" s="712"/>
      <c r="BK164" s="712"/>
      <c r="BL164" s="712"/>
      <c r="BM164" s="712"/>
      <c r="BN164" s="712"/>
      <c r="BO164" s="712"/>
      <c r="BP164" s="712"/>
      <c r="BQ164" s="712"/>
      <c r="BR164" s="712"/>
      <c r="BS164" s="712"/>
      <c r="BT164" s="712"/>
      <c r="BU164" s="712"/>
      <c r="BV164" s="712"/>
      <c r="BW164" s="712"/>
      <c r="BX164" s="712"/>
      <c r="BY164" s="712"/>
      <c r="BZ164" s="712"/>
      <c r="CA164" s="712"/>
      <c r="CB164" s="712"/>
      <c r="CC164" s="712"/>
      <c r="CD164" s="712"/>
      <c r="CE164" s="712"/>
      <c r="CF164" s="712"/>
      <c r="CG164" s="712"/>
      <c r="CH164" s="712"/>
      <c r="CI164" s="712"/>
      <c r="CJ164" s="712"/>
      <c r="CK164" s="712"/>
      <c r="CL164" s="712"/>
      <c r="CM164" s="712"/>
      <c r="CN164" s="712"/>
      <c r="CO164" s="712"/>
      <c r="CP164" s="712"/>
      <c r="CQ164" s="712"/>
      <c r="CR164" s="712"/>
      <c r="CS164" s="712"/>
      <c r="CT164" s="712"/>
      <c r="CU164" s="712"/>
      <c r="CV164" s="712"/>
      <c r="CW164" s="712"/>
      <c r="CX164" s="712"/>
      <c r="CY164" s="712"/>
      <c r="CZ164" s="712"/>
      <c r="DA164" s="712"/>
      <c r="DB164" s="712"/>
      <c r="DC164" s="712"/>
      <c r="DD164" s="712"/>
      <c r="DE164" s="712"/>
      <c r="DF164" s="712"/>
      <c r="DG164" s="712"/>
      <c r="DH164" s="712"/>
      <c r="DI164" s="712"/>
      <c r="DJ164" s="712"/>
      <c r="DK164" s="712"/>
      <c r="DL164" s="712"/>
      <c r="DM164" s="712"/>
      <c r="DN164" s="712"/>
      <c r="DO164" s="712"/>
      <c r="DP164" s="712"/>
      <c r="DQ164" s="712"/>
      <c r="DR164" s="712"/>
      <c r="DS164" s="1010"/>
      <c r="DT164" s="311"/>
    </row>
    <row r="165" spans="2:124" ht="6" customHeight="1">
      <c r="B165" s="211"/>
      <c r="C165" s="305"/>
      <c r="D165" s="305"/>
      <c r="E165" s="305"/>
      <c r="F165" s="305"/>
      <c r="G165" s="305"/>
      <c r="H165" s="714"/>
      <c r="I165" s="714"/>
      <c r="J165" s="714"/>
      <c r="K165" s="714"/>
      <c r="L165" s="714"/>
      <c r="M165" s="714"/>
      <c r="N165" s="714"/>
      <c r="O165" s="714"/>
      <c r="P165" s="714"/>
      <c r="Q165" s="714"/>
      <c r="R165" s="714"/>
      <c r="S165" s="714"/>
      <c r="T165" s="714"/>
      <c r="U165" s="714"/>
      <c r="V165" s="714"/>
      <c r="W165" s="714"/>
      <c r="X165" s="714"/>
      <c r="Y165" s="714"/>
      <c r="Z165" s="714"/>
      <c r="AA165" s="714"/>
      <c r="AB165" s="714"/>
      <c r="AC165" s="714"/>
      <c r="AD165" s="714"/>
      <c r="AE165" s="714"/>
      <c r="AF165" s="714"/>
      <c r="AG165" s="714"/>
      <c r="AH165" s="714"/>
      <c r="AI165" s="714"/>
      <c r="AJ165" s="714"/>
      <c r="AK165" s="712"/>
      <c r="AL165" s="712"/>
      <c r="AM165" s="712"/>
      <c r="AN165" s="712"/>
      <c r="AO165" s="712"/>
      <c r="AP165" s="712"/>
      <c r="AQ165" s="712"/>
      <c r="AR165" s="712"/>
      <c r="AS165" s="712"/>
      <c r="AT165" s="712"/>
      <c r="AU165" s="712"/>
      <c r="AV165" s="712"/>
      <c r="AW165" s="712"/>
      <c r="AX165" s="712"/>
      <c r="AY165" s="712"/>
      <c r="AZ165" s="712"/>
      <c r="BA165" s="712"/>
      <c r="BB165" s="712"/>
      <c r="BC165" s="712"/>
      <c r="BD165" s="712"/>
      <c r="BE165" s="712"/>
      <c r="BF165" s="712"/>
      <c r="BG165" s="712"/>
      <c r="BH165" s="712"/>
      <c r="BI165" s="712"/>
      <c r="BJ165" s="712"/>
      <c r="BK165" s="712"/>
      <c r="BL165" s="712"/>
      <c r="BM165" s="712"/>
      <c r="BN165" s="712"/>
      <c r="BO165" s="712"/>
      <c r="BP165" s="712"/>
      <c r="BQ165" s="712"/>
      <c r="BR165" s="712"/>
      <c r="BS165" s="712"/>
      <c r="BT165" s="712"/>
      <c r="BU165" s="712"/>
      <c r="BV165" s="712"/>
      <c r="BW165" s="712"/>
      <c r="BX165" s="712"/>
      <c r="BY165" s="712"/>
      <c r="BZ165" s="712"/>
      <c r="CA165" s="712"/>
      <c r="CB165" s="712"/>
      <c r="CC165" s="712"/>
      <c r="CD165" s="712"/>
      <c r="CE165" s="712"/>
      <c r="CF165" s="712"/>
      <c r="CG165" s="712"/>
      <c r="CH165" s="712"/>
      <c r="CI165" s="712"/>
      <c r="CJ165" s="712"/>
      <c r="CK165" s="712"/>
      <c r="CL165" s="712"/>
      <c r="CM165" s="712"/>
      <c r="CN165" s="712"/>
      <c r="CO165" s="712"/>
      <c r="CP165" s="714"/>
      <c r="CQ165" s="714"/>
      <c r="CR165" s="714"/>
      <c r="CS165" s="714"/>
      <c r="CT165" s="714"/>
      <c r="CU165" s="714"/>
      <c r="CV165" s="714"/>
      <c r="CW165" s="714"/>
      <c r="CX165" s="714"/>
      <c r="CY165" s="714"/>
      <c r="CZ165" s="714"/>
      <c r="DA165" s="714"/>
      <c r="DB165" s="714"/>
      <c r="DC165" s="714"/>
      <c r="DD165" s="714"/>
      <c r="DE165" s="714"/>
      <c r="DF165" s="714"/>
      <c r="DG165" s="714"/>
      <c r="DH165" s="714"/>
      <c r="DI165" s="714"/>
      <c r="DJ165" s="714"/>
      <c r="DK165" s="714"/>
      <c r="DL165" s="712"/>
      <c r="DM165" s="714"/>
      <c r="DN165" s="714"/>
      <c r="DO165" s="714"/>
      <c r="DP165" s="714"/>
      <c r="DQ165" s="714"/>
      <c r="DR165" s="714"/>
      <c r="DS165" s="305"/>
      <c r="DT165" s="311"/>
    </row>
    <row r="166" spans="2:124" ht="27" customHeight="1">
      <c r="B166" s="321"/>
      <c r="C166" s="293"/>
      <c r="D166" s="2129"/>
      <c r="E166" s="2130"/>
      <c r="F166" s="2130"/>
      <c r="G166" s="2130"/>
      <c r="H166" s="2131"/>
      <c r="I166" s="2132"/>
      <c r="J166" s="2132"/>
      <c r="K166" s="2132"/>
      <c r="L166" s="2132"/>
      <c r="M166" s="2132"/>
      <c r="N166" s="2132"/>
      <c r="O166" s="2132"/>
      <c r="P166" s="2132"/>
      <c r="Q166" s="2132"/>
      <c r="R166" s="2132"/>
      <c r="S166" s="2132"/>
      <c r="T166" s="2132"/>
      <c r="U166" s="2132"/>
      <c r="V166" s="2132"/>
      <c r="W166" s="2132"/>
      <c r="X166" s="2132"/>
      <c r="Y166" s="2132"/>
      <c r="Z166" s="2132"/>
      <c r="AA166" s="2132"/>
      <c r="AB166" s="2132"/>
      <c r="AC166" s="2133"/>
      <c r="AD166" s="2133"/>
      <c r="AE166" s="2133"/>
      <c r="AF166" s="2133"/>
      <c r="AG166" s="2133"/>
      <c r="AH166" s="2133"/>
      <c r="AI166" s="2133"/>
      <c r="AJ166" s="2133"/>
      <c r="AK166" s="2133"/>
      <c r="AL166" s="2133"/>
      <c r="AM166" s="2133"/>
      <c r="AN166" s="2133"/>
      <c r="AO166" s="2133"/>
      <c r="AP166" s="2133"/>
      <c r="AQ166" s="2133"/>
      <c r="AR166" s="2133"/>
      <c r="AS166" s="2133"/>
      <c r="AT166" s="2133"/>
      <c r="AU166" s="2133"/>
      <c r="AV166" s="2133"/>
      <c r="AW166" s="2133"/>
      <c r="AX166" s="2133"/>
      <c r="AY166" s="2133"/>
      <c r="AZ166" s="2133"/>
      <c r="BA166" s="2133"/>
      <c r="BB166" s="2133"/>
      <c r="BC166" s="2133"/>
      <c r="BD166" s="2133"/>
      <c r="BE166" s="2133"/>
      <c r="BF166" s="2133"/>
      <c r="BG166" s="2133"/>
      <c r="BH166" s="2133"/>
      <c r="BI166" s="2133"/>
      <c r="BJ166" s="2133"/>
      <c r="BK166" s="2133"/>
      <c r="BL166" s="2133"/>
      <c r="BM166" s="2133"/>
      <c r="BN166" s="2133"/>
      <c r="BO166" s="2133"/>
      <c r="BP166" s="2133"/>
      <c r="BQ166" s="2134"/>
      <c r="BR166" s="2134"/>
      <c r="BS166" s="2134"/>
      <c r="BT166" s="2134"/>
      <c r="BU166" s="2134"/>
      <c r="BV166" s="2134"/>
      <c r="BW166" s="2134"/>
      <c r="BX166" s="2134"/>
      <c r="BY166" s="2134"/>
      <c r="BZ166" s="2135"/>
      <c r="CA166" s="2135"/>
      <c r="CB166" s="2135"/>
      <c r="CC166" s="2135"/>
      <c r="CD166" s="2135"/>
      <c r="CE166" s="2135"/>
      <c r="CF166" s="2135"/>
      <c r="CG166" s="2135"/>
      <c r="CH166" s="2135"/>
      <c r="CI166" s="2135"/>
      <c r="CJ166" s="2135"/>
      <c r="CK166" s="2135"/>
      <c r="CL166" s="2135"/>
      <c r="CM166" s="2135"/>
      <c r="CN166" s="305"/>
      <c r="CO166" s="1826"/>
      <c r="CP166" s="1826"/>
      <c r="CQ166" s="1826"/>
      <c r="CR166" s="1826"/>
      <c r="CS166" s="1826"/>
      <c r="CT166" s="1826"/>
      <c r="CU166" s="1826"/>
      <c r="CV166" s="1826"/>
      <c r="CW166" s="1826"/>
      <c r="CX166" s="1826"/>
      <c r="CY166" s="1826"/>
      <c r="CZ166" s="1826"/>
      <c r="DA166" s="1826"/>
      <c r="DB166" s="1826"/>
      <c r="DC166" s="1826"/>
      <c r="DD166" s="1628"/>
      <c r="DE166" s="1628"/>
      <c r="DF166" s="1628"/>
      <c r="DG166" s="1628"/>
      <c r="DH166" s="1817"/>
      <c r="DI166" s="1818"/>
      <c r="DJ166" s="1818"/>
      <c r="DK166" s="1818"/>
      <c r="DL166" s="1818"/>
      <c r="DM166" s="1818"/>
      <c r="DN166" s="1818"/>
      <c r="DO166" s="1818"/>
      <c r="DP166" s="1818"/>
      <c r="DQ166" s="1818"/>
      <c r="DR166" s="1819"/>
      <c r="DS166" s="1010"/>
      <c r="DT166" s="315"/>
    </row>
    <row r="167" spans="2:124" ht="27" customHeight="1">
      <c r="B167" s="321"/>
      <c r="C167" s="293"/>
      <c r="D167" s="2129"/>
      <c r="E167" s="2130"/>
      <c r="F167" s="2130"/>
      <c r="G167" s="2130"/>
      <c r="H167" s="2131"/>
      <c r="I167" s="2132"/>
      <c r="J167" s="2132"/>
      <c r="K167" s="2132"/>
      <c r="L167" s="2132"/>
      <c r="M167" s="2132"/>
      <c r="N167" s="2132"/>
      <c r="O167" s="2132"/>
      <c r="P167" s="2132"/>
      <c r="Q167" s="2132"/>
      <c r="R167" s="2132"/>
      <c r="S167" s="2132"/>
      <c r="T167" s="2132"/>
      <c r="U167" s="2132"/>
      <c r="V167" s="2132"/>
      <c r="W167" s="2132"/>
      <c r="X167" s="2132"/>
      <c r="Y167" s="2132"/>
      <c r="Z167" s="2132"/>
      <c r="AA167" s="2132"/>
      <c r="AB167" s="2132"/>
      <c r="AC167" s="2133"/>
      <c r="AD167" s="2133"/>
      <c r="AE167" s="2133"/>
      <c r="AF167" s="2133"/>
      <c r="AG167" s="2133"/>
      <c r="AH167" s="2133"/>
      <c r="AI167" s="2133"/>
      <c r="AJ167" s="2133"/>
      <c r="AK167" s="2133"/>
      <c r="AL167" s="2133"/>
      <c r="AM167" s="2133"/>
      <c r="AN167" s="2133"/>
      <c r="AO167" s="2133"/>
      <c r="AP167" s="2133"/>
      <c r="AQ167" s="2133"/>
      <c r="AR167" s="2133"/>
      <c r="AS167" s="2133"/>
      <c r="AT167" s="2133"/>
      <c r="AU167" s="2133"/>
      <c r="AV167" s="2133"/>
      <c r="AW167" s="2133"/>
      <c r="AX167" s="2133"/>
      <c r="AY167" s="2133"/>
      <c r="AZ167" s="2133"/>
      <c r="BA167" s="2133"/>
      <c r="BB167" s="2133"/>
      <c r="BC167" s="2133"/>
      <c r="BD167" s="2133"/>
      <c r="BE167" s="2133"/>
      <c r="BF167" s="2133"/>
      <c r="BG167" s="2133"/>
      <c r="BH167" s="2133"/>
      <c r="BI167" s="2133"/>
      <c r="BJ167" s="2133"/>
      <c r="BK167" s="2133"/>
      <c r="BL167" s="2133"/>
      <c r="BM167" s="2133"/>
      <c r="BN167" s="2133"/>
      <c r="BO167" s="2133"/>
      <c r="BP167" s="2133"/>
      <c r="BQ167" s="2134"/>
      <c r="BR167" s="2134"/>
      <c r="BS167" s="2134"/>
      <c r="BT167" s="2134"/>
      <c r="BU167" s="2134"/>
      <c r="BV167" s="2134"/>
      <c r="BW167" s="2134"/>
      <c r="BX167" s="2134"/>
      <c r="BY167" s="2134"/>
      <c r="BZ167" s="2135"/>
      <c r="CA167" s="2135"/>
      <c r="CB167" s="2135"/>
      <c r="CC167" s="2135"/>
      <c r="CD167" s="2135"/>
      <c r="CE167" s="2135"/>
      <c r="CF167" s="2135"/>
      <c r="CG167" s="2135"/>
      <c r="CH167" s="2135"/>
      <c r="CI167" s="2135"/>
      <c r="CJ167" s="2135"/>
      <c r="CK167" s="2135"/>
      <c r="CL167" s="2135"/>
      <c r="CM167" s="2135"/>
      <c r="CN167" s="305"/>
      <c r="CO167" s="1826"/>
      <c r="CP167" s="1826"/>
      <c r="CQ167" s="1826"/>
      <c r="CR167" s="1826"/>
      <c r="CS167" s="1826"/>
      <c r="CT167" s="1826"/>
      <c r="CU167" s="1826"/>
      <c r="CV167" s="1826"/>
      <c r="CW167" s="1826"/>
      <c r="CX167" s="1826"/>
      <c r="CY167" s="1826"/>
      <c r="CZ167" s="1826"/>
      <c r="DA167" s="1826"/>
      <c r="DB167" s="1826"/>
      <c r="DC167" s="1826"/>
      <c r="DD167" s="1628"/>
      <c r="DE167" s="1628"/>
      <c r="DF167" s="1628"/>
      <c r="DG167" s="1628"/>
      <c r="DH167" s="1817"/>
      <c r="DI167" s="1818"/>
      <c r="DJ167" s="1818"/>
      <c r="DK167" s="1818"/>
      <c r="DL167" s="1818"/>
      <c r="DM167" s="1818"/>
      <c r="DN167" s="1818"/>
      <c r="DO167" s="1818"/>
      <c r="DP167" s="1818"/>
      <c r="DQ167" s="1818"/>
      <c r="DR167" s="1819"/>
      <c r="DS167" s="1010"/>
      <c r="DT167" s="315"/>
    </row>
    <row r="168" spans="2:124" ht="27" customHeight="1">
      <c r="B168" s="321"/>
      <c r="C168" s="293"/>
      <c r="D168" s="2129"/>
      <c r="E168" s="2130"/>
      <c r="F168" s="2130"/>
      <c r="G168" s="2130"/>
      <c r="H168" s="2131"/>
      <c r="I168" s="2132"/>
      <c r="J168" s="2132"/>
      <c r="K168" s="2132"/>
      <c r="L168" s="2132"/>
      <c r="M168" s="2132"/>
      <c r="N168" s="2132"/>
      <c r="O168" s="2132"/>
      <c r="P168" s="2132"/>
      <c r="Q168" s="2132"/>
      <c r="R168" s="2132"/>
      <c r="S168" s="2132"/>
      <c r="T168" s="2132"/>
      <c r="U168" s="2132"/>
      <c r="V168" s="2132"/>
      <c r="W168" s="2132"/>
      <c r="X168" s="2132"/>
      <c r="Y168" s="2132"/>
      <c r="Z168" s="2132"/>
      <c r="AA168" s="2132"/>
      <c r="AB168" s="2132"/>
      <c r="AC168" s="2133"/>
      <c r="AD168" s="2133"/>
      <c r="AE168" s="2133"/>
      <c r="AF168" s="2133"/>
      <c r="AG168" s="2133"/>
      <c r="AH168" s="2133"/>
      <c r="AI168" s="2133"/>
      <c r="AJ168" s="2133"/>
      <c r="AK168" s="2133"/>
      <c r="AL168" s="2133"/>
      <c r="AM168" s="2133"/>
      <c r="AN168" s="2133"/>
      <c r="AO168" s="2133"/>
      <c r="AP168" s="2133"/>
      <c r="AQ168" s="2133"/>
      <c r="AR168" s="2133"/>
      <c r="AS168" s="2133"/>
      <c r="AT168" s="2133"/>
      <c r="AU168" s="2133"/>
      <c r="AV168" s="2133"/>
      <c r="AW168" s="2133"/>
      <c r="AX168" s="2133"/>
      <c r="AY168" s="2133"/>
      <c r="AZ168" s="2133"/>
      <c r="BA168" s="2133"/>
      <c r="BB168" s="2133"/>
      <c r="BC168" s="2133"/>
      <c r="BD168" s="2133"/>
      <c r="BE168" s="2133"/>
      <c r="BF168" s="2133"/>
      <c r="BG168" s="2133"/>
      <c r="BH168" s="2133"/>
      <c r="BI168" s="2133"/>
      <c r="BJ168" s="2133"/>
      <c r="BK168" s="2133"/>
      <c r="BL168" s="2133"/>
      <c r="BM168" s="2133"/>
      <c r="BN168" s="2133"/>
      <c r="BO168" s="2133"/>
      <c r="BP168" s="2133"/>
      <c r="BQ168" s="2134"/>
      <c r="BR168" s="2134"/>
      <c r="BS168" s="2134"/>
      <c r="BT168" s="2134"/>
      <c r="BU168" s="2134"/>
      <c r="BV168" s="2134"/>
      <c r="BW168" s="2134"/>
      <c r="BX168" s="2134"/>
      <c r="BY168" s="2134"/>
      <c r="BZ168" s="2135"/>
      <c r="CA168" s="2135"/>
      <c r="CB168" s="2135"/>
      <c r="CC168" s="2135"/>
      <c r="CD168" s="2135"/>
      <c r="CE168" s="2135"/>
      <c r="CF168" s="2135"/>
      <c r="CG168" s="2135"/>
      <c r="CH168" s="2135"/>
      <c r="CI168" s="2135"/>
      <c r="CJ168" s="2135"/>
      <c r="CK168" s="2135"/>
      <c r="CL168" s="2135"/>
      <c r="CM168" s="2135"/>
      <c r="CN168" s="305"/>
      <c r="CO168" s="1826"/>
      <c r="CP168" s="1826"/>
      <c r="CQ168" s="1826"/>
      <c r="CR168" s="1826"/>
      <c r="CS168" s="1826"/>
      <c r="CT168" s="1826"/>
      <c r="CU168" s="1826"/>
      <c r="CV168" s="1826"/>
      <c r="CW168" s="1826"/>
      <c r="CX168" s="1826"/>
      <c r="CY168" s="1826"/>
      <c r="CZ168" s="1826"/>
      <c r="DA168" s="1826"/>
      <c r="DB168" s="1826"/>
      <c r="DC168" s="1826"/>
      <c r="DD168" s="1628"/>
      <c r="DE168" s="1628"/>
      <c r="DF168" s="1628"/>
      <c r="DG168" s="1628"/>
      <c r="DH168" s="1817"/>
      <c r="DI168" s="1818"/>
      <c r="DJ168" s="1818"/>
      <c r="DK168" s="1818"/>
      <c r="DL168" s="1818"/>
      <c r="DM168" s="1818"/>
      <c r="DN168" s="1818"/>
      <c r="DO168" s="1818"/>
      <c r="DP168" s="1818"/>
      <c r="DQ168" s="1818"/>
      <c r="DR168" s="1819"/>
      <c r="DS168" s="1010"/>
      <c r="DT168" s="315"/>
    </row>
    <row r="169" spans="2:124" ht="27" customHeight="1">
      <c r="B169" s="321"/>
      <c r="C169" s="293"/>
      <c r="D169" s="2129"/>
      <c r="E169" s="2130"/>
      <c r="F169" s="2130"/>
      <c r="G169" s="2130"/>
      <c r="H169" s="2131"/>
      <c r="I169" s="2132"/>
      <c r="J169" s="2132"/>
      <c r="K169" s="2132"/>
      <c r="L169" s="2132"/>
      <c r="M169" s="2132"/>
      <c r="N169" s="2132"/>
      <c r="O169" s="2132"/>
      <c r="P169" s="2132"/>
      <c r="Q169" s="2132"/>
      <c r="R169" s="2132"/>
      <c r="S169" s="2132"/>
      <c r="T169" s="2132"/>
      <c r="U169" s="2132"/>
      <c r="V169" s="2132"/>
      <c r="W169" s="2132"/>
      <c r="X169" s="2132"/>
      <c r="Y169" s="2132"/>
      <c r="Z169" s="2132"/>
      <c r="AA169" s="2132"/>
      <c r="AB169" s="2132"/>
      <c r="AC169" s="2133"/>
      <c r="AD169" s="2133"/>
      <c r="AE169" s="2133"/>
      <c r="AF169" s="2133"/>
      <c r="AG169" s="2133"/>
      <c r="AH169" s="2133"/>
      <c r="AI169" s="2133"/>
      <c r="AJ169" s="2133"/>
      <c r="AK169" s="2133"/>
      <c r="AL169" s="2133"/>
      <c r="AM169" s="2133"/>
      <c r="AN169" s="2133"/>
      <c r="AO169" s="2133"/>
      <c r="AP169" s="2133"/>
      <c r="AQ169" s="2133"/>
      <c r="AR169" s="2133"/>
      <c r="AS169" s="2133"/>
      <c r="AT169" s="2133"/>
      <c r="AU169" s="2133"/>
      <c r="AV169" s="2133"/>
      <c r="AW169" s="2133"/>
      <c r="AX169" s="2133"/>
      <c r="AY169" s="2133"/>
      <c r="AZ169" s="2133"/>
      <c r="BA169" s="2133"/>
      <c r="BB169" s="2133"/>
      <c r="BC169" s="2133"/>
      <c r="BD169" s="2133"/>
      <c r="BE169" s="2133"/>
      <c r="BF169" s="2133"/>
      <c r="BG169" s="2133"/>
      <c r="BH169" s="2133"/>
      <c r="BI169" s="2133"/>
      <c r="BJ169" s="2133"/>
      <c r="BK169" s="2133"/>
      <c r="BL169" s="2133"/>
      <c r="BM169" s="2133"/>
      <c r="BN169" s="2133"/>
      <c r="BO169" s="2133"/>
      <c r="BP169" s="2133"/>
      <c r="BQ169" s="2134"/>
      <c r="BR169" s="2134"/>
      <c r="BS169" s="2134"/>
      <c r="BT169" s="2134"/>
      <c r="BU169" s="2134"/>
      <c r="BV169" s="2134"/>
      <c r="BW169" s="2134"/>
      <c r="BX169" s="2134"/>
      <c r="BY169" s="2134"/>
      <c r="BZ169" s="2135"/>
      <c r="CA169" s="2135"/>
      <c r="CB169" s="2135"/>
      <c r="CC169" s="2135"/>
      <c r="CD169" s="2135"/>
      <c r="CE169" s="2135"/>
      <c r="CF169" s="2135"/>
      <c r="CG169" s="2135"/>
      <c r="CH169" s="2135"/>
      <c r="CI169" s="2135"/>
      <c r="CJ169" s="2135"/>
      <c r="CK169" s="2135"/>
      <c r="CL169" s="2135"/>
      <c r="CM169" s="2135"/>
      <c r="CN169" s="305"/>
      <c r="CO169" s="1826"/>
      <c r="CP169" s="1826"/>
      <c r="CQ169" s="1826"/>
      <c r="CR169" s="1826"/>
      <c r="CS169" s="1826"/>
      <c r="CT169" s="1826"/>
      <c r="CU169" s="1826"/>
      <c r="CV169" s="1826"/>
      <c r="CW169" s="1826"/>
      <c r="CX169" s="1826"/>
      <c r="CY169" s="1826"/>
      <c r="CZ169" s="1826"/>
      <c r="DA169" s="1826"/>
      <c r="DB169" s="1826"/>
      <c r="DC169" s="1826"/>
      <c r="DD169" s="1628"/>
      <c r="DE169" s="1628"/>
      <c r="DF169" s="1628"/>
      <c r="DG169" s="1628"/>
      <c r="DH169" s="1817"/>
      <c r="DI169" s="1818"/>
      <c r="DJ169" s="1818"/>
      <c r="DK169" s="1818"/>
      <c r="DL169" s="1818"/>
      <c r="DM169" s="1818"/>
      <c r="DN169" s="1818"/>
      <c r="DO169" s="1818"/>
      <c r="DP169" s="1818"/>
      <c r="DQ169" s="1818"/>
      <c r="DR169" s="1819"/>
      <c r="DS169" s="1010"/>
      <c r="DT169" s="315"/>
    </row>
    <row r="170" spans="2:124" ht="27" customHeight="1">
      <c r="B170" s="321"/>
      <c r="C170" s="293"/>
      <c r="D170" s="2129"/>
      <c r="E170" s="2130"/>
      <c r="F170" s="2130"/>
      <c r="G170" s="2130"/>
      <c r="H170" s="2131"/>
      <c r="I170" s="2132"/>
      <c r="J170" s="2132"/>
      <c r="K170" s="2132"/>
      <c r="L170" s="2132"/>
      <c r="M170" s="2132"/>
      <c r="N170" s="2132"/>
      <c r="O170" s="2132"/>
      <c r="P170" s="2132"/>
      <c r="Q170" s="2132"/>
      <c r="R170" s="2132"/>
      <c r="S170" s="2132"/>
      <c r="T170" s="2132"/>
      <c r="U170" s="2132"/>
      <c r="V170" s="2132"/>
      <c r="W170" s="2132"/>
      <c r="X170" s="2132"/>
      <c r="Y170" s="2132"/>
      <c r="Z170" s="2132"/>
      <c r="AA170" s="2132"/>
      <c r="AB170" s="2132"/>
      <c r="AC170" s="2133"/>
      <c r="AD170" s="2133"/>
      <c r="AE170" s="2133"/>
      <c r="AF170" s="2133"/>
      <c r="AG170" s="2133"/>
      <c r="AH170" s="2133"/>
      <c r="AI170" s="2133"/>
      <c r="AJ170" s="2133"/>
      <c r="AK170" s="2133"/>
      <c r="AL170" s="2133"/>
      <c r="AM170" s="2133"/>
      <c r="AN170" s="2133"/>
      <c r="AO170" s="2133"/>
      <c r="AP170" s="2133"/>
      <c r="AQ170" s="2133"/>
      <c r="AR170" s="2133"/>
      <c r="AS170" s="2133"/>
      <c r="AT170" s="2133"/>
      <c r="AU170" s="2133"/>
      <c r="AV170" s="2133"/>
      <c r="AW170" s="2133"/>
      <c r="AX170" s="2133"/>
      <c r="AY170" s="2133"/>
      <c r="AZ170" s="2133"/>
      <c r="BA170" s="2133"/>
      <c r="BB170" s="2133"/>
      <c r="BC170" s="2133"/>
      <c r="BD170" s="2133"/>
      <c r="BE170" s="2133"/>
      <c r="BF170" s="2133"/>
      <c r="BG170" s="2133"/>
      <c r="BH170" s="2133"/>
      <c r="BI170" s="2133"/>
      <c r="BJ170" s="2133"/>
      <c r="BK170" s="2133"/>
      <c r="BL170" s="2133"/>
      <c r="BM170" s="2133"/>
      <c r="BN170" s="2133"/>
      <c r="BO170" s="2133"/>
      <c r="BP170" s="2133"/>
      <c r="BQ170" s="2134"/>
      <c r="BR170" s="2134"/>
      <c r="BS170" s="2134"/>
      <c r="BT170" s="2134"/>
      <c r="BU170" s="2134"/>
      <c r="BV170" s="2134"/>
      <c r="BW170" s="2134"/>
      <c r="BX170" s="2134"/>
      <c r="BY170" s="2134"/>
      <c r="BZ170" s="2135"/>
      <c r="CA170" s="2135"/>
      <c r="CB170" s="2135"/>
      <c r="CC170" s="2135"/>
      <c r="CD170" s="2135"/>
      <c r="CE170" s="2135"/>
      <c r="CF170" s="2135"/>
      <c r="CG170" s="2135"/>
      <c r="CH170" s="2135"/>
      <c r="CI170" s="2135"/>
      <c r="CJ170" s="2135"/>
      <c r="CK170" s="2135"/>
      <c r="CL170" s="2135"/>
      <c r="CM170" s="2135"/>
      <c r="CN170" s="305"/>
      <c r="CO170" s="1826"/>
      <c r="CP170" s="1826"/>
      <c r="CQ170" s="1826"/>
      <c r="CR170" s="1826"/>
      <c r="CS170" s="1826"/>
      <c r="CT170" s="1826"/>
      <c r="CU170" s="1826"/>
      <c r="CV170" s="1826"/>
      <c r="CW170" s="1826"/>
      <c r="CX170" s="1826"/>
      <c r="CY170" s="1826"/>
      <c r="CZ170" s="1826"/>
      <c r="DA170" s="1826"/>
      <c r="DB170" s="1826"/>
      <c r="DC170" s="1826"/>
      <c r="DD170" s="1628"/>
      <c r="DE170" s="1628"/>
      <c r="DF170" s="1628"/>
      <c r="DG170" s="1628"/>
      <c r="DH170" s="1817"/>
      <c r="DI170" s="1818"/>
      <c r="DJ170" s="1818"/>
      <c r="DK170" s="1818"/>
      <c r="DL170" s="1818"/>
      <c r="DM170" s="1818"/>
      <c r="DN170" s="1818"/>
      <c r="DO170" s="1818"/>
      <c r="DP170" s="1818"/>
      <c r="DQ170" s="1818"/>
      <c r="DR170" s="1819"/>
      <c r="DS170" s="1010"/>
      <c r="DT170" s="315"/>
    </row>
    <row r="171" spans="2:124" ht="27" customHeight="1">
      <c r="B171" s="321"/>
      <c r="C171" s="293"/>
      <c r="D171" s="2129"/>
      <c r="E171" s="2130"/>
      <c r="F171" s="2130"/>
      <c r="G171" s="2130"/>
      <c r="H171" s="2131"/>
      <c r="I171" s="2132"/>
      <c r="J171" s="2132"/>
      <c r="K171" s="2132"/>
      <c r="L171" s="2132"/>
      <c r="M171" s="2132"/>
      <c r="N171" s="2132"/>
      <c r="O171" s="2132"/>
      <c r="P171" s="2132"/>
      <c r="Q171" s="2132"/>
      <c r="R171" s="2132"/>
      <c r="S171" s="2132"/>
      <c r="T171" s="2132"/>
      <c r="U171" s="2132"/>
      <c r="V171" s="2132"/>
      <c r="W171" s="2132"/>
      <c r="X171" s="2132"/>
      <c r="Y171" s="2132"/>
      <c r="Z171" s="2132"/>
      <c r="AA171" s="2132"/>
      <c r="AB171" s="2132"/>
      <c r="AC171" s="2133"/>
      <c r="AD171" s="2133"/>
      <c r="AE171" s="2133"/>
      <c r="AF171" s="2133"/>
      <c r="AG171" s="2133"/>
      <c r="AH171" s="2133"/>
      <c r="AI171" s="2133"/>
      <c r="AJ171" s="2133"/>
      <c r="AK171" s="2133"/>
      <c r="AL171" s="2133"/>
      <c r="AM171" s="2133"/>
      <c r="AN171" s="2133"/>
      <c r="AO171" s="2133"/>
      <c r="AP171" s="2133"/>
      <c r="AQ171" s="2133"/>
      <c r="AR171" s="2133"/>
      <c r="AS171" s="2133"/>
      <c r="AT171" s="2133"/>
      <c r="AU171" s="2133"/>
      <c r="AV171" s="2133"/>
      <c r="AW171" s="2133"/>
      <c r="AX171" s="2133"/>
      <c r="AY171" s="2133"/>
      <c r="AZ171" s="2133"/>
      <c r="BA171" s="2133"/>
      <c r="BB171" s="2133"/>
      <c r="BC171" s="2133"/>
      <c r="BD171" s="2133"/>
      <c r="BE171" s="2133"/>
      <c r="BF171" s="2133"/>
      <c r="BG171" s="2133"/>
      <c r="BH171" s="2133"/>
      <c r="BI171" s="2133"/>
      <c r="BJ171" s="2133"/>
      <c r="BK171" s="2133"/>
      <c r="BL171" s="2133"/>
      <c r="BM171" s="2133"/>
      <c r="BN171" s="2133"/>
      <c r="BO171" s="2133"/>
      <c r="BP171" s="2133"/>
      <c r="BQ171" s="2134"/>
      <c r="BR171" s="2134"/>
      <c r="BS171" s="2134"/>
      <c r="BT171" s="2134"/>
      <c r="BU171" s="2134"/>
      <c r="BV171" s="2134"/>
      <c r="BW171" s="2134"/>
      <c r="BX171" s="2134"/>
      <c r="BY171" s="2134"/>
      <c r="BZ171" s="2135"/>
      <c r="CA171" s="2135"/>
      <c r="CB171" s="2135"/>
      <c r="CC171" s="2135"/>
      <c r="CD171" s="2135"/>
      <c r="CE171" s="2135"/>
      <c r="CF171" s="2135"/>
      <c r="CG171" s="2135"/>
      <c r="CH171" s="2135"/>
      <c r="CI171" s="2135"/>
      <c r="CJ171" s="2135"/>
      <c r="CK171" s="2135"/>
      <c r="CL171" s="2135"/>
      <c r="CM171" s="2135"/>
      <c r="CN171" s="305"/>
      <c r="CO171" s="1826"/>
      <c r="CP171" s="1826"/>
      <c r="CQ171" s="1826"/>
      <c r="CR171" s="1826"/>
      <c r="CS171" s="1826"/>
      <c r="CT171" s="1826"/>
      <c r="CU171" s="1826"/>
      <c r="CV171" s="1826"/>
      <c r="CW171" s="1826"/>
      <c r="CX171" s="1826"/>
      <c r="CY171" s="1826"/>
      <c r="CZ171" s="1826"/>
      <c r="DA171" s="1826"/>
      <c r="DB171" s="1826"/>
      <c r="DC171" s="1826"/>
      <c r="DD171" s="1628"/>
      <c r="DE171" s="1628"/>
      <c r="DF171" s="1628"/>
      <c r="DG171" s="1628"/>
      <c r="DH171" s="1817"/>
      <c r="DI171" s="1818"/>
      <c r="DJ171" s="1818"/>
      <c r="DK171" s="1818"/>
      <c r="DL171" s="1818"/>
      <c r="DM171" s="1818"/>
      <c r="DN171" s="1818"/>
      <c r="DO171" s="1818"/>
      <c r="DP171" s="1818"/>
      <c r="DQ171" s="1818"/>
      <c r="DR171" s="1819"/>
      <c r="DS171" s="1010"/>
      <c r="DT171" s="315"/>
    </row>
    <row r="172" spans="2:124" ht="27" customHeight="1">
      <c r="B172" s="321"/>
      <c r="C172" s="293"/>
      <c r="D172" s="2129"/>
      <c r="E172" s="2130"/>
      <c r="F172" s="2130"/>
      <c r="G172" s="2130"/>
      <c r="H172" s="2131"/>
      <c r="I172" s="2132"/>
      <c r="J172" s="2132"/>
      <c r="K172" s="2132"/>
      <c r="L172" s="2132"/>
      <c r="M172" s="2132"/>
      <c r="N172" s="2132"/>
      <c r="O172" s="2132"/>
      <c r="P172" s="2132"/>
      <c r="Q172" s="2132"/>
      <c r="R172" s="2132"/>
      <c r="S172" s="2132"/>
      <c r="T172" s="2132"/>
      <c r="U172" s="2132"/>
      <c r="V172" s="2132"/>
      <c r="W172" s="2132"/>
      <c r="X172" s="2132"/>
      <c r="Y172" s="2132"/>
      <c r="Z172" s="2132"/>
      <c r="AA172" s="2132"/>
      <c r="AB172" s="2132"/>
      <c r="AC172" s="2133"/>
      <c r="AD172" s="2133"/>
      <c r="AE172" s="2133"/>
      <c r="AF172" s="2133"/>
      <c r="AG172" s="2133"/>
      <c r="AH172" s="2133"/>
      <c r="AI172" s="2133"/>
      <c r="AJ172" s="2133"/>
      <c r="AK172" s="2133"/>
      <c r="AL172" s="2133"/>
      <c r="AM172" s="2133"/>
      <c r="AN172" s="2133"/>
      <c r="AO172" s="2133"/>
      <c r="AP172" s="2133"/>
      <c r="AQ172" s="2133"/>
      <c r="AR172" s="2133"/>
      <c r="AS172" s="2133"/>
      <c r="AT172" s="2133"/>
      <c r="AU172" s="2133"/>
      <c r="AV172" s="2133"/>
      <c r="AW172" s="2133"/>
      <c r="AX172" s="2133"/>
      <c r="AY172" s="2133"/>
      <c r="AZ172" s="2133"/>
      <c r="BA172" s="2133"/>
      <c r="BB172" s="2133"/>
      <c r="BC172" s="2133"/>
      <c r="BD172" s="2133"/>
      <c r="BE172" s="2133"/>
      <c r="BF172" s="2133"/>
      <c r="BG172" s="2133"/>
      <c r="BH172" s="2133"/>
      <c r="BI172" s="2133"/>
      <c r="BJ172" s="2133"/>
      <c r="BK172" s="2133"/>
      <c r="BL172" s="2133"/>
      <c r="BM172" s="2133"/>
      <c r="BN172" s="2133"/>
      <c r="BO172" s="2133"/>
      <c r="BP172" s="2133"/>
      <c r="BQ172" s="2134"/>
      <c r="BR172" s="2134"/>
      <c r="BS172" s="2134"/>
      <c r="BT172" s="2134"/>
      <c r="BU172" s="2134"/>
      <c r="BV172" s="2134"/>
      <c r="BW172" s="2134"/>
      <c r="BX172" s="2134"/>
      <c r="BY172" s="2134"/>
      <c r="BZ172" s="2135"/>
      <c r="CA172" s="2135"/>
      <c r="CB172" s="2135"/>
      <c r="CC172" s="2135"/>
      <c r="CD172" s="2135"/>
      <c r="CE172" s="2135"/>
      <c r="CF172" s="2135"/>
      <c r="CG172" s="2135"/>
      <c r="CH172" s="2135"/>
      <c r="CI172" s="2135"/>
      <c r="CJ172" s="2135"/>
      <c r="CK172" s="2135"/>
      <c r="CL172" s="2135"/>
      <c r="CM172" s="2135"/>
      <c r="CN172" s="305"/>
      <c r="CO172" s="1826"/>
      <c r="CP172" s="1826"/>
      <c r="CQ172" s="1826"/>
      <c r="CR172" s="1826"/>
      <c r="CS172" s="1826"/>
      <c r="CT172" s="1826"/>
      <c r="CU172" s="1826"/>
      <c r="CV172" s="1826"/>
      <c r="CW172" s="1826"/>
      <c r="CX172" s="1826"/>
      <c r="CY172" s="1826"/>
      <c r="CZ172" s="1826"/>
      <c r="DA172" s="1826"/>
      <c r="DB172" s="1826"/>
      <c r="DC172" s="1826"/>
      <c r="DD172" s="1628"/>
      <c r="DE172" s="1628"/>
      <c r="DF172" s="1628"/>
      <c r="DG172" s="1628"/>
      <c r="DH172" s="1817"/>
      <c r="DI172" s="1818"/>
      <c r="DJ172" s="1818"/>
      <c r="DK172" s="1818"/>
      <c r="DL172" s="1818"/>
      <c r="DM172" s="1818"/>
      <c r="DN172" s="1818"/>
      <c r="DO172" s="1818"/>
      <c r="DP172" s="1818"/>
      <c r="DQ172" s="1818"/>
      <c r="DR172" s="1819"/>
      <c r="DS172" s="1010"/>
      <c r="DT172" s="315"/>
    </row>
    <row r="173" spans="2:124" ht="27" customHeight="1">
      <c r="B173" s="321"/>
      <c r="C173" s="293"/>
      <c r="D173" s="2129"/>
      <c r="E173" s="2130"/>
      <c r="F173" s="2130"/>
      <c r="G173" s="2130"/>
      <c r="H173" s="2131"/>
      <c r="I173" s="2132"/>
      <c r="J173" s="2132"/>
      <c r="K173" s="2132"/>
      <c r="L173" s="2132"/>
      <c r="M173" s="2132"/>
      <c r="N173" s="2132"/>
      <c r="O173" s="2132"/>
      <c r="P173" s="2132"/>
      <c r="Q173" s="2132"/>
      <c r="R173" s="2132"/>
      <c r="S173" s="2132"/>
      <c r="T173" s="2132"/>
      <c r="U173" s="2132"/>
      <c r="V173" s="2132"/>
      <c r="W173" s="2132"/>
      <c r="X173" s="2132"/>
      <c r="Y173" s="2132"/>
      <c r="Z173" s="2132"/>
      <c r="AA173" s="2132"/>
      <c r="AB173" s="2132"/>
      <c r="AC173" s="2133"/>
      <c r="AD173" s="2133"/>
      <c r="AE173" s="2133"/>
      <c r="AF173" s="2133"/>
      <c r="AG173" s="2133"/>
      <c r="AH173" s="2133"/>
      <c r="AI173" s="2133"/>
      <c r="AJ173" s="2133"/>
      <c r="AK173" s="2133"/>
      <c r="AL173" s="2133"/>
      <c r="AM173" s="2133"/>
      <c r="AN173" s="2133"/>
      <c r="AO173" s="2133"/>
      <c r="AP173" s="2133"/>
      <c r="AQ173" s="2133"/>
      <c r="AR173" s="2133"/>
      <c r="AS173" s="2133"/>
      <c r="AT173" s="2133"/>
      <c r="AU173" s="2133"/>
      <c r="AV173" s="2133"/>
      <c r="AW173" s="2133"/>
      <c r="AX173" s="2133"/>
      <c r="AY173" s="2133"/>
      <c r="AZ173" s="2133"/>
      <c r="BA173" s="2133"/>
      <c r="BB173" s="2133"/>
      <c r="BC173" s="2133"/>
      <c r="BD173" s="2133"/>
      <c r="BE173" s="2133"/>
      <c r="BF173" s="2133"/>
      <c r="BG173" s="2133"/>
      <c r="BH173" s="2133"/>
      <c r="BI173" s="2133"/>
      <c r="BJ173" s="2133"/>
      <c r="BK173" s="2133"/>
      <c r="BL173" s="2133"/>
      <c r="BM173" s="2133"/>
      <c r="BN173" s="2133"/>
      <c r="BO173" s="2133"/>
      <c r="BP173" s="2133"/>
      <c r="BQ173" s="2134"/>
      <c r="BR173" s="2134"/>
      <c r="BS173" s="2134"/>
      <c r="BT173" s="2134"/>
      <c r="BU173" s="2134"/>
      <c r="BV173" s="2134"/>
      <c r="BW173" s="2134"/>
      <c r="BX173" s="2134"/>
      <c r="BY173" s="2134"/>
      <c r="BZ173" s="2135"/>
      <c r="CA173" s="2135"/>
      <c r="CB173" s="2135"/>
      <c r="CC173" s="2135"/>
      <c r="CD173" s="2135"/>
      <c r="CE173" s="2135"/>
      <c r="CF173" s="2135"/>
      <c r="CG173" s="2135"/>
      <c r="CH173" s="2135"/>
      <c r="CI173" s="2135"/>
      <c r="CJ173" s="2135"/>
      <c r="CK173" s="2135"/>
      <c r="CL173" s="2135"/>
      <c r="CM173" s="2135"/>
      <c r="CN173" s="305"/>
      <c r="CO173" s="1826"/>
      <c r="CP173" s="1826"/>
      <c r="CQ173" s="1826"/>
      <c r="CR173" s="1826"/>
      <c r="CS173" s="1826"/>
      <c r="CT173" s="1826"/>
      <c r="CU173" s="1826"/>
      <c r="CV173" s="1826"/>
      <c r="CW173" s="1826"/>
      <c r="CX173" s="1826"/>
      <c r="CY173" s="1826"/>
      <c r="CZ173" s="1826"/>
      <c r="DA173" s="1826"/>
      <c r="DB173" s="1826"/>
      <c r="DC173" s="1826"/>
      <c r="DD173" s="1628"/>
      <c r="DE173" s="1628"/>
      <c r="DF173" s="1628"/>
      <c r="DG173" s="1628"/>
      <c r="DH173" s="1817"/>
      <c r="DI173" s="1818"/>
      <c r="DJ173" s="1818"/>
      <c r="DK173" s="1818"/>
      <c r="DL173" s="1818"/>
      <c r="DM173" s="1818"/>
      <c r="DN173" s="1818"/>
      <c r="DO173" s="1818"/>
      <c r="DP173" s="1818"/>
      <c r="DQ173" s="1818"/>
      <c r="DR173" s="1819"/>
      <c r="DS173" s="1010"/>
      <c r="DT173" s="315"/>
    </row>
    <row r="174" spans="2:124" ht="27" customHeight="1">
      <c r="B174" s="321"/>
      <c r="C174" s="293"/>
      <c r="D174" s="2129"/>
      <c r="E174" s="2130"/>
      <c r="F174" s="2130"/>
      <c r="G174" s="2130"/>
      <c r="H174" s="2131"/>
      <c r="I174" s="2132"/>
      <c r="J174" s="2132"/>
      <c r="K174" s="2132"/>
      <c r="L174" s="2132"/>
      <c r="M174" s="2132"/>
      <c r="N174" s="2132"/>
      <c r="O174" s="2132"/>
      <c r="P174" s="2132"/>
      <c r="Q174" s="2132"/>
      <c r="R174" s="2132"/>
      <c r="S174" s="2132"/>
      <c r="T174" s="2132"/>
      <c r="U174" s="2132"/>
      <c r="V174" s="2132"/>
      <c r="W174" s="2132"/>
      <c r="X174" s="2132"/>
      <c r="Y174" s="2132"/>
      <c r="Z174" s="2132"/>
      <c r="AA174" s="2132"/>
      <c r="AB174" s="2132"/>
      <c r="AC174" s="2133"/>
      <c r="AD174" s="2133"/>
      <c r="AE174" s="2133"/>
      <c r="AF174" s="2133"/>
      <c r="AG174" s="2133"/>
      <c r="AH174" s="2133"/>
      <c r="AI174" s="2133"/>
      <c r="AJ174" s="2133"/>
      <c r="AK174" s="2133"/>
      <c r="AL174" s="2133"/>
      <c r="AM174" s="2133"/>
      <c r="AN174" s="2133"/>
      <c r="AO174" s="2133"/>
      <c r="AP174" s="2133"/>
      <c r="AQ174" s="2133"/>
      <c r="AR174" s="2133"/>
      <c r="AS174" s="2133"/>
      <c r="AT174" s="2133"/>
      <c r="AU174" s="2133"/>
      <c r="AV174" s="2133"/>
      <c r="AW174" s="2133"/>
      <c r="AX174" s="2133"/>
      <c r="AY174" s="2133"/>
      <c r="AZ174" s="2133"/>
      <c r="BA174" s="2133"/>
      <c r="BB174" s="2133"/>
      <c r="BC174" s="2133"/>
      <c r="BD174" s="2133"/>
      <c r="BE174" s="2133"/>
      <c r="BF174" s="2133"/>
      <c r="BG174" s="2133"/>
      <c r="BH174" s="2133"/>
      <c r="BI174" s="2133"/>
      <c r="BJ174" s="2133"/>
      <c r="BK174" s="2133"/>
      <c r="BL174" s="2133"/>
      <c r="BM174" s="2133"/>
      <c r="BN174" s="2133"/>
      <c r="BO174" s="2133"/>
      <c r="BP174" s="2133"/>
      <c r="BQ174" s="2134"/>
      <c r="BR174" s="2134"/>
      <c r="BS174" s="2134"/>
      <c r="BT174" s="2134"/>
      <c r="BU174" s="2134"/>
      <c r="BV174" s="2134"/>
      <c r="BW174" s="2134"/>
      <c r="BX174" s="2134"/>
      <c r="BY174" s="2134"/>
      <c r="BZ174" s="2135"/>
      <c r="CA174" s="2135"/>
      <c r="CB174" s="2135"/>
      <c r="CC174" s="2135"/>
      <c r="CD174" s="2135"/>
      <c r="CE174" s="2135"/>
      <c r="CF174" s="2135"/>
      <c r="CG174" s="2135"/>
      <c r="CH174" s="2135"/>
      <c r="CI174" s="2135"/>
      <c r="CJ174" s="2135"/>
      <c r="CK174" s="2135"/>
      <c r="CL174" s="2135"/>
      <c r="CM174" s="2135"/>
      <c r="CN174" s="305"/>
      <c r="CO174" s="1826"/>
      <c r="CP174" s="1826"/>
      <c r="CQ174" s="1826"/>
      <c r="CR174" s="1826"/>
      <c r="CS174" s="1826"/>
      <c r="CT174" s="1826"/>
      <c r="CU174" s="1826"/>
      <c r="CV174" s="1826"/>
      <c r="CW174" s="1826"/>
      <c r="CX174" s="1826"/>
      <c r="CY174" s="1826"/>
      <c r="CZ174" s="1826"/>
      <c r="DA174" s="1826"/>
      <c r="DB174" s="1826"/>
      <c r="DC174" s="1826"/>
      <c r="DD174" s="1628"/>
      <c r="DE174" s="1628"/>
      <c r="DF174" s="1628"/>
      <c r="DG174" s="1628"/>
      <c r="DH174" s="1817"/>
      <c r="DI174" s="1818"/>
      <c r="DJ174" s="1818"/>
      <c r="DK174" s="1818"/>
      <c r="DL174" s="1818"/>
      <c r="DM174" s="1818"/>
      <c r="DN174" s="1818"/>
      <c r="DO174" s="1818"/>
      <c r="DP174" s="1818"/>
      <c r="DQ174" s="1818"/>
      <c r="DR174" s="1819"/>
      <c r="DS174" s="1010"/>
      <c r="DT174" s="315"/>
    </row>
    <row r="175" spans="2:124" ht="27" customHeight="1">
      <c r="B175" s="321"/>
      <c r="C175" s="293"/>
      <c r="D175" s="2129"/>
      <c r="E175" s="2130"/>
      <c r="F175" s="2130"/>
      <c r="G175" s="2130"/>
      <c r="H175" s="2131"/>
      <c r="I175" s="2132"/>
      <c r="J175" s="2132"/>
      <c r="K175" s="2132"/>
      <c r="L175" s="2132"/>
      <c r="M175" s="2132"/>
      <c r="N175" s="2132"/>
      <c r="O175" s="2132"/>
      <c r="P175" s="2132"/>
      <c r="Q175" s="2132"/>
      <c r="R175" s="2132"/>
      <c r="S175" s="2132"/>
      <c r="T175" s="2132"/>
      <c r="U175" s="2132"/>
      <c r="V175" s="2132"/>
      <c r="W175" s="2132"/>
      <c r="X175" s="2132"/>
      <c r="Y175" s="2132"/>
      <c r="Z175" s="2132"/>
      <c r="AA175" s="2132"/>
      <c r="AB175" s="2132"/>
      <c r="AC175" s="2133"/>
      <c r="AD175" s="2133"/>
      <c r="AE175" s="2133"/>
      <c r="AF175" s="2133"/>
      <c r="AG175" s="2133"/>
      <c r="AH175" s="2133"/>
      <c r="AI175" s="2133"/>
      <c r="AJ175" s="2133"/>
      <c r="AK175" s="2133"/>
      <c r="AL175" s="2133"/>
      <c r="AM175" s="2133"/>
      <c r="AN175" s="2133"/>
      <c r="AO175" s="2133"/>
      <c r="AP175" s="2133"/>
      <c r="AQ175" s="2133"/>
      <c r="AR175" s="2133"/>
      <c r="AS175" s="2133"/>
      <c r="AT175" s="2133"/>
      <c r="AU175" s="2133"/>
      <c r="AV175" s="2133"/>
      <c r="AW175" s="2133"/>
      <c r="AX175" s="2133"/>
      <c r="AY175" s="2133"/>
      <c r="AZ175" s="2133"/>
      <c r="BA175" s="2133"/>
      <c r="BB175" s="2133"/>
      <c r="BC175" s="2133"/>
      <c r="BD175" s="2133"/>
      <c r="BE175" s="2133"/>
      <c r="BF175" s="2133"/>
      <c r="BG175" s="2133"/>
      <c r="BH175" s="2133"/>
      <c r="BI175" s="2133"/>
      <c r="BJ175" s="2133"/>
      <c r="BK175" s="2133"/>
      <c r="BL175" s="2133"/>
      <c r="BM175" s="2133"/>
      <c r="BN175" s="2133"/>
      <c r="BO175" s="2133"/>
      <c r="BP175" s="2133"/>
      <c r="BQ175" s="2134"/>
      <c r="BR175" s="2134"/>
      <c r="BS175" s="2134"/>
      <c r="BT175" s="2134"/>
      <c r="BU175" s="2134"/>
      <c r="BV175" s="2134"/>
      <c r="BW175" s="2134"/>
      <c r="BX175" s="2134"/>
      <c r="BY175" s="2134"/>
      <c r="BZ175" s="2135"/>
      <c r="CA175" s="2135"/>
      <c r="CB175" s="2135"/>
      <c r="CC175" s="2135"/>
      <c r="CD175" s="2135"/>
      <c r="CE175" s="2135"/>
      <c r="CF175" s="2135"/>
      <c r="CG175" s="2135"/>
      <c r="CH175" s="2135"/>
      <c r="CI175" s="2135"/>
      <c r="CJ175" s="2135"/>
      <c r="CK175" s="2135"/>
      <c r="CL175" s="2135"/>
      <c r="CM175" s="2135"/>
      <c r="CN175" s="305"/>
      <c r="CO175" s="1826"/>
      <c r="CP175" s="1826"/>
      <c r="CQ175" s="1826"/>
      <c r="CR175" s="1826"/>
      <c r="CS175" s="1826"/>
      <c r="CT175" s="1826"/>
      <c r="CU175" s="1826"/>
      <c r="CV175" s="1826"/>
      <c r="CW175" s="1826"/>
      <c r="CX175" s="1826"/>
      <c r="CY175" s="1826"/>
      <c r="CZ175" s="1826"/>
      <c r="DA175" s="1826"/>
      <c r="DB175" s="1826"/>
      <c r="DC175" s="1826"/>
      <c r="DD175" s="1628"/>
      <c r="DE175" s="1628"/>
      <c r="DF175" s="1628"/>
      <c r="DG175" s="1628"/>
      <c r="DH175" s="1817"/>
      <c r="DI175" s="1818"/>
      <c r="DJ175" s="1818"/>
      <c r="DK175" s="1818"/>
      <c r="DL175" s="1818"/>
      <c r="DM175" s="1818"/>
      <c r="DN175" s="1818"/>
      <c r="DO175" s="1818"/>
      <c r="DP175" s="1818"/>
      <c r="DQ175" s="1818"/>
      <c r="DR175" s="1819"/>
      <c r="DS175" s="1010"/>
      <c r="DT175" s="315"/>
    </row>
    <row r="176" spans="2:124" ht="6" customHeight="1">
      <c r="B176" s="321"/>
      <c r="C176" s="293"/>
      <c r="D176" s="1010"/>
      <c r="E176" s="1010"/>
      <c r="F176" s="1010"/>
      <c r="G176" s="1010"/>
      <c r="H176" s="1010"/>
      <c r="I176" s="1010"/>
      <c r="J176" s="1010"/>
      <c r="K176" s="1010"/>
      <c r="L176" s="1010"/>
      <c r="M176" s="1010"/>
      <c r="N176" s="1010"/>
      <c r="O176" s="1010"/>
      <c r="P176" s="1010"/>
      <c r="Q176" s="1010"/>
      <c r="R176" s="1010"/>
      <c r="S176" s="1010"/>
      <c r="T176" s="1010"/>
      <c r="U176" s="1010"/>
      <c r="V176" s="1010"/>
      <c r="W176" s="1010"/>
      <c r="X176" s="1010"/>
      <c r="Y176" s="1010"/>
      <c r="Z176" s="1010"/>
      <c r="AA176" s="1010"/>
      <c r="AB176" s="1010"/>
      <c r="AC176" s="1010"/>
      <c r="AD176" s="1010"/>
      <c r="AE176" s="1010"/>
      <c r="AF176" s="1010"/>
      <c r="AG176" s="1010"/>
      <c r="AH176" s="1010"/>
      <c r="AI176" s="1010"/>
      <c r="AJ176" s="1010"/>
      <c r="AK176" s="1010"/>
      <c r="AL176" s="1010"/>
      <c r="AM176" s="1010"/>
      <c r="AN176" s="1010"/>
      <c r="AO176" s="1010"/>
      <c r="AP176" s="1010"/>
      <c r="AQ176" s="1010"/>
      <c r="AR176" s="1010"/>
      <c r="AS176" s="1010"/>
      <c r="AT176" s="1010"/>
      <c r="AU176" s="1010"/>
      <c r="AV176" s="1010"/>
      <c r="AW176" s="1010"/>
      <c r="AX176" s="1010"/>
      <c r="AY176" s="1010"/>
      <c r="AZ176" s="1010"/>
      <c r="BA176" s="1010"/>
      <c r="BB176" s="1010"/>
      <c r="BC176" s="1010"/>
      <c r="BD176" s="1010"/>
      <c r="BE176" s="1010"/>
      <c r="BF176" s="1010"/>
      <c r="BG176" s="1010"/>
      <c r="BH176" s="1010"/>
      <c r="BI176" s="1010"/>
      <c r="BJ176" s="1010"/>
      <c r="BK176" s="1010"/>
      <c r="BL176" s="1010"/>
      <c r="BM176" s="1010"/>
      <c r="BN176" s="1010"/>
      <c r="BO176" s="1010"/>
      <c r="BP176" s="1010"/>
      <c r="BQ176" s="1010"/>
      <c r="BR176" s="1010"/>
      <c r="BS176" s="1010"/>
      <c r="BT176" s="1010"/>
      <c r="BU176" s="1010"/>
      <c r="BV176" s="1010"/>
      <c r="BW176" s="1010"/>
      <c r="BX176" s="1010"/>
      <c r="BY176" s="1010"/>
      <c r="BZ176" s="1010"/>
      <c r="CA176" s="1010"/>
      <c r="CB176" s="1010"/>
      <c r="CC176" s="1010"/>
      <c r="CD176" s="1010"/>
      <c r="CE176" s="1010"/>
      <c r="CF176" s="1010"/>
      <c r="CG176" s="1010"/>
      <c r="CH176" s="1010"/>
      <c r="CI176" s="1010"/>
      <c r="CJ176" s="1010"/>
      <c r="CK176" s="1010"/>
      <c r="CL176" s="1010"/>
      <c r="CM176" s="1010"/>
      <c r="CN176" s="1010"/>
      <c r="CO176" s="1010"/>
      <c r="CP176" s="1010"/>
      <c r="CQ176" s="1010"/>
      <c r="CR176" s="1010"/>
      <c r="CS176" s="1010"/>
      <c r="CT176" s="1010"/>
      <c r="CU176" s="1010"/>
      <c r="CV176" s="1010"/>
      <c r="CW176" s="1010"/>
      <c r="CX176" s="1010"/>
      <c r="CY176" s="1010"/>
      <c r="CZ176" s="1010"/>
      <c r="DA176" s="1010"/>
      <c r="DB176" s="1010"/>
      <c r="DC176" s="1010"/>
      <c r="DD176" s="1010"/>
      <c r="DE176" s="1010"/>
      <c r="DF176" s="1010"/>
      <c r="DG176" s="1010"/>
      <c r="DH176" s="1010"/>
      <c r="DI176" s="1010"/>
      <c r="DJ176" s="1010"/>
      <c r="DK176" s="1010"/>
      <c r="DL176" s="1010"/>
      <c r="DM176" s="1010"/>
      <c r="DN176" s="1010"/>
      <c r="DO176" s="1010"/>
      <c r="DP176" s="1010"/>
      <c r="DQ176" s="1010"/>
      <c r="DR176" s="1010"/>
      <c r="DS176" s="1010"/>
      <c r="DT176" s="315"/>
    </row>
    <row r="177" spans="2:124" ht="6" customHeight="1">
      <c r="B177" s="321"/>
      <c r="C177" s="309"/>
      <c r="D177" s="309"/>
      <c r="E177" s="309"/>
      <c r="F177" s="309"/>
      <c r="G177" s="309"/>
      <c r="H177" s="309"/>
      <c r="I177" s="309"/>
      <c r="J177" s="309"/>
      <c r="K177" s="309"/>
      <c r="L177" s="309"/>
      <c r="M177" s="309"/>
      <c r="N177" s="309"/>
      <c r="O177" s="309"/>
      <c r="P177" s="309"/>
      <c r="Q177" s="309"/>
      <c r="R177" s="309"/>
      <c r="S177" s="309"/>
      <c r="T177" s="309"/>
      <c r="U177" s="309"/>
      <c r="V177" s="309"/>
      <c r="W177" s="309"/>
      <c r="X177" s="309"/>
      <c r="Y177" s="309"/>
      <c r="Z177" s="309"/>
      <c r="AA177" s="309"/>
      <c r="AB177" s="309"/>
      <c r="AC177" s="309"/>
      <c r="AD177" s="309"/>
      <c r="AE177" s="309"/>
      <c r="AF177" s="309"/>
      <c r="AG177" s="309"/>
      <c r="AH177" s="309"/>
      <c r="AI177" s="309"/>
      <c r="AJ177" s="309"/>
      <c r="AK177" s="309"/>
      <c r="AL177" s="309"/>
      <c r="AM177" s="309"/>
      <c r="AN177" s="309"/>
      <c r="AO177" s="309"/>
      <c r="AP177" s="309"/>
      <c r="AQ177" s="309"/>
      <c r="AR177" s="309"/>
      <c r="AS177" s="309"/>
      <c r="AT177" s="309"/>
      <c r="AU177" s="309"/>
      <c r="AV177" s="309"/>
      <c r="AW177" s="309"/>
      <c r="AX177" s="309"/>
      <c r="AY177" s="309"/>
      <c r="AZ177" s="309"/>
      <c r="BA177" s="309"/>
      <c r="BB177" s="309"/>
      <c r="BC177" s="309"/>
      <c r="BD177" s="309"/>
      <c r="BE177" s="309"/>
      <c r="BF177" s="309"/>
      <c r="BG177" s="309"/>
      <c r="BH177" s="309"/>
      <c r="BI177" s="309"/>
      <c r="BJ177" s="309"/>
      <c r="BK177" s="309"/>
      <c r="BL177" s="309"/>
      <c r="BM177" s="309"/>
      <c r="BN177" s="309"/>
      <c r="BO177" s="309"/>
      <c r="BP177" s="309"/>
      <c r="BQ177" s="309"/>
      <c r="BR177" s="309"/>
      <c r="BS177" s="309"/>
      <c r="BT177" s="309"/>
      <c r="BU177" s="309"/>
      <c r="BV177" s="309"/>
      <c r="BW177" s="309"/>
      <c r="BX177" s="309"/>
      <c r="BY177" s="309"/>
      <c r="BZ177" s="309"/>
      <c r="CA177" s="309"/>
      <c r="CB177" s="309"/>
      <c r="CC177" s="309"/>
      <c r="CD177" s="309"/>
      <c r="CE177" s="309"/>
      <c r="CF177" s="309"/>
      <c r="CG177" s="309"/>
      <c r="CH177" s="309"/>
      <c r="CI177" s="309"/>
      <c r="CJ177" s="309"/>
      <c r="CK177" s="309"/>
      <c r="CL177" s="309"/>
      <c r="CM177" s="309"/>
      <c r="CN177" s="309"/>
      <c r="CO177" s="309"/>
      <c r="CP177" s="309"/>
      <c r="CQ177" s="309"/>
      <c r="CR177" s="309"/>
      <c r="CS177" s="309"/>
      <c r="CT177" s="309"/>
      <c r="CU177" s="309"/>
      <c r="CV177" s="309"/>
      <c r="CW177" s="309"/>
      <c r="CX177" s="309"/>
      <c r="CY177" s="309"/>
      <c r="CZ177" s="309"/>
      <c r="DA177" s="309"/>
      <c r="DB177" s="309"/>
      <c r="DC177" s="309"/>
      <c r="DD177" s="309"/>
      <c r="DE177" s="309"/>
      <c r="DF177" s="309"/>
      <c r="DG177" s="309"/>
      <c r="DH177" s="309"/>
      <c r="DI177" s="309"/>
      <c r="DJ177" s="309"/>
      <c r="DK177" s="309"/>
      <c r="DL177" s="309"/>
      <c r="DM177" s="309"/>
      <c r="DN177" s="309"/>
      <c r="DO177" s="309"/>
      <c r="DP177" s="309"/>
      <c r="DQ177" s="309"/>
      <c r="DR177" s="309"/>
      <c r="DS177" s="309"/>
      <c r="DT177" s="315"/>
    </row>
    <row r="178" spans="2:124" ht="24.9" customHeight="1">
      <c r="B178" s="211"/>
      <c r="C178" s="659" t="str">
        <f ca="1">INDIRECT($J$4&amp;"!C190")</f>
        <v>Verification of effectiveness of corrective actions</v>
      </c>
      <c r="D178" s="208"/>
      <c r="E178" s="208"/>
      <c r="F178" s="208"/>
      <c r="G178" s="208"/>
      <c r="H178" s="208"/>
      <c r="I178" s="208"/>
      <c r="J178" s="208"/>
      <c r="K178" s="208"/>
      <c r="L178" s="208"/>
      <c r="M178" s="208"/>
      <c r="N178" s="208"/>
      <c r="O178" s="208"/>
      <c r="P178" s="208"/>
      <c r="Q178" s="208"/>
      <c r="R178" s="208"/>
      <c r="S178" s="208"/>
      <c r="T178" s="208"/>
      <c r="U178" s="208"/>
      <c r="V178" s="208"/>
      <c r="W178" s="208"/>
      <c r="X178" s="208"/>
      <c r="Y178" s="208"/>
      <c r="Z178" s="208"/>
      <c r="AA178" s="208"/>
      <c r="AB178" s="208"/>
      <c r="AC178" s="208"/>
      <c r="AD178" s="208"/>
      <c r="AE178" s="310"/>
      <c r="AF178" s="310"/>
      <c r="AG178" s="310"/>
      <c r="AH178" s="310"/>
      <c r="AI178" s="310"/>
      <c r="AJ178" s="310"/>
      <c r="AK178" s="310"/>
      <c r="AL178" s="310"/>
      <c r="AM178" s="310"/>
      <c r="AN178" s="310"/>
      <c r="AO178" s="310"/>
      <c r="AP178" s="310"/>
      <c r="AQ178" s="310"/>
      <c r="AR178" s="310"/>
      <c r="AS178" s="310"/>
      <c r="AT178" s="310"/>
      <c r="AU178" s="310"/>
      <c r="AV178" s="310"/>
      <c r="AW178" s="310"/>
      <c r="AX178" s="310"/>
      <c r="AY178" s="310"/>
      <c r="AZ178" s="310"/>
      <c r="BA178" s="213"/>
      <c r="BB178" s="310"/>
      <c r="BC178" s="310"/>
      <c r="BD178" s="310"/>
      <c r="BE178" s="310"/>
      <c r="BF178" s="310"/>
      <c r="BG178" s="310"/>
      <c r="BH178" s="310"/>
      <c r="BI178" s="310"/>
      <c r="BJ178" s="310"/>
      <c r="BK178" s="310"/>
      <c r="BL178" s="310"/>
      <c r="BM178" s="310"/>
      <c r="BN178" s="310"/>
      <c r="BO178" s="310"/>
      <c r="BP178" s="310"/>
      <c r="BQ178" s="77"/>
      <c r="BR178" s="77"/>
      <c r="BS178" s="77"/>
      <c r="BT178" s="77"/>
      <c r="BU178" s="77"/>
      <c r="BV178" s="77"/>
      <c r="BW178" s="77"/>
      <c r="BX178" s="635"/>
      <c r="BY178" s="635"/>
      <c r="BZ178" s="635"/>
      <c r="CA178" s="635"/>
      <c r="CB178" s="635"/>
      <c r="CC178" s="635"/>
      <c r="CD178" s="635"/>
      <c r="CE178" s="635"/>
      <c r="CF178" s="635"/>
      <c r="CG178" s="635"/>
      <c r="CH178" s="635"/>
      <c r="CI178" s="635"/>
      <c r="CJ178" s="635"/>
      <c r="CK178" s="309"/>
      <c r="CL178" s="199"/>
      <c r="CM178" s="309"/>
      <c r="CN178" s="309"/>
      <c r="CO178" s="309"/>
      <c r="CP178" s="309"/>
      <c r="CQ178" s="309"/>
      <c r="CR178" s="310"/>
      <c r="CS178" s="310"/>
      <c r="CT178" s="310"/>
      <c r="CU178" s="310"/>
      <c r="CV178" s="310"/>
      <c r="CW178" s="310"/>
      <c r="CX178" s="310"/>
      <c r="CY178" s="310"/>
      <c r="CZ178" s="522"/>
      <c r="DA178" s="522"/>
      <c r="DB178" s="522"/>
      <c r="DC178" s="309"/>
      <c r="DD178" s="309"/>
      <c r="DE178" s="309"/>
      <c r="DF178" s="310"/>
      <c r="DG178" s="310"/>
      <c r="DH178" s="310"/>
      <c r="DI178" s="521"/>
      <c r="DJ178" s="537"/>
      <c r="DK178" s="537"/>
      <c r="DL178" s="537"/>
      <c r="DM178" s="537"/>
      <c r="DN178" s="537"/>
      <c r="DO178" s="537"/>
      <c r="DP178" s="537"/>
      <c r="DQ178" s="537"/>
      <c r="DR178" s="537"/>
      <c r="DS178" s="310"/>
      <c r="DT178" s="311"/>
    </row>
    <row r="179" spans="2:124" ht="6" customHeight="1">
      <c r="B179" s="207"/>
      <c r="C179" s="208"/>
      <c r="D179" s="208"/>
      <c r="E179" s="208"/>
      <c r="F179" s="208"/>
      <c r="G179" s="208"/>
      <c r="H179" s="208"/>
      <c r="I179" s="208"/>
      <c r="J179" s="208"/>
      <c r="K179" s="208"/>
      <c r="L179" s="208"/>
      <c r="M179" s="208"/>
      <c r="N179" s="208"/>
      <c r="O179" s="208"/>
      <c r="P179" s="208"/>
      <c r="Q179" s="208"/>
      <c r="R179" s="208"/>
      <c r="S179" s="208"/>
      <c r="T179" s="208"/>
      <c r="U179" s="208"/>
      <c r="V179" s="208"/>
      <c r="W179" s="208"/>
      <c r="X179" s="208"/>
      <c r="Y179" s="208"/>
      <c r="Z179" s="208"/>
      <c r="AA179" s="208"/>
      <c r="AB179" s="208"/>
      <c r="AC179" s="208"/>
      <c r="AD179" s="208"/>
      <c r="AE179" s="309"/>
      <c r="AF179" s="309"/>
      <c r="AG179" s="309"/>
      <c r="AH179" s="309"/>
      <c r="AI179" s="309"/>
      <c r="AJ179" s="309"/>
      <c r="AK179" s="309"/>
      <c r="AL179" s="309"/>
      <c r="AM179" s="309"/>
      <c r="AN179" s="309"/>
      <c r="AO179" s="309"/>
      <c r="AP179" s="309"/>
      <c r="AQ179" s="309"/>
      <c r="AR179" s="309"/>
      <c r="AS179" s="309"/>
      <c r="AT179" s="309"/>
      <c r="AU179" s="309"/>
      <c r="AV179" s="309"/>
      <c r="AW179" s="309"/>
      <c r="AX179" s="309"/>
      <c r="AY179" s="309"/>
      <c r="AZ179" s="309"/>
      <c r="BA179" s="309"/>
      <c r="BB179" s="309"/>
      <c r="BC179" s="309"/>
      <c r="BD179" s="309"/>
      <c r="BE179" s="309"/>
      <c r="BF179" s="309"/>
      <c r="BG179" s="309"/>
      <c r="BH179" s="309"/>
      <c r="BI179" s="309"/>
      <c r="BJ179" s="309"/>
      <c r="BK179" s="309"/>
      <c r="BL179" s="309"/>
      <c r="BM179" s="309"/>
      <c r="BN179" s="309"/>
      <c r="BO179" s="309"/>
      <c r="BP179" s="309"/>
      <c r="BQ179" s="309"/>
      <c r="BR179" s="309"/>
      <c r="BS179" s="309"/>
      <c r="BT179" s="309"/>
      <c r="BU179" s="309"/>
      <c r="BV179" s="309"/>
      <c r="BW179" s="309"/>
      <c r="BX179" s="309"/>
      <c r="BY179" s="309"/>
      <c r="BZ179" s="309"/>
      <c r="CA179" s="309"/>
      <c r="CB179" s="309"/>
      <c r="CC179" s="309"/>
      <c r="CD179" s="309"/>
      <c r="CE179" s="309"/>
      <c r="CF179" s="309"/>
      <c r="CG179" s="309"/>
      <c r="CH179" s="309"/>
      <c r="CI179" s="309"/>
      <c r="CJ179" s="309"/>
      <c r="CK179" s="309"/>
      <c r="CL179" s="309"/>
      <c r="CM179" s="309"/>
      <c r="CN179" s="309"/>
      <c r="CO179" s="309"/>
      <c r="CP179" s="309"/>
      <c r="CQ179" s="309"/>
      <c r="CR179" s="309"/>
      <c r="CS179" s="309"/>
      <c r="CT179" s="309"/>
      <c r="CU179" s="309"/>
      <c r="CV179" s="309"/>
      <c r="CW179" s="309"/>
      <c r="CX179" s="309"/>
      <c r="CY179" s="309"/>
      <c r="CZ179" s="309"/>
      <c r="DA179" s="309"/>
      <c r="DB179" s="309"/>
      <c r="DC179" s="309"/>
      <c r="DD179" s="309"/>
      <c r="DE179" s="309"/>
      <c r="DF179" s="309"/>
      <c r="DG179" s="309"/>
      <c r="DH179" s="309"/>
      <c r="DI179" s="309"/>
      <c r="DJ179" s="309"/>
      <c r="DK179" s="309"/>
      <c r="DL179" s="309"/>
      <c r="DM179" s="309"/>
      <c r="DN179" s="309"/>
      <c r="DO179" s="309"/>
      <c r="DP179" s="309"/>
      <c r="DQ179" s="309"/>
      <c r="DR179" s="309"/>
      <c r="DS179" s="309"/>
      <c r="DT179" s="315"/>
    </row>
    <row r="180" spans="2:124" ht="6" customHeight="1">
      <c r="B180" s="312"/>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313"/>
      <c r="Z180" s="313"/>
      <c r="AA180" s="313"/>
      <c r="AB180" s="313"/>
      <c r="AC180" s="313"/>
      <c r="AD180" s="313"/>
      <c r="AE180" s="313"/>
      <c r="AF180" s="313"/>
      <c r="AG180" s="313"/>
      <c r="AH180" s="313"/>
      <c r="AI180" s="313"/>
      <c r="AJ180" s="313"/>
      <c r="AK180" s="313"/>
      <c r="AL180" s="313"/>
      <c r="AM180" s="313"/>
      <c r="AN180" s="313"/>
      <c r="AO180" s="313"/>
      <c r="AP180" s="313"/>
      <c r="AQ180" s="313"/>
      <c r="AR180" s="313"/>
      <c r="AS180" s="313"/>
      <c r="AT180" s="313"/>
      <c r="AU180" s="313"/>
      <c r="AV180" s="313"/>
      <c r="AW180" s="313"/>
      <c r="AX180" s="313"/>
      <c r="AY180" s="313"/>
      <c r="AZ180" s="313"/>
      <c r="BA180" s="313"/>
      <c r="BB180" s="313"/>
      <c r="BC180" s="313"/>
      <c r="BD180" s="313"/>
      <c r="BE180" s="313"/>
      <c r="BF180" s="313"/>
      <c r="BG180" s="313"/>
      <c r="BH180" s="313"/>
      <c r="BI180" s="313"/>
      <c r="BJ180" s="313"/>
      <c r="BK180" s="313"/>
      <c r="BL180" s="313"/>
      <c r="BM180" s="313"/>
      <c r="BN180" s="313"/>
      <c r="BO180" s="313"/>
      <c r="BP180" s="313"/>
      <c r="BQ180" s="313"/>
      <c r="BR180" s="313"/>
      <c r="BS180" s="313"/>
      <c r="BT180" s="313"/>
      <c r="BU180" s="313"/>
      <c r="BV180" s="313"/>
      <c r="BW180" s="313"/>
      <c r="BX180" s="313"/>
      <c r="BY180" s="313"/>
      <c r="BZ180" s="313"/>
      <c r="CA180" s="313"/>
      <c r="CB180" s="313"/>
      <c r="CC180" s="313"/>
      <c r="CD180" s="313"/>
      <c r="CE180" s="313"/>
      <c r="CF180" s="313"/>
      <c r="CG180" s="313"/>
      <c r="CH180" s="313"/>
      <c r="CI180" s="313"/>
      <c r="CJ180" s="313"/>
      <c r="CK180" s="313"/>
      <c r="CL180" s="313"/>
      <c r="CM180" s="313"/>
      <c r="CN180" s="313"/>
      <c r="CO180" s="313"/>
      <c r="CP180" s="313"/>
      <c r="CQ180" s="313"/>
      <c r="CR180" s="313"/>
      <c r="CS180" s="313"/>
      <c r="CT180" s="313"/>
      <c r="CU180" s="313"/>
      <c r="CV180" s="313"/>
      <c r="CW180" s="313"/>
      <c r="CX180" s="313"/>
      <c r="CY180" s="313"/>
      <c r="CZ180" s="313"/>
      <c r="DA180" s="313"/>
      <c r="DB180" s="313"/>
      <c r="DC180" s="313"/>
      <c r="DD180" s="313"/>
      <c r="DE180" s="313"/>
      <c r="DF180" s="313"/>
      <c r="DG180" s="313"/>
      <c r="DH180" s="313"/>
      <c r="DI180" s="313"/>
      <c r="DJ180" s="313"/>
      <c r="DK180" s="313"/>
      <c r="DL180" s="313"/>
      <c r="DM180" s="313"/>
      <c r="DN180" s="313"/>
      <c r="DO180" s="313"/>
      <c r="DP180" s="313"/>
      <c r="DQ180" s="313"/>
      <c r="DR180" s="313"/>
      <c r="DS180" s="313"/>
      <c r="DT180" s="311"/>
    </row>
    <row r="181" spans="2:124" ht="30" customHeight="1">
      <c r="B181" s="312"/>
      <c r="C181" s="313"/>
      <c r="D181" s="2128" t="str">
        <f ca="1">INDIRECT($J$4&amp;"!C149")</f>
        <v>Factors identification</v>
      </c>
      <c r="E181" s="2128"/>
      <c r="F181" s="2128"/>
      <c r="G181" s="2128"/>
      <c r="H181" s="2055" t="str">
        <f ca="1">INDIRECT($J$4&amp;"!C192")</f>
        <v>Result and evidence of effectiveness check and comment</v>
      </c>
      <c r="I181" s="2056"/>
      <c r="J181" s="2056"/>
      <c r="K181" s="2056"/>
      <c r="L181" s="2056"/>
      <c r="M181" s="2056"/>
      <c r="N181" s="2056"/>
      <c r="O181" s="2056"/>
      <c r="P181" s="2056"/>
      <c r="Q181" s="2056"/>
      <c r="R181" s="2056"/>
      <c r="S181" s="2056"/>
      <c r="T181" s="2056"/>
      <c r="U181" s="2056"/>
      <c r="V181" s="2056"/>
      <c r="W181" s="2056"/>
      <c r="X181" s="2056"/>
      <c r="Y181" s="2056"/>
      <c r="Z181" s="2056"/>
      <c r="AA181" s="2056"/>
      <c r="AB181" s="2056"/>
      <c r="AC181" s="2056"/>
      <c r="AD181" s="2056"/>
      <c r="AE181" s="2056"/>
      <c r="AF181" s="2056"/>
      <c r="AG181" s="2056"/>
      <c r="AH181" s="2056"/>
      <c r="AI181" s="2056"/>
      <c r="AJ181" s="2056"/>
      <c r="AK181" s="2056"/>
      <c r="AL181" s="2056"/>
      <c r="AM181" s="2056"/>
      <c r="AN181" s="2056"/>
      <c r="AO181" s="2056"/>
      <c r="AP181" s="2056"/>
      <c r="AQ181" s="2056"/>
      <c r="AR181" s="2056"/>
      <c r="AS181" s="2056"/>
      <c r="AT181" s="2056"/>
      <c r="AU181" s="2056"/>
      <c r="AV181" s="2056"/>
      <c r="AW181" s="2056"/>
      <c r="AX181" s="2056"/>
      <c r="AY181" s="2056"/>
      <c r="AZ181" s="2056"/>
      <c r="BA181" s="2056"/>
      <c r="BB181" s="2056"/>
      <c r="BC181" s="2056"/>
      <c r="BD181" s="2056"/>
      <c r="BE181" s="2056"/>
      <c r="BF181" s="2056"/>
      <c r="BG181" s="2056"/>
      <c r="BH181" s="2056"/>
      <c r="BI181" s="2056"/>
      <c r="BJ181" s="2056"/>
      <c r="BK181" s="2056"/>
      <c r="BL181" s="2056"/>
      <c r="BM181" s="2056"/>
      <c r="BN181" s="2056"/>
      <c r="BO181" s="2056"/>
      <c r="BP181" s="2056"/>
      <c r="BQ181" s="2056"/>
      <c r="BR181" s="2056"/>
      <c r="BS181" s="2056"/>
      <c r="BT181" s="2056"/>
      <c r="BU181" s="2056"/>
      <c r="BV181" s="2056"/>
      <c r="BW181" s="2056"/>
      <c r="BX181" s="2056"/>
      <c r="BY181" s="2056"/>
      <c r="BZ181" s="2056"/>
      <c r="CA181" s="2056"/>
      <c r="CB181" s="2056"/>
      <c r="CC181" s="2056"/>
      <c r="CD181" s="2056"/>
      <c r="CE181" s="2056"/>
      <c r="CF181" s="2056"/>
      <c r="CG181" s="2056"/>
      <c r="CH181" s="2056"/>
      <c r="CI181" s="2056"/>
      <c r="CJ181" s="2056"/>
      <c r="CK181" s="2056"/>
      <c r="CL181" s="2056"/>
      <c r="CM181" s="2056"/>
      <c r="CN181" s="2056"/>
      <c r="CO181" s="2056"/>
      <c r="CP181" s="2056"/>
      <c r="CQ181" s="2056"/>
      <c r="CR181" s="2056"/>
      <c r="CS181" s="2056"/>
      <c r="CT181" s="2056"/>
      <c r="CU181" s="2056"/>
      <c r="CV181" s="2056"/>
      <c r="CW181" s="2056"/>
      <c r="CX181" s="2056"/>
      <c r="CY181" s="2056"/>
      <c r="CZ181" s="2056"/>
      <c r="DA181" s="2056"/>
      <c r="DB181" s="2056"/>
      <c r="DC181" s="2056"/>
      <c r="DD181" s="2056"/>
      <c r="DE181" s="2056"/>
      <c r="DF181" s="2056"/>
      <c r="DG181" s="2056"/>
      <c r="DH181" s="2056"/>
      <c r="DI181" s="2056"/>
      <c r="DJ181" s="2056"/>
      <c r="DK181" s="2056"/>
      <c r="DL181" s="2056"/>
      <c r="DM181" s="2056"/>
      <c r="DN181" s="2056"/>
      <c r="DO181" s="2056"/>
      <c r="DP181" s="2056"/>
      <c r="DQ181" s="2056"/>
      <c r="DR181" s="2057"/>
      <c r="DS181" s="313"/>
      <c r="DT181" s="311"/>
    </row>
    <row r="182" spans="2:124" ht="30" customHeight="1">
      <c r="B182" s="312"/>
      <c r="C182" s="313"/>
      <c r="D182" s="2068" t="str">
        <f ca="1">INDIRECT($J$4&amp;"!C139")</f>
        <v>Occurrence</v>
      </c>
      <c r="E182" s="2068"/>
      <c r="F182" s="2068"/>
      <c r="G182" s="2068"/>
      <c r="H182" s="2118"/>
      <c r="I182" s="2119"/>
      <c r="J182" s="2119"/>
      <c r="K182" s="2119"/>
      <c r="L182" s="2119"/>
      <c r="M182" s="2119"/>
      <c r="N182" s="2119"/>
      <c r="O182" s="2119"/>
      <c r="P182" s="2119"/>
      <c r="Q182" s="2119"/>
      <c r="R182" s="2119"/>
      <c r="S182" s="2119"/>
      <c r="T182" s="2119"/>
      <c r="U182" s="2119"/>
      <c r="V182" s="2119"/>
      <c r="W182" s="2119"/>
      <c r="X182" s="2119"/>
      <c r="Y182" s="2119"/>
      <c r="Z182" s="2119"/>
      <c r="AA182" s="2119"/>
      <c r="AB182" s="2119"/>
      <c r="AC182" s="2119"/>
      <c r="AD182" s="2119"/>
      <c r="AE182" s="2119"/>
      <c r="AF182" s="2119"/>
      <c r="AG182" s="2119"/>
      <c r="AH182" s="2119"/>
      <c r="AI182" s="2119"/>
      <c r="AJ182" s="2119"/>
      <c r="AK182" s="2119"/>
      <c r="AL182" s="2119"/>
      <c r="AM182" s="2119"/>
      <c r="AN182" s="2119"/>
      <c r="AO182" s="2119"/>
      <c r="AP182" s="2119"/>
      <c r="AQ182" s="2119"/>
      <c r="AR182" s="2119"/>
      <c r="AS182" s="2119"/>
      <c r="AT182" s="2119"/>
      <c r="AU182" s="2119"/>
      <c r="AV182" s="2119"/>
      <c r="AW182" s="2119"/>
      <c r="AX182" s="2119"/>
      <c r="AY182" s="2119"/>
      <c r="AZ182" s="2119"/>
      <c r="BA182" s="2119"/>
      <c r="BB182" s="2119"/>
      <c r="BC182" s="2119"/>
      <c r="BD182" s="2119"/>
      <c r="BE182" s="2119"/>
      <c r="BF182" s="2119"/>
      <c r="BG182" s="2119"/>
      <c r="BH182" s="2119"/>
      <c r="BI182" s="2119"/>
      <c r="BJ182" s="2119"/>
      <c r="BK182" s="2119"/>
      <c r="BL182" s="2119"/>
      <c r="BM182" s="2119"/>
      <c r="BN182" s="2119"/>
      <c r="BO182" s="2119"/>
      <c r="BP182" s="2119"/>
      <c r="BQ182" s="2119"/>
      <c r="BR182" s="2119"/>
      <c r="BS182" s="2119"/>
      <c r="BT182" s="2119"/>
      <c r="BU182" s="2119"/>
      <c r="BV182" s="2119"/>
      <c r="BW182" s="2119"/>
      <c r="BX182" s="2119"/>
      <c r="BY182" s="2119"/>
      <c r="BZ182" s="2119"/>
      <c r="CA182" s="2119"/>
      <c r="CB182" s="2119"/>
      <c r="CC182" s="2119"/>
      <c r="CD182" s="2119"/>
      <c r="CE182" s="2119"/>
      <c r="CF182" s="2119"/>
      <c r="CG182" s="2119"/>
      <c r="CH182" s="2119"/>
      <c r="CI182" s="2119"/>
      <c r="CJ182" s="2119"/>
      <c r="CK182" s="2119"/>
      <c r="CL182" s="2119"/>
      <c r="CM182" s="2119"/>
      <c r="CN182" s="2119"/>
      <c r="CO182" s="2119"/>
      <c r="CP182" s="2119"/>
      <c r="CQ182" s="2119"/>
      <c r="CR182" s="2119"/>
      <c r="CS182" s="2119"/>
      <c r="CT182" s="2119"/>
      <c r="CU182" s="2119"/>
      <c r="CV182" s="2119"/>
      <c r="CW182" s="2119"/>
      <c r="CX182" s="2119"/>
      <c r="CY182" s="2119"/>
      <c r="CZ182" s="2119"/>
      <c r="DA182" s="2119"/>
      <c r="DB182" s="2119"/>
      <c r="DC182" s="2119"/>
      <c r="DD182" s="2119"/>
      <c r="DE182" s="2119"/>
      <c r="DF182" s="2119"/>
      <c r="DG182" s="2119"/>
      <c r="DH182" s="2119"/>
      <c r="DI182" s="2119"/>
      <c r="DJ182" s="2119"/>
      <c r="DK182" s="2119"/>
      <c r="DL182" s="2119"/>
      <c r="DM182" s="2119"/>
      <c r="DN182" s="2119"/>
      <c r="DO182" s="2119"/>
      <c r="DP182" s="2119"/>
      <c r="DQ182" s="2119"/>
      <c r="DR182" s="2120"/>
      <c r="DS182" s="313"/>
      <c r="DT182" s="311"/>
    </row>
    <row r="183" spans="2:124" ht="30" customHeight="1">
      <c r="B183" s="312"/>
      <c r="C183" s="313"/>
      <c r="D183" s="2068"/>
      <c r="E183" s="2068"/>
      <c r="F183" s="2068"/>
      <c r="G183" s="2068"/>
      <c r="H183" s="2121"/>
      <c r="I183" s="2122"/>
      <c r="J183" s="2122"/>
      <c r="K183" s="2122"/>
      <c r="L183" s="2122"/>
      <c r="M183" s="2122"/>
      <c r="N183" s="2122"/>
      <c r="O183" s="2122"/>
      <c r="P183" s="2122"/>
      <c r="Q183" s="2122"/>
      <c r="R183" s="2122"/>
      <c r="S183" s="2122"/>
      <c r="T183" s="2122"/>
      <c r="U183" s="2122"/>
      <c r="V183" s="2122"/>
      <c r="W183" s="2122"/>
      <c r="X183" s="2122"/>
      <c r="Y183" s="2122"/>
      <c r="Z183" s="2122"/>
      <c r="AA183" s="2122"/>
      <c r="AB183" s="2122"/>
      <c r="AC183" s="2122"/>
      <c r="AD183" s="2122"/>
      <c r="AE183" s="2122"/>
      <c r="AF183" s="2122"/>
      <c r="AG183" s="2122"/>
      <c r="AH183" s="2122"/>
      <c r="AI183" s="2122"/>
      <c r="AJ183" s="2122"/>
      <c r="AK183" s="2122"/>
      <c r="AL183" s="2122"/>
      <c r="AM183" s="2122"/>
      <c r="AN183" s="2122"/>
      <c r="AO183" s="2122"/>
      <c r="AP183" s="2122"/>
      <c r="AQ183" s="2122"/>
      <c r="AR183" s="2122"/>
      <c r="AS183" s="2122"/>
      <c r="AT183" s="2122"/>
      <c r="AU183" s="2122"/>
      <c r="AV183" s="2122"/>
      <c r="AW183" s="2122"/>
      <c r="AX183" s="2122"/>
      <c r="AY183" s="2122"/>
      <c r="AZ183" s="2122"/>
      <c r="BA183" s="2122"/>
      <c r="BB183" s="2122"/>
      <c r="BC183" s="2122"/>
      <c r="BD183" s="2122"/>
      <c r="BE183" s="2122"/>
      <c r="BF183" s="2122"/>
      <c r="BG183" s="2122"/>
      <c r="BH183" s="2122"/>
      <c r="BI183" s="2122"/>
      <c r="BJ183" s="2122"/>
      <c r="BK183" s="2122"/>
      <c r="BL183" s="2122"/>
      <c r="BM183" s="2122"/>
      <c r="BN183" s="2122"/>
      <c r="BO183" s="2122"/>
      <c r="BP183" s="2122"/>
      <c r="BQ183" s="2122"/>
      <c r="BR183" s="2122"/>
      <c r="BS183" s="2122"/>
      <c r="BT183" s="2122"/>
      <c r="BU183" s="2122"/>
      <c r="BV183" s="2122"/>
      <c r="BW183" s="2122"/>
      <c r="BX183" s="2122"/>
      <c r="BY183" s="2122"/>
      <c r="BZ183" s="2122"/>
      <c r="CA183" s="2122"/>
      <c r="CB183" s="2122"/>
      <c r="CC183" s="2122"/>
      <c r="CD183" s="2122"/>
      <c r="CE183" s="2122"/>
      <c r="CF183" s="2122"/>
      <c r="CG183" s="2122"/>
      <c r="CH183" s="2122"/>
      <c r="CI183" s="2122"/>
      <c r="CJ183" s="2122"/>
      <c r="CK183" s="2122"/>
      <c r="CL183" s="2122"/>
      <c r="CM183" s="2122"/>
      <c r="CN183" s="2122"/>
      <c r="CO183" s="2122"/>
      <c r="CP183" s="2122"/>
      <c r="CQ183" s="2122"/>
      <c r="CR183" s="2122"/>
      <c r="CS183" s="2122"/>
      <c r="CT183" s="2122"/>
      <c r="CU183" s="2122"/>
      <c r="CV183" s="2122"/>
      <c r="CW183" s="2122"/>
      <c r="CX183" s="2122"/>
      <c r="CY183" s="2122"/>
      <c r="CZ183" s="2122"/>
      <c r="DA183" s="2122"/>
      <c r="DB183" s="2122"/>
      <c r="DC183" s="2122"/>
      <c r="DD183" s="2122"/>
      <c r="DE183" s="2122"/>
      <c r="DF183" s="2122"/>
      <c r="DG183" s="2122"/>
      <c r="DH183" s="2122"/>
      <c r="DI183" s="2122"/>
      <c r="DJ183" s="2122"/>
      <c r="DK183" s="2122"/>
      <c r="DL183" s="2122"/>
      <c r="DM183" s="2122"/>
      <c r="DN183" s="2122"/>
      <c r="DO183" s="2122"/>
      <c r="DP183" s="2122"/>
      <c r="DQ183" s="2122"/>
      <c r="DR183" s="2123"/>
      <c r="DS183" s="313"/>
      <c r="DT183" s="311"/>
    </row>
    <row r="184" spans="2:124" ht="30" customHeight="1">
      <c r="B184" s="312"/>
      <c r="C184" s="313"/>
      <c r="D184" s="2068"/>
      <c r="E184" s="2068"/>
      <c r="F184" s="2068"/>
      <c r="G184" s="2068"/>
      <c r="H184" s="2121"/>
      <c r="I184" s="2122"/>
      <c r="J184" s="2122"/>
      <c r="K184" s="2122"/>
      <c r="L184" s="2122"/>
      <c r="M184" s="2122"/>
      <c r="N184" s="2122"/>
      <c r="O184" s="2122"/>
      <c r="P184" s="2122"/>
      <c r="Q184" s="2122"/>
      <c r="R184" s="2122"/>
      <c r="S184" s="2122"/>
      <c r="T184" s="2122"/>
      <c r="U184" s="2122"/>
      <c r="V184" s="2122"/>
      <c r="W184" s="2122"/>
      <c r="X184" s="2122"/>
      <c r="Y184" s="2122"/>
      <c r="Z184" s="2122"/>
      <c r="AA184" s="2122"/>
      <c r="AB184" s="2122"/>
      <c r="AC184" s="2122"/>
      <c r="AD184" s="2122"/>
      <c r="AE184" s="2122"/>
      <c r="AF184" s="2122"/>
      <c r="AG184" s="2122"/>
      <c r="AH184" s="2122"/>
      <c r="AI184" s="2122"/>
      <c r="AJ184" s="2122"/>
      <c r="AK184" s="2122"/>
      <c r="AL184" s="2122"/>
      <c r="AM184" s="2122"/>
      <c r="AN184" s="2122"/>
      <c r="AO184" s="2122"/>
      <c r="AP184" s="2122"/>
      <c r="AQ184" s="2122"/>
      <c r="AR184" s="2122"/>
      <c r="AS184" s="2122"/>
      <c r="AT184" s="2122"/>
      <c r="AU184" s="2122"/>
      <c r="AV184" s="2122"/>
      <c r="AW184" s="2122"/>
      <c r="AX184" s="2122"/>
      <c r="AY184" s="2122"/>
      <c r="AZ184" s="2122"/>
      <c r="BA184" s="2122"/>
      <c r="BB184" s="2122"/>
      <c r="BC184" s="2122"/>
      <c r="BD184" s="2122"/>
      <c r="BE184" s="2122"/>
      <c r="BF184" s="2122"/>
      <c r="BG184" s="2122"/>
      <c r="BH184" s="2122"/>
      <c r="BI184" s="2122"/>
      <c r="BJ184" s="2122"/>
      <c r="BK184" s="2122"/>
      <c r="BL184" s="2122"/>
      <c r="BM184" s="2122"/>
      <c r="BN184" s="2122"/>
      <c r="BO184" s="2122"/>
      <c r="BP184" s="2122"/>
      <c r="BQ184" s="2122"/>
      <c r="BR184" s="2122"/>
      <c r="BS184" s="2122"/>
      <c r="BT184" s="2122"/>
      <c r="BU184" s="2122"/>
      <c r="BV184" s="2122"/>
      <c r="BW184" s="2122"/>
      <c r="BX184" s="2122"/>
      <c r="BY184" s="2122"/>
      <c r="BZ184" s="2122"/>
      <c r="CA184" s="2122"/>
      <c r="CB184" s="2122"/>
      <c r="CC184" s="2122"/>
      <c r="CD184" s="2122"/>
      <c r="CE184" s="2122"/>
      <c r="CF184" s="2122"/>
      <c r="CG184" s="2122"/>
      <c r="CH184" s="2122"/>
      <c r="CI184" s="2122"/>
      <c r="CJ184" s="2122"/>
      <c r="CK184" s="2122"/>
      <c r="CL184" s="2122"/>
      <c r="CM184" s="2122"/>
      <c r="CN184" s="2122"/>
      <c r="CO184" s="2122"/>
      <c r="CP184" s="2122"/>
      <c r="CQ184" s="2122"/>
      <c r="CR184" s="2122"/>
      <c r="CS184" s="2122"/>
      <c r="CT184" s="2122"/>
      <c r="CU184" s="2122"/>
      <c r="CV184" s="2122"/>
      <c r="CW184" s="2122"/>
      <c r="CX184" s="2122"/>
      <c r="CY184" s="2122"/>
      <c r="CZ184" s="2122"/>
      <c r="DA184" s="2122"/>
      <c r="DB184" s="2122"/>
      <c r="DC184" s="2122"/>
      <c r="DD184" s="2122"/>
      <c r="DE184" s="2122"/>
      <c r="DF184" s="2122"/>
      <c r="DG184" s="2122"/>
      <c r="DH184" s="2122"/>
      <c r="DI184" s="2122"/>
      <c r="DJ184" s="2122"/>
      <c r="DK184" s="2122"/>
      <c r="DL184" s="2122"/>
      <c r="DM184" s="2122"/>
      <c r="DN184" s="2122"/>
      <c r="DO184" s="2122"/>
      <c r="DP184" s="2122"/>
      <c r="DQ184" s="2122"/>
      <c r="DR184" s="2123"/>
      <c r="DS184" s="313"/>
      <c r="DT184" s="311"/>
    </row>
    <row r="185" spans="2:124" ht="30" customHeight="1">
      <c r="B185" s="312"/>
      <c r="C185" s="313"/>
      <c r="D185" s="2068"/>
      <c r="E185" s="2068"/>
      <c r="F185" s="2068"/>
      <c r="G185" s="2068"/>
      <c r="H185" s="2121"/>
      <c r="I185" s="2122"/>
      <c r="J185" s="2122"/>
      <c r="K185" s="2122"/>
      <c r="L185" s="2122"/>
      <c r="M185" s="2122"/>
      <c r="N185" s="2122"/>
      <c r="O185" s="2122"/>
      <c r="P185" s="2122"/>
      <c r="Q185" s="2122"/>
      <c r="R185" s="2122"/>
      <c r="S185" s="2122"/>
      <c r="T185" s="2122"/>
      <c r="U185" s="2122"/>
      <c r="V185" s="2122"/>
      <c r="W185" s="2122"/>
      <c r="X185" s="2122"/>
      <c r="Y185" s="2122"/>
      <c r="Z185" s="2122"/>
      <c r="AA185" s="2122"/>
      <c r="AB185" s="2122"/>
      <c r="AC185" s="2122"/>
      <c r="AD185" s="2122"/>
      <c r="AE185" s="2122"/>
      <c r="AF185" s="2122"/>
      <c r="AG185" s="2122"/>
      <c r="AH185" s="2122"/>
      <c r="AI185" s="2122"/>
      <c r="AJ185" s="2122"/>
      <c r="AK185" s="2122"/>
      <c r="AL185" s="2122"/>
      <c r="AM185" s="2122"/>
      <c r="AN185" s="2122"/>
      <c r="AO185" s="2122"/>
      <c r="AP185" s="2122"/>
      <c r="AQ185" s="2122"/>
      <c r="AR185" s="2122"/>
      <c r="AS185" s="2122"/>
      <c r="AT185" s="2122"/>
      <c r="AU185" s="2122"/>
      <c r="AV185" s="2122"/>
      <c r="AW185" s="2122"/>
      <c r="AX185" s="2122"/>
      <c r="AY185" s="2122"/>
      <c r="AZ185" s="2122"/>
      <c r="BA185" s="2122"/>
      <c r="BB185" s="2122"/>
      <c r="BC185" s="2122"/>
      <c r="BD185" s="2122"/>
      <c r="BE185" s="2122"/>
      <c r="BF185" s="2122"/>
      <c r="BG185" s="2122"/>
      <c r="BH185" s="2122"/>
      <c r="BI185" s="2122"/>
      <c r="BJ185" s="2122"/>
      <c r="BK185" s="2122"/>
      <c r="BL185" s="2122"/>
      <c r="BM185" s="2122"/>
      <c r="BN185" s="2122"/>
      <c r="BO185" s="2122"/>
      <c r="BP185" s="2122"/>
      <c r="BQ185" s="2122"/>
      <c r="BR185" s="2122"/>
      <c r="BS185" s="2122"/>
      <c r="BT185" s="2122"/>
      <c r="BU185" s="2122"/>
      <c r="BV185" s="2122"/>
      <c r="BW185" s="2122"/>
      <c r="BX185" s="2122"/>
      <c r="BY185" s="2122"/>
      <c r="BZ185" s="2122"/>
      <c r="CA185" s="2122"/>
      <c r="CB185" s="2122"/>
      <c r="CC185" s="2122"/>
      <c r="CD185" s="2122"/>
      <c r="CE185" s="2122"/>
      <c r="CF185" s="2122"/>
      <c r="CG185" s="2122"/>
      <c r="CH185" s="2122"/>
      <c r="CI185" s="2122"/>
      <c r="CJ185" s="2122"/>
      <c r="CK185" s="2122"/>
      <c r="CL185" s="2122"/>
      <c r="CM185" s="2122"/>
      <c r="CN185" s="2122"/>
      <c r="CO185" s="2122"/>
      <c r="CP185" s="2122"/>
      <c r="CQ185" s="2122"/>
      <c r="CR185" s="2122"/>
      <c r="CS185" s="2122"/>
      <c r="CT185" s="2122"/>
      <c r="CU185" s="2122"/>
      <c r="CV185" s="2122"/>
      <c r="CW185" s="2122"/>
      <c r="CX185" s="2122"/>
      <c r="CY185" s="2122"/>
      <c r="CZ185" s="2122"/>
      <c r="DA185" s="2122"/>
      <c r="DB185" s="2122"/>
      <c r="DC185" s="2122"/>
      <c r="DD185" s="2122"/>
      <c r="DE185" s="2122"/>
      <c r="DF185" s="2122"/>
      <c r="DG185" s="2122"/>
      <c r="DH185" s="2122"/>
      <c r="DI185" s="2122"/>
      <c r="DJ185" s="2122"/>
      <c r="DK185" s="2122"/>
      <c r="DL185" s="2122"/>
      <c r="DM185" s="2122"/>
      <c r="DN185" s="2122"/>
      <c r="DO185" s="2122"/>
      <c r="DP185" s="2122"/>
      <c r="DQ185" s="2122"/>
      <c r="DR185" s="2123"/>
      <c r="DS185" s="313"/>
      <c r="DT185" s="311"/>
    </row>
    <row r="186" spans="2:124" ht="30" customHeight="1">
      <c r="B186" s="312"/>
      <c r="C186" s="313"/>
      <c r="D186" s="2068"/>
      <c r="E186" s="2068"/>
      <c r="F186" s="2068"/>
      <c r="G186" s="2068"/>
      <c r="H186" s="2121"/>
      <c r="I186" s="2122"/>
      <c r="J186" s="2122"/>
      <c r="K186" s="2122"/>
      <c r="L186" s="2122"/>
      <c r="M186" s="2122"/>
      <c r="N186" s="2122"/>
      <c r="O186" s="2122"/>
      <c r="P186" s="2122"/>
      <c r="Q186" s="2122"/>
      <c r="R186" s="2122"/>
      <c r="S186" s="2122"/>
      <c r="T186" s="2122"/>
      <c r="U186" s="2122"/>
      <c r="V186" s="2122"/>
      <c r="W186" s="2122"/>
      <c r="X186" s="2122"/>
      <c r="Y186" s="2122"/>
      <c r="Z186" s="2122"/>
      <c r="AA186" s="2122"/>
      <c r="AB186" s="2122"/>
      <c r="AC186" s="2122"/>
      <c r="AD186" s="2122"/>
      <c r="AE186" s="2122"/>
      <c r="AF186" s="2122"/>
      <c r="AG186" s="2122"/>
      <c r="AH186" s="2122"/>
      <c r="AI186" s="2122"/>
      <c r="AJ186" s="2122"/>
      <c r="AK186" s="2122"/>
      <c r="AL186" s="2122"/>
      <c r="AM186" s="2122"/>
      <c r="AN186" s="2122"/>
      <c r="AO186" s="2122"/>
      <c r="AP186" s="2122"/>
      <c r="AQ186" s="2122"/>
      <c r="AR186" s="2122"/>
      <c r="AS186" s="2122"/>
      <c r="AT186" s="2122"/>
      <c r="AU186" s="2122"/>
      <c r="AV186" s="2122"/>
      <c r="AW186" s="2122"/>
      <c r="AX186" s="2122"/>
      <c r="AY186" s="2122"/>
      <c r="AZ186" s="2122"/>
      <c r="BA186" s="2122"/>
      <c r="BB186" s="2122"/>
      <c r="BC186" s="2122"/>
      <c r="BD186" s="2122"/>
      <c r="BE186" s="2122"/>
      <c r="BF186" s="2122"/>
      <c r="BG186" s="2122"/>
      <c r="BH186" s="2122"/>
      <c r="BI186" s="2122"/>
      <c r="BJ186" s="2122"/>
      <c r="BK186" s="2122"/>
      <c r="BL186" s="2122"/>
      <c r="BM186" s="2122"/>
      <c r="BN186" s="2122"/>
      <c r="BO186" s="2122"/>
      <c r="BP186" s="2122"/>
      <c r="BQ186" s="2122"/>
      <c r="BR186" s="2122"/>
      <c r="BS186" s="2122"/>
      <c r="BT186" s="2122"/>
      <c r="BU186" s="2122"/>
      <c r="BV186" s="2122"/>
      <c r="BW186" s="2122"/>
      <c r="BX186" s="2122"/>
      <c r="BY186" s="2122"/>
      <c r="BZ186" s="2122"/>
      <c r="CA186" s="2122"/>
      <c r="CB186" s="2122"/>
      <c r="CC186" s="2122"/>
      <c r="CD186" s="2122"/>
      <c r="CE186" s="2122"/>
      <c r="CF186" s="2122"/>
      <c r="CG186" s="2122"/>
      <c r="CH186" s="2122"/>
      <c r="CI186" s="2122"/>
      <c r="CJ186" s="2122"/>
      <c r="CK186" s="2122"/>
      <c r="CL186" s="2122"/>
      <c r="CM186" s="2122"/>
      <c r="CN186" s="2122"/>
      <c r="CO186" s="2122"/>
      <c r="CP186" s="2122"/>
      <c r="CQ186" s="2122"/>
      <c r="CR186" s="2122"/>
      <c r="CS186" s="2122"/>
      <c r="CT186" s="2122"/>
      <c r="CU186" s="2122"/>
      <c r="CV186" s="2122"/>
      <c r="CW186" s="2122"/>
      <c r="CX186" s="2122"/>
      <c r="CY186" s="2122"/>
      <c r="CZ186" s="2122"/>
      <c r="DA186" s="2122"/>
      <c r="DB186" s="2122"/>
      <c r="DC186" s="2122"/>
      <c r="DD186" s="2122"/>
      <c r="DE186" s="2122"/>
      <c r="DF186" s="2122"/>
      <c r="DG186" s="2122"/>
      <c r="DH186" s="2122"/>
      <c r="DI186" s="2122"/>
      <c r="DJ186" s="2122"/>
      <c r="DK186" s="2122"/>
      <c r="DL186" s="2122"/>
      <c r="DM186" s="2122"/>
      <c r="DN186" s="2122"/>
      <c r="DO186" s="2122"/>
      <c r="DP186" s="2122"/>
      <c r="DQ186" s="2122"/>
      <c r="DR186" s="2123"/>
      <c r="DS186" s="313"/>
      <c r="DT186" s="311"/>
    </row>
    <row r="187" spans="2:124" ht="30" customHeight="1">
      <c r="B187" s="312"/>
      <c r="C187" s="313"/>
      <c r="D187" s="2068"/>
      <c r="E187" s="2068"/>
      <c r="F187" s="2068"/>
      <c r="G187" s="2068"/>
      <c r="H187" s="2121"/>
      <c r="I187" s="2122"/>
      <c r="J187" s="2122"/>
      <c r="K187" s="2122"/>
      <c r="L187" s="2122"/>
      <c r="M187" s="2122"/>
      <c r="N187" s="2122"/>
      <c r="O187" s="2122"/>
      <c r="P187" s="2122"/>
      <c r="Q187" s="2122"/>
      <c r="R187" s="2122"/>
      <c r="S187" s="2122"/>
      <c r="T187" s="2122"/>
      <c r="U187" s="2122"/>
      <c r="V187" s="2122"/>
      <c r="W187" s="2122"/>
      <c r="X187" s="2122"/>
      <c r="Y187" s="2122"/>
      <c r="Z187" s="2122"/>
      <c r="AA187" s="2122"/>
      <c r="AB187" s="2122"/>
      <c r="AC187" s="2122"/>
      <c r="AD187" s="2122"/>
      <c r="AE187" s="2122"/>
      <c r="AF187" s="2122"/>
      <c r="AG187" s="2122"/>
      <c r="AH187" s="2122"/>
      <c r="AI187" s="2122"/>
      <c r="AJ187" s="2122"/>
      <c r="AK187" s="2122"/>
      <c r="AL187" s="2122"/>
      <c r="AM187" s="2122"/>
      <c r="AN187" s="2122"/>
      <c r="AO187" s="2122"/>
      <c r="AP187" s="2122"/>
      <c r="AQ187" s="2122"/>
      <c r="AR187" s="2122"/>
      <c r="AS187" s="2122"/>
      <c r="AT187" s="2122"/>
      <c r="AU187" s="2122"/>
      <c r="AV187" s="2122"/>
      <c r="AW187" s="2122"/>
      <c r="AX187" s="2122"/>
      <c r="AY187" s="2122"/>
      <c r="AZ187" s="2122"/>
      <c r="BA187" s="2122"/>
      <c r="BB187" s="2122"/>
      <c r="BC187" s="2122"/>
      <c r="BD187" s="2122"/>
      <c r="BE187" s="2122"/>
      <c r="BF187" s="2122"/>
      <c r="BG187" s="2122"/>
      <c r="BH187" s="2122"/>
      <c r="BI187" s="2122"/>
      <c r="BJ187" s="2122"/>
      <c r="BK187" s="2122"/>
      <c r="BL187" s="2122"/>
      <c r="BM187" s="2122"/>
      <c r="BN187" s="2122"/>
      <c r="BO187" s="2122"/>
      <c r="BP187" s="2122"/>
      <c r="BQ187" s="2122"/>
      <c r="BR187" s="2122"/>
      <c r="BS187" s="2122"/>
      <c r="BT187" s="2122"/>
      <c r="BU187" s="2122"/>
      <c r="BV187" s="2122"/>
      <c r="BW187" s="2122"/>
      <c r="BX187" s="2122"/>
      <c r="BY187" s="2122"/>
      <c r="BZ187" s="2122"/>
      <c r="CA187" s="2122"/>
      <c r="CB187" s="2122"/>
      <c r="CC187" s="2122"/>
      <c r="CD187" s="2122"/>
      <c r="CE187" s="2122"/>
      <c r="CF187" s="2122"/>
      <c r="CG187" s="2122"/>
      <c r="CH187" s="2122"/>
      <c r="CI187" s="2122"/>
      <c r="CJ187" s="2122"/>
      <c r="CK187" s="2122"/>
      <c r="CL187" s="2122"/>
      <c r="CM187" s="2122"/>
      <c r="CN187" s="2122"/>
      <c r="CO187" s="2122"/>
      <c r="CP187" s="2122"/>
      <c r="CQ187" s="2122"/>
      <c r="CR187" s="2122"/>
      <c r="CS187" s="2122"/>
      <c r="CT187" s="2122"/>
      <c r="CU187" s="2122"/>
      <c r="CV187" s="2122"/>
      <c r="CW187" s="2122"/>
      <c r="CX187" s="2122"/>
      <c r="CY187" s="2122"/>
      <c r="CZ187" s="2122"/>
      <c r="DA187" s="2122"/>
      <c r="DB187" s="2122"/>
      <c r="DC187" s="2122"/>
      <c r="DD187" s="2122"/>
      <c r="DE187" s="2122"/>
      <c r="DF187" s="2122"/>
      <c r="DG187" s="2122"/>
      <c r="DH187" s="2122"/>
      <c r="DI187" s="2122"/>
      <c r="DJ187" s="2122"/>
      <c r="DK187" s="2122"/>
      <c r="DL187" s="2122"/>
      <c r="DM187" s="2122"/>
      <c r="DN187" s="2122"/>
      <c r="DO187" s="2122"/>
      <c r="DP187" s="2122"/>
      <c r="DQ187" s="2122"/>
      <c r="DR187" s="2123"/>
      <c r="DS187" s="313"/>
      <c r="DT187" s="311"/>
    </row>
    <row r="188" spans="2:124" ht="30" customHeight="1">
      <c r="B188" s="312"/>
      <c r="C188" s="313"/>
      <c r="D188" s="2068"/>
      <c r="E188" s="2068"/>
      <c r="F188" s="2068"/>
      <c r="G188" s="2068"/>
      <c r="H188" s="2124"/>
      <c r="I188" s="2125"/>
      <c r="J188" s="2125"/>
      <c r="K188" s="2125"/>
      <c r="L188" s="2125"/>
      <c r="M188" s="2125"/>
      <c r="N188" s="2125"/>
      <c r="O188" s="2125"/>
      <c r="P188" s="2125"/>
      <c r="Q188" s="2125"/>
      <c r="R188" s="2125"/>
      <c r="S188" s="2125"/>
      <c r="T188" s="2125"/>
      <c r="U188" s="2125"/>
      <c r="V188" s="2125"/>
      <c r="W188" s="2125"/>
      <c r="X188" s="2125"/>
      <c r="Y188" s="2125"/>
      <c r="Z188" s="2125"/>
      <c r="AA188" s="2125"/>
      <c r="AB188" s="2125"/>
      <c r="AC188" s="2125"/>
      <c r="AD188" s="2125"/>
      <c r="AE188" s="2125"/>
      <c r="AF188" s="2125"/>
      <c r="AG188" s="2125"/>
      <c r="AH188" s="2125"/>
      <c r="AI188" s="2125"/>
      <c r="AJ188" s="2125"/>
      <c r="AK188" s="2125"/>
      <c r="AL188" s="2125"/>
      <c r="AM188" s="2125"/>
      <c r="AN188" s="2125"/>
      <c r="AO188" s="2125"/>
      <c r="AP188" s="2125"/>
      <c r="AQ188" s="2125"/>
      <c r="AR188" s="2125"/>
      <c r="AS188" s="2125"/>
      <c r="AT188" s="2125"/>
      <c r="AU188" s="2125"/>
      <c r="AV188" s="2125"/>
      <c r="AW188" s="2125"/>
      <c r="AX188" s="2125"/>
      <c r="AY188" s="2125"/>
      <c r="AZ188" s="2125"/>
      <c r="BA188" s="2125"/>
      <c r="BB188" s="2125"/>
      <c r="BC188" s="2125"/>
      <c r="BD188" s="2125"/>
      <c r="BE188" s="2125"/>
      <c r="BF188" s="2125"/>
      <c r="BG188" s="2125"/>
      <c r="BH188" s="2125"/>
      <c r="BI188" s="2125"/>
      <c r="BJ188" s="2125"/>
      <c r="BK188" s="2125"/>
      <c r="BL188" s="2125"/>
      <c r="BM188" s="2125"/>
      <c r="BN188" s="2125"/>
      <c r="BO188" s="2125"/>
      <c r="BP188" s="2125"/>
      <c r="BQ188" s="2125"/>
      <c r="BR188" s="2125"/>
      <c r="BS188" s="2125"/>
      <c r="BT188" s="2125"/>
      <c r="BU188" s="2125"/>
      <c r="BV188" s="2125"/>
      <c r="BW188" s="2125"/>
      <c r="BX188" s="2125"/>
      <c r="BY188" s="2125"/>
      <c r="BZ188" s="2125"/>
      <c r="CA188" s="2125"/>
      <c r="CB188" s="2125"/>
      <c r="CC188" s="2125"/>
      <c r="CD188" s="2125"/>
      <c r="CE188" s="2125"/>
      <c r="CF188" s="2125"/>
      <c r="CG188" s="2125"/>
      <c r="CH188" s="2125"/>
      <c r="CI188" s="2125"/>
      <c r="CJ188" s="2125"/>
      <c r="CK188" s="2125"/>
      <c r="CL188" s="2125"/>
      <c r="CM188" s="2125"/>
      <c r="CN188" s="2125"/>
      <c r="CO188" s="2125"/>
      <c r="CP188" s="2125"/>
      <c r="CQ188" s="2125"/>
      <c r="CR188" s="2125"/>
      <c r="CS188" s="2125"/>
      <c r="CT188" s="2125"/>
      <c r="CU188" s="2125"/>
      <c r="CV188" s="2125"/>
      <c r="CW188" s="2125"/>
      <c r="CX188" s="2125"/>
      <c r="CY188" s="2125"/>
      <c r="CZ188" s="2125"/>
      <c r="DA188" s="2125"/>
      <c r="DB188" s="2125"/>
      <c r="DC188" s="2125"/>
      <c r="DD188" s="2125"/>
      <c r="DE188" s="2125"/>
      <c r="DF188" s="2125"/>
      <c r="DG188" s="2125"/>
      <c r="DH188" s="2125"/>
      <c r="DI188" s="2125"/>
      <c r="DJ188" s="2125"/>
      <c r="DK188" s="2125"/>
      <c r="DL188" s="2125"/>
      <c r="DM188" s="2125"/>
      <c r="DN188" s="2125"/>
      <c r="DO188" s="2125"/>
      <c r="DP188" s="2125"/>
      <c r="DQ188" s="2125"/>
      <c r="DR188" s="2126"/>
      <c r="DS188" s="313"/>
      <c r="DT188" s="311"/>
    </row>
    <row r="189" spans="2:124" ht="6" customHeight="1">
      <c r="B189" s="312"/>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313"/>
      <c r="Z189" s="313"/>
      <c r="AA189" s="313"/>
      <c r="AB189" s="313"/>
      <c r="AC189" s="313"/>
      <c r="AD189" s="313"/>
      <c r="AE189" s="313"/>
      <c r="AF189" s="313"/>
      <c r="AG189" s="313"/>
      <c r="AH189" s="313"/>
      <c r="AI189" s="313"/>
      <c r="AJ189" s="313"/>
      <c r="AK189" s="313"/>
      <c r="AL189" s="313"/>
      <c r="AM189" s="313"/>
      <c r="AN189" s="313"/>
      <c r="AO189" s="313"/>
      <c r="AP189" s="313"/>
      <c r="AQ189" s="313"/>
      <c r="AR189" s="313"/>
      <c r="AS189" s="313"/>
      <c r="AT189" s="313"/>
      <c r="AU189" s="313"/>
      <c r="AV189" s="313"/>
      <c r="AW189" s="313"/>
      <c r="AX189" s="313"/>
      <c r="AY189" s="313"/>
      <c r="AZ189" s="313"/>
      <c r="BA189" s="313"/>
      <c r="BB189" s="313"/>
      <c r="BC189" s="313"/>
      <c r="BD189" s="313"/>
      <c r="BE189" s="313"/>
      <c r="BF189" s="313"/>
      <c r="BG189" s="313"/>
      <c r="BH189" s="313"/>
      <c r="BI189" s="313"/>
      <c r="BJ189" s="313"/>
      <c r="BK189" s="313"/>
      <c r="BL189" s="313"/>
      <c r="BM189" s="313"/>
      <c r="BN189" s="313"/>
      <c r="BO189" s="313"/>
      <c r="BP189" s="313"/>
      <c r="BQ189" s="313"/>
      <c r="BR189" s="313"/>
      <c r="BS189" s="313"/>
      <c r="BT189" s="313"/>
      <c r="BU189" s="313"/>
      <c r="BV189" s="313"/>
      <c r="BW189" s="313"/>
      <c r="BX189" s="313"/>
      <c r="BY189" s="313"/>
      <c r="BZ189" s="313"/>
      <c r="CA189" s="313"/>
      <c r="CB189" s="313"/>
      <c r="CC189" s="313"/>
      <c r="CD189" s="313"/>
      <c r="CE189" s="313"/>
      <c r="CF189" s="313"/>
      <c r="CG189" s="313"/>
      <c r="CH189" s="313"/>
      <c r="CI189" s="313"/>
      <c r="CJ189" s="313"/>
      <c r="CK189" s="313"/>
      <c r="CL189" s="313"/>
      <c r="CM189" s="313"/>
      <c r="CN189" s="313"/>
      <c r="CO189" s="313"/>
      <c r="CP189" s="313"/>
      <c r="CQ189" s="313"/>
      <c r="CR189" s="313"/>
      <c r="CS189" s="313"/>
      <c r="CT189" s="313"/>
      <c r="CU189" s="313"/>
      <c r="CV189" s="313"/>
      <c r="CW189" s="313"/>
      <c r="CX189" s="313"/>
      <c r="CY189" s="313"/>
      <c r="CZ189" s="313"/>
      <c r="DA189" s="313"/>
      <c r="DB189" s="313"/>
      <c r="DC189" s="313"/>
      <c r="DD189" s="313"/>
      <c r="DE189" s="313"/>
      <c r="DF189" s="313"/>
      <c r="DG189" s="313"/>
      <c r="DH189" s="313"/>
      <c r="DI189" s="313"/>
      <c r="DJ189" s="313"/>
      <c r="DK189" s="313"/>
      <c r="DL189" s="313"/>
      <c r="DM189" s="313"/>
      <c r="DN189" s="313"/>
      <c r="DO189" s="313"/>
      <c r="DP189" s="313"/>
      <c r="DQ189" s="313"/>
      <c r="DR189" s="313"/>
      <c r="DS189" s="313"/>
      <c r="DT189" s="311"/>
    </row>
    <row r="190" spans="2:124" ht="30" customHeight="1">
      <c r="B190" s="312"/>
      <c r="C190" s="313"/>
      <c r="D190" s="2068" t="str">
        <f ca="1">INDIRECT($J$4&amp;"!C140")</f>
        <v>Non-detection</v>
      </c>
      <c r="E190" s="2068"/>
      <c r="F190" s="2068"/>
      <c r="G190" s="2068"/>
      <c r="H190" s="2118"/>
      <c r="I190" s="2119"/>
      <c r="J190" s="2119"/>
      <c r="K190" s="2119"/>
      <c r="L190" s="2119"/>
      <c r="M190" s="2119"/>
      <c r="N190" s="2119"/>
      <c r="O190" s="2119"/>
      <c r="P190" s="2119"/>
      <c r="Q190" s="2119"/>
      <c r="R190" s="2119"/>
      <c r="S190" s="2119"/>
      <c r="T190" s="2119"/>
      <c r="U190" s="2119"/>
      <c r="V190" s="2119"/>
      <c r="W190" s="2119"/>
      <c r="X190" s="2119"/>
      <c r="Y190" s="2119"/>
      <c r="Z190" s="2119"/>
      <c r="AA190" s="2119"/>
      <c r="AB190" s="2119"/>
      <c r="AC190" s="2119"/>
      <c r="AD190" s="2119"/>
      <c r="AE190" s="2119"/>
      <c r="AF190" s="2119"/>
      <c r="AG190" s="2119"/>
      <c r="AH190" s="2119"/>
      <c r="AI190" s="2119"/>
      <c r="AJ190" s="2119"/>
      <c r="AK190" s="2119"/>
      <c r="AL190" s="2119"/>
      <c r="AM190" s="2119"/>
      <c r="AN190" s="2119"/>
      <c r="AO190" s="2119"/>
      <c r="AP190" s="2119"/>
      <c r="AQ190" s="2119"/>
      <c r="AR190" s="2119"/>
      <c r="AS190" s="2119"/>
      <c r="AT190" s="2119"/>
      <c r="AU190" s="2119"/>
      <c r="AV190" s="2119"/>
      <c r="AW190" s="2119"/>
      <c r="AX190" s="2119"/>
      <c r="AY190" s="2119"/>
      <c r="AZ190" s="2119"/>
      <c r="BA190" s="2119"/>
      <c r="BB190" s="2119"/>
      <c r="BC190" s="2119"/>
      <c r="BD190" s="2119"/>
      <c r="BE190" s="2119"/>
      <c r="BF190" s="2119"/>
      <c r="BG190" s="2119"/>
      <c r="BH190" s="2119"/>
      <c r="BI190" s="2119"/>
      <c r="BJ190" s="2119"/>
      <c r="BK190" s="2119"/>
      <c r="BL190" s="2119"/>
      <c r="BM190" s="2119"/>
      <c r="BN190" s="2119"/>
      <c r="BO190" s="2119"/>
      <c r="BP190" s="2119"/>
      <c r="BQ190" s="2119"/>
      <c r="BR190" s="2119"/>
      <c r="BS190" s="2119"/>
      <c r="BT190" s="2119"/>
      <c r="BU190" s="2119"/>
      <c r="BV190" s="2119"/>
      <c r="BW190" s="2119"/>
      <c r="BX190" s="2119"/>
      <c r="BY190" s="2119"/>
      <c r="BZ190" s="2119"/>
      <c r="CA190" s="2119"/>
      <c r="CB190" s="2119"/>
      <c r="CC190" s="2119"/>
      <c r="CD190" s="2119"/>
      <c r="CE190" s="2119"/>
      <c r="CF190" s="2119"/>
      <c r="CG190" s="2119"/>
      <c r="CH190" s="2119"/>
      <c r="CI190" s="2119"/>
      <c r="CJ190" s="2119"/>
      <c r="CK190" s="2119"/>
      <c r="CL190" s="2119"/>
      <c r="CM190" s="2119"/>
      <c r="CN190" s="2119"/>
      <c r="CO190" s="2119"/>
      <c r="CP190" s="2119"/>
      <c r="CQ190" s="2119"/>
      <c r="CR190" s="2119"/>
      <c r="CS190" s="2119"/>
      <c r="CT190" s="2119"/>
      <c r="CU190" s="2119"/>
      <c r="CV190" s="2119"/>
      <c r="CW190" s="2119"/>
      <c r="CX190" s="2119"/>
      <c r="CY190" s="2119"/>
      <c r="CZ190" s="2119"/>
      <c r="DA190" s="2119"/>
      <c r="DB190" s="2119"/>
      <c r="DC190" s="2119"/>
      <c r="DD190" s="2119"/>
      <c r="DE190" s="2119"/>
      <c r="DF190" s="2119"/>
      <c r="DG190" s="2119"/>
      <c r="DH190" s="2119"/>
      <c r="DI190" s="2119"/>
      <c r="DJ190" s="2119"/>
      <c r="DK190" s="2119"/>
      <c r="DL190" s="2119"/>
      <c r="DM190" s="2119"/>
      <c r="DN190" s="2119"/>
      <c r="DO190" s="2119"/>
      <c r="DP190" s="2119"/>
      <c r="DQ190" s="2119"/>
      <c r="DR190" s="2120"/>
      <c r="DS190" s="313"/>
      <c r="DT190" s="311"/>
    </row>
    <row r="191" spans="2:124" ht="30" customHeight="1">
      <c r="B191" s="312"/>
      <c r="C191" s="313"/>
      <c r="D191" s="2068"/>
      <c r="E191" s="2068"/>
      <c r="F191" s="2068"/>
      <c r="G191" s="2068"/>
      <c r="H191" s="2121"/>
      <c r="I191" s="2122"/>
      <c r="J191" s="2122"/>
      <c r="K191" s="2122"/>
      <c r="L191" s="2122"/>
      <c r="M191" s="2122"/>
      <c r="N191" s="2122"/>
      <c r="O191" s="2122"/>
      <c r="P191" s="2122"/>
      <c r="Q191" s="2122"/>
      <c r="R191" s="2122"/>
      <c r="S191" s="2122"/>
      <c r="T191" s="2122"/>
      <c r="U191" s="2122"/>
      <c r="V191" s="2122"/>
      <c r="W191" s="2122"/>
      <c r="X191" s="2122"/>
      <c r="Y191" s="2122"/>
      <c r="Z191" s="2122"/>
      <c r="AA191" s="2122"/>
      <c r="AB191" s="2122"/>
      <c r="AC191" s="2122"/>
      <c r="AD191" s="2122"/>
      <c r="AE191" s="2122"/>
      <c r="AF191" s="2122"/>
      <c r="AG191" s="2122"/>
      <c r="AH191" s="2122"/>
      <c r="AI191" s="2122"/>
      <c r="AJ191" s="2122"/>
      <c r="AK191" s="2122"/>
      <c r="AL191" s="2122"/>
      <c r="AM191" s="2122"/>
      <c r="AN191" s="2122"/>
      <c r="AO191" s="2122"/>
      <c r="AP191" s="2122"/>
      <c r="AQ191" s="2122"/>
      <c r="AR191" s="2122"/>
      <c r="AS191" s="2122"/>
      <c r="AT191" s="2122"/>
      <c r="AU191" s="2122"/>
      <c r="AV191" s="2122"/>
      <c r="AW191" s="2122"/>
      <c r="AX191" s="2122"/>
      <c r="AY191" s="2122"/>
      <c r="AZ191" s="2122"/>
      <c r="BA191" s="2122"/>
      <c r="BB191" s="2122"/>
      <c r="BC191" s="2122"/>
      <c r="BD191" s="2122"/>
      <c r="BE191" s="2122"/>
      <c r="BF191" s="2122"/>
      <c r="BG191" s="2122"/>
      <c r="BH191" s="2122"/>
      <c r="BI191" s="2122"/>
      <c r="BJ191" s="2122"/>
      <c r="BK191" s="2122"/>
      <c r="BL191" s="2122"/>
      <c r="BM191" s="2122"/>
      <c r="BN191" s="2122"/>
      <c r="BO191" s="2122"/>
      <c r="BP191" s="2122"/>
      <c r="BQ191" s="2122"/>
      <c r="BR191" s="2122"/>
      <c r="BS191" s="2122"/>
      <c r="BT191" s="2122"/>
      <c r="BU191" s="2122"/>
      <c r="BV191" s="2122"/>
      <c r="BW191" s="2122"/>
      <c r="BX191" s="2122"/>
      <c r="BY191" s="2122"/>
      <c r="BZ191" s="2122"/>
      <c r="CA191" s="2122"/>
      <c r="CB191" s="2122"/>
      <c r="CC191" s="2122"/>
      <c r="CD191" s="2122"/>
      <c r="CE191" s="2122"/>
      <c r="CF191" s="2122"/>
      <c r="CG191" s="2122"/>
      <c r="CH191" s="2122"/>
      <c r="CI191" s="2122"/>
      <c r="CJ191" s="2122"/>
      <c r="CK191" s="2122"/>
      <c r="CL191" s="2122"/>
      <c r="CM191" s="2122"/>
      <c r="CN191" s="2122"/>
      <c r="CO191" s="2122"/>
      <c r="CP191" s="2122"/>
      <c r="CQ191" s="2122"/>
      <c r="CR191" s="2122"/>
      <c r="CS191" s="2122"/>
      <c r="CT191" s="2122"/>
      <c r="CU191" s="2122"/>
      <c r="CV191" s="2122"/>
      <c r="CW191" s="2122"/>
      <c r="CX191" s="2122"/>
      <c r="CY191" s="2122"/>
      <c r="CZ191" s="2122"/>
      <c r="DA191" s="2122"/>
      <c r="DB191" s="2122"/>
      <c r="DC191" s="2122"/>
      <c r="DD191" s="2122"/>
      <c r="DE191" s="2122"/>
      <c r="DF191" s="2122"/>
      <c r="DG191" s="2122"/>
      <c r="DH191" s="2122"/>
      <c r="DI191" s="2122"/>
      <c r="DJ191" s="2122"/>
      <c r="DK191" s="2122"/>
      <c r="DL191" s="2122"/>
      <c r="DM191" s="2122"/>
      <c r="DN191" s="2122"/>
      <c r="DO191" s="2122"/>
      <c r="DP191" s="2122"/>
      <c r="DQ191" s="2122"/>
      <c r="DR191" s="2123"/>
      <c r="DS191" s="313"/>
      <c r="DT191" s="311"/>
    </row>
    <row r="192" spans="2:124" ht="30" customHeight="1">
      <c r="B192" s="312"/>
      <c r="C192" s="313"/>
      <c r="D192" s="2068"/>
      <c r="E192" s="2068"/>
      <c r="F192" s="2068"/>
      <c r="G192" s="2068"/>
      <c r="H192" s="2121"/>
      <c r="I192" s="2122"/>
      <c r="J192" s="2122"/>
      <c r="K192" s="2122"/>
      <c r="L192" s="2122"/>
      <c r="M192" s="2122"/>
      <c r="N192" s="2122"/>
      <c r="O192" s="2122"/>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3"/>
      <c r="DS192" s="313"/>
      <c r="DT192" s="311"/>
    </row>
    <row r="193" spans="2:124" ht="30" customHeight="1">
      <c r="B193" s="319"/>
      <c r="C193" s="313"/>
      <c r="D193" s="2068"/>
      <c r="E193" s="2068"/>
      <c r="F193" s="2068"/>
      <c r="G193" s="2068"/>
      <c r="H193" s="2121"/>
      <c r="I193" s="2122"/>
      <c r="J193" s="2122"/>
      <c r="K193" s="2122"/>
      <c r="L193" s="2122"/>
      <c r="M193" s="2122"/>
      <c r="N193" s="2122"/>
      <c r="O193" s="2122"/>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3"/>
      <c r="DS193" s="313"/>
      <c r="DT193" s="311"/>
    </row>
    <row r="194" spans="2:124" ht="30" customHeight="1">
      <c r="B194" s="319"/>
      <c r="C194" s="313"/>
      <c r="D194" s="2068"/>
      <c r="E194" s="2068"/>
      <c r="F194" s="2068"/>
      <c r="G194" s="2068"/>
      <c r="H194" s="2121"/>
      <c r="I194" s="2122"/>
      <c r="J194" s="2122"/>
      <c r="K194" s="2122"/>
      <c r="L194" s="2122"/>
      <c r="M194" s="2122"/>
      <c r="N194" s="2122"/>
      <c r="O194" s="2122"/>
      <c r="P194" s="2122"/>
      <c r="Q194" s="2122"/>
      <c r="R194" s="2122"/>
      <c r="S194" s="2122"/>
      <c r="T194" s="2122"/>
      <c r="U194" s="2122"/>
      <c r="V194" s="2122"/>
      <c r="W194" s="2122"/>
      <c r="X194" s="2122"/>
      <c r="Y194" s="2122"/>
      <c r="Z194" s="2122"/>
      <c r="AA194" s="2122"/>
      <c r="AB194" s="2122"/>
      <c r="AC194" s="2122"/>
      <c r="AD194" s="2122"/>
      <c r="AE194" s="2122"/>
      <c r="AF194" s="2122"/>
      <c r="AG194" s="2122"/>
      <c r="AH194" s="2122"/>
      <c r="AI194" s="2122"/>
      <c r="AJ194" s="2122"/>
      <c r="AK194" s="2122"/>
      <c r="AL194" s="2122"/>
      <c r="AM194" s="2122"/>
      <c r="AN194" s="2122"/>
      <c r="AO194" s="2122"/>
      <c r="AP194" s="2122"/>
      <c r="AQ194" s="2122"/>
      <c r="AR194" s="2122"/>
      <c r="AS194" s="2122"/>
      <c r="AT194" s="2122"/>
      <c r="AU194" s="2122"/>
      <c r="AV194" s="2122"/>
      <c r="AW194" s="2122"/>
      <c r="AX194" s="2122"/>
      <c r="AY194" s="2122"/>
      <c r="AZ194" s="2122"/>
      <c r="BA194" s="2122"/>
      <c r="BB194" s="2122"/>
      <c r="BC194" s="2122"/>
      <c r="BD194" s="2122"/>
      <c r="BE194" s="2122"/>
      <c r="BF194" s="2122"/>
      <c r="BG194" s="2122"/>
      <c r="BH194" s="2122"/>
      <c r="BI194" s="2122"/>
      <c r="BJ194" s="2122"/>
      <c r="BK194" s="2122"/>
      <c r="BL194" s="2122"/>
      <c r="BM194" s="2122"/>
      <c r="BN194" s="2122"/>
      <c r="BO194" s="2122"/>
      <c r="BP194" s="2122"/>
      <c r="BQ194" s="2122"/>
      <c r="BR194" s="2122"/>
      <c r="BS194" s="2122"/>
      <c r="BT194" s="2122"/>
      <c r="BU194" s="2122"/>
      <c r="BV194" s="2122"/>
      <c r="BW194" s="2122"/>
      <c r="BX194" s="2122"/>
      <c r="BY194" s="2122"/>
      <c r="BZ194" s="2122"/>
      <c r="CA194" s="2122"/>
      <c r="CB194" s="2122"/>
      <c r="CC194" s="2122"/>
      <c r="CD194" s="2122"/>
      <c r="CE194" s="2122"/>
      <c r="CF194" s="2122"/>
      <c r="CG194" s="2122"/>
      <c r="CH194" s="2122"/>
      <c r="CI194" s="2122"/>
      <c r="CJ194" s="2122"/>
      <c r="CK194" s="2122"/>
      <c r="CL194" s="2122"/>
      <c r="CM194" s="2122"/>
      <c r="CN194" s="2122"/>
      <c r="CO194" s="2122"/>
      <c r="CP194" s="2122"/>
      <c r="CQ194" s="2122"/>
      <c r="CR194" s="2122"/>
      <c r="CS194" s="2122"/>
      <c r="CT194" s="2122"/>
      <c r="CU194" s="2122"/>
      <c r="CV194" s="2122"/>
      <c r="CW194" s="2122"/>
      <c r="CX194" s="2122"/>
      <c r="CY194" s="2122"/>
      <c r="CZ194" s="2122"/>
      <c r="DA194" s="2122"/>
      <c r="DB194" s="2122"/>
      <c r="DC194" s="2122"/>
      <c r="DD194" s="2122"/>
      <c r="DE194" s="2122"/>
      <c r="DF194" s="2122"/>
      <c r="DG194" s="2122"/>
      <c r="DH194" s="2122"/>
      <c r="DI194" s="2122"/>
      <c r="DJ194" s="2122"/>
      <c r="DK194" s="2122"/>
      <c r="DL194" s="2122"/>
      <c r="DM194" s="2122"/>
      <c r="DN194" s="2122"/>
      <c r="DO194" s="2122"/>
      <c r="DP194" s="2122"/>
      <c r="DQ194" s="2122"/>
      <c r="DR194" s="2123"/>
      <c r="DS194" s="313"/>
      <c r="DT194" s="311"/>
    </row>
    <row r="195" spans="2:124" ht="30" customHeight="1">
      <c r="B195" s="319"/>
      <c r="C195" s="313"/>
      <c r="D195" s="2068"/>
      <c r="E195" s="2068"/>
      <c r="F195" s="2068"/>
      <c r="G195" s="2068"/>
      <c r="H195" s="2121"/>
      <c r="I195" s="2122"/>
      <c r="J195" s="2122"/>
      <c r="K195" s="2122"/>
      <c r="L195" s="2122"/>
      <c r="M195" s="2122"/>
      <c r="N195" s="2122"/>
      <c r="O195" s="2122"/>
      <c r="P195" s="2122"/>
      <c r="Q195" s="2122"/>
      <c r="R195" s="2122"/>
      <c r="S195" s="2122"/>
      <c r="T195" s="2122"/>
      <c r="U195" s="2122"/>
      <c r="V195" s="2122"/>
      <c r="W195" s="2122"/>
      <c r="X195" s="2122"/>
      <c r="Y195" s="2122"/>
      <c r="Z195" s="2122"/>
      <c r="AA195" s="2122"/>
      <c r="AB195" s="2122"/>
      <c r="AC195" s="2122"/>
      <c r="AD195" s="2122"/>
      <c r="AE195" s="2122"/>
      <c r="AF195" s="2122"/>
      <c r="AG195" s="2122"/>
      <c r="AH195" s="2122"/>
      <c r="AI195" s="2122"/>
      <c r="AJ195" s="2122"/>
      <c r="AK195" s="2122"/>
      <c r="AL195" s="2122"/>
      <c r="AM195" s="2122"/>
      <c r="AN195" s="2122"/>
      <c r="AO195" s="2122"/>
      <c r="AP195" s="2122"/>
      <c r="AQ195" s="2122"/>
      <c r="AR195" s="2122"/>
      <c r="AS195" s="2122"/>
      <c r="AT195" s="2122"/>
      <c r="AU195" s="2122"/>
      <c r="AV195" s="2122"/>
      <c r="AW195" s="2122"/>
      <c r="AX195" s="2122"/>
      <c r="AY195" s="2122"/>
      <c r="AZ195" s="2122"/>
      <c r="BA195" s="2122"/>
      <c r="BB195" s="2122"/>
      <c r="BC195" s="2122"/>
      <c r="BD195" s="2122"/>
      <c r="BE195" s="2122"/>
      <c r="BF195" s="2122"/>
      <c r="BG195" s="2122"/>
      <c r="BH195" s="2122"/>
      <c r="BI195" s="2122"/>
      <c r="BJ195" s="2122"/>
      <c r="BK195" s="2122"/>
      <c r="BL195" s="2122"/>
      <c r="BM195" s="2122"/>
      <c r="BN195" s="2122"/>
      <c r="BO195" s="2122"/>
      <c r="BP195" s="2122"/>
      <c r="BQ195" s="2122"/>
      <c r="BR195" s="2122"/>
      <c r="BS195" s="2122"/>
      <c r="BT195" s="2122"/>
      <c r="BU195" s="2122"/>
      <c r="BV195" s="2122"/>
      <c r="BW195" s="2122"/>
      <c r="BX195" s="2122"/>
      <c r="BY195" s="2122"/>
      <c r="BZ195" s="2122"/>
      <c r="CA195" s="2122"/>
      <c r="CB195" s="2122"/>
      <c r="CC195" s="2122"/>
      <c r="CD195" s="2122"/>
      <c r="CE195" s="2122"/>
      <c r="CF195" s="2122"/>
      <c r="CG195" s="2122"/>
      <c r="CH195" s="2122"/>
      <c r="CI195" s="2122"/>
      <c r="CJ195" s="2122"/>
      <c r="CK195" s="2122"/>
      <c r="CL195" s="2122"/>
      <c r="CM195" s="2122"/>
      <c r="CN195" s="2122"/>
      <c r="CO195" s="2122"/>
      <c r="CP195" s="2122"/>
      <c r="CQ195" s="2122"/>
      <c r="CR195" s="2122"/>
      <c r="CS195" s="2122"/>
      <c r="CT195" s="2122"/>
      <c r="CU195" s="2122"/>
      <c r="CV195" s="2122"/>
      <c r="CW195" s="2122"/>
      <c r="CX195" s="2122"/>
      <c r="CY195" s="2122"/>
      <c r="CZ195" s="2122"/>
      <c r="DA195" s="2122"/>
      <c r="DB195" s="2122"/>
      <c r="DC195" s="2122"/>
      <c r="DD195" s="2122"/>
      <c r="DE195" s="2122"/>
      <c r="DF195" s="2122"/>
      <c r="DG195" s="2122"/>
      <c r="DH195" s="2122"/>
      <c r="DI195" s="2122"/>
      <c r="DJ195" s="2122"/>
      <c r="DK195" s="2122"/>
      <c r="DL195" s="2122"/>
      <c r="DM195" s="2122"/>
      <c r="DN195" s="2122"/>
      <c r="DO195" s="2122"/>
      <c r="DP195" s="2122"/>
      <c r="DQ195" s="2122"/>
      <c r="DR195" s="2123"/>
      <c r="DS195" s="313"/>
      <c r="DT195" s="311"/>
    </row>
    <row r="196" spans="2:124" ht="30" customHeight="1">
      <c r="B196" s="319"/>
      <c r="C196" s="313"/>
      <c r="D196" s="2068"/>
      <c r="E196" s="2068"/>
      <c r="F196" s="2068"/>
      <c r="G196" s="2068"/>
      <c r="H196" s="2124"/>
      <c r="I196" s="2125"/>
      <c r="J196" s="2125"/>
      <c r="K196" s="2125"/>
      <c r="L196" s="2125"/>
      <c r="M196" s="2125"/>
      <c r="N196" s="2125"/>
      <c r="O196" s="2125"/>
      <c r="P196" s="2125"/>
      <c r="Q196" s="2125"/>
      <c r="R196" s="2125"/>
      <c r="S196" s="2125"/>
      <c r="T196" s="2125"/>
      <c r="U196" s="2125"/>
      <c r="V196" s="2125"/>
      <c r="W196" s="2125"/>
      <c r="X196" s="2125"/>
      <c r="Y196" s="2125"/>
      <c r="Z196" s="2125"/>
      <c r="AA196" s="2125"/>
      <c r="AB196" s="2125"/>
      <c r="AC196" s="2125"/>
      <c r="AD196" s="2125"/>
      <c r="AE196" s="2125"/>
      <c r="AF196" s="2125"/>
      <c r="AG196" s="2125"/>
      <c r="AH196" s="2125"/>
      <c r="AI196" s="2125"/>
      <c r="AJ196" s="2125"/>
      <c r="AK196" s="2125"/>
      <c r="AL196" s="2125"/>
      <c r="AM196" s="2125"/>
      <c r="AN196" s="2125"/>
      <c r="AO196" s="2125"/>
      <c r="AP196" s="2125"/>
      <c r="AQ196" s="2125"/>
      <c r="AR196" s="2125"/>
      <c r="AS196" s="2125"/>
      <c r="AT196" s="2125"/>
      <c r="AU196" s="2125"/>
      <c r="AV196" s="2125"/>
      <c r="AW196" s="2125"/>
      <c r="AX196" s="2125"/>
      <c r="AY196" s="2125"/>
      <c r="AZ196" s="2125"/>
      <c r="BA196" s="2125"/>
      <c r="BB196" s="2125"/>
      <c r="BC196" s="2125"/>
      <c r="BD196" s="2125"/>
      <c r="BE196" s="2125"/>
      <c r="BF196" s="2125"/>
      <c r="BG196" s="2125"/>
      <c r="BH196" s="2125"/>
      <c r="BI196" s="2125"/>
      <c r="BJ196" s="2125"/>
      <c r="BK196" s="2125"/>
      <c r="BL196" s="2125"/>
      <c r="BM196" s="2125"/>
      <c r="BN196" s="2125"/>
      <c r="BO196" s="2125"/>
      <c r="BP196" s="2125"/>
      <c r="BQ196" s="2125"/>
      <c r="BR196" s="2125"/>
      <c r="BS196" s="2125"/>
      <c r="BT196" s="2125"/>
      <c r="BU196" s="2125"/>
      <c r="BV196" s="2125"/>
      <c r="BW196" s="2125"/>
      <c r="BX196" s="2125"/>
      <c r="BY196" s="2125"/>
      <c r="BZ196" s="2125"/>
      <c r="CA196" s="2125"/>
      <c r="CB196" s="2125"/>
      <c r="CC196" s="2125"/>
      <c r="CD196" s="2125"/>
      <c r="CE196" s="2125"/>
      <c r="CF196" s="2125"/>
      <c r="CG196" s="2125"/>
      <c r="CH196" s="2125"/>
      <c r="CI196" s="2125"/>
      <c r="CJ196" s="2125"/>
      <c r="CK196" s="2125"/>
      <c r="CL196" s="2125"/>
      <c r="CM196" s="2125"/>
      <c r="CN196" s="2125"/>
      <c r="CO196" s="2125"/>
      <c r="CP196" s="2125"/>
      <c r="CQ196" s="2125"/>
      <c r="CR196" s="2125"/>
      <c r="CS196" s="2125"/>
      <c r="CT196" s="2125"/>
      <c r="CU196" s="2125"/>
      <c r="CV196" s="2125"/>
      <c r="CW196" s="2125"/>
      <c r="CX196" s="2125"/>
      <c r="CY196" s="2125"/>
      <c r="CZ196" s="2125"/>
      <c r="DA196" s="2125"/>
      <c r="DB196" s="2125"/>
      <c r="DC196" s="2125"/>
      <c r="DD196" s="2125"/>
      <c r="DE196" s="2125"/>
      <c r="DF196" s="2125"/>
      <c r="DG196" s="2125"/>
      <c r="DH196" s="2125"/>
      <c r="DI196" s="2125"/>
      <c r="DJ196" s="2125"/>
      <c r="DK196" s="2125"/>
      <c r="DL196" s="2125"/>
      <c r="DM196" s="2125"/>
      <c r="DN196" s="2125"/>
      <c r="DO196" s="2125"/>
      <c r="DP196" s="2125"/>
      <c r="DQ196" s="2125"/>
      <c r="DR196" s="2126"/>
      <c r="DS196" s="313"/>
      <c r="DT196" s="311"/>
    </row>
    <row r="197" spans="2:124" ht="6" customHeight="1">
      <c r="B197" s="321"/>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313"/>
      <c r="Z197" s="313"/>
      <c r="AA197" s="313"/>
      <c r="AB197" s="313"/>
      <c r="AC197" s="313"/>
      <c r="AD197" s="313"/>
      <c r="AE197" s="313"/>
      <c r="AF197" s="313"/>
      <c r="AG197" s="313"/>
      <c r="AH197" s="313"/>
      <c r="AI197" s="313"/>
      <c r="AJ197" s="313"/>
      <c r="AK197" s="313"/>
      <c r="AL197" s="313"/>
      <c r="AM197" s="313"/>
      <c r="AN197" s="313"/>
      <c r="AO197" s="313"/>
      <c r="AP197" s="313"/>
      <c r="AQ197" s="313"/>
      <c r="AR197" s="313"/>
      <c r="AS197" s="313"/>
      <c r="AT197" s="313"/>
      <c r="AU197" s="313"/>
      <c r="AV197" s="313"/>
      <c r="AW197" s="313"/>
      <c r="AX197" s="313"/>
      <c r="AY197" s="313"/>
      <c r="AZ197" s="313"/>
      <c r="BA197" s="313"/>
      <c r="BB197" s="313"/>
      <c r="BC197" s="313"/>
      <c r="BD197" s="313"/>
      <c r="BE197" s="313"/>
      <c r="BF197" s="313"/>
      <c r="BG197" s="313"/>
      <c r="BH197" s="313"/>
      <c r="BI197" s="313"/>
      <c r="BJ197" s="313"/>
      <c r="BK197" s="313"/>
      <c r="BL197" s="313"/>
      <c r="BM197" s="313"/>
      <c r="BN197" s="313"/>
      <c r="BO197" s="313"/>
      <c r="BP197" s="313"/>
      <c r="BQ197" s="313"/>
      <c r="BR197" s="313"/>
      <c r="BS197" s="313"/>
      <c r="BT197" s="313"/>
      <c r="BU197" s="313"/>
      <c r="BV197" s="313"/>
      <c r="BW197" s="313"/>
      <c r="BX197" s="313"/>
      <c r="BY197" s="313"/>
      <c r="BZ197" s="313"/>
      <c r="CA197" s="313"/>
      <c r="CB197" s="313"/>
      <c r="CC197" s="313"/>
      <c r="CD197" s="313"/>
      <c r="CE197" s="313"/>
      <c r="CF197" s="313"/>
      <c r="CG197" s="313"/>
      <c r="CH197" s="313"/>
      <c r="CI197" s="313"/>
      <c r="CJ197" s="313"/>
      <c r="CK197" s="313"/>
      <c r="CL197" s="313"/>
      <c r="CM197" s="313"/>
      <c r="CN197" s="313"/>
      <c r="CO197" s="313"/>
      <c r="CP197" s="313"/>
      <c r="CQ197" s="313"/>
      <c r="CR197" s="313"/>
      <c r="CS197" s="313"/>
      <c r="CT197" s="313"/>
      <c r="CU197" s="313"/>
      <c r="CV197" s="313"/>
      <c r="CW197" s="313"/>
      <c r="CX197" s="313"/>
      <c r="CY197" s="313"/>
      <c r="CZ197" s="313"/>
      <c r="DA197" s="313"/>
      <c r="DB197" s="313"/>
      <c r="DC197" s="313"/>
      <c r="DD197" s="313"/>
      <c r="DE197" s="313"/>
      <c r="DF197" s="313"/>
      <c r="DG197" s="313"/>
      <c r="DH197" s="313"/>
      <c r="DI197" s="313"/>
      <c r="DJ197" s="313"/>
      <c r="DK197" s="313"/>
      <c r="DL197" s="313"/>
      <c r="DM197" s="313"/>
      <c r="DN197" s="313"/>
      <c r="DO197" s="313"/>
      <c r="DP197" s="313"/>
      <c r="DQ197" s="313"/>
      <c r="DR197" s="313"/>
      <c r="DS197" s="313"/>
      <c r="DT197" s="315"/>
    </row>
    <row r="198" spans="2:124" ht="6" customHeight="1" thickBot="1">
      <c r="B198" s="322"/>
      <c r="C198" s="323"/>
      <c r="D198" s="323"/>
      <c r="E198" s="323"/>
      <c r="F198" s="323"/>
      <c r="G198" s="323"/>
      <c r="H198" s="323"/>
      <c r="I198" s="323"/>
      <c r="J198" s="323"/>
      <c r="K198" s="323"/>
      <c r="L198" s="323"/>
      <c r="M198" s="323"/>
      <c r="N198" s="323"/>
      <c r="O198" s="323"/>
      <c r="P198" s="323"/>
      <c r="Q198" s="323"/>
      <c r="R198" s="323"/>
      <c r="S198" s="323"/>
      <c r="T198" s="323"/>
      <c r="U198" s="323"/>
      <c r="V198" s="323"/>
      <c r="W198" s="323"/>
      <c r="X198" s="323"/>
      <c r="Y198" s="323"/>
      <c r="Z198" s="323"/>
      <c r="AA198" s="323"/>
      <c r="AB198" s="323"/>
      <c r="AC198" s="323"/>
      <c r="AD198" s="323"/>
      <c r="AE198" s="323"/>
      <c r="AF198" s="323"/>
      <c r="AG198" s="323"/>
      <c r="AH198" s="323"/>
      <c r="AI198" s="323"/>
      <c r="AJ198" s="323"/>
      <c r="AK198" s="323"/>
      <c r="AL198" s="323"/>
      <c r="AM198" s="323"/>
      <c r="AN198" s="323"/>
      <c r="AO198" s="323"/>
      <c r="AP198" s="323"/>
      <c r="AQ198" s="323"/>
      <c r="AR198" s="323"/>
      <c r="AS198" s="323"/>
      <c r="AT198" s="323"/>
      <c r="AU198" s="323"/>
      <c r="AV198" s="323"/>
      <c r="AW198" s="323"/>
      <c r="AX198" s="323"/>
      <c r="AY198" s="323"/>
      <c r="AZ198" s="323"/>
      <c r="BA198" s="323"/>
      <c r="BB198" s="323"/>
      <c r="BC198" s="323"/>
      <c r="BD198" s="323"/>
      <c r="BE198" s="323"/>
      <c r="BF198" s="323"/>
      <c r="BG198" s="323"/>
      <c r="BH198" s="323"/>
      <c r="BI198" s="323"/>
      <c r="BJ198" s="323"/>
      <c r="BK198" s="323"/>
      <c r="BL198" s="323"/>
      <c r="BM198" s="323"/>
      <c r="BN198" s="323"/>
      <c r="BO198" s="323"/>
      <c r="BP198" s="323"/>
      <c r="BQ198" s="323"/>
      <c r="BR198" s="323"/>
      <c r="BS198" s="323"/>
      <c r="BT198" s="323"/>
      <c r="BU198" s="323"/>
      <c r="BV198" s="323"/>
      <c r="BW198" s="323"/>
      <c r="BX198" s="323"/>
      <c r="BY198" s="323"/>
      <c r="BZ198" s="323"/>
      <c r="CA198" s="323"/>
      <c r="CB198" s="323"/>
      <c r="CC198" s="323"/>
      <c r="CD198" s="323"/>
      <c r="CE198" s="323"/>
      <c r="CF198" s="323"/>
      <c r="CG198" s="323"/>
      <c r="CH198" s="323"/>
      <c r="CI198" s="323"/>
      <c r="CJ198" s="323"/>
      <c r="CK198" s="323"/>
      <c r="CL198" s="323"/>
      <c r="CM198" s="323"/>
      <c r="CN198" s="323"/>
      <c r="CO198" s="323"/>
      <c r="CP198" s="323"/>
      <c r="CQ198" s="323"/>
      <c r="CR198" s="323"/>
      <c r="CS198" s="323"/>
      <c r="CT198" s="323"/>
      <c r="CU198" s="323"/>
      <c r="CV198" s="323"/>
      <c r="CW198" s="323"/>
      <c r="CX198" s="323"/>
      <c r="CY198" s="323"/>
      <c r="CZ198" s="323"/>
      <c r="DA198" s="323"/>
      <c r="DB198" s="323"/>
      <c r="DC198" s="323"/>
      <c r="DD198" s="323"/>
      <c r="DE198" s="323"/>
      <c r="DF198" s="323"/>
      <c r="DG198" s="323"/>
      <c r="DH198" s="323"/>
      <c r="DI198" s="323"/>
      <c r="DJ198" s="323"/>
      <c r="DK198" s="323"/>
      <c r="DL198" s="323"/>
      <c r="DM198" s="323"/>
      <c r="DN198" s="323"/>
      <c r="DO198" s="323"/>
      <c r="DP198" s="323"/>
      <c r="DQ198" s="323"/>
      <c r="DR198" s="323"/>
      <c r="DS198" s="323"/>
      <c r="DT198" s="324"/>
    </row>
    <row r="199" spans="2:124" ht="6" customHeight="1">
      <c r="B199" s="205"/>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c r="AA199" s="206"/>
      <c r="AB199" s="206"/>
      <c r="AC199" s="206"/>
      <c r="AD199" s="206"/>
      <c r="AE199" s="307"/>
      <c r="AF199" s="307"/>
      <c r="AG199" s="307"/>
      <c r="AH199" s="307"/>
      <c r="AI199" s="307"/>
      <c r="AJ199" s="307"/>
      <c r="AK199" s="307"/>
      <c r="AL199" s="307"/>
      <c r="AM199" s="307"/>
      <c r="AN199" s="307"/>
      <c r="AO199" s="307"/>
      <c r="AP199" s="307"/>
      <c r="AQ199" s="307"/>
      <c r="AR199" s="307"/>
      <c r="AS199" s="307"/>
      <c r="AT199" s="307"/>
      <c r="AU199" s="307"/>
      <c r="AV199" s="307"/>
      <c r="AW199" s="307"/>
      <c r="AX199" s="307"/>
      <c r="AY199" s="307"/>
      <c r="AZ199" s="307"/>
      <c r="BA199" s="307"/>
      <c r="BB199" s="307"/>
      <c r="BC199" s="307"/>
      <c r="BD199" s="307"/>
      <c r="BE199" s="307"/>
      <c r="BF199" s="307"/>
      <c r="BG199" s="307"/>
      <c r="BH199" s="307"/>
      <c r="BI199" s="307"/>
      <c r="BJ199" s="307"/>
      <c r="BK199" s="307"/>
      <c r="BL199" s="307"/>
      <c r="BM199" s="307"/>
      <c r="BN199" s="307"/>
      <c r="BO199" s="307"/>
      <c r="BP199" s="307"/>
      <c r="BQ199" s="307"/>
      <c r="BR199" s="307"/>
      <c r="BS199" s="307"/>
      <c r="BT199" s="307"/>
      <c r="BU199" s="307"/>
      <c r="BV199" s="307"/>
      <c r="BW199" s="307"/>
      <c r="BX199" s="307"/>
      <c r="BY199" s="307"/>
      <c r="BZ199" s="307"/>
      <c r="CA199" s="307"/>
      <c r="CB199" s="307"/>
      <c r="CC199" s="307"/>
      <c r="CD199" s="307"/>
      <c r="CE199" s="307"/>
      <c r="CF199" s="307"/>
      <c r="CG199" s="307"/>
      <c r="CH199" s="307"/>
      <c r="CI199" s="307"/>
      <c r="CJ199" s="307"/>
      <c r="CK199" s="307"/>
      <c r="CL199" s="307"/>
      <c r="CM199" s="307"/>
      <c r="CN199" s="307"/>
      <c r="CO199" s="307"/>
      <c r="CP199" s="307"/>
      <c r="CQ199" s="307"/>
      <c r="CR199" s="307"/>
      <c r="CS199" s="307"/>
      <c r="CT199" s="307"/>
      <c r="CU199" s="307"/>
      <c r="CV199" s="307"/>
      <c r="CW199" s="307"/>
      <c r="CX199" s="307"/>
      <c r="CY199" s="307"/>
      <c r="CZ199" s="307"/>
      <c r="DA199" s="307"/>
      <c r="DB199" s="307"/>
      <c r="DC199" s="307"/>
      <c r="DD199" s="307"/>
      <c r="DE199" s="307"/>
      <c r="DF199" s="307"/>
      <c r="DG199" s="307"/>
      <c r="DH199" s="307"/>
      <c r="DI199" s="307"/>
      <c r="DJ199" s="307"/>
      <c r="DK199" s="307"/>
      <c r="DL199" s="307"/>
      <c r="DM199" s="307"/>
      <c r="DN199" s="307"/>
      <c r="DO199" s="307"/>
      <c r="DP199" s="307"/>
      <c r="DQ199" s="307"/>
      <c r="DR199" s="307"/>
      <c r="DS199" s="307"/>
      <c r="DT199" s="308"/>
    </row>
    <row r="200" spans="2:124" ht="24.9" customHeight="1">
      <c r="B200" s="536" t="str">
        <f ca="1">INDIRECT($J$4&amp;"!C193")</f>
        <v>D7 - Preventive Actions</v>
      </c>
      <c r="C200" s="208"/>
      <c r="D200" s="208"/>
      <c r="E200" s="208"/>
      <c r="F200" s="208"/>
      <c r="G200" s="208"/>
      <c r="H200" s="208"/>
      <c r="I200" s="208"/>
      <c r="J200" s="208"/>
      <c r="K200" s="208"/>
      <c r="L200" s="208"/>
      <c r="M200" s="208"/>
      <c r="N200" s="208"/>
      <c r="O200" s="208"/>
      <c r="P200" s="208"/>
      <c r="Q200" s="208"/>
      <c r="R200" s="208"/>
      <c r="S200" s="208"/>
      <c r="T200" s="208"/>
      <c r="U200" s="208"/>
      <c r="V200" s="208"/>
      <c r="W200" s="208"/>
      <c r="X200" s="208"/>
      <c r="Y200" s="208"/>
      <c r="Z200" s="208"/>
      <c r="AA200" s="208"/>
      <c r="AB200" s="208"/>
      <c r="AC200" s="208"/>
      <c r="AD200" s="208"/>
      <c r="AE200" s="310"/>
      <c r="AF200" s="310"/>
      <c r="AG200" s="310"/>
      <c r="AH200" s="310"/>
      <c r="AI200" s="310"/>
      <c r="AJ200" s="310"/>
      <c r="AK200" s="310"/>
      <c r="AL200" s="310"/>
      <c r="AM200" s="310"/>
      <c r="AN200" s="310"/>
      <c r="AO200" s="310"/>
      <c r="AP200" s="310"/>
      <c r="AQ200" s="310"/>
      <c r="AR200" s="310"/>
      <c r="AS200" s="310"/>
      <c r="AT200" s="310"/>
      <c r="AU200" s="310"/>
      <c r="AV200" s="310"/>
      <c r="AW200" s="310"/>
      <c r="AX200" s="310"/>
      <c r="AY200" s="310"/>
      <c r="AZ200" s="310"/>
      <c r="BA200" s="213"/>
      <c r="BB200" s="310"/>
      <c r="BC200" s="310"/>
      <c r="BD200" s="310"/>
      <c r="BE200" s="310"/>
      <c r="BF200" s="310"/>
      <c r="BG200" s="310"/>
      <c r="BH200" s="310"/>
      <c r="BI200" s="310"/>
      <c r="BJ200" s="310"/>
      <c r="BK200" s="310"/>
      <c r="BL200" s="310"/>
      <c r="BM200" s="310"/>
      <c r="BN200" s="310"/>
      <c r="BO200" s="310"/>
      <c r="BP200" s="310"/>
      <c r="BQ200" s="199"/>
      <c r="BR200" s="1105" t="str">
        <f ca="1">INDIRECT($J$4&amp;"!C68")</f>
        <v>Status</v>
      </c>
      <c r="BS200" s="1105"/>
      <c r="BT200" s="1105"/>
      <c r="BU200" s="1105"/>
      <c r="BV200" s="1105"/>
      <c r="BW200" s="1843"/>
      <c r="BX200" s="1192"/>
      <c r="BY200" s="1193"/>
      <c r="BZ200" s="1193"/>
      <c r="CA200" s="1193"/>
      <c r="CB200" s="1193"/>
      <c r="CC200" s="1193"/>
      <c r="CD200" s="1193"/>
      <c r="CE200" s="1193"/>
      <c r="CF200" s="1193"/>
      <c r="CG200" s="1193"/>
      <c r="CH200" s="1193"/>
      <c r="CI200" s="1193"/>
      <c r="CJ200" s="1193"/>
      <c r="CK200" s="1193"/>
      <c r="CL200" s="1194"/>
      <c r="CM200" s="309"/>
      <c r="CN200" s="309"/>
      <c r="CO200" s="309"/>
      <c r="CP200" s="309"/>
      <c r="CQ200" s="309"/>
      <c r="CR200" s="310"/>
      <c r="CS200" s="310"/>
      <c r="CT200" s="310"/>
      <c r="CU200" s="310"/>
      <c r="CV200" s="310"/>
      <c r="CW200" s="310"/>
      <c r="CX200" s="310"/>
      <c r="CY200" s="310"/>
      <c r="CZ200" s="1839" t="str">
        <f>IF('D6.Verification-D7-D8'!Y46="","",'D6.Verification-D7-D8'!$Y$46)</f>
        <v/>
      </c>
      <c r="DA200" s="1839"/>
      <c r="DB200" s="1839"/>
      <c r="DC200" s="309"/>
      <c r="DD200" s="209"/>
      <c r="DE200" s="309"/>
      <c r="DF200" s="310"/>
      <c r="DG200" s="310"/>
      <c r="DH200" s="310"/>
      <c r="DI200" s="521" t="str">
        <f ca="1">INDIRECT($J$4&amp;"!C69")</f>
        <v>Date</v>
      </c>
      <c r="DJ200" s="2127"/>
      <c r="DK200" s="2127"/>
      <c r="DL200" s="2127"/>
      <c r="DM200" s="2127"/>
      <c r="DN200" s="2127"/>
      <c r="DO200" s="2127"/>
      <c r="DP200" s="2127"/>
      <c r="DQ200" s="2127"/>
      <c r="DR200" s="2127"/>
      <c r="DS200" s="310"/>
      <c r="DT200" s="311"/>
    </row>
    <row r="201" spans="2:124" ht="6" customHeight="1">
      <c r="B201" s="207"/>
      <c r="C201" s="208"/>
      <c r="D201" s="208"/>
      <c r="E201" s="208"/>
      <c r="F201" s="208"/>
      <c r="G201" s="208"/>
      <c r="H201" s="208"/>
      <c r="I201" s="208"/>
      <c r="J201" s="208"/>
      <c r="K201" s="208"/>
      <c r="L201" s="208"/>
      <c r="M201" s="208"/>
      <c r="N201" s="208"/>
      <c r="O201" s="208"/>
      <c r="P201" s="208"/>
      <c r="Q201" s="208"/>
      <c r="R201" s="208"/>
      <c r="S201" s="208"/>
      <c r="T201" s="208"/>
      <c r="U201" s="208"/>
      <c r="V201" s="208"/>
      <c r="W201" s="208"/>
      <c r="X201" s="208"/>
      <c r="Y201" s="208"/>
      <c r="Z201" s="208"/>
      <c r="AA201" s="208"/>
      <c r="AB201" s="208"/>
      <c r="AC201" s="208"/>
      <c r="AD201" s="208"/>
      <c r="AE201" s="309"/>
      <c r="AF201" s="309"/>
      <c r="AG201" s="309"/>
      <c r="AH201" s="309"/>
      <c r="AI201" s="309"/>
      <c r="AJ201" s="309"/>
      <c r="AK201" s="309"/>
      <c r="AL201" s="309"/>
      <c r="AM201" s="309"/>
      <c r="AN201" s="309"/>
      <c r="AO201" s="309"/>
      <c r="AP201" s="309"/>
      <c r="AQ201" s="309"/>
      <c r="AR201" s="309"/>
      <c r="AS201" s="309"/>
      <c r="AT201" s="309"/>
      <c r="AU201" s="309"/>
      <c r="AV201" s="309"/>
      <c r="AW201" s="309"/>
      <c r="AX201" s="309"/>
      <c r="AY201" s="309"/>
      <c r="AZ201" s="309"/>
      <c r="BA201" s="309"/>
      <c r="BB201" s="309"/>
      <c r="BC201" s="309"/>
      <c r="BD201" s="309"/>
      <c r="BE201" s="309"/>
      <c r="BF201" s="309"/>
      <c r="BG201" s="309"/>
      <c r="BH201" s="309"/>
      <c r="BI201" s="309"/>
      <c r="BJ201" s="309"/>
      <c r="BK201" s="309"/>
      <c r="BL201" s="309"/>
      <c r="BM201" s="309"/>
      <c r="BN201" s="309"/>
      <c r="BO201" s="309"/>
      <c r="BP201" s="309"/>
      <c r="BQ201" s="309"/>
      <c r="BR201" s="309"/>
      <c r="BS201" s="309"/>
      <c r="BT201" s="309"/>
      <c r="BU201" s="309"/>
      <c r="BV201" s="309"/>
      <c r="BW201" s="309"/>
      <c r="BX201" s="309"/>
      <c r="BY201" s="309"/>
      <c r="BZ201" s="309"/>
      <c r="CA201" s="309"/>
      <c r="CB201" s="309"/>
      <c r="CC201" s="309"/>
      <c r="CD201" s="309"/>
      <c r="CE201" s="309"/>
      <c r="CF201" s="309"/>
      <c r="CG201" s="309"/>
      <c r="CH201" s="309"/>
      <c r="CI201" s="309"/>
      <c r="CJ201" s="309"/>
      <c r="CK201" s="309"/>
      <c r="CL201" s="309"/>
      <c r="CM201" s="309"/>
      <c r="CN201" s="309"/>
      <c r="CO201" s="309"/>
      <c r="CP201" s="309"/>
      <c r="CQ201" s="309"/>
      <c r="CR201" s="309"/>
      <c r="CS201" s="309"/>
      <c r="CT201" s="309"/>
      <c r="CU201" s="309"/>
      <c r="CV201" s="309"/>
      <c r="CW201" s="309"/>
      <c r="CX201" s="309"/>
      <c r="CY201" s="309"/>
      <c r="CZ201" s="309"/>
      <c r="DA201" s="309"/>
      <c r="DB201" s="309"/>
      <c r="DC201" s="309"/>
      <c r="DD201" s="309"/>
      <c r="DE201" s="309"/>
      <c r="DF201" s="309"/>
      <c r="DG201" s="309"/>
      <c r="DH201" s="309"/>
      <c r="DI201" s="309"/>
      <c r="DJ201" s="309"/>
      <c r="DK201" s="309"/>
      <c r="DL201" s="309"/>
      <c r="DM201" s="309"/>
      <c r="DN201" s="309"/>
      <c r="DO201" s="309"/>
      <c r="DP201" s="309"/>
      <c r="DQ201" s="309"/>
      <c r="DR201" s="309"/>
      <c r="DS201" s="309"/>
      <c r="DT201" s="315"/>
    </row>
    <row r="202" spans="2:124" ht="24.9" customHeight="1">
      <c r="B202" s="211"/>
      <c r="C202" s="212"/>
      <c r="D202" s="526" t="str">
        <f ca="1">INDIRECT($J$4&amp;"!C194")</f>
        <v>Documentation - Standard updates</v>
      </c>
      <c r="E202" s="310"/>
      <c r="F202" s="310"/>
      <c r="G202" s="310"/>
      <c r="H202" s="310"/>
      <c r="I202" s="310"/>
      <c r="J202" s="310"/>
      <c r="K202" s="310"/>
      <c r="L202" s="310"/>
      <c r="M202" s="310"/>
      <c r="N202" s="310"/>
      <c r="O202" s="310"/>
      <c r="P202" s="310"/>
      <c r="Q202" s="310"/>
      <c r="R202" s="310"/>
      <c r="S202" s="310"/>
      <c r="T202" s="310"/>
      <c r="U202" s="310"/>
      <c r="V202" s="310"/>
      <c r="W202" s="310"/>
      <c r="X202" s="310"/>
      <c r="Y202" s="310"/>
      <c r="Z202" s="310"/>
      <c r="AA202" s="310"/>
      <c r="AB202" s="310"/>
      <c r="AC202" s="310"/>
      <c r="AD202" s="310"/>
      <c r="AE202" s="310"/>
      <c r="AF202" s="310"/>
      <c r="AG202" s="310"/>
      <c r="AH202" s="310"/>
      <c r="AI202" s="310"/>
      <c r="AJ202" s="310"/>
      <c r="AK202" s="310"/>
      <c r="AL202" s="310"/>
      <c r="AM202" s="310"/>
      <c r="AN202" s="310"/>
      <c r="AO202" s="310"/>
      <c r="AP202" s="310"/>
      <c r="AQ202" s="310"/>
      <c r="AR202" s="310"/>
      <c r="AS202" s="310"/>
      <c r="AT202" s="310"/>
      <c r="AU202" s="310"/>
      <c r="AV202" s="310"/>
      <c r="AW202" s="310"/>
      <c r="AX202" s="310"/>
      <c r="AY202" s="310"/>
      <c r="AZ202" s="310"/>
      <c r="BA202" s="310"/>
      <c r="BB202" s="310"/>
      <c r="BC202" s="310"/>
      <c r="BD202" s="310"/>
      <c r="BE202" s="310"/>
      <c r="BF202" s="310"/>
      <c r="BG202" s="310"/>
      <c r="BH202" s="310"/>
      <c r="BI202" s="310"/>
      <c r="BJ202" s="310"/>
      <c r="BK202" s="310"/>
      <c r="BL202" s="310"/>
      <c r="BM202" s="310"/>
      <c r="BN202" s="310"/>
      <c r="BO202" s="310"/>
      <c r="BP202" s="310"/>
      <c r="BQ202" s="310"/>
      <c r="BR202" s="310"/>
      <c r="BS202" s="310"/>
      <c r="BT202" s="310"/>
      <c r="BU202" s="310"/>
      <c r="BV202" s="310"/>
      <c r="BW202" s="310"/>
      <c r="BX202" s="310"/>
      <c r="BY202" s="310"/>
      <c r="BZ202" s="310"/>
      <c r="CA202" s="310"/>
      <c r="CB202" s="310"/>
      <c r="CC202" s="310"/>
      <c r="CD202" s="310"/>
      <c r="CE202" s="310"/>
      <c r="CF202" s="310"/>
      <c r="CG202" s="310"/>
      <c r="CH202" s="310"/>
      <c r="CI202" s="310"/>
      <c r="CJ202" s="310"/>
      <c r="CK202" s="310"/>
      <c r="CL202" s="310"/>
      <c r="CM202" s="310"/>
      <c r="CN202" s="310"/>
      <c r="CO202" s="310"/>
      <c r="CP202" s="310"/>
      <c r="CQ202" s="310"/>
      <c r="CR202" s="310"/>
      <c r="CS202" s="310"/>
      <c r="CT202" s="310"/>
      <c r="CU202" s="310"/>
      <c r="CV202" s="310"/>
      <c r="CW202" s="310"/>
      <c r="CX202" s="310"/>
      <c r="CY202" s="310"/>
      <c r="CZ202" s="310"/>
      <c r="DA202" s="310"/>
      <c r="DB202" s="310"/>
      <c r="DC202" s="310"/>
      <c r="DD202" s="310"/>
      <c r="DE202" s="310"/>
      <c r="DF202" s="310"/>
      <c r="DG202" s="310"/>
      <c r="DH202" s="310"/>
      <c r="DI202" s="310"/>
      <c r="DJ202" s="310"/>
      <c r="DK202" s="310"/>
      <c r="DL202" s="310"/>
      <c r="DM202" s="310"/>
      <c r="DN202" s="310"/>
      <c r="DO202" s="310"/>
      <c r="DP202" s="310"/>
      <c r="DQ202" s="310"/>
      <c r="DR202" s="310"/>
      <c r="DS202" s="310"/>
      <c r="DT202" s="311"/>
    </row>
    <row r="203" spans="2:124" ht="6" customHeight="1">
      <c r="B203" s="211"/>
      <c r="C203" s="212"/>
      <c r="D203" s="310"/>
      <c r="E203" s="310"/>
      <c r="F203" s="310"/>
      <c r="G203" s="310"/>
      <c r="H203" s="310"/>
      <c r="I203" s="310"/>
      <c r="J203" s="310"/>
      <c r="K203" s="310"/>
      <c r="L203" s="310"/>
      <c r="M203" s="310"/>
      <c r="N203" s="310"/>
      <c r="O203" s="310"/>
      <c r="P203" s="310"/>
      <c r="Q203" s="310"/>
      <c r="R203" s="310"/>
      <c r="S203" s="310"/>
      <c r="T203" s="310"/>
      <c r="U203" s="310"/>
      <c r="V203" s="310"/>
      <c r="W203" s="310"/>
      <c r="X203" s="310"/>
      <c r="Y203" s="310"/>
      <c r="Z203" s="310"/>
      <c r="AA203" s="310"/>
      <c r="AB203" s="310"/>
      <c r="AC203" s="310"/>
      <c r="AD203" s="310"/>
      <c r="AE203" s="310"/>
      <c r="AF203" s="310"/>
      <c r="AG203" s="310"/>
      <c r="AH203" s="310"/>
      <c r="AI203" s="310"/>
      <c r="AJ203" s="310"/>
      <c r="AK203" s="310"/>
      <c r="AL203" s="310"/>
      <c r="AM203" s="310"/>
      <c r="AN203" s="310"/>
      <c r="AO203" s="310"/>
      <c r="AP203" s="310"/>
      <c r="AQ203" s="310"/>
      <c r="AR203" s="310"/>
      <c r="AS203" s="310"/>
      <c r="AT203" s="310"/>
      <c r="AU203" s="310"/>
      <c r="AV203" s="310"/>
      <c r="AW203" s="310"/>
      <c r="AX203" s="310"/>
      <c r="AY203" s="310"/>
      <c r="AZ203" s="310"/>
      <c r="BA203" s="310"/>
      <c r="BB203" s="310"/>
      <c r="BC203" s="310"/>
      <c r="BD203" s="310"/>
      <c r="BE203" s="310"/>
      <c r="BF203" s="310"/>
      <c r="BG203" s="310"/>
      <c r="BH203" s="310"/>
      <c r="BI203" s="310"/>
      <c r="BJ203" s="310"/>
      <c r="BK203" s="310"/>
      <c r="BL203" s="310"/>
      <c r="BM203" s="310"/>
      <c r="BN203" s="310"/>
      <c r="BO203" s="310"/>
      <c r="BP203" s="310"/>
      <c r="BQ203" s="310"/>
      <c r="BR203" s="310"/>
      <c r="BS203" s="310"/>
      <c r="BT203" s="310"/>
      <c r="BU203" s="310"/>
      <c r="BV203" s="310"/>
      <c r="BW203" s="310"/>
      <c r="BX203" s="310"/>
      <c r="BY203" s="310"/>
      <c r="BZ203" s="310"/>
      <c r="CA203" s="310"/>
      <c r="CB203" s="310"/>
      <c r="CC203" s="310"/>
      <c r="CD203" s="310"/>
      <c r="CE203" s="310"/>
      <c r="CF203" s="310"/>
      <c r="CG203" s="310"/>
      <c r="CH203" s="310"/>
      <c r="CI203" s="310"/>
      <c r="CJ203" s="310"/>
      <c r="CK203" s="310"/>
      <c r="CL203" s="310"/>
      <c r="CM203" s="310"/>
      <c r="CN203" s="310"/>
      <c r="CO203" s="310"/>
      <c r="CP203" s="310"/>
      <c r="CQ203" s="310"/>
      <c r="CR203" s="310"/>
      <c r="CS203" s="310"/>
      <c r="CT203" s="310"/>
      <c r="CU203" s="310"/>
      <c r="CV203" s="310"/>
      <c r="CW203" s="310"/>
      <c r="CX203" s="310"/>
      <c r="CY203" s="310"/>
      <c r="CZ203" s="310"/>
      <c r="DA203" s="310"/>
      <c r="DB203" s="310"/>
      <c r="DC203" s="310"/>
      <c r="DD203" s="310"/>
      <c r="DE203" s="310"/>
      <c r="DF203" s="310"/>
      <c r="DG203" s="310"/>
      <c r="DH203" s="310"/>
      <c r="DI203" s="310"/>
      <c r="DJ203" s="310"/>
      <c r="DK203" s="310"/>
      <c r="DL203" s="310"/>
      <c r="DM203" s="310"/>
      <c r="DN203" s="310"/>
      <c r="DO203" s="310"/>
      <c r="DP203" s="310"/>
      <c r="DQ203" s="310"/>
      <c r="DR203" s="310"/>
      <c r="DS203" s="310"/>
      <c r="DT203" s="311"/>
    </row>
    <row r="204" spans="2:124" ht="6" customHeight="1">
      <c r="B204" s="312"/>
      <c r="C204" s="19"/>
      <c r="D204" s="19"/>
      <c r="E204" s="20"/>
      <c r="F204" s="20"/>
      <c r="G204" s="20"/>
      <c r="H204" s="20"/>
      <c r="I204" s="20"/>
      <c r="J204" s="20"/>
      <c r="K204" s="20"/>
      <c r="L204" s="20"/>
      <c r="M204" s="20"/>
      <c r="N204" s="20"/>
      <c r="O204" s="20"/>
      <c r="P204" s="21"/>
      <c r="Q204" s="20"/>
      <c r="R204" s="20"/>
      <c r="S204" s="20"/>
      <c r="T204" s="20"/>
      <c r="U204" s="20"/>
      <c r="V204" s="20"/>
      <c r="W204" s="20"/>
      <c r="X204" s="20"/>
      <c r="Y204" s="20"/>
      <c r="Z204" s="20"/>
      <c r="AA204" s="20"/>
      <c r="AB204" s="20"/>
      <c r="AC204" s="20"/>
      <c r="AD204" s="20"/>
      <c r="AE204" s="20"/>
      <c r="AF204" s="305"/>
      <c r="AG204" s="305"/>
      <c r="AH204" s="305"/>
      <c r="AI204" s="305"/>
      <c r="AJ204" s="305"/>
      <c r="AK204" s="305"/>
      <c r="AL204" s="305"/>
      <c r="AM204" s="305"/>
      <c r="AN204" s="305"/>
      <c r="AO204" s="305"/>
      <c r="AP204" s="305"/>
      <c r="AQ204" s="305"/>
      <c r="AR204" s="305"/>
      <c r="AS204" s="305"/>
      <c r="AT204" s="305"/>
      <c r="AU204" s="305"/>
      <c r="AV204" s="305"/>
      <c r="AW204" s="305"/>
      <c r="AX204" s="305"/>
      <c r="AY204" s="305"/>
      <c r="AZ204" s="305"/>
      <c r="BA204" s="305"/>
      <c r="BB204" s="305"/>
      <c r="BC204" s="305"/>
      <c r="BD204" s="305"/>
      <c r="BE204" s="305"/>
      <c r="BF204" s="305"/>
      <c r="BG204" s="305"/>
      <c r="BH204" s="305"/>
      <c r="BI204" s="305"/>
      <c r="BJ204" s="305"/>
      <c r="BK204" s="305"/>
      <c r="BL204" s="305"/>
      <c r="BM204" s="305"/>
      <c r="BN204" s="305"/>
      <c r="BO204" s="305"/>
      <c r="BP204" s="305"/>
      <c r="BQ204" s="305"/>
      <c r="BR204" s="305"/>
      <c r="BS204" s="305"/>
      <c r="BT204" s="305"/>
      <c r="BU204" s="305"/>
      <c r="BV204" s="305"/>
      <c r="BW204" s="305"/>
      <c r="BX204" s="305"/>
      <c r="BY204" s="305"/>
      <c r="BZ204" s="305"/>
      <c r="CA204" s="305"/>
      <c r="CB204" s="305"/>
      <c r="CC204" s="305"/>
      <c r="CD204" s="305"/>
      <c r="CE204" s="305"/>
      <c r="CF204" s="305"/>
      <c r="CG204" s="305"/>
      <c r="CH204" s="305"/>
      <c r="CI204" s="305"/>
      <c r="CJ204" s="305"/>
      <c r="CK204" s="305"/>
      <c r="CL204" s="305"/>
      <c r="CM204" s="305"/>
      <c r="CN204" s="305"/>
      <c r="CO204" s="305"/>
      <c r="CP204" s="305"/>
      <c r="CQ204" s="305"/>
      <c r="CR204" s="305"/>
      <c r="CS204" s="305"/>
      <c r="CT204" s="305"/>
      <c r="CU204" s="305"/>
      <c r="CV204" s="305"/>
      <c r="CW204" s="305"/>
      <c r="CX204" s="305"/>
      <c r="CY204" s="305"/>
      <c r="CZ204" s="305"/>
      <c r="DA204" s="305"/>
      <c r="DB204" s="305"/>
      <c r="DC204" s="305"/>
      <c r="DD204" s="305"/>
      <c r="DE204" s="305"/>
      <c r="DF204" s="305"/>
      <c r="DG204" s="305"/>
      <c r="DH204" s="305"/>
      <c r="DI204" s="305"/>
      <c r="DJ204" s="305"/>
      <c r="DK204" s="305"/>
      <c r="DL204" s="305"/>
      <c r="DM204" s="305"/>
      <c r="DN204" s="305"/>
      <c r="DO204" s="305"/>
      <c r="DP204" s="305"/>
      <c r="DQ204" s="305"/>
      <c r="DR204" s="305"/>
      <c r="DS204" s="305"/>
      <c r="DT204" s="311"/>
    </row>
    <row r="205" spans="2:124" ht="24.9" customHeight="1">
      <c r="B205" s="312"/>
      <c r="C205" s="293"/>
      <c r="D205" s="1932" t="str">
        <f ca="1">INDIRECT($J$4&amp;"!C195")</f>
        <v>Documentation</v>
      </c>
      <c r="E205" s="1932"/>
      <c r="F205" s="1932"/>
      <c r="G205" s="1932"/>
      <c r="H205" s="1932"/>
      <c r="I205" s="1932"/>
      <c r="J205" s="1932"/>
      <c r="K205" s="1932"/>
      <c r="L205" s="1932"/>
      <c r="M205" s="1932"/>
      <c r="N205" s="1932"/>
      <c r="O205" s="1932"/>
      <c r="P205" s="1932"/>
      <c r="Q205" s="2115" t="str">
        <f ca="1">INDIRECT($J$4&amp;"!C266")&amp;"/"&amp; INDIRECT($J$4&amp;"!C267")</f>
        <v>New/Updated</v>
      </c>
      <c r="R205" s="2116"/>
      <c r="S205" s="2116"/>
      <c r="T205" s="2116"/>
      <c r="U205" s="2116"/>
      <c r="V205" s="2117"/>
      <c r="W205" s="1739" t="str">
        <f ca="1">INDIRECT($J$4&amp;"!C196")</f>
        <v>Designation</v>
      </c>
      <c r="X205" s="1740"/>
      <c r="Y205" s="1740"/>
      <c r="Z205" s="1740"/>
      <c r="AA205" s="1740"/>
      <c r="AB205" s="1740"/>
      <c r="AC205" s="1740"/>
      <c r="AD205" s="1740"/>
      <c r="AE205" s="1740"/>
      <c r="AF205" s="1740"/>
      <c r="AG205" s="1740"/>
      <c r="AH205" s="1740"/>
      <c r="AI205" s="1740"/>
      <c r="AJ205" s="1741"/>
      <c r="AK205" s="1851" t="str">
        <f ca="1">INDIRECT($J$4&amp;"!C166")</f>
        <v>Target Date</v>
      </c>
      <c r="AL205" s="1851"/>
      <c r="AM205" s="1851"/>
      <c r="AN205" s="1851"/>
      <c r="AO205" s="1851"/>
      <c r="AP205" s="1851"/>
      <c r="AQ205" s="1851"/>
      <c r="AR205" s="1851"/>
      <c r="AS205" s="1851" t="str">
        <f ca="1">INDIRECT($J$4&amp;"!C84")</f>
        <v>Impl. Date</v>
      </c>
      <c r="AT205" s="1851"/>
      <c r="AU205" s="1851"/>
      <c r="AV205" s="1851"/>
      <c r="AW205" s="1851"/>
      <c r="AX205" s="1851"/>
      <c r="AY205" s="1851"/>
      <c r="AZ205" s="1851"/>
      <c r="BA205" s="1764" t="str">
        <f ca="1">INDIRECT($J$4&amp;"!C83")</f>
        <v>Responsible</v>
      </c>
      <c r="BB205" s="1765"/>
      <c r="BC205" s="1765"/>
      <c r="BD205" s="1765"/>
      <c r="BE205" s="1765"/>
      <c r="BF205" s="1765"/>
      <c r="BG205" s="1765"/>
      <c r="BH205" s="1765"/>
      <c r="BI205" s="1766"/>
      <c r="BJ205" s="365"/>
      <c r="BK205" s="1761" t="str">
        <f ca="1">INDIRECT($J$4&amp;"!C195")</f>
        <v>Documentation</v>
      </c>
      <c r="BL205" s="1762"/>
      <c r="BM205" s="1762"/>
      <c r="BN205" s="1762"/>
      <c r="BO205" s="1762"/>
      <c r="BP205" s="1762"/>
      <c r="BQ205" s="1762"/>
      <c r="BR205" s="1762"/>
      <c r="BS205" s="1762"/>
      <c r="BT205" s="1762"/>
      <c r="BU205" s="1762"/>
      <c r="BV205" s="1762"/>
      <c r="BW205" s="1762"/>
      <c r="BX205" s="1763"/>
      <c r="BY205" s="2115" t="str">
        <f ca="1">INDIRECT($J$4&amp;"!C266")&amp;"/"&amp; INDIRECT($J$4&amp;"!C267")</f>
        <v>New/Updated</v>
      </c>
      <c r="BZ205" s="2116"/>
      <c r="CA205" s="2116"/>
      <c r="CB205" s="2116"/>
      <c r="CC205" s="2116"/>
      <c r="CD205" s="2117"/>
      <c r="CE205" s="1852" t="str">
        <f ca="1">INDIRECT($J$4&amp;"!C196")</f>
        <v>Designation</v>
      </c>
      <c r="CF205" s="1852"/>
      <c r="CG205" s="1852"/>
      <c r="CH205" s="1852"/>
      <c r="CI205" s="1852"/>
      <c r="CJ205" s="1852"/>
      <c r="CK205" s="1852"/>
      <c r="CL205" s="1852"/>
      <c r="CM205" s="1852"/>
      <c r="CN205" s="1852"/>
      <c r="CO205" s="1852"/>
      <c r="CP205" s="1852"/>
      <c r="CQ205" s="1852"/>
      <c r="CR205" s="1852"/>
      <c r="CS205" s="1852"/>
      <c r="CT205" s="1851" t="str">
        <f ca="1">INDIRECT($J$4&amp;"!C166")</f>
        <v>Target Date</v>
      </c>
      <c r="CU205" s="1851"/>
      <c r="CV205" s="1851"/>
      <c r="CW205" s="1851"/>
      <c r="CX205" s="1851"/>
      <c r="CY205" s="1851"/>
      <c r="CZ205" s="1851"/>
      <c r="DA205" s="1851"/>
      <c r="DB205" s="1764" t="str">
        <f ca="1">INDIRECT($J$4&amp;"!C84")</f>
        <v>Impl. Date</v>
      </c>
      <c r="DC205" s="1765"/>
      <c r="DD205" s="1765"/>
      <c r="DE205" s="1765"/>
      <c r="DF205" s="1765"/>
      <c r="DG205" s="1765"/>
      <c r="DH205" s="1765"/>
      <c r="DI205" s="1766"/>
      <c r="DJ205" s="1852" t="str">
        <f ca="1">INDIRECT($J$4&amp;"!C83")</f>
        <v>Responsible</v>
      </c>
      <c r="DK205" s="1852"/>
      <c r="DL205" s="1852"/>
      <c r="DM205" s="1852"/>
      <c r="DN205" s="1852"/>
      <c r="DO205" s="1852"/>
      <c r="DP205" s="1852"/>
      <c r="DQ205" s="1852"/>
      <c r="DR205" s="1852"/>
      <c r="DS205" s="305"/>
      <c r="DT205" s="311"/>
    </row>
    <row r="206" spans="2:124" ht="24.9" customHeight="1">
      <c r="B206" s="312"/>
      <c r="C206" s="320"/>
      <c r="D206" s="1739" t="str">
        <f ca="1">INDIRECT($J$4&amp;"!C197")</f>
        <v>FMEA</v>
      </c>
      <c r="E206" s="1740"/>
      <c r="F206" s="1740"/>
      <c r="G206" s="1740"/>
      <c r="H206" s="1740"/>
      <c r="I206" s="1740"/>
      <c r="J206" s="1740"/>
      <c r="K206" s="1740"/>
      <c r="L206" s="1740"/>
      <c r="M206" s="1740"/>
      <c r="N206" s="1740"/>
      <c r="O206" s="1740"/>
      <c r="P206" s="1741"/>
      <c r="Q206" s="2104"/>
      <c r="R206" s="2105"/>
      <c r="S206" s="2105"/>
      <c r="T206" s="2105"/>
      <c r="U206" s="2105"/>
      <c r="V206" s="2106"/>
      <c r="W206" s="1575"/>
      <c r="X206" s="2107"/>
      <c r="Y206" s="2107"/>
      <c r="Z206" s="2107"/>
      <c r="AA206" s="2107"/>
      <c r="AB206" s="2107"/>
      <c r="AC206" s="2107"/>
      <c r="AD206" s="2107"/>
      <c r="AE206" s="2107"/>
      <c r="AF206" s="2107"/>
      <c r="AG206" s="2107"/>
      <c r="AH206" s="2107"/>
      <c r="AI206" s="2107"/>
      <c r="AJ206" s="1576"/>
      <c r="AK206" s="2088"/>
      <c r="AL206" s="2088"/>
      <c r="AM206" s="2088"/>
      <c r="AN206" s="2088"/>
      <c r="AO206" s="2088"/>
      <c r="AP206" s="2088"/>
      <c r="AQ206" s="2088"/>
      <c r="AR206" s="2088"/>
      <c r="AS206" s="2088"/>
      <c r="AT206" s="2088"/>
      <c r="AU206" s="2088"/>
      <c r="AV206" s="2088"/>
      <c r="AW206" s="2088"/>
      <c r="AX206" s="2088"/>
      <c r="AY206" s="2088"/>
      <c r="AZ206" s="2088"/>
      <c r="BA206" s="2112"/>
      <c r="BB206" s="2113"/>
      <c r="BC206" s="2113"/>
      <c r="BD206" s="2113"/>
      <c r="BE206" s="2113"/>
      <c r="BF206" s="2113"/>
      <c r="BG206" s="2113"/>
      <c r="BH206" s="2113"/>
      <c r="BI206" s="2114"/>
      <c r="BJ206" s="1009"/>
      <c r="BK206" s="1739" t="str">
        <f ca="1">INDIRECT($J$4&amp;"!C202")</f>
        <v>Lessons Learned Card</v>
      </c>
      <c r="BL206" s="1740"/>
      <c r="BM206" s="1740"/>
      <c r="BN206" s="1740"/>
      <c r="BO206" s="1740"/>
      <c r="BP206" s="1740"/>
      <c r="BQ206" s="1740"/>
      <c r="BR206" s="1740"/>
      <c r="BS206" s="1740"/>
      <c r="BT206" s="1740"/>
      <c r="BU206" s="1740"/>
      <c r="BV206" s="1740"/>
      <c r="BW206" s="1740"/>
      <c r="BX206" s="1741"/>
      <c r="BY206" s="2104"/>
      <c r="BZ206" s="2105"/>
      <c r="CA206" s="2105"/>
      <c r="CB206" s="2105"/>
      <c r="CC206" s="2105"/>
      <c r="CD206" s="2106"/>
      <c r="CE206" s="1575"/>
      <c r="CF206" s="2107"/>
      <c r="CG206" s="2107"/>
      <c r="CH206" s="2107"/>
      <c r="CI206" s="2107"/>
      <c r="CJ206" s="2107"/>
      <c r="CK206" s="2107"/>
      <c r="CL206" s="2107"/>
      <c r="CM206" s="2107"/>
      <c r="CN206" s="2107"/>
      <c r="CO206" s="2107"/>
      <c r="CP206" s="2107"/>
      <c r="CQ206" s="2107"/>
      <c r="CR206" s="2107"/>
      <c r="CS206" s="1576"/>
      <c r="CT206" s="1559"/>
      <c r="CU206" s="1560"/>
      <c r="CV206" s="1560"/>
      <c r="CW206" s="1560"/>
      <c r="CX206" s="1560"/>
      <c r="CY206" s="1560"/>
      <c r="CZ206" s="1560"/>
      <c r="DA206" s="1561"/>
      <c r="DB206" s="2108"/>
      <c r="DC206" s="2109"/>
      <c r="DD206" s="2109"/>
      <c r="DE206" s="2109"/>
      <c r="DF206" s="2109"/>
      <c r="DG206" s="2109"/>
      <c r="DH206" s="2109"/>
      <c r="DI206" s="2110"/>
      <c r="DJ206" s="2111"/>
      <c r="DK206" s="2111"/>
      <c r="DL206" s="2111"/>
      <c r="DM206" s="2111"/>
      <c r="DN206" s="2111"/>
      <c r="DO206" s="2111"/>
      <c r="DP206" s="2111"/>
      <c r="DQ206" s="2111"/>
      <c r="DR206" s="2111"/>
      <c r="DS206" s="305"/>
      <c r="DT206" s="311"/>
    </row>
    <row r="207" spans="2:124" ht="24.9" customHeight="1">
      <c r="B207" s="312"/>
      <c r="C207" s="320"/>
      <c r="D207" s="1739" t="str">
        <f ca="1">INDIRECT($J$4&amp;"!C198")</f>
        <v>PCP</v>
      </c>
      <c r="E207" s="1740"/>
      <c r="F207" s="1740"/>
      <c r="G207" s="1740"/>
      <c r="H207" s="1740"/>
      <c r="I207" s="1740"/>
      <c r="J207" s="1740"/>
      <c r="K207" s="1740"/>
      <c r="L207" s="1740"/>
      <c r="M207" s="1740"/>
      <c r="N207" s="1740"/>
      <c r="O207" s="1740"/>
      <c r="P207" s="1741"/>
      <c r="Q207" s="2104"/>
      <c r="R207" s="2105"/>
      <c r="S207" s="2105"/>
      <c r="T207" s="2105"/>
      <c r="U207" s="2105"/>
      <c r="V207" s="2106"/>
      <c r="W207" s="1575"/>
      <c r="X207" s="2107"/>
      <c r="Y207" s="2107"/>
      <c r="Z207" s="2107"/>
      <c r="AA207" s="2107"/>
      <c r="AB207" s="2107"/>
      <c r="AC207" s="2107"/>
      <c r="AD207" s="2107"/>
      <c r="AE207" s="2107"/>
      <c r="AF207" s="2107"/>
      <c r="AG207" s="2107"/>
      <c r="AH207" s="2107"/>
      <c r="AI207" s="2107"/>
      <c r="AJ207" s="1576"/>
      <c r="AK207" s="2088"/>
      <c r="AL207" s="2088"/>
      <c r="AM207" s="2088"/>
      <c r="AN207" s="2088"/>
      <c r="AO207" s="2088"/>
      <c r="AP207" s="2088"/>
      <c r="AQ207" s="2088"/>
      <c r="AR207" s="2088"/>
      <c r="AS207" s="2088"/>
      <c r="AT207" s="2088"/>
      <c r="AU207" s="2088"/>
      <c r="AV207" s="2088"/>
      <c r="AW207" s="2088"/>
      <c r="AX207" s="2088"/>
      <c r="AY207" s="2088"/>
      <c r="AZ207" s="2088"/>
      <c r="BA207" s="2112"/>
      <c r="BB207" s="2113"/>
      <c r="BC207" s="2113"/>
      <c r="BD207" s="2113"/>
      <c r="BE207" s="2113"/>
      <c r="BF207" s="2113"/>
      <c r="BG207" s="2113"/>
      <c r="BH207" s="2113"/>
      <c r="BI207" s="2114"/>
      <c r="BJ207" s="293"/>
      <c r="BK207" s="1739" t="str">
        <f ca="1">INDIRECT($J$4&amp;"!C203")</f>
        <v>Training standard</v>
      </c>
      <c r="BL207" s="1740"/>
      <c r="BM207" s="1740"/>
      <c r="BN207" s="1740"/>
      <c r="BO207" s="1740"/>
      <c r="BP207" s="1740"/>
      <c r="BQ207" s="1740"/>
      <c r="BR207" s="1740"/>
      <c r="BS207" s="1740"/>
      <c r="BT207" s="1740"/>
      <c r="BU207" s="1740"/>
      <c r="BV207" s="1740"/>
      <c r="BW207" s="1740" t="str">
        <f>IF('D6.Verification-D7-D8'!G57="","",'D6.Verification-D7-D8'!G57)</f>
        <v/>
      </c>
      <c r="BX207" s="1741"/>
      <c r="BY207" s="2104"/>
      <c r="BZ207" s="2105"/>
      <c r="CA207" s="2105"/>
      <c r="CB207" s="2105"/>
      <c r="CC207" s="2105"/>
      <c r="CD207" s="2106"/>
      <c r="CE207" s="1575"/>
      <c r="CF207" s="2107"/>
      <c r="CG207" s="2107"/>
      <c r="CH207" s="2107"/>
      <c r="CI207" s="2107"/>
      <c r="CJ207" s="2107"/>
      <c r="CK207" s="2107"/>
      <c r="CL207" s="2107"/>
      <c r="CM207" s="2107"/>
      <c r="CN207" s="2107"/>
      <c r="CO207" s="2107"/>
      <c r="CP207" s="2107"/>
      <c r="CQ207" s="2107"/>
      <c r="CR207" s="2107"/>
      <c r="CS207" s="1576"/>
      <c r="CT207" s="1559"/>
      <c r="CU207" s="1560"/>
      <c r="CV207" s="1560"/>
      <c r="CW207" s="1560"/>
      <c r="CX207" s="1560"/>
      <c r="CY207" s="1560"/>
      <c r="CZ207" s="1560"/>
      <c r="DA207" s="1561"/>
      <c r="DB207" s="2108"/>
      <c r="DC207" s="2109"/>
      <c r="DD207" s="2109"/>
      <c r="DE207" s="2109"/>
      <c r="DF207" s="2109"/>
      <c r="DG207" s="2109"/>
      <c r="DH207" s="2109"/>
      <c r="DI207" s="2110"/>
      <c r="DJ207" s="2111"/>
      <c r="DK207" s="2111"/>
      <c r="DL207" s="2111"/>
      <c r="DM207" s="2111"/>
      <c r="DN207" s="2111"/>
      <c r="DO207" s="2111"/>
      <c r="DP207" s="2111"/>
      <c r="DQ207" s="2111"/>
      <c r="DR207" s="2111"/>
      <c r="DS207" s="305"/>
      <c r="DT207" s="311"/>
    </row>
    <row r="208" spans="2:124" ht="24.9" customHeight="1">
      <c r="B208" s="312"/>
      <c r="C208" s="320"/>
      <c r="D208" s="1739" t="str">
        <f ca="1">INDIRECT($J$4&amp;"!C199")</f>
        <v>WI</v>
      </c>
      <c r="E208" s="1740"/>
      <c r="F208" s="1740"/>
      <c r="G208" s="1740"/>
      <c r="H208" s="1740"/>
      <c r="I208" s="1740"/>
      <c r="J208" s="1740"/>
      <c r="K208" s="1740"/>
      <c r="L208" s="1740"/>
      <c r="M208" s="1740"/>
      <c r="N208" s="1740"/>
      <c r="O208" s="1740"/>
      <c r="P208" s="1741"/>
      <c r="Q208" s="2104"/>
      <c r="R208" s="2105"/>
      <c r="S208" s="2105"/>
      <c r="T208" s="2105"/>
      <c r="U208" s="2105"/>
      <c r="V208" s="2106"/>
      <c r="W208" s="1575"/>
      <c r="X208" s="2107"/>
      <c r="Y208" s="2107"/>
      <c r="Z208" s="2107"/>
      <c r="AA208" s="2107"/>
      <c r="AB208" s="2107"/>
      <c r="AC208" s="2107"/>
      <c r="AD208" s="2107"/>
      <c r="AE208" s="2107"/>
      <c r="AF208" s="2107"/>
      <c r="AG208" s="2107"/>
      <c r="AH208" s="2107"/>
      <c r="AI208" s="2107"/>
      <c r="AJ208" s="1576"/>
      <c r="AK208" s="2088"/>
      <c r="AL208" s="2088"/>
      <c r="AM208" s="2088"/>
      <c r="AN208" s="2088"/>
      <c r="AO208" s="2088"/>
      <c r="AP208" s="2088"/>
      <c r="AQ208" s="2088"/>
      <c r="AR208" s="2088"/>
      <c r="AS208" s="2088"/>
      <c r="AT208" s="2088"/>
      <c r="AU208" s="2088"/>
      <c r="AV208" s="2088"/>
      <c r="AW208" s="2088"/>
      <c r="AX208" s="2088"/>
      <c r="AY208" s="2088"/>
      <c r="AZ208" s="2088"/>
      <c r="BA208" s="2112"/>
      <c r="BB208" s="2113"/>
      <c r="BC208" s="2113"/>
      <c r="BD208" s="2113"/>
      <c r="BE208" s="2113"/>
      <c r="BF208" s="2113"/>
      <c r="BG208" s="2113"/>
      <c r="BH208" s="2113"/>
      <c r="BI208" s="2114"/>
      <c r="BJ208" s="293"/>
      <c r="BK208" s="1739" t="str">
        <f ca="1">INDIRECT($J$4&amp;"!C204")</f>
        <v>Procedure</v>
      </c>
      <c r="BL208" s="1740"/>
      <c r="BM208" s="1740"/>
      <c r="BN208" s="1740"/>
      <c r="BO208" s="1740"/>
      <c r="BP208" s="1740"/>
      <c r="BQ208" s="1740"/>
      <c r="BR208" s="1740"/>
      <c r="BS208" s="1740"/>
      <c r="BT208" s="1740"/>
      <c r="BU208" s="1740"/>
      <c r="BV208" s="1740"/>
      <c r="BW208" s="1740" t="str">
        <f>IF('D6.Verification-D7-D8'!G58="","",'D6.Verification-D7-D8'!G58)</f>
        <v/>
      </c>
      <c r="BX208" s="1741"/>
      <c r="BY208" s="2104"/>
      <c r="BZ208" s="2105"/>
      <c r="CA208" s="2105"/>
      <c r="CB208" s="2105"/>
      <c r="CC208" s="2105"/>
      <c r="CD208" s="2106"/>
      <c r="CE208" s="1575"/>
      <c r="CF208" s="2107"/>
      <c r="CG208" s="2107"/>
      <c r="CH208" s="2107"/>
      <c r="CI208" s="2107"/>
      <c r="CJ208" s="2107"/>
      <c r="CK208" s="2107"/>
      <c r="CL208" s="2107"/>
      <c r="CM208" s="2107"/>
      <c r="CN208" s="2107"/>
      <c r="CO208" s="2107"/>
      <c r="CP208" s="2107"/>
      <c r="CQ208" s="2107"/>
      <c r="CR208" s="2107"/>
      <c r="CS208" s="1576"/>
      <c r="CT208" s="1559"/>
      <c r="CU208" s="1560"/>
      <c r="CV208" s="1560"/>
      <c r="CW208" s="1560"/>
      <c r="CX208" s="1560"/>
      <c r="CY208" s="1560"/>
      <c r="CZ208" s="1560"/>
      <c r="DA208" s="1561"/>
      <c r="DB208" s="2108"/>
      <c r="DC208" s="2109"/>
      <c r="DD208" s="2109"/>
      <c r="DE208" s="2109"/>
      <c r="DF208" s="2109"/>
      <c r="DG208" s="2109"/>
      <c r="DH208" s="2109"/>
      <c r="DI208" s="2110"/>
      <c r="DJ208" s="2111"/>
      <c r="DK208" s="2111"/>
      <c r="DL208" s="2111"/>
      <c r="DM208" s="2111"/>
      <c r="DN208" s="2111"/>
      <c r="DO208" s="2111"/>
      <c r="DP208" s="2111"/>
      <c r="DQ208" s="2111"/>
      <c r="DR208" s="2111"/>
      <c r="DS208" s="305"/>
      <c r="DT208" s="311"/>
    </row>
    <row r="209" spans="2:124" ht="24.9" customHeight="1">
      <c r="B209" s="312"/>
      <c r="C209" s="320"/>
      <c r="D209" s="1739" t="str">
        <f ca="1">INDIRECT($J$4&amp;"!C200")</f>
        <v>Maintenance Plan</v>
      </c>
      <c r="E209" s="1740"/>
      <c r="F209" s="1740"/>
      <c r="G209" s="1740"/>
      <c r="H209" s="1740"/>
      <c r="I209" s="1740"/>
      <c r="J209" s="1740"/>
      <c r="K209" s="1740"/>
      <c r="L209" s="1740"/>
      <c r="M209" s="1740"/>
      <c r="N209" s="1740"/>
      <c r="O209" s="1740"/>
      <c r="P209" s="1741"/>
      <c r="Q209" s="2104"/>
      <c r="R209" s="2105"/>
      <c r="S209" s="2105"/>
      <c r="T209" s="2105"/>
      <c r="U209" s="2105"/>
      <c r="V209" s="2106"/>
      <c r="W209" s="1575"/>
      <c r="X209" s="2107"/>
      <c r="Y209" s="2107"/>
      <c r="Z209" s="2107"/>
      <c r="AA209" s="2107"/>
      <c r="AB209" s="2107"/>
      <c r="AC209" s="2107"/>
      <c r="AD209" s="2107"/>
      <c r="AE209" s="2107"/>
      <c r="AF209" s="2107"/>
      <c r="AG209" s="2107"/>
      <c r="AH209" s="2107"/>
      <c r="AI209" s="2107"/>
      <c r="AJ209" s="1576"/>
      <c r="AK209" s="2088"/>
      <c r="AL209" s="2088"/>
      <c r="AM209" s="2088"/>
      <c r="AN209" s="2088"/>
      <c r="AO209" s="2088"/>
      <c r="AP209" s="2088"/>
      <c r="AQ209" s="2088"/>
      <c r="AR209" s="2088"/>
      <c r="AS209" s="2088"/>
      <c r="AT209" s="2088"/>
      <c r="AU209" s="2088"/>
      <c r="AV209" s="2088"/>
      <c r="AW209" s="2088"/>
      <c r="AX209" s="2088"/>
      <c r="AY209" s="2088"/>
      <c r="AZ209" s="2088"/>
      <c r="BA209" s="2112"/>
      <c r="BB209" s="2113"/>
      <c r="BC209" s="2113"/>
      <c r="BD209" s="2113"/>
      <c r="BE209" s="2113"/>
      <c r="BF209" s="2113"/>
      <c r="BG209" s="2113"/>
      <c r="BH209" s="2113"/>
      <c r="BI209" s="2114"/>
      <c r="BJ209" s="293"/>
      <c r="BK209" s="1739" t="str">
        <f ca="1">INDIRECT($J$4&amp;"!C205")</f>
        <v>Specification</v>
      </c>
      <c r="BL209" s="1740"/>
      <c r="BM209" s="1740"/>
      <c r="BN209" s="1740"/>
      <c r="BO209" s="1740"/>
      <c r="BP209" s="1740"/>
      <c r="BQ209" s="1740"/>
      <c r="BR209" s="1740"/>
      <c r="BS209" s="1740"/>
      <c r="BT209" s="1740"/>
      <c r="BU209" s="1740"/>
      <c r="BV209" s="1740"/>
      <c r="BW209" s="1740" t="str">
        <f>IF('D6.Verification-D7-D8'!G59="","",'D6.Verification-D7-D8'!G59)</f>
        <v/>
      </c>
      <c r="BX209" s="1741"/>
      <c r="BY209" s="2104"/>
      <c r="BZ209" s="2105"/>
      <c r="CA209" s="2105"/>
      <c r="CB209" s="2105"/>
      <c r="CC209" s="2105"/>
      <c r="CD209" s="2106"/>
      <c r="CE209" s="1575"/>
      <c r="CF209" s="2107"/>
      <c r="CG209" s="2107"/>
      <c r="CH209" s="2107"/>
      <c r="CI209" s="2107"/>
      <c r="CJ209" s="2107"/>
      <c r="CK209" s="2107"/>
      <c r="CL209" s="2107"/>
      <c r="CM209" s="2107"/>
      <c r="CN209" s="2107"/>
      <c r="CO209" s="2107"/>
      <c r="CP209" s="2107"/>
      <c r="CQ209" s="2107"/>
      <c r="CR209" s="2107"/>
      <c r="CS209" s="1576"/>
      <c r="CT209" s="1559"/>
      <c r="CU209" s="1560"/>
      <c r="CV209" s="1560"/>
      <c r="CW209" s="1560"/>
      <c r="CX209" s="1560"/>
      <c r="CY209" s="1560"/>
      <c r="CZ209" s="1560"/>
      <c r="DA209" s="1561"/>
      <c r="DB209" s="2108"/>
      <c r="DC209" s="2109"/>
      <c r="DD209" s="2109"/>
      <c r="DE209" s="2109"/>
      <c r="DF209" s="2109"/>
      <c r="DG209" s="2109"/>
      <c r="DH209" s="2109"/>
      <c r="DI209" s="2110"/>
      <c r="DJ209" s="2111"/>
      <c r="DK209" s="2111"/>
      <c r="DL209" s="2111"/>
      <c r="DM209" s="2111"/>
      <c r="DN209" s="2111"/>
      <c r="DO209" s="2111"/>
      <c r="DP209" s="2111"/>
      <c r="DQ209" s="2111"/>
      <c r="DR209" s="2111"/>
      <c r="DS209" s="305"/>
      <c r="DT209" s="311"/>
    </row>
    <row r="210" spans="2:124" ht="24.9" customHeight="1">
      <c r="B210" s="312"/>
      <c r="C210" s="320"/>
      <c r="D210" s="1739" t="str">
        <f ca="1">INDIRECT($J$4&amp;"!C201")</f>
        <v>Drawing</v>
      </c>
      <c r="E210" s="1740"/>
      <c r="F210" s="1740"/>
      <c r="G210" s="1740"/>
      <c r="H210" s="1740"/>
      <c r="I210" s="1740"/>
      <c r="J210" s="1740"/>
      <c r="K210" s="1740"/>
      <c r="L210" s="1740"/>
      <c r="M210" s="1740"/>
      <c r="N210" s="1740"/>
      <c r="O210" s="1740"/>
      <c r="P210" s="1741"/>
      <c r="Q210" s="2104"/>
      <c r="R210" s="2105"/>
      <c r="S210" s="2105"/>
      <c r="T210" s="2105"/>
      <c r="U210" s="2105"/>
      <c r="V210" s="2106"/>
      <c r="W210" s="1575"/>
      <c r="X210" s="2107"/>
      <c r="Y210" s="2107"/>
      <c r="Z210" s="2107"/>
      <c r="AA210" s="2107"/>
      <c r="AB210" s="2107"/>
      <c r="AC210" s="2107"/>
      <c r="AD210" s="2107"/>
      <c r="AE210" s="2107"/>
      <c r="AF210" s="2107"/>
      <c r="AG210" s="2107"/>
      <c r="AH210" s="2107"/>
      <c r="AI210" s="2107"/>
      <c r="AJ210" s="1576"/>
      <c r="AK210" s="2088"/>
      <c r="AL210" s="2088"/>
      <c r="AM210" s="2088"/>
      <c r="AN210" s="2088"/>
      <c r="AO210" s="2088"/>
      <c r="AP210" s="2088"/>
      <c r="AQ210" s="2088"/>
      <c r="AR210" s="2088"/>
      <c r="AS210" s="2088"/>
      <c r="AT210" s="2088"/>
      <c r="AU210" s="2088"/>
      <c r="AV210" s="2088"/>
      <c r="AW210" s="2088"/>
      <c r="AX210" s="2088"/>
      <c r="AY210" s="2088"/>
      <c r="AZ210" s="2088"/>
      <c r="BA210" s="2112"/>
      <c r="BB210" s="2113"/>
      <c r="BC210" s="2113"/>
      <c r="BD210" s="2113"/>
      <c r="BE210" s="2113"/>
      <c r="BF210" s="2113"/>
      <c r="BG210" s="2113"/>
      <c r="BH210" s="2113"/>
      <c r="BI210" s="2114"/>
      <c r="BJ210" s="293"/>
      <c r="BK210" s="1739" t="str">
        <f ca="1">INDIRECT($J$4&amp;"!C135")</f>
        <v>Others</v>
      </c>
      <c r="BL210" s="1740"/>
      <c r="BM210" s="1740"/>
      <c r="BN210" s="1740"/>
      <c r="BO210" s="1740"/>
      <c r="BP210" s="1740"/>
      <c r="BQ210" s="1740"/>
      <c r="BR210" s="1740"/>
      <c r="BS210" s="1740"/>
      <c r="BT210" s="1740"/>
      <c r="BU210" s="1740"/>
      <c r="BV210" s="1740"/>
      <c r="BW210" s="1740" t="str">
        <f>IF('D6.Verification-D7-D8'!G60="","",'D6.Verification-D7-D8'!G60)</f>
        <v/>
      </c>
      <c r="BX210" s="1741"/>
      <c r="BY210" s="2104"/>
      <c r="BZ210" s="2105"/>
      <c r="CA210" s="2105"/>
      <c r="CB210" s="2105"/>
      <c r="CC210" s="2105"/>
      <c r="CD210" s="2106"/>
      <c r="CE210" s="1575"/>
      <c r="CF210" s="2107"/>
      <c r="CG210" s="2107"/>
      <c r="CH210" s="2107"/>
      <c r="CI210" s="2107"/>
      <c r="CJ210" s="2107"/>
      <c r="CK210" s="2107"/>
      <c r="CL210" s="2107"/>
      <c r="CM210" s="2107"/>
      <c r="CN210" s="2107"/>
      <c r="CO210" s="2107"/>
      <c r="CP210" s="2107"/>
      <c r="CQ210" s="2107"/>
      <c r="CR210" s="2107"/>
      <c r="CS210" s="1576"/>
      <c r="CT210" s="1559"/>
      <c r="CU210" s="1560"/>
      <c r="CV210" s="1560"/>
      <c r="CW210" s="1560"/>
      <c r="CX210" s="1560"/>
      <c r="CY210" s="1560"/>
      <c r="CZ210" s="1560"/>
      <c r="DA210" s="1561"/>
      <c r="DB210" s="2108"/>
      <c r="DC210" s="2109"/>
      <c r="DD210" s="2109"/>
      <c r="DE210" s="2109"/>
      <c r="DF210" s="2109"/>
      <c r="DG210" s="2109"/>
      <c r="DH210" s="2109"/>
      <c r="DI210" s="2110"/>
      <c r="DJ210" s="2111"/>
      <c r="DK210" s="2111"/>
      <c r="DL210" s="2111"/>
      <c r="DM210" s="2111"/>
      <c r="DN210" s="2111"/>
      <c r="DO210" s="2111"/>
      <c r="DP210" s="2111"/>
      <c r="DQ210" s="2111"/>
      <c r="DR210" s="2111"/>
      <c r="DS210" s="305"/>
      <c r="DT210" s="311"/>
    </row>
    <row r="211" spans="2:124" ht="6" customHeight="1">
      <c r="B211" s="312"/>
      <c r="C211" s="320"/>
      <c r="D211" s="293"/>
      <c r="E211" s="293"/>
      <c r="F211" s="293"/>
      <c r="G211" s="293"/>
      <c r="H211" s="293"/>
      <c r="I211" s="293"/>
      <c r="J211" s="293"/>
      <c r="K211" s="293"/>
      <c r="L211" s="293"/>
      <c r="M211" s="293"/>
      <c r="N211" s="293"/>
      <c r="O211" s="293"/>
      <c r="P211" s="293"/>
      <c r="Q211" s="293"/>
      <c r="R211" s="293"/>
      <c r="S211" s="293"/>
      <c r="T211" s="293"/>
      <c r="U211" s="293"/>
      <c r="V211" s="293"/>
      <c r="W211" s="293"/>
      <c r="X211" s="293"/>
      <c r="Y211" s="293"/>
      <c r="Z211" s="293"/>
      <c r="AA211" s="293"/>
      <c r="AB211" s="293"/>
      <c r="AC211" s="293"/>
      <c r="AD211" s="293"/>
      <c r="AE211" s="293"/>
      <c r="AF211" s="293"/>
      <c r="AG211" s="293"/>
      <c r="AH211" s="293"/>
      <c r="AI211" s="293"/>
      <c r="AJ211" s="293"/>
      <c r="AK211" s="293"/>
      <c r="AL211" s="293"/>
      <c r="AM211" s="293"/>
      <c r="AN211" s="293"/>
      <c r="AO211" s="293"/>
      <c r="AP211" s="293"/>
      <c r="AQ211" s="293"/>
      <c r="AR211" s="293"/>
      <c r="AS211" s="293"/>
      <c r="AT211" s="293"/>
      <c r="AU211" s="293"/>
      <c r="AV211" s="293"/>
      <c r="AW211" s="293"/>
      <c r="AX211" s="293"/>
      <c r="AY211" s="293"/>
      <c r="AZ211" s="293"/>
      <c r="BA211" s="293"/>
      <c r="BB211" s="293"/>
      <c r="BC211" s="293"/>
      <c r="BD211" s="293"/>
      <c r="BE211" s="293"/>
      <c r="BF211" s="293"/>
      <c r="BG211" s="293"/>
      <c r="BH211" s="293"/>
      <c r="BI211" s="293"/>
      <c r="BJ211" s="293"/>
      <c r="BK211" s="293"/>
      <c r="BL211" s="293"/>
      <c r="BM211" s="293"/>
      <c r="BN211" s="293"/>
      <c r="BO211" s="293"/>
      <c r="BP211" s="293"/>
      <c r="BQ211" s="293"/>
      <c r="BR211" s="293"/>
      <c r="BS211" s="293"/>
      <c r="BT211" s="293"/>
      <c r="BU211" s="293"/>
      <c r="BV211" s="293"/>
      <c r="BW211" s="293"/>
      <c r="BX211" s="293"/>
      <c r="BY211" s="293"/>
      <c r="BZ211" s="293"/>
      <c r="CA211" s="293"/>
      <c r="CB211" s="293"/>
      <c r="CC211" s="293"/>
      <c r="CD211" s="293"/>
      <c r="CE211" s="293"/>
      <c r="CF211" s="293"/>
      <c r="CG211" s="293"/>
      <c r="CH211" s="293"/>
      <c r="CI211" s="293"/>
      <c r="CJ211" s="293"/>
      <c r="CK211" s="293"/>
      <c r="CL211" s="293"/>
      <c r="CM211" s="293"/>
      <c r="CN211" s="293"/>
      <c r="CO211" s="293"/>
      <c r="CP211" s="293"/>
      <c r="CQ211" s="293"/>
      <c r="CR211" s="293"/>
      <c r="CS211" s="293"/>
      <c r="CT211" s="293"/>
      <c r="CU211" s="293"/>
      <c r="CV211" s="293"/>
      <c r="CW211" s="293"/>
      <c r="CX211" s="293"/>
      <c r="CY211" s="293"/>
      <c r="CZ211" s="293"/>
      <c r="DA211" s="293"/>
      <c r="DB211" s="293"/>
      <c r="DC211" s="293"/>
      <c r="DD211" s="293"/>
      <c r="DE211" s="293"/>
      <c r="DF211" s="293"/>
      <c r="DG211" s="293"/>
      <c r="DH211" s="293"/>
      <c r="DI211" s="293"/>
      <c r="DJ211" s="293"/>
      <c r="DK211" s="293"/>
      <c r="DL211" s="293"/>
      <c r="DM211" s="293"/>
      <c r="DN211" s="293"/>
      <c r="DO211" s="293"/>
      <c r="DP211" s="293"/>
      <c r="DQ211" s="293"/>
      <c r="DR211" s="293"/>
      <c r="DS211" s="305"/>
      <c r="DT211" s="311"/>
    </row>
    <row r="212" spans="2:124" ht="24.9" customHeight="1">
      <c r="B212" s="319"/>
      <c r="C212" s="2021" t="str">
        <f ca="1">INDIRECT($J$4&amp;"!C206")</f>
        <v>Implementation of measures to similar processes/products</v>
      </c>
      <c r="D212" s="2021"/>
      <c r="E212" s="2021"/>
      <c r="F212" s="2021"/>
      <c r="G212" s="2021"/>
      <c r="H212" s="2021"/>
      <c r="I212" s="2021"/>
      <c r="J212" s="2021"/>
      <c r="K212" s="2021"/>
      <c r="L212" s="2021"/>
      <c r="M212" s="2021"/>
      <c r="N212" s="2021"/>
      <c r="O212" s="2021"/>
      <c r="P212" s="2021"/>
      <c r="Q212" s="2021"/>
      <c r="R212" s="2021"/>
      <c r="S212" s="2021"/>
      <c r="T212" s="2021"/>
      <c r="U212" s="2021"/>
      <c r="V212" s="2021"/>
      <c r="W212" s="2021"/>
      <c r="X212" s="2021"/>
      <c r="Y212" s="2021"/>
      <c r="Z212" s="2021"/>
      <c r="AA212" s="2021"/>
      <c r="AB212" s="2021"/>
      <c r="AC212" s="2021"/>
      <c r="AD212" s="2021"/>
      <c r="AE212" s="2021"/>
      <c r="AF212" s="2021"/>
      <c r="AG212" s="2021"/>
      <c r="AH212" s="2021"/>
      <c r="AI212" s="2021"/>
      <c r="AJ212" s="2021"/>
      <c r="AK212" s="2021"/>
      <c r="AL212" s="2021"/>
      <c r="AM212" s="2021"/>
      <c r="AN212" s="2021"/>
      <c r="AO212" s="2021"/>
      <c r="AP212" s="2021"/>
      <c r="AQ212" s="2021"/>
      <c r="AR212" s="2021"/>
      <c r="AS212" s="310"/>
      <c r="AT212" s="310"/>
      <c r="AU212" s="310"/>
      <c r="AV212" s="310"/>
      <c r="AW212" s="310"/>
      <c r="AX212" s="310"/>
      <c r="AY212" s="310"/>
      <c r="AZ212" s="310"/>
      <c r="BA212" s="310"/>
      <c r="BB212" s="310"/>
      <c r="BC212" s="310"/>
      <c r="BD212" s="310"/>
      <c r="BE212" s="310"/>
      <c r="BF212" s="310"/>
      <c r="BG212" s="310"/>
      <c r="BH212" s="310"/>
      <c r="BI212" s="310"/>
      <c r="BJ212" s="310"/>
      <c r="BK212" s="310"/>
      <c r="BL212" s="310"/>
      <c r="BM212" s="310"/>
      <c r="BN212" s="310"/>
      <c r="BO212" s="310"/>
      <c r="BP212" s="310"/>
      <c r="BQ212" s="310"/>
      <c r="BR212" s="310"/>
      <c r="BS212" s="310"/>
      <c r="BT212" s="310"/>
      <c r="BU212" s="310"/>
      <c r="BV212" s="310"/>
      <c r="BW212" s="310"/>
      <c r="BX212" s="310"/>
      <c r="BY212" s="310"/>
      <c r="BZ212" s="310"/>
      <c r="CA212" s="310"/>
      <c r="CB212" s="310"/>
      <c r="CC212" s="310"/>
      <c r="CD212" s="310"/>
      <c r="CE212" s="310"/>
      <c r="CF212" s="310"/>
      <c r="CG212" s="310"/>
      <c r="CH212" s="310"/>
      <c r="CI212" s="310"/>
      <c r="CJ212" s="310"/>
      <c r="CK212" s="310"/>
      <c r="CL212" s="310"/>
      <c r="CM212" s="310"/>
      <c r="CN212" s="310"/>
      <c r="CO212" s="310"/>
      <c r="CP212" s="310"/>
      <c r="CQ212" s="310"/>
      <c r="CR212" s="310"/>
      <c r="CS212" s="310"/>
      <c r="CT212" s="310"/>
      <c r="CU212" s="310"/>
      <c r="CV212" s="310"/>
      <c r="CW212" s="310"/>
      <c r="CX212" s="310"/>
      <c r="CY212" s="310"/>
      <c r="CZ212" s="310"/>
      <c r="DA212" s="310"/>
      <c r="DB212" s="310"/>
      <c r="DC212" s="310"/>
      <c r="DD212" s="310"/>
      <c r="DE212" s="310"/>
      <c r="DF212" s="310"/>
      <c r="DG212" s="310"/>
      <c r="DH212" s="310"/>
      <c r="DI212" s="310"/>
      <c r="DJ212" s="310"/>
      <c r="DK212" s="310"/>
      <c r="DL212" s="310"/>
      <c r="DM212" s="310"/>
      <c r="DN212" s="310"/>
      <c r="DO212" s="310"/>
      <c r="DP212" s="310"/>
      <c r="DQ212" s="310"/>
      <c r="DR212" s="310"/>
      <c r="DS212" s="310"/>
      <c r="DT212" s="311"/>
    </row>
    <row r="213" spans="2:124" ht="6" customHeight="1">
      <c r="B213" s="319"/>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c r="AA213" s="305"/>
      <c r="AB213" s="305"/>
      <c r="AC213" s="305"/>
      <c r="AD213" s="305"/>
      <c r="AE213" s="305"/>
      <c r="AF213" s="305"/>
      <c r="AG213" s="305"/>
      <c r="AH213" s="305"/>
      <c r="AI213" s="305"/>
      <c r="AJ213" s="305"/>
      <c r="AK213" s="305"/>
      <c r="AL213" s="305"/>
      <c r="AM213" s="305"/>
      <c r="AN213" s="305"/>
      <c r="AO213" s="305"/>
      <c r="AP213" s="305"/>
      <c r="AQ213" s="305"/>
      <c r="AR213" s="305"/>
      <c r="AS213" s="305"/>
      <c r="AT213" s="305"/>
      <c r="AU213" s="305"/>
      <c r="AV213" s="305"/>
      <c r="AW213" s="305"/>
      <c r="AX213" s="305"/>
      <c r="AY213" s="305"/>
      <c r="AZ213" s="305"/>
      <c r="BA213" s="305"/>
      <c r="BB213" s="305"/>
      <c r="BC213" s="305"/>
      <c r="BD213" s="305"/>
      <c r="BE213" s="305"/>
      <c r="BF213" s="305"/>
      <c r="BG213" s="305"/>
      <c r="BH213" s="305"/>
      <c r="BI213" s="305"/>
      <c r="BJ213" s="305"/>
      <c r="BK213" s="305"/>
      <c r="BL213" s="305"/>
      <c r="BM213" s="305"/>
      <c r="BN213" s="305"/>
      <c r="BO213" s="305"/>
      <c r="BP213" s="305"/>
      <c r="BQ213" s="305"/>
      <c r="BR213" s="305"/>
      <c r="BS213" s="305"/>
      <c r="BT213" s="305"/>
      <c r="BU213" s="305"/>
      <c r="BV213" s="305"/>
      <c r="BW213" s="305"/>
      <c r="BX213" s="305"/>
      <c r="BY213" s="305"/>
      <c r="BZ213" s="305"/>
      <c r="CA213" s="305"/>
      <c r="CB213" s="305"/>
      <c r="CC213" s="305"/>
      <c r="CD213" s="305"/>
      <c r="CE213" s="305"/>
      <c r="CF213" s="305"/>
      <c r="CG213" s="305"/>
      <c r="CH213" s="305"/>
      <c r="CI213" s="305"/>
      <c r="CJ213" s="305"/>
      <c r="CK213" s="305"/>
      <c r="CL213" s="305"/>
      <c r="CM213" s="305"/>
      <c r="CN213" s="305"/>
      <c r="CO213" s="305"/>
      <c r="CP213" s="305"/>
      <c r="CQ213" s="305"/>
      <c r="CR213" s="305"/>
      <c r="CS213" s="305"/>
      <c r="CT213" s="305"/>
      <c r="CU213" s="305"/>
      <c r="CV213" s="305"/>
      <c r="CW213" s="305"/>
      <c r="CX213" s="305"/>
      <c r="CY213" s="305"/>
      <c r="CZ213" s="305"/>
      <c r="DA213" s="305"/>
      <c r="DB213" s="305"/>
      <c r="DC213" s="305"/>
      <c r="DD213" s="305"/>
      <c r="DE213" s="305"/>
      <c r="DF213" s="305"/>
      <c r="DG213" s="305"/>
      <c r="DH213" s="305"/>
      <c r="DI213" s="305"/>
      <c r="DJ213" s="305"/>
      <c r="DK213" s="305"/>
      <c r="DL213" s="305"/>
      <c r="DM213" s="305"/>
      <c r="DN213" s="305"/>
      <c r="DO213" s="305"/>
      <c r="DP213" s="305"/>
      <c r="DQ213" s="305"/>
      <c r="DR213" s="305"/>
      <c r="DS213" s="305"/>
      <c r="DT213" s="311"/>
    </row>
    <row r="214" spans="2:124" ht="24.9" customHeight="1">
      <c r="B214" s="319"/>
      <c r="C214" s="1755" t="str">
        <f ca="1">INDIRECT($J$4&amp;"!C207")</f>
        <v>Processes</v>
      </c>
      <c r="D214" s="1755"/>
      <c r="E214" s="1755"/>
      <c r="F214" s="1755"/>
      <c r="G214" s="1755"/>
      <c r="H214" s="1755"/>
      <c r="I214" s="1755"/>
      <c r="J214" s="1755"/>
      <c r="K214" s="1755"/>
      <c r="L214" s="1755"/>
      <c r="M214" s="1755"/>
      <c r="N214" s="1755"/>
      <c r="O214" s="1755"/>
      <c r="P214" s="1755"/>
      <c r="Q214" s="1755"/>
      <c r="R214" s="1970"/>
      <c r="S214" s="2099"/>
      <c r="T214" s="2099"/>
      <c r="U214" s="2099"/>
      <c r="V214" s="2099"/>
      <c r="W214" s="2099"/>
      <c r="X214" s="2099"/>
      <c r="Y214" s="1803"/>
      <c r="Z214" s="1803"/>
      <c r="AA214" s="273"/>
      <c r="AB214" s="500"/>
      <c r="AC214" s="500"/>
      <c r="AD214" s="274"/>
      <c r="AE214" s="357"/>
      <c r="AF214" s="129"/>
      <c r="AG214" s="129"/>
      <c r="AH214" s="129"/>
      <c r="AI214" s="129"/>
      <c r="AJ214" s="129"/>
      <c r="AK214" s="305"/>
      <c r="AL214" s="305"/>
      <c r="AM214" s="305"/>
      <c r="AN214" s="305"/>
      <c r="AO214" s="305"/>
      <c r="AP214" s="305"/>
      <c r="AQ214" s="305"/>
      <c r="AR214" s="305"/>
      <c r="AS214" s="305"/>
      <c r="AT214" s="305"/>
      <c r="AU214" s="305"/>
      <c r="AV214" s="305"/>
      <c r="AW214" s="305"/>
      <c r="AX214" s="305"/>
      <c r="AY214" s="305"/>
      <c r="AZ214" s="305"/>
      <c r="BA214" s="305"/>
      <c r="BB214" s="305"/>
      <c r="BC214" s="305"/>
      <c r="BD214" s="305"/>
      <c r="BE214" s="305"/>
      <c r="BF214" s="305"/>
      <c r="BG214" s="305"/>
      <c r="BH214" s="305"/>
      <c r="BI214" s="305"/>
      <c r="BJ214" s="305"/>
      <c r="BK214" s="305"/>
      <c r="BL214" s="305"/>
      <c r="BM214" s="305"/>
      <c r="BN214" s="305"/>
      <c r="BO214" s="305"/>
      <c r="BP214" s="305"/>
      <c r="BQ214" s="305"/>
      <c r="BR214" s="305"/>
      <c r="BS214" s="305"/>
      <c r="BT214" s="305"/>
      <c r="BU214" s="305"/>
      <c r="BV214" s="305"/>
      <c r="BW214" s="305"/>
      <c r="BX214" s="305"/>
      <c r="BY214" s="305"/>
      <c r="BZ214" s="305"/>
      <c r="CA214" s="305"/>
      <c r="CB214" s="305"/>
      <c r="CC214" s="305"/>
      <c r="CD214" s="305"/>
      <c r="CE214" s="305"/>
      <c r="CF214" s="305"/>
      <c r="CG214" s="305"/>
      <c r="CH214" s="305"/>
      <c r="CI214" s="305"/>
      <c r="CJ214" s="305"/>
      <c r="CK214" s="305"/>
      <c r="CL214" s="305"/>
      <c r="CM214" s="1006" t="str">
        <f ca="1">INDIRECT($J$4&amp;"!C265")</f>
        <v>Inform Prevention-Team</v>
      </c>
      <c r="CN214" s="305"/>
      <c r="CO214" s="357" t="s">
        <v>847</v>
      </c>
      <c r="CP214" s="357"/>
      <c r="CQ214" s="585"/>
      <c r="CR214" s="585"/>
      <c r="CS214" s="585"/>
      <c r="CT214" s="585"/>
      <c r="CU214" s="585"/>
      <c r="CV214" s="2023" t="s">
        <v>931</v>
      </c>
      <c r="CW214" s="2023"/>
      <c r="CX214" s="2023"/>
      <c r="CY214" s="2023"/>
      <c r="CZ214" s="2023"/>
      <c r="DA214" s="2023"/>
      <c r="DB214" s="2023"/>
      <c r="DC214" s="2023"/>
      <c r="DD214" s="2023"/>
      <c r="DE214" s="2023"/>
      <c r="DF214" s="2023"/>
      <c r="DG214" s="2023"/>
      <c r="DH214" s="2023"/>
      <c r="DI214" s="2023"/>
      <c r="DJ214" s="2023"/>
      <c r="DK214" s="2023"/>
      <c r="DL214" s="2024"/>
      <c r="DM214" s="2103"/>
      <c r="DN214" s="2103"/>
      <c r="DO214" s="2103"/>
      <c r="DP214" s="2103"/>
      <c r="DQ214" s="2103"/>
      <c r="DR214" s="2103"/>
      <c r="DS214" s="305"/>
      <c r="DT214" s="311"/>
    </row>
    <row r="215" spans="2:124" ht="6" customHeight="1">
      <c r="B215" s="319"/>
      <c r="C215" s="129"/>
      <c r="D215" s="129"/>
      <c r="E215" s="1007"/>
      <c r="F215" s="129"/>
      <c r="G215" s="129"/>
      <c r="H215" s="23"/>
      <c r="I215" s="23"/>
      <c r="J215" s="23"/>
      <c r="K215" s="23"/>
      <c r="L215" s="23"/>
      <c r="M215" s="23"/>
      <c r="N215" s="23"/>
      <c r="O215" s="23"/>
      <c r="P215" s="23"/>
      <c r="Q215" s="23"/>
      <c r="R215" s="23"/>
      <c r="S215" s="23"/>
      <c r="T215" s="23"/>
      <c r="U215" s="23"/>
      <c r="V215" s="23"/>
      <c r="W215" s="23"/>
      <c r="X215" s="23"/>
      <c r="Y215" s="1007"/>
      <c r="Z215" s="1007"/>
      <c r="AA215" s="129"/>
      <c r="AB215" s="500"/>
      <c r="AC215" s="500"/>
      <c r="AD215" s="129"/>
      <c r="AE215" s="129"/>
      <c r="AF215" s="129"/>
      <c r="AG215" s="129"/>
      <c r="AH215" s="129"/>
      <c r="AI215" s="129"/>
      <c r="AJ215" s="129"/>
      <c r="AK215" s="305"/>
      <c r="AL215" s="305"/>
      <c r="AM215" s="305"/>
      <c r="AN215" s="305"/>
      <c r="AO215" s="305"/>
      <c r="AP215" s="305"/>
      <c r="AQ215" s="305"/>
      <c r="AR215" s="305"/>
      <c r="AS215" s="305"/>
      <c r="AT215" s="305"/>
      <c r="AU215" s="305"/>
      <c r="AV215" s="305"/>
      <c r="AW215" s="305"/>
      <c r="AX215" s="305"/>
      <c r="AY215" s="305"/>
      <c r="AZ215" s="305"/>
      <c r="BA215" s="305"/>
      <c r="BB215" s="305"/>
      <c r="BC215" s="305"/>
      <c r="BD215" s="305"/>
      <c r="BE215" s="305"/>
      <c r="BF215" s="305"/>
      <c r="BG215" s="305"/>
      <c r="BH215" s="305"/>
      <c r="BI215" s="305"/>
      <c r="BJ215" s="305"/>
      <c r="BK215" s="305"/>
      <c r="BL215" s="305"/>
      <c r="BM215" s="305"/>
      <c r="BN215" s="305"/>
      <c r="BO215" s="305"/>
      <c r="BP215" s="305"/>
      <c r="BQ215" s="305"/>
      <c r="BR215" s="305"/>
      <c r="BS215" s="305"/>
      <c r="BT215" s="305"/>
      <c r="BU215" s="305"/>
      <c r="BV215" s="305"/>
      <c r="BW215" s="305"/>
      <c r="BX215" s="305"/>
      <c r="BY215" s="305"/>
      <c r="BZ215" s="305"/>
      <c r="CA215" s="305"/>
      <c r="CB215" s="305"/>
      <c r="CC215" s="305"/>
      <c r="CD215" s="305"/>
      <c r="CE215" s="305"/>
      <c r="CF215" s="305"/>
      <c r="CG215" s="305"/>
      <c r="CH215" s="305"/>
      <c r="CI215" s="305"/>
      <c r="CJ215" s="305"/>
      <c r="CK215" s="305"/>
      <c r="CL215" s="305"/>
      <c r="CM215" s="305"/>
      <c r="CN215" s="305"/>
      <c r="CO215" s="305"/>
      <c r="CP215" s="305"/>
      <c r="CQ215" s="305"/>
      <c r="CR215" s="305"/>
      <c r="CS215" s="305"/>
      <c r="CT215" s="305"/>
      <c r="CU215" s="305"/>
      <c r="CV215" s="305"/>
      <c r="CW215" s="305"/>
      <c r="CX215" s="305"/>
      <c r="CY215" s="305"/>
      <c r="CZ215" s="305"/>
      <c r="DA215" s="305"/>
      <c r="DB215" s="305"/>
      <c r="DC215" s="305"/>
      <c r="DD215" s="305"/>
      <c r="DE215" s="305"/>
      <c r="DF215" s="305"/>
      <c r="DG215" s="305"/>
      <c r="DH215" s="305"/>
      <c r="DI215" s="305"/>
      <c r="DJ215" s="305"/>
      <c r="DK215" s="305"/>
      <c r="DL215" s="305"/>
      <c r="DM215" s="305"/>
      <c r="DN215" s="305"/>
      <c r="DO215" s="305"/>
      <c r="DP215" s="305"/>
      <c r="DQ215" s="305"/>
      <c r="DR215" s="325"/>
      <c r="DS215" s="305"/>
      <c r="DT215" s="311"/>
    </row>
    <row r="216" spans="2:124" ht="24.9" customHeight="1">
      <c r="B216" s="319"/>
      <c r="C216" s="129"/>
      <c r="D216" s="1932" t="str">
        <f ca="1">INDIRECT($J$4&amp;"!C208")</f>
        <v>Concerned processes</v>
      </c>
      <c r="E216" s="1932"/>
      <c r="F216" s="1932"/>
      <c r="G216" s="1932"/>
      <c r="H216" s="1932"/>
      <c r="I216" s="1932"/>
      <c r="J216" s="1932"/>
      <c r="K216" s="1932"/>
      <c r="L216" s="1932"/>
      <c r="M216" s="1932"/>
      <c r="N216" s="1932"/>
      <c r="O216" s="1932"/>
      <c r="P216" s="1932"/>
      <c r="Q216" s="1932"/>
      <c r="R216" s="1932"/>
      <c r="S216" s="1932"/>
      <c r="T216" s="1932"/>
      <c r="U216" s="1932"/>
      <c r="V216" s="1932"/>
      <c r="W216" s="1932"/>
      <c r="X216" s="1932"/>
      <c r="Y216" s="1932" t="str">
        <f ca="1">INDIRECT($J$4&amp;"!C80")</f>
        <v>Action</v>
      </c>
      <c r="Z216" s="1932"/>
      <c r="AA216" s="1932"/>
      <c r="AB216" s="1932"/>
      <c r="AC216" s="1932"/>
      <c r="AD216" s="1932"/>
      <c r="AE216" s="1932"/>
      <c r="AF216" s="1932"/>
      <c r="AG216" s="1932"/>
      <c r="AH216" s="1932"/>
      <c r="AI216" s="1932"/>
      <c r="AJ216" s="1932"/>
      <c r="AK216" s="1932"/>
      <c r="AL216" s="1932"/>
      <c r="AM216" s="1932"/>
      <c r="AN216" s="1932"/>
      <c r="AO216" s="1932"/>
      <c r="AP216" s="1932"/>
      <c r="AQ216" s="1932"/>
      <c r="AR216" s="1932"/>
      <c r="AS216" s="1932"/>
      <c r="AT216" s="1932"/>
      <c r="AU216" s="1932"/>
      <c r="AV216" s="1932"/>
      <c r="AW216" s="1932"/>
      <c r="AX216" s="1932"/>
      <c r="AY216" s="1932"/>
      <c r="AZ216" s="1932"/>
      <c r="BA216" s="1932"/>
      <c r="BB216" s="1932"/>
      <c r="BC216" s="1932"/>
      <c r="BD216" s="1932"/>
      <c r="BE216" s="1932"/>
      <c r="BF216" s="1932"/>
      <c r="BG216" s="1932"/>
      <c r="BH216" s="1932"/>
      <c r="BI216" s="1932"/>
      <c r="BJ216" s="1932"/>
      <c r="BK216" s="1932"/>
      <c r="BL216" s="1932"/>
      <c r="BM216" s="1932"/>
      <c r="BN216" s="1932"/>
      <c r="BO216" s="1932"/>
      <c r="BP216" s="1932"/>
      <c r="BQ216" s="1932"/>
      <c r="BR216" s="1932"/>
      <c r="BS216" s="1932"/>
      <c r="BT216" s="1932"/>
      <c r="BU216" s="1932"/>
      <c r="BV216" s="1932"/>
      <c r="BW216" s="1932"/>
      <c r="BX216" s="1932"/>
      <c r="BY216" s="1932"/>
      <c r="BZ216" s="1932"/>
      <c r="CA216" s="1932"/>
      <c r="CB216" s="1932"/>
      <c r="CC216" s="1932"/>
      <c r="CD216" s="1932"/>
      <c r="CE216" s="1932"/>
      <c r="CF216" s="1932"/>
      <c r="CG216" s="1932"/>
      <c r="CH216" s="1932"/>
      <c r="CI216" s="1932"/>
      <c r="CJ216" s="1932"/>
      <c r="CK216" s="1932"/>
      <c r="CL216" s="1932"/>
      <c r="CM216" s="1932"/>
      <c r="CN216" s="1932"/>
      <c r="CO216" s="1761" t="str">
        <f ca="1">INDIRECT($J$4&amp;"!C83")</f>
        <v>Responsible</v>
      </c>
      <c r="CP216" s="1762"/>
      <c r="CQ216" s="1762"/>
      <c r="CR216" s="1762"/>
      <c r="CS216" s="1762"/>
      <c r="CT216" s="1762"/>
      <c r="CU216" s="1762"/>
      <c r="CV216" s="1762"/>
      <c r="CW216" s="1762"/>
      <c r="CX216" s="1762"/>
      <c r="CY216" s="1762"/>
      <c r="CZ216" s="1762"/>
      <c r="DA216" s="1763"/>
      <c r="DB216" s="2100" t="str">
        <f ca="1">INDIRECT($J$4&amp;"!C211")&amp;" - "&amp; INDIRECT($J$4&amp;"!C69")</f>
        <v>E-mail sent to responsible - Date</v>
      </c>
      <c r="DC216" s="2101"/>
      <c r="DD216" s="2101"/>
      <c r="DE216" s="2101"/>
      <c r="DF216" s="2101"/>
      <c r="DG216" s="2101"/>
      <c r="DH216" s="2101"/>
      <c r="DI216" s="2101"/>
      <c r="DJ216" s="2101"/>
      <c r="DK216" s="2101"/>
      <c r="DL216" s="2101"/>
      <c r="DM216" s="2101"/>
      <c r="DN216" s="2101"/>
      <c r="DO216" s="2101"/>
      <c r="DP216" s="2101"/>
      <c r="DQ216" s="2101"/>
      <c r="DR216" s="2102"/>
      <c r="DS216" s="305"/>
      <c r="DT216" s="311"/>
    </row>
    <row r="217" spans="2:124" ht="24.9" customHeight="1">
      <c r="B217" s="319"/>
      <c r="C217" s="129"/>
      <c r="D217" s="2085"/>
      <c r="E217" s="2085"/>
      <c r="F217" s="2085"/>
      <c r="G217" s="2085"/>
      <c r="H217" s="2085"/>
      <c r="I217" s="2085"/>
      <c r="J217" s="2085"/>
      <c r="K217" s="2085"/>
      <c r="L217" s="2085"/>
      <c r="M217" s="2085"/>
      <c r="N217" s="2085"/>
      <c r="O217" s="2085"/>
      <c r="P217" s="2085"/>
      <c r="Q217" s="2085"/>
      <c r="R217" s="2085"/>
      <c r="S217" s="2085"/>
      <c r="T217" s="2085"/>
      <c r="U217" s="2085"/>
      <c r="V217" s="2085"/>
      <c r="W217" s="2085"/>
      <c r="X217" s="2085"/>
      <c r="Y217" s="2086"/>
      <c r="Z217" s="2086"/>
      <c r="AA217" s="2086"/>
      <c r="AB217" s="2086"/>
      <c r="AC217" s="2086"/>
      <c r="AD217" s="2086"/>
      <c r="AE217" s="2086"/>
      <c r="AF217" s="2086"/>
      <c r="AG217" s="2086"/>
      <c r="AH217" s="2086"/>
      <c r="AI217" s="2086"/>
      <c r="AJ217" s="2086"/>
      <c r="AK217" s="2086"/>
      <c r="AL217" s="2086"/>
      <c r="AM217" s="2086"/>
      <c r="AN217" s="2086"/>
      <c r="AO217" s="2086"/>
      <c r="AP217" s="2086"/>
      <c r="AQ217" s="2086"/>
      <c r="AR217" s="2086"/>
      <c r="AS217" s="2086"/>
      <c r="AT217" s="2086"/>
      <c r="AU217" s="2086"/>
      <c r="AV217" s="2086"/>
      <c r="AW217" s="2086"/>
      <c r="AX217" s="2086"/>
      <c r="AY217" s="2086"/>
      <c r="AZ217" s="2086"/>
      <c r="BA217" s="2086"/>
      <c r="BB217" s="2086"/>
      <c r="BC217" s="2086"/>
      <c r="BD217" s="2086"/>
      <c r="BE217" s="2086"/>
      <c r="BF217" s="2086"/>
      <c r="BG217" s="2086"/>
      <c r="BH217" s="2086"/>
      <c r="BI217" s="2086"/>
      <c r="BJ217" s="2086"/>
      <c r="BK217" s="2086"/>
      <c r="BL217" s="2086"/>
      <c r="BM217" s="2086"/>
      <c r="BN217" s="2086"/>
      <c r="BO217" s="2086"/>
      <c r="BP217" s="2086"/>
      <c r="BQ217" s="2086"/>
      <c r="BR217" s="2086"/>
      <c r="BS217" s="2086"/>
      <c r="BT217" s="2086"/>
      <c r="BU217" s="2086"/>
      <c r="BV217" s="2086"/>
      <c r="BW217" s="2086"/>
      <c r="BX217" s="2086"/>
      <c r="BY217" s="2086"/>
      <c r="BZ217" s="2086"/>
      <c r="CA217" s="2086"/>
      <c r="CB217" s="2086"/>
      <c r="CC217" s="2086"/>
      <c r="CD217" s="2086"/>
      <c r="CE217" s="2086"/>
      <c r="CF217" s="2086"/>
      <c r="CG217" s="2086"/>
      <c r="CH217" s="2086"/>
      <c r="CI217" s="2086"/>
      <c r="CJ217" s="2086"/>
      <c r="CK217" s="2086"/>
      <c r="CL217" s="2086"/>
      <c r="CM217" s="2086"/>
      <c r="CN217" s="2086"/>
      <c r="CO217" s="2087"/>
      <c r="CP217" s="2087"/>
      <c r="CQ217" s="2087"/>
      <c r="CR217" s="2087"/>
      <c r="CS217" s="2087"/>
      <c r="CT217" s="2087"/>
      <c r="CU217" s="2087"/>
      <c r="CV217" s="2087"/>
      <c r="CW217" s="2087"/>
      <c r="CX217" s="2087"/>
      <c r="CY217" s="2087"/>
      <c r="CZ217" s="2087"/>
      <c r="DA217" s="2087"/>
      <c r="DB217" s="2088"/>
      <c r="DC217" s="2088"/>
      <c r="DD217" s="2088"/>
      <c r="DE217" s="2088"/>
      <c r="DF217" s="2088"/>
      <c r="DG217" s="2088"/>
      <c r="DH217" s="2088"/>
      <c r="DI217" s="2088"/>
      <c r="DJ217" s="2088"/>
      <c r="DK217" s="2088"/>
      <c r="DL217" s="2088"/>
      <c r="DM217" s="2088"/>
      <c r="DN217" s="2088"/>
      <c r="DO217" s="2088"/>
      <c r="DP217" s="2088"/>
      <c r="DQ217" s="2088"/>
      <c r="DR217" s="2088"/>
      <c r="DS217" s="305"/>
      <c r="DT217" s="311"/>
    </row>
    <row r="218" spans="2:124" ht="24.9" customHeight="1">
      <c r="B218" s="319"/>
      <c r="C218" s="129"/>
      <c r="D218" s="2085"/>
      <c r="E218" s="2085"/>
      <c r="F218" s="2085"/>
      <c r="G218" s="2085"/>
      <c r="H218" s="2085"/>
      <c r="I218" s="2085"/>
      <c r="J218" s="2085"/>
      <c r="K218" s="2085"/>
      <c r="L218" s="2085"/>
      <c r="M218" s="2085"/>
      <c r="N218" s="2085"/>
      <c r="O218" s="2085"/>
      <c r="P218" s="2085"/>
      <c r="Q218" s="2085"/>
      <c r="R218" s="2085"/>
      <c r="S218" s="2085"/>
      <c r="T218" s="2085"/>
      <c r="U218" s="2085"/>
      <c r="V218" s="2085"/>
      <c r="W218" s="2085"/>
      <c r="X218" s="2085"/>
      <c r="Y218" s="2086"/>
      <c r="Z218" s="2086"/>
      <c r="AA218" s="2086"/>
      <c r="AB218" s="2086"/>
      <c r="AC218" s="2086"/>
      <c r="AD218" s="2086"/>
      <c r="AE218" s="2086"/>
      <c r="AF218" s="2086"/>
      <c r="AG218" s="2086"/>
      <c r="AH218" s="2086"/>
      <c r="AI218" s="2086"/>
      <c r="AJ218" s="2086"/>
      <c r="AK218" s="2086"/>
      <c r="AL218" s="2086"/>
      <c r="AM218" s="2086"/>
      <c r="AN218" s="2086"/>
      <c r="AO218" s="2086"/>
      <c r="AP218" s="2086"/>
      <c r="AQ218" s="2086"/>
      <c r="AR218" s="2086"/>
      <c r="AS218" s="2086"/>
      <c r="AT218" s="2086"/>
      <c r="AU218" s="2086"/>
      <c r="AV218" s="2086"/>
      <c r="AW218" s="2086"/>
      <c r="AX218" s="2086"/>
      <c r="AY218" s="2086"/>
      <c r="AZ218" s="2086"/>
      <c r="BA218" s="2086"/>
      <c r="BB218" s="2086"/>
      <c r="BC218" s="2086"/>
      <c r="BD218" s="2086"/>
      <c r="BE218" s="2086"/>
      <c r="BF218" s="2086"/>
      <c r="BG218" s="2086"/>
      <c r="BH218" s="2086"/>
      <c r="BI218" s="2086"/>
      <c r="BJ218" s="2086"/>
      <c r="BK218" s="2086"/>
      <c r="BL218" s="2086"/>
      <c r="BM218" s="2086"/>
      <c r="BN218" s="2086"/>
      <c r="BO218" s="2086"/>
      <c r="BP218" s="2086"/>
      <c r="BQ218" s="2086"/>
      <c r="BR218" s="2086"/>
      <c r="BS218" s="2086"/>
      <c r="BT218" s="2086"/>
      <c r="BU218" s="2086"/>
      <c r="BV218" s="2086"/>
      <c r="BW218" s="2086"/>
      <c r="BX218" s="2086"/>
      <c r="BY218" s="2086"/>
      <c r="BZ218" s="2086"/>
      <c r="CA218" s="2086"/>
      <c r="CB218" s="2086"/>
      <c r="CC218" s="2086"/>
      <c r="CD218" s="2086"/>
      <c r="CE218" s="2086"/>
      <c r="CF218" s="2086"/>
      <c r="CG218" s="2086"/>
      <c r="CH218" s="2086"/>
      <c r="CI218" s="2086"/>
      <c r="CJ218" s="2086"/>
      <c r="CK218" s="2086"/>
      <c r="CL218" s="2086"/>
      <c r="CM218" s="2086"/>
      <c r="CN218" s="2086"/>
      <c r="CO218" s="2087"/>
      <c r="CP218" s="2087"/>
      <c r="CQ218" s="2087"/>
      <c r="CR218" s="2087"/>
      <c r="CS218" s="2087"/>
      <c r="CT218" s="2087"/>
      <c r="CU218" s="2087"/>
      <c r="CV218" s="2087"/>
      <c r="CW218" s="2087"/>
      <c r="CX218" s="2087"/>
      <c r="CY218" s="2087"/>
      <c r="CZ218" s="2087"/>
      <c r="DA218" s="2087"/>
      <c r="DB218" s="2088"/>
      <c r="DC218" s="2088"/>
      <c r="DD218" s="2088"/>
      <c r="DE218" s="2088"/>
      <c r="DF218" s="2088"/>
      <c r="DG218" s="2088"/>
      <c r="DH218" s="2088"/>
      <c r="DI218" s="2088"/>
      <c r="DJ218" s="2088"/>
      <c r="DK218" s="2088"/>
      <c r="DL218" s="2088"/>
      <c r="DM218" s="2088"/>
      <c r="DN218" s="2088"/>
      <c r="DO218" s="2088"/>
      <c r="DP218" s="2088"/>
      <c r="DQ218" s="2088"/>
      <c r="DR218" s="2088"/>
      <c r="DS218" s="305"/>
      <c r="DT218" s="311"/>
    </row>
    <row r="219" spans="2:124" ht="24.9" customHeight="1">
      <c r="B219" s="319"/>
      <c r="C219" s="129"/>
      <c r="D219" s="2085"/>
      <c r="E219" s="2085"/>
      <c r="F219" s="2085"/>
      <c r="G219" s="2085"/>
      <c r="H219" s="2085"/>
      <c r="I219" s="2085"/>
      <c r="J219" s="2085"/>
      <c r="K219" s="2085"/>
      <c r="L219" s="2085"/>
      <c r="M219" s="2085"/>
      <c r="N219" s="2085"/>
      <c r="O219" s="2085"/>
      <c r="P219" s="2085"/>
      <c r="Q219" s="2085"/>
      <c r="R219" s="2085"/>
      <c r="S219" s="2085"/>
      <c r="T219" s="2085"/>
      <c r="U219" s="2085"/>
      <c r="V219" s="2085"/>
      <c r="W219" s="2085"/>
      <c r="X219" s="2085"/>
      <c r="Y219" s="2086"/>
      <c r="Z219" s="2086"/>
      <c r="AA219" s="2086"/>
      <c r="AB219" s="2086"/>
      <c r="AC219" s="2086"/>
      <c r="AD219" s="2086"/>
      <c r="AE219" s="2086"/>
      <c r="AF219" s="2086"/>
      <c r="AG219" s="2086"/>
      <c r="AH219" s="2086"/>
      <c r="AI219" s="2086"/>
      <c r="AJ219" s="2086"/>
      <c r="AK219" s="2086"/>
      <c r="AL219" s="2086"/>
      <c r="AM219" s="2086"/>
      <c r="AN219" s="2086"/>
      <c r="AO219" s="2086"/>
      <c r="AP219" s="2086"/>
      <c r="AQ219" s="2086"/>
      <c r="AR219" s="2086"/>
      <c r="AS219" s="2086"/>
      <c r="AT219" s="2086"/>
      <c r="AU219" s="2086"/>
      <c r="AV219" s="2086"/>
      <c r="AW219" s="2086"/>
      <c r="AX219" s="2086"/>
      <c r="AY219" s="2086"/>
      <c r="AZ219" s="2086"/>
      <c r="BA219" s="2086"/>
      <c r="BB219" s="2086"/>
      <c r="BC219" s="2086"/>
      <c r="BD219" s="2086"/>
      <c r="BE219" s="2086"/>
      <c r="BF219" s="2086"/>
      <c r="BG219" s="2086"/>
      <c r="BH219" s="2086"/>
      <c r="BI219" s="2086"/>
      <c r="BJ219" s="2086"/>
      <c r="BK219" s="2086"/>
      <c r="BL219" s="2086"/>
      <c r="BM219" s="2086"/>
      <c r="BN219" s="2086"/>
      <c r="BO219" s="2086"/>
      <c r="BP219" s="2086"/>
      <c r="BQ219" s="2086"/>
      <c r="BR219" s="2086"/>
      <c r="BS219" s="2086"/>
      <c r="BT219" s="2086"/>
      <c r="BU219" s="2086"/>
      <c r="BV219" s="2086"/>
      <c r="BW219" s="2086"/>
      <c r="BX219" s="2086"/>
      <c r="BY219" s="2086"/>
      <c r="BZ219" s="2086"/>
      <c r="CA219" s="2086"/>
      <c r="CB219" s="2086"/>
      <c r="CC219" s="2086"/>
      <c r="CD219" s="2086"/>
      <c r="CE219" s="2086"/>
      <c r="CF219" s="2086"/>
      <c r="CG219" s="2086"/>
      <c r="CH219" s="2086"/>
      <c r="CI219" s="2086"/>
      <c r="CJ219" s="2086"/>
      <c r="CK219" s="2086"/>
      <c r="CL219" s="2086"/>
      <c r="CM219" s="2086"/>
      <c r="CN219" s="2086"/>
      <c r="CO219" s="2087"/>
      <c r="CP219" s="2087"/>
      <c r="CQ219" s="2087"/>
      <c r="CR219" s="2087"/>
      <c r="CS219" s="2087"/>
      <c r="CT219" s="2087"/>
      <c r="CU219" s="2087"/>
      <c r="CV219" s="2087"/>
      <c r="CW219" s="2087"/>
      <c r="CX219" s="2087"/>
      <c r="CY219" s="2087"/>
      <c r="CZ219" s="2087"/>
      <c r="DA219" s="2087"/>
      <c r="DB219" s="2088"/>
      <c r="DC219" s="2088"/>
      <c r="DD219" s="2088"/>
      <c r="DE219" s="2088"/>
      <c r="DF219" s="2088"/>
      <c r="DG219" s="2088"/>
      <c r="DH219" s="2088"/>
      <c r="DI219" s="2088"/>
      <c r="DJ219" s="2088"/>
      <c r="DK219" s="2088"/>
      <c r="DL219" s="2088"/>
      <c r="DM219" s="2088"/>
      <c r="DN219" s="2088"/>
      <c r="DO219" s="2088"/>
      <c r="DP219" s="2088"/>
      <c r="DQ219" s="2088"/>
      <c r="DR219" s="2088"/>
      <c r="DS219" s="305"/>
      <c r="DT219" s="311"/>
    </row>
    <row r="220" spans="2:124" ht="6" customHeight="1">
      <c r="B220" s="319"/>
      <c r="C220" s="19"/>
      <c r="D220" s="20"/>
      <c r="E220" s="20"/>
      <c r="F220" s="20"/>
      <c r="G220" s="20"/>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305"/>
      <c r="AG220" s="305"/>
      <c r="AH220" s="305"/>
      <c r="AI220" s="305"/>
      <c r="AJ220" s="305"/>
      <c r="AK220" s="305"/>
      <c r="AL220" s="305"/>
      <c r="AM220" s="305"/>
      <c r="AN220" s="305"/>
      <c r="AO220" s="305"/>
      <c r="AP220" s="305"/>
      <c r="AQ220" s="305"/>
      <c r="AR220" s="305"/>
      <c r="AS220" s="305"/>
      <c r="AT220" s="305"/>
      <c r="AU220" s="305"/>
      <c r="AV220" s="305"/>
      <c r="AW220" s="305"/>
      <c r="AX220" s="305"/>
      <c r="AY220" s="305"/>
      <c r="AZ220" s="305"/>
      <c r="BA220" s="305"/>
      <c r="BB220" s="305"/>
      <c r="BC220" s="305"/>
      <c r="BD220" s="305"/>
      <c r="BE220" s="305"/>
      <c r="BF220" s="305"/>
      <c r="BG220" s="305"/>
      <c r="BH220" s="305"/>
      <c r="BI220" s="305"/>
      <c r="BJ220" s="305"/>
      <c r="BK220" s="305"/>
      <c r="BL220" s="305"/>
      <c r="BM220" s="305"/>
      <c r="BN220" s="305"/>
      <c r="BO220" s="305"/>
      <c r="BP220" s="305"/>
      <c r="BQ220" s="305"/>
      <c r="BR220" s="305"/>
      <c r="BS220" s="305"/>
      <c r="BT220" s="305"/>
      <c r="BU220" s="305"/>
      <c r="BV220" s="305"/>
      <c r="BW220" s="305"/>
      <c r="BX220" s="305"/>
      <c r="BY220" s="305"/>
      <c r="BZ220" s="305"/>
      <c r="CA220" s="305"/>
      <c r="CB220" s="305"/>
      <c r="CC220" s="305"/>
      <c r="CD220" s="305"/>
      <c r="CE220" s="305"/>
      <c r="CF220" s="305"/>
      <c r="CG220" s="305"/>
      <c r="CH220" s="305"/>
      <c r="CI220" s="305"/>
      <c r="CJ220" s="305"/>
      <c r="CK220" s="305"/>
      <c r="CL220" s="305"/>
      <c r="CM220" s="305"/>
      <c r="CN220" s="305"/>
      <c r="CO220" s="305"/>
      <c r="CP220" s="305"/>
      <c r="CQ220" s="305"/>
      <c r="CR220" s="305"/>
      <c r="CS220" s="305"/>
      <c r="CT220" s="305"/>
      <c r="CU220" s="305"/>
      <c r="CV220" s="305"/>
      <c r="CW220" s="305"/>
      <c r="CX220" s="305"/>
      <c r="CY220" s="305"/>
      <c r="CZ220" s="305"/>
      <c r="DA220" s="305"/>
      <c r="DB220" s="305"/>
      <c r="DC220" s="305"/>
      <c r="DD220" s="305"/>
      <c r="DE220" s="305"/>
      <c r="DF220" s="305"/>
      <c r="DG220" s="305"/>
      <c r="DH220" s="305"/>
      <c r="DI220" s="305"/>
      <c r="DJ220" s="305"/>
      <c r="DK220" s="305"/>
      <c r="DL220" s="305"/>
      <c r="DM220" s="305"/>
      <c r="DN220" s="305"/>
      <c r="DO220" s="305"/>
      <c r="DP220" s="305"/>
      <c r="DQ220" s="305"/>
      <c r="DR220" s="325"/>
      <c r="DS220" s="305"/>
      <c r="DT220" s="311"/>
    </row>
    <row r="221" spans="2:124" ht="24.9" customHeight="1">
      <c r="B221" s="319"/>
      <c r="C221" s="1755" t="str">
        <f ca="1">INDIRECT($J$4&amp;"!C212")</f>
        <v>Products</v>
      </c>
      <c r="D221" s="1755"/>
      <c r="E221" s="1755"/>
      <c r="F221" s="1755"/>
      <c r="G221" s="1755"/>
      <c r="H221" s="1755"/>
      <c r="I221" s="1755"/>
      <c r="J221" s="1755"/>
      <c r="K221" s="1755"/>
      <c r="L221" s="1755"/>
      <c r="M221" s="1755"/>
      <c r="N221" s="1755"/>
      <c r="O221" s="1755"/>
      <c r="P221" s="1755"/>
      <c r="Q221" s="1755"/>
      <c r="R221" s="1970"/>
      <c r="S221" s="2099"/>
      <c r="T221" s="2099"/>
      <c r="U221" s="2099"/>
      <c r="V221" s="2099"/>
      <c r="W221" s="2099"/>
      <c r="X221" s="2099"/>
      <c r="Y221" s="23"/>
      <c r="Z221" s="23"/>
      <c r="AA221" s="23"/>
      <c r="AB221" s="23"/>
      <c r="AC221" s="23"/>
      <c r="AD221" s="23"/>
      <c r="AE221" s="23"/>
      <c r="AF221" s="305"/>
      <c r="AG221" s="305"/>
      <c r="AH221" s="305"/>
      <c r="AI221" s="305"/>
      <c r="AJ221" s="305"/>
      <c r="AK221" s="305"/>
      <c r="AL221" s="305"/>
      <c r="AM221" s="305"/>
      <c r="AN221" s="305"/>
      <c r="AO221" s="305"/>
      <c r="AP221" s="305"/>
      <c r="AQ221" s="305"/>
      <c r="AR221" s="305"/>
      <c r="AS221" s="305"/>
      <c r="AT221" s="305"/>
      <c r="AU221" s="305"/>
      <c r="AV221" s="305"/>
      <c r="AW221" s="305"/>
      <c r="AX221" s="305"/>
      <c r="AY221" s="305"/>
      <c r="AZ221" s="305"/>
      <c r="BA221" s="305"/>
      <c r="BB221" s="305"/>
      <c r="BC221" s="305"/>
      <c r="BD221" s="305"/>
      <c r="BE221" s="305"/>
      <c r="BF221" s="305"/>
      <c r="BG221" s="305"/>
      <c r="BH221" s="305"/>
      <c r="BI221" s="305"/>
      <c r="BJ221" s="305"/>
      <c r="BK221" s="305"/>
      <c r="BL221" s="305"/>
      <c r="BM221" s="305"/>
      <c r="BN221" s="305"/>
      <c r="BO221" s="305"/>
      <c r="BP221" s="305"/>
      <c r="BQ221" s="305"/>
      <c r="BR221" s="305"/>
      <c r="BS221" s="305"/>
      <c r="BT221" s="305"/>
      <c r="BU221" s="305"/>
      <c r="BV221" s="305"/>
      <c r="BW221" s="305"/>
      <c r="BX221" s="305"/>
      <c r="BY221" s="305"/>
      <c r="BZ221" s="305"/>
      <c r="CA221" s="305"/>
      <c r="CB221" s="305"/>
      <c r="CC221" s="305"/>
      <c r="CD221" s="305"/>
      <c r="CE221" s="305"/>
      <c r="CF221" s="305"/>
      <c r="CG221" s="305"/>
      <c r="CH221" s="305"/>
      <c r="CI221" s="305"/>
      <c r="CJ221" s="305"/>
      <c r="CK221" s="305"/>
      <c r="CL221" s="305"/>
      <c r="CM221" s="305"/>
      <c r="CN221" s="305"/>
      <c r="CO221" s="305"/>
      <c r="CP221" s="305"/>
      <c r="CQ221" s="305"/>
      <c r="CR221" s="305"/>
      <c r="CS221" s="305"/>
      <c r="CT221" s="305"/>
      <c r="CU221" s="305"/>
      <c r="CV221" s="305"/>
      <c r="CW221" s="305"/>
      <c r="CX221" s="305"/>
      <c r="CY221" s="305"/>
      <c r="CZ221" s="305"/>
      <c r="DA221" s="305"/>
      <c r="DB221" s="305"/>
      <c r="DC221" s="305"/>
      <c r="DD221" s="305"/>
      <c r="DE221" s="305"/>
      <c r="DF221" s="305"/>
      <c r="DG221" s="305"/>
      <c r="DH221" s="305"/>
      <c r="DI221" s="305"/>
      <c r="DJ221" s="305"/>
      <c r="DK221" s="305"/>
      <c r="DL221" s="305"/>
      <c r="DM221" s="305"/>
      <c r="DN221" s="305"/>
      <c r="DO221" s="305"/>
      <c r="DP221" s="305"/>
      <c r="DQ221" s="305"/>
      <c r="DR221" s="305"/>
      <c r="DS221" s="305"/>
      <c r="DT221" s="311"/>
    </row>
    <row r="222" spans="2:124" ht="6" customHeight="1">
      <c r="B222" s="319"/>
      <c r="C222" s="129"/>
      <c r="D222" s="129"/>
      <c r="E222" s="1007"/>
      <c r="F222" s="129"/>
      <c r="G222" s="129"/>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305"/>
      <c r="AG222" s="305"/>
      <c r="AH222" s="305"/>
      <c r="AI222" s="305"/>
      <c r="AJ222" s="305"/>
      <c r="AK222" s="305"/>
      <c r="AL222" s="305"/>
      <c r="AM222" s="305"/>
      <c r="AN222" s="305"/>
      <c r="AO222" s="305"/>
      <c r="AP222" s="305"/>
      <c r="AQ222" s="305"/>
      <c r="AR222" s="305"/>
      <c r="AS222" s="305"/>
      <c r="AT222" s="305"/>
      <c r="AU222" s="305"/>
      <c r="AV222" s="305"/>
      <c r="AW222" s="305"/>
      <c r="AX222" s="305"/>
      <c r="AY222" s="305"/>
      <c r="AZ222" s="305"/>
      <c r="BA222" s="305"/>
      <c r="BB222" s="305"/>
      <c r="BC222" s="305"/>
      <c r="BD222" s="305"/>
      <c r="BE222" s="305"/>
      <c r="BF222" s="305"/>
      <c r="BG222" s="305"/>
      <c r="BH222" s="305"/>
      <c r="BI222" s="305"/>
      <c r="BJ222" s="305"/>
      <c r="BK222" s="305"/>
      <c r="BL222" s="305"/>
      <c r="BM222" s="305"/>
      <c r="BN222" s="305"/>
      <c r="BO222" s="305"/>
      <c r="BP222" s="305"/>
      <c r="BQ222" s="305"/>
      <c r="BR222" s="305"/>
      <c r="BS222" s="305"/>
      <c r="BT222" s="305"/>
      <c r="BU222" s="305"/>
      <c r="BV222" s="305"/>
      <c r="BW222" s="305"/>
      <c r="BX222" s="305"/>
      <c r="BY222" s="305"/>
      <c r="BZ222" s="305"/>
      <c r="CA222" s="305"/>
      <c r="CB222" s="305"/>
      <c r="CC222" s="305"/>
      <c r="CD222" s="305"/>
      <c r="CE222" s="305"/>
      <c r="CF222" s="305"/>
      <c r="CG222" s="305"/>
      <c r="CH222" s="305"/>
      <c r="CI222" s="305"/>
      <c r="CJ222" s="305"/>
      <c r="CK222" s="305"/>
      <c r="CL222" s="305"/>
      <c r="CM222" s="305"/>
      <c r="CN222" s="305"/>
      <c r="CO222" s="305"/>
      <c r="CP222" s="305"/>
      <c r="CQ222" s="305"/>
      <c r="CR222" s="305"/>
      <c r="CS222" s="305"/>
      <c r="CT222" s="305"/>
      <c r="CU222" s="305"/>
      <c r="CV222" s="305"/>
      <c r="CW222" s="305"/>
      <c r="CX222" s="305"/>
      <c r="CY222" s="305"/>
      <c r="CZ222" s="305"/>
      <c r="DA222" s="305"/>
      <c r="DB222" s="305"/>
      <c r="DC222" s="305"/>
      <c r="DD222" s="305"/>
      <c r="DE222" s="305"/>
      <c r="DF222" s="305"/>
      <c r="DG222" s="305"/>
      <c r="DH222" s="305"/>
      <c r="DI222" s="305"/>
      <c r="DJ222" s="305"/>
      <c r="DK222" s="305"/>
      <c r="DL222" s="305"/>
      <c r="DM222" s="305"/>
      <c r="DN222" s="305"/>
      <c r="DO222" s="305"/>
      <c r="DP222" s="305"/>
      <c r="DQ222" s="305"/>
      <c r="DR222" s="325"/>
      <c r="DS222" s="305"/>
      <c r="DT222" s="311"/>
    </row>
    <row r="223" spans="2:124" ht="24.9" customHeight="1">
      <c r="B223" s="319"/>
      <c r="C223" s="129"/>
      <c r="D223" s="1932" t="str">
        <f ca="1">INDIRECT($J$4&amp;"!C210")</f>
        <v>Concerned products</v>
      </c>
      <c r="E223" s="1932"/>
      <c r="F223" s="1932"/>
      <c r="G223" s="1932"/>
      <c r="H223" s="1932"/>
      <c r="I223" s="1932"/>
      <c r="J223" s="1932"/>
      <c r="K223" s="1932"/>
      <c r="L223" s="1932"/>
      <c r="M223" s="1932"/>
      <c r="N223" s="1932"/>
      <c r="O223" s="1932"/>
      <c r="P223" s="1932"/>
      <c r="Q223" s="1932"/>
      <c r="R223" s="1932"/>
      <c r="S223" s="1932"/>
      <c r="T223" s="1932"/>
      <c r="U223" s="1932"/>
      <c r="V223" s="1932"/>
      <c r="W223" s="1932"/>
      <c r="X223" s="1932"/>
      <c r="Y223" s="1932" t="str">
        <f ca="1">INDIRECT($J$4&amp;"!C80")</f>
        <v>Action</v>
      </c>
      <c r="Z223" s="1932"/>
      <c r="AA223" s="1932"/>
      <c r="AB223" s="1932"/>
      <c r="AC223" s="1932"/>
      <c r="AD223" s="1932"/>
      <c r="AE223" s="1932"/>
      <c r="AF223" s="1932"/>
      <c r="AG223" s="1932"/>
      <c r="AH223" s="1932"/>
      <c r="AI223" s="1932"/>
      <c r="AJ223" s="1932"/>
      <c r="AK223" s="1932"/>
      <c r="AL223" s="1932"/>
      <c r="AM223" s="1932"/>
      <c r="AN223" s="1932"/>
      <c r="AO223" s="1932"/>
      <c r="AP223" s="1932"/>
      <c r="AQ223" s="1932"/>
      <c r="AR223" s="1932"/>
      <c r="AS223" s="1932"/>
      <c r="AT223" s="1932"/>
      <c r="AU223" s="1932"/>
      <c r="AV223" s="1932"/>
      <c r="AW223" s="1932"/>
      <c r="AX223" s="1932"/>
      <c r="AY223" s="1932"/>
      <c r="AZ223" s="1932"/>
      <c r="BA223" s="1932"/>
      <c r="BB223" s="1932"/>
      <c r="BC223" s="1932"/>
      <c r="BD223" s="1932"/>
      <c r="BE223" s="1932"/>
      <c r="BF223" s="1932"/>
      <c r="BG223" s="1932"/>
      <c r="BH223" s="1932"/>
      <c r="BI223" s="1932"/>
      <c r="BJ223" s="1932"/>
      <c r="BK223" s="1932"/>
      <c r="BL223" s="1932"/>
      <c r="BM223" s="1932"/>
      <c r="BN223" s="1932"/>
      <c r="BO223" s="1932"/>
      <c r="BP223" s="1932"/>
      <c r="BQ223" s="1932"/>
      <c r="BR223" s="1932"/>
      <c r="BS223" s="1932"/>
      <c r="BT223" s="1932"/>
      <c r="BU223" s="1932"/>
      <c r="BV223" s="1932"/>
      <c r="BW223" s="1932"/>
      <c r="BX223" s="1932"/>
      <c r="BY223" s="1932"/>
      <c r="BZ223" s="1932"/>
      <c r="CA223" s="1932"/>
      <c r="CB223" s="1932"/>
      <c r="CC223" s="1932"/>
      <c r="CD223" s="1932"/>
      <c r="CE223" s="1932"/>
      <c r="CF223" s="1932"/>
      <c r="CG223" s="1932"/>
      <c r="CH223" s="1932"/>
      <c r="CI223" s="1932"/>
      <c r="CJ223" s="1932"/>
      <c r="CK223" s="1932"/>
      <c r="CL223" s="1932"/>
      <c r="CM223" s="1932"/>
      <c r="CN223" s="1932"/>
      <c r="CO223" s="1761" t="str">
        <f ca="1">INDIRECT($J$4&amp;"!C83")</f>
        <v>Responsible</v>
      </c>
      <c r="CP223" s="1762"/>
      <c r="CQ223" s="1762"/>
      <c r="CR223" s="1762"/>
      <c r="CS223" s="1762"/>
      <c r="CT223" s="1762"/>
      <c r="CU223" s="1762"/>
      <c r="CV223" s="1762"/>
      <c r="CW223" s="1762"/>
      <c r="CX223" s="1762"/>
      <c r="CY223" s="1762"/>
      <c r="CZ223" s="1762"/>
      <c r="DA223" s="1763"/>
      <c r="DB223" s="2100" t="str">
        <f ca="1">INDIRECT($J$4&amp;"!C211")&amp;" - "&amp; INDIRECT($J$4&amp;"!C69")</f>
        <v>E-mail sent to responsible - Date</v>
      </c>
      <c r="DC223" s="2101"/>
      <c r="DD223" s="2101"/>
      <c r="DE223" s="2101"/>
      <c r="DF223" s="2101"/>
      <c r="DG223" s="2101"/>
      <c r="DH223" s="2101"/>
      <c r="DI223" s="2101"/>
      <c r="DJ223" s="2101"/>
      <c r="DK223" s="2101"/>
      <c r="DL223" s="2101"/>
      <c r="DM223" s="2101"/>
      <c r="DN223" s="2101"/>
      <c r="DO223" s="2101"/>
      <c r="DP223" s="2101"/>
      <c r="DQ223" s="2101"/>
      <c r="DR223" s="2102"/>
      <c r="DS223" s="305"/>
      <c r="DT223" s="311"/>
    </row>
    <row r="224" spans="2:124" ht="24.9" customHeight="1">
      <c r="B224" s="319"/>
      <c r="C224" s="129"/>
      <c r="D224" s="2085"/>
      <c r="E224" s="2085"/>
      <c r="F224" s="2085"/>
      <c r="G224" s="2085"/>
      <c r="H224" s="2085"/>
      <c r="I224" s="2085"/>
      <c r="J224" s="2085"/>
      <c r="K224" s="2085"/>
      <c r="L224" s="2085"/>
      <c r="M224" s="2085"/>
      <c r="N224" s="2085"/>
      <c r="O224" s="2085"/>
      <c r="P224" s="2085"/>
      <c r="Q224" s="2085"/>
      <c r="R224" s="2085"/>
      <c r="S224" s="2085"/>
      <c r="T224" s="2085"/>
      <c r="U224" s="2085"/>
      <c r="V224" s="2085"/>
      <c r="W224" s="2085"/>
      <c r="X224" s="2085"/>
      <c r="Y224" s="2086"/>
      <c r="Z224" s="2086"/>
      <c r="AA224" s="2086"/>
      <c r="AB224" s="2086"/>
      <c r="AC224" s="2086"/>
      <c r="AD224" s="2086"/>
      <c r="AE224" s="2086"/>
      <c r="AF224" s="2086"/>
      <c r="AG224" s="2086"/>
      <c r="AH224" s="2086"/>
      <c r="AI224" s="2086"/>
      <c r="AJ224" s="2086"/>
      <c r="AK224" s="2086"/>
      <c r="AL224" s="2086"/>
      <c r="AM224" s="2086"/>
      <c r="AN224" s="2086"/>
      <c r="AO224" s="2086"/>
      <c r="AP224" s="2086"/>
      <c r="AQ224" s="2086"/>
      <c r="AR224" s="2086"/>
      <c r="AS224" s="2086"/>
      <c r="AT224" s="2086"/>
      <c r="AU224" s="2086"/>
      <c r="AV224" s="2086"/>
      <c r="AW224" s="2086"/>
      <c r="AX224" s="2086"/>
      <c r="AY224" s="2086"/>
      <c r="AZ224" s="2086"/>
      <c r="BA224" s="2086"/>
      <c r="BB224" s="2086"/>
      <c r="BC224" s="2086"/>
      <c r="BD224" s="2086"/>
      <c r="BE224" s="2086"/>
      <c r="BF224" s="2086"/>
      <c r="BG224" s="2086"/>
      <c r="BH224" s="2086"/>
      <c r="BI224" s="2086"/>
      <c r="BJ224" s="2086"/>
      <c r="BK224" s="2086"/>
      <c r="BL224" s="2086"/>
      <c r="BM224" s="2086"/>
      <c r="BN224" s="2086"/>
      <c r="BO224" s="2086"/>
      <c r="BP224" s="2086"/>
      <c r="BQ224" s="2086"/>
      <c r="BR224" s="2086"/>
      <c r="BS224" s="2086"/>
      <c r="BT224" s="2086"/>
      <c r="BU224" s="2086"/>
      <c r="BV224" s="2086"/>
      <c r="BW224" s="2086"/>
      <c r="BX224" s="2086"/>
      <c r="BY224" s="2086"/>
      <c r="BZ224" s="2086"/>
      <c r="CA224" s="2086"/>
      <c r="CB224" s="2086"/>
      <c r="CC224" s="2086"/>
      <c r="CD224" s="2086"/>
      <c r="CE224" s="2086"/>
      <c r="CF224" s="2086"/>
      <c r="CG224" s="2086"/>
      <c r="CH224" s="2086"/>
      <c r="CI224" s="2086"/>
      <c r="CJ224" s="2086"/>
      <c r="CK224" s="2086"/>
      <c r="CL224" s="2086"/>
      <c r="CM224" s="2086"/>
      <c r="CN224" s="2086"/>
      <c r="CO224" s="2087"/>
      <c r="CP224" s="2087"/>
      <c r="CQ224" s="2087"/>
      <c r="CR224" s="2087"/>
      <c r="CS224" s="2087"/>
      <c r="CT224" s="2087"/>
      <c r="CU224" s="2087"/>
      <c r="CV224" s="2087"/>
      <c r="CW224" s="2087"/>
      <c r="CX224" s="2087"/>
      <c r="CY224" s="2087"/>
      <c r="CZ224" s="2087"/>
      <c r="DA224" s="2087"/>
      <c r="DB224" s="2088"/>
      <c r="DC224" s="2088"/>
      <c r="DD224" s="2088"/>
      <c r="DE224" s="2088"/>
      <c r="DF224" s="2088"/>
      <c r="DG224" s="2088"/>
      <c r="DH224" s="2088"/>
      <c r="DI224" s="2088"/>
      <c r="DJ224" s="2088"/>
      <c r="DK224" s="2088"/>
      <c r="DL224" s="2088"/>
      <c r="DM224" s="2088"/>
      <c r="DN224" s="2088"/>
      <c r="DO224" s="2088"/>
      <c r="DP224" s="2088"/>
      <c r="DQ224" s="2088"/>
      <c r="DR224" s="2088"/>
      <c r="DS224" s="305"/>
      <c r="DT224" s="311"/>
    </row>
    <row r="225" spans="1:124" ht="24.9" customHeight="1">
      <c r="B225" s="319"/>
      <c r="C225" s="129"/>
      <c r="D225" s="2085"/>
      <c r="E225" s="2085"/>
      <c r="F225" s="2085"/>
      <c r="G225" s="2085"/>
      <c r="H225" s="2085"/>
      <c r="I225" s="2085"/>
      <c r="J225" s="2085"/>
      <c r="K225" s="2085"/>
      <c r="L225" s="2085"/>
      <c r="M225" s="2085"/>
      <c r="N225" s="2085"/>
      <c r="O225" s="2085"/>
      <c r="P225" s="2085"/>
      <c r="Q225" s="2085"/>
      <c r="R225" s="2085"/>
      <c r="S225" s="2085"/>
      <c r="T225" s="2085"/>
      <c r="U225" s="2085"/>
      <c r="V225" s="2085"/>
      <c r="W225" s="2085"/>
      <c r="X225" s="2085"/>
      <c r="Y225" s="2086"/>
      <c r="Z225" s="2086"/>
      <c r="AA225" s="2086"/>
      <c r="AB225" s="2086"/>
      <c r="AC225" s="2086"/>
      <c r="AD225" s="2086"/>
      <c r="AE225" s="2086"/>
      <c r="AF225" s="2086"/>
      <c r="AG225" s="2086"/>
      <c r="AH225" s="2086"/>
      <c r="AI225" s="2086"/>
      <c r="AJ225" s="2086"/>
      <c r="AK225" s="2086"/>
      <c r="AL225" s="2086"/>
      <c r="AM225" s="2086"/>
      <c r="AN225" s="2086"/>
      <c r="AO225" s="2086"/>
      <c r="AP225" s="2086"/>
      <c r="AQ225" s="2086"/>
      <c r="AR225" s="2086"/>
      <c r="AS225" s="2086"/>
      <c r="AT225" s="2086"/>
      <c r="AU225" s="2086"/>
      <c r="AV225" s="2086"/>
      <c r="AW225" s="2086"/>
      <c r="AX225" s="2086"/>
      <c r="AY225" s="2086"/>
      <c r="AZ225" s="2086"/>
      <c r="BA225" s="2086"/>
      <c r="BB225" s="2086"/>
      <c r="BC225" s="2086"/>
      <c r="BD225" s="2086"/>
      <c r="BE225" s="2086"/>
      <c r="BF225" s="2086"/>
      <c r="BG225" s="2086"/>
      <c r="BH225" s="2086"/>
      <c r="BI225" s="2086"/>
      <c r="BJ225" s="2086"/>
      <c r="BK225" s="2086"/>
      <c r="BL225" s="2086"/>
      <c r="BM225" s="2086"/>
      <c r="BN225" s="2086"/>
      <c r="BO225" s="2086"/>
      <c r="BP225" s="2086"/>
      <c r="BQ225" s="2086"/>
      <c r="BR225" s="2086"/>
      <c r="BS225" s="2086"/>
      <c r="BT225" s="2086"/>
      <c r="BU225" s="2086"/>
      <c r="BV225" s="2086"/>
      <c r="BW225" s="2086"/>
      <c r="BX225" s="2086"/>
      <c r="BY225" s="2086"/>
      <c r="BZ225" s="2086"/>
      <c r="CA225" s="2086"/>
      <c r="CB225" s="2086"/>
      <c r="CC225" s="2086"/>
      <c r="CD225" s="2086"/>
      <c r="CE225" s="2086"/>
      <c r="CF225" s="2086"/>
      <c r="CG225" s="2086"/>
      <c r="CH225" s="2086"/>
      <c r="CI225" s="2086"/>
      <c r="CJ225" s="2086"/>
      <c r="CK225" s="2086"/>
      <c r="CL225" s="2086"/>
      <c r="CM225" s="2086"/>
      <c r="CN225" s="2086"/>
      <c r="CO225" s="2087"/>
      <c r="CP225" s="2087"/>
      <c r="CQ225" s="2087"/>
      <c r="CR225" s="2087"/>
      <c r="CS225" s="2087"/>
      <c r="CT225" s="2087"/>
      <c r="CU225" s="2087"/>
      <c r="CV225" s="2087"/>
      <c r="CW225" s="2087"/>
      <c r="CX225" s="2087"/>
      <c r="CY225" s="2087"/>
      <c r="CZ225" s="2087"/>
      <c r="DA225" s="2087"/>
      <c r="DB225" s="2088"/>
      <c r="DC225" s="2088"/>
      <c r="DD225" s="2088"/>
      <c r="DE225" s="2088"/>
      <c r="DF225" s="2088"/>
      <c r="DG225" s="2088"/>
      <c r="DH225" s="2088"/>
      <c r="DI225" s="2088"/>
      <c r="DJ225" s="2088"/>
      <c r="DK225" s="2088"/>
      <c r="DL225" s="2088"/>
      <c r="DM225" s="2088"/>
      <c r="DN225" s="2088"/>
      <c r="DO225" s="2088"/>
      <c r="DP225" s="2088"/>
      <c r="DQ225" s="2088"/>
      <c r="DR225" s="2088"/>
      <c r="DS225" s="305"/>
      <c r="DT225" s="311"/>
    </row>
    <row r="226" spans="1:124" ht="24.9" customHeight="1">
      <c r="B226" s="319"/>
      <c r="C226" s="129"/>
      <c r="D226" s="2085"/>
      <c r="E226" s="2085"/>
      <c r="F226" s="2085"/>
      <c r="G226" s="2085"/>
      <c r="H226" s="2085"/>
      <c r="I226" s="2085"/>
      <c r="J226" s="2085"/>
      <c r="K226" s="2085"/>
      <c r="L226" s="2085"/>
      <c r="M226" s="2085"/>
      <c r="N226" s="2085"/>
      <c r="O226" s="2085"/>
      <c r="P226" s="2085"/>
      <c r="Q226" s="2085"/>
      <c r="R226" s="2085"/>
      <c r="S226" s="2085"/>
      <c r="T226" s="2085"/>
      <c r="U226" s="2085"/>
      <c r="V226" s="2085"/>
      <c r="W226" s="2085"/>
      <c r="X226" s="2085"/>
      <c r="Y226" s="2086"/>
      <c r="Z226" s="2086"/>
      <c r="AA226" s="2086"/>
      <c r="AB226" s="2086"/>
      <c r="AC226" s="2086"/>
      <c r="AD226" s="2086"/>
      <c r="AE226" s="2086"/>
      <c r="AF226" s="2086"/>
      <c r="AG226" s="2086"/>
      <c r="AH226" s="2086"/>
      <c r="AI226" s="2086"/>
      <c r="AJ226" s="2086"/>
      <c r="AK226" s="2086"/>
      <c r="AL226" s="2086"/>
      <c r="AM226" s="2086"/>
      <c r="AN226" s="2086"/>
      <c r="AO226" s="2086"/>
      <c r="AP226" s="2086"/>
      <c r="AQ226" s="2086"/>
      <c r="AR226" s="2086"/>
      <c r="AS226" s="2086"/>
      <c r="AT226" s="2086"/>
      <c r="AU226" s="2086"/>
      <c r="AV226" s="2086"/>
      <c r="AW226" s="2086"/>
      <c r="AX226" s="2086"/>
      <c r="AY226" s="2086"/>
      <c r="AZ226" s="2086"/>
      <c r="BA226" s="2086"/>
      <c r="BB226" s="2086"/>
      <c r="BC226" s="2086"/>
      <c r="BD226" s="2086"/>
      <c r="BE226" s="2086"/>
      <c r="BF226" s="2086"/>
      <c r="BG226" s="2086"/>
      <c r="BH226" s="2086"/>
      <c r="BI226" s="2086"/>
      <c r="BJ226" s="2086"/>
      <c r="BK226" s="2086"/>
      <c r="BL226" s="2086"/>
      <c r="BM226" s="2086"/>
      <c r="BN226" s="2086"/>
      <c r="BO226" s="2086"/>
      <c r="BP226" s="2086"/>
      <c r="BQ226" s="2086"/>
      <c r="BR226" s="2086"/>
      <c r="BS226" s="2086"/>
      <c r="BT226" s="2086"/>
      <c r="BU226" s="2086"/>
      <c r="BV226" s="2086"/>
      <c r="BW226" s="2086"/>
      <c r="BX226" s="2086"/>
      <c r="BY226" s="2086"/>
      <c r="BZ226" s="2086"/>
      <c r="CA226" s="2086"/>
      <c r="CB226" s="2086"/>
      <c r="CC226" s="2086"/>
      <c r="CD226" s="2086"/>
      <c r="CE226" s="2086"/>
      <c r="CF226" s="2086"/>
      <c r="CG226" s="2086"/>
      <c r="CH226" s="2086"/>
      <c r="CI226" s="2086"/>
      <c r="CJ226" s="2086"/>
      <c r="CK226" s="2086"/>
      <c r="CL226" s="2086"/>
      <c r="CM226" s="2086"/>
      <c r="CN226" s="2086"/>
      <c r="CO226" s="2087"/>
      <c r="CP226" s="2087"/>
      <c r="CQ226" s="2087"/>
      <c r="CR226" s="2087"/>
      <c r="CS226" s="2087"/>
      <c r="CT226" s="2087"/>
      <c r="CU226" s="2087"/>
      <c r="CV226" s="2087"/>
      <c r="CW226" s="2087"/>
      <c r="CX226" s="2087"/>
      <c r="CY226" s="2087"/>
      <c r="CZ226" s="2087"/>
      <c r="DA226" s="2087"/>
      <c r="DB226" s="2088"/>
      <c r="DC226" s="2088"/>
      <c r="DD226" s="2088"/>
      <c r="DE226" s="2088"/>
      <c r="DF226" s="2088"/>
      <c r="DG226" s="2088"/>
      <c r="DH226" s="2088"/>
      <c r="DI226" s="2088"/>
      <c r="DJ226" s="2088"/>
      <c r="DK226" s="2088"/>
      <c r="DL226" s="2088"/>
      <c r="DM226" s="2088"/>
      <c r="DN226" s="2088"/>
      <c r="DO226" s="2088"/>
      <c r="DP226" s="2088"/>
      <c r="DQ226" s="2088"/>
      <c r="DR226" s="2088"/>
      <c r="DS226" s="305"/>
      <c r="DT226" s="311"/>
    </row>
    <row r="227" spans="1:124" ht="6" customHeight="1">
      <c r="B227" s="319"/>
      <c r="C227" s="129"/>
      <c r="D227" s="23"/>
      <c r="E227" s="23"/>
      <c r="F227" s="23"/>
      <c r="G227" s="23"/>
      <c r="H227" s="23"/>
      <c r="I227" s="23"/>
      <c r="J227" s="23"/>
      <c r="K227" s="23"/>
      <c r="L227" s="23"/>
      <c r="M227" s="23"/>
      <c r="N227" s="23"/>
      <c r="O227" s="23"/>
      <c r="P227" s="23"/>
      <c r="Q227" s="23"/>
      <c r="R227" s="23"/>
      <c r="S227" s="23"/>
      <c r="T227" s="23"/>
      <c r="U227" s="23"/>
      <c r="W227" s="305"/>
      <c r="X227" s="305"/>
      <c r="Y227" s="305"/>
      <c r="Z227" s="305"/>
      <c r="AA227" s="305"/>
      <c r="AB227" s="305"/>
      <c r="AC227" s="23"/>
      <c r="AD227" s="23"/>
      <c r="AE227" s="23"/>
      <c r="AF227" s="305"/>
      <c r="AG227" s="305"/>
      <c r="AH227" s="305"/>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305"/>
      <c r="BH227" s="305"/>
      <c r="BI227" s="305"/>
      <c r="BJ227" s="305"/>
      <c r="BK227" s="305"/>
      <c r="BL227" s="305"/>
      <c r="BM227" s="305"/>
      <c r="BN227" s="305"/>
      <c r="BO227" s="305"/>
      <c r="BP227" s="305"/>
      <c r="BQ227" s="305"/>
      <c r="BR227" s="305"/>
      <c r="BS227" s="305"/>
      <c r="BT227" s="305"/>
      <c r="BU227" s="305"/>
      <c r="BV227" s="305"/>
      <c r="BW227" s="305"/>
      <c r="BX227" s="305"/>
      <c r="BY227" s="305"/>
      <c r="BZ227" s="305"/>
      <c r="CA227" s="305"/>
      <c r="CB227" s="305"/>
      <c r="CC227" s="305"/>
      <c r="CD227" s="305"/>
      <c r="CE227" s="305"/>
      <c r="CF227" s="305"/>
      <c r="CG227" s="305"/>
      <c r="CH227" s="305"/>
      <c r="CI227" s="305"/>
      <c r="CJ227" s="305"/>
      <c r="CK227" s="305"/>
      <c r="CL227" s="305"/>
      <c r="CM227" s="305"/>
      <c r="CN227" s="305"/>
      <c r="CO227" s="305"/>
      <c r="CP227" s="305"/>
      <c r="CQ227" s="305"/>
      <c r="CR227" s="305"/>
      <c r="CS227" s="305"/>
      <c r="CT227" s="305"/>
      <c r="CU227" s="305"/>
      <c r="CV227" s="305"/>
      <c r="CW227" s="305"/>
      <c r="CX227" s="305"/>
      <c r="CY227" s="305"/>
      <c r="CZ227" s="305"/>
      <c r="DA227" s="305"/>
      <c r="DB227" s="305"/>
      <c r="DC227" s="305"/>
      <c r="DD227" s="305"/>
      <c r="DE227" s="305"/>
      <c r="DF227" s="305"/>
      <c r="DG227" s="305"/>
      <c r="DH227" s="305"/>
      <c r="DI227" s="305"/>
      <c r="DJ227" s="305"/>
      <c r="DK227" s="305"/>
      <c r="DL227" s="305"/>
      <c r="DM227" s="305"/>
      <c r="DN227" s="305"/>
      <c r="DO227" s="305"/>
      <c r="DP227" s="305"/>
      <c r="DQ227" s="305"/>
      <c r="DR227" s="325"/>
      <c r="DS227" s="305"/>
      <c r="DT227" s="311"/>
    </row>
    <row r="228" spans="1:124" ht="6" customHeight="1" thickBot="1">
      <c r="B228" s="322"/>
      <c r="C228" s="323"/>
      <c r="D228" s="323"/>
      <c r="E228" s="323"/>
      <c r="F228" s="323"/>
      <c r="G228" s="323"/>
      <c r="H228" s="323"/>
      <c r="I228" s="323"/>
      <c r="J228" s="323"/>
      <c r="K228" s="323"/>
      <c r="L228" s="323"/>
      <c r="M228" s="323"/>
      <c r="N228" s="323"/>
      <c r="O228" s="323"/>
      <c r="P228" s="323"/>
      <c r="Q228" s="323"/>
      <c r="R228" s="323"/>
      <c r="S228" s="323"/>
      <c r="T228" s="323"/>
      <c r="U228" s="323"/>
      <c r="V228" s="323"/>
      <c r="W228" s="323"/>
      <c r="X228" s="323"/>
      <c r="Y228" s="323"/>
      <c r="Z228" s="323"/>
      <c r="AA228" s="323"/>
      <c r="AB228" s="323"/>
      <c r="AC228" s="323"/>
      <c r="AD228" s="323"/>
      <c r="AE228" s="323"/>
      <c r="AF228" s="323"/>
      <c r="AG228" s="323"/>
      <c r="AH228" s="323"/>
      <c r="AI228" s="323"/>
      <c r="AJ228" s="323"/>
      <c r="AK228" s="323"/>
      <c r="AL228" s="323"/>
      <c r="AM228" s="323"/>
      <c r="AN228" s="323"/>
      <c r="AO228" s="323"/>
      <c r="AP228" s="323"/>
      <c r="AQ228" s="323"/>
      <c r="AR228" s="323"/>
      <c r="AS228" s="323"/>
      <c r="AT228" s="323"/>
      <c r="AU228" s="323"/>
      <c r="AV228" s="323"/>
      <c r="AW228" s="323"/>
      <c r="AX228" s="323"/>
      <c r="AY228" s="323"/>
      <c r="AZ228" s="323"/>
      <c r="BA228" s="323"/>
      <c r="BB228" s="323"/>
      <c r="BC228" s="323"/>
      <c r="BD228" s="323"/>
      <c r="BE228" s="323"/>
      <c r="BF228" s="323"/>
      <c r="BG228" s="323"/>
      <c r="BH228" s="323"/>
      <c r="BI228" s="323"/>
      <c r="BJ228" s="323"/>
      <c r="BK228" s="323"/>
      <c r="BL228" s="323"/>
      <c r="BM228" s="323"/>
      <c r="BN228" s="323"/>
      <c r="BO228" s="323"/>
      <c r="BP228" s="323"/>
      <c r="BQ228" s="323"/>
      <c r="BR228" s="323"/>
      <c r="BS228" s="323"/>
      <c r="BT228" s="323"/>
      <c r="BU228" s="323"/>
      <c r="BV228" s="323"/>
      <c r="BW228" s="323"/>
      <c r="BX228" s="323"/>
      <c r="BY228" s="323"/>
      <c r="BZ228" s="323"/>
      <c r="CA228" s="323"/>
      <c r="CB228" s="323"/>
      <c r="CC228" s="323"/>
      <c r="CD228" s="323"/>
      <c r="CE228" s="323"/>
      <c r="CF228" s="323"/>
      <c r="CG228" s="323"/>
      <c r="CH228" s="323"/>
      <c r="CI228" s="323"/>
      <c r="CJ228" s="323"/>
      <c r="CK228" s="323"/>
      <c r="CL228" s="323"/>
      <c r="CM228" s="323"/>
      <c r="CN228" s="323"/>
      <c r="CO228" s="323"/>
      <c r="CP228" s="323"/>
      <c r="CQ228" s="323"/>
      <c r="CR228" s="323"/>
      <c r="CS228" s="323"/>
      <c r="CT228" s="323"/>
      <c r="CU228" s="323"/>
      <c r="CV228" s="323"/>
      <c r="CW228" s="323"/>
      <c r="CX228" s="323"/>
      <c r="CY228" s="323"/>
      <c r="CZ228" s="323"/>
      <c r="DA228" s="323"/>
      <c r="DB228" s="323"/>
      <c r="DC228" s="323"/>
      <c r="DD228" s="323"/>
      <c r="DE228" s="323"/>
      <c r="DF228" s="323"/>
      <c r="DG228" s="323"/>
      <c r="DH228" s="323"/>
      <c r="DI228" s="323"/>
      <c r="DJ228" s="323"/>
      <c r="DK228" s="323"/>
      <c r="DL228" s="323"/>
      <c r="DM228" s="323"/>
      <c r="DN228" s="323"/>
      <c r="DO228" s="323"/>
      <c r="DP228" s="323"/>
      <c r="DQ228" s="323"/>
      <c r="DR228" s="323"/>
      <c r="DS228" s="323"/>
      <c r="DT228" s="324"/>
    </row>
    <row r="229" spans="1:124" ht="6" customHeight="1">
      <c r="B229" s="205"/>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c r="AA229" s="206"/>
      <c r="AB229" s="206"/>
      <c r="AC229" s="206"/>
      <c r="AD229" s="206"/>
      <c r="AE229" s="307"/>
      <c r="AF229" s="307"/>
      <c r="AG229" s="307"/>
      <c r="AH229" s="307"/>
      <c r="AI229" s="307"/>
      <c r="AJ229" s="307"/>
      <c r="AK229" s="307"/>
      <c r="AL229" s="307"/>
      <c r="AM229" s="307"/>
      <c r="AN229" s="307"/>
      <c r="AO229" s="307"/>
      <c r="AP229" s="307"/>
      <c r="AQ229" s="307"/>
      <c r="AR229" s="307"/>
      <c r="AS229" s="307"/>
      <c r="AT229" s="307"/>
      <c r="AU229" s="307"/>
      <c r="AV229" s="307"/>
      <c r="AW229" s="307"/>
      <c r="AX229" s="307"/>
      <c r="AY229" s="307"/>
      <c r="AZ229" s="307"/>
      <c r="BA229" s="307"/>
      <c r="BB229" s="307"/>
      <c r="BC229" s="307"/>
      <c r="BD229" s="307"/>
      <c r="BE229" s="307"/>
      <c r="BF229" s="307"/>
      <c r="BG229" s="307"/>
      <c r="BH229" s="307"/>
      <c r="BI229" s="307"/>
      <c r="BJ229" s="307"/>
      <c r="BK229" s="307"/>
      <c r="BL229" s="307"/>
      <c r="BM229" s="307"/>
      <c r="BN229" s="307"/>
      <c r="BO229" s="307"/>
      <c r="BP229" s="307"/>
      <c r="BQ229" s="307"/>
      <c r="BR229" s="307"/>
      <c r="BS229" s="307"/>
      <c r="BT229" s="307"/>
      <c r="BU229" s="307"/>
      <c r="BV229" s="307"/>
      <c r="BW229" s="307"/>
      <c r="BX229" s="307"/>
      <c r="BY229" s="307"/>
      <c r="BZ229" s="307"/>
      <c r="CA229" s="307"/>
      <c r="CB229" s="307"/>
      <c r="CC229" s="307"/>
      <c r="CD229" s="307"/>
      <c r="CE229" s="307"/>
      <c r="CF229" s="307"/>
      <c r="CG229" s="307"/>
      <c r="CH229" s="307"/>
      <c r="CI229" s="307"/>
      <c r="CJ229" s="307"/>
      <c r="CK229" s="307"/>
      <c r="CL229" s="307"/>
      <c r="CM229" s="307"/>
      <c r="CN229" s="307"/>
      <c r="CO229" s="307"/>
      <c r="CP229" s="307"/>
      <c r="CQ229" s="307"/>
      <c r="CR229" s="307"/>
      <c r="CS229" s="307"/>
      <c r="CT229" s="307"/>
      <c r="CU229" s="307"/>
      <c r="CV229" s="307"/>
      <c r="CW229" s="307"/>
      <c r="CX229" s="307"/>
      <c r="CY229" s="307"/>
      <c r="CZ229" s="307"/>
      <c r="DA229" s="307"/>
      <c r="DB229" s="307"/>
      <c r="DC229" s="307"/>
      <c r="DD229" s="307"/>
      <c r="DE229" s="307"/>
      <c r="DF229" s="307"/>
      <c r="DG229" s="307"/>
      <c r="DH229" s="307"/>
      <c r="DI229" s="307"/>
      <c r="DJ229" s="307"/>
      <c r="DK229" s="307"/>
      <c r="DL229" s="307"/>
      <c r="DM229" s="307"/>
      <c r="DN229" s="307"/>
      <c r="DO229" s="307"/>
      <c r="DP229" s="307"/>
      <c r="DQ229" s="307"/>
      <c r="DR229" s="307"/>
      <c r="DS229" s="307"/>
      <c r="DT229" s="308"/>
    </row>
    <row r="230" spans="1:124" ht="24.9" customHeight="1">
      <c r="B230" s="536" t="str">
        <f ca="1">INDIRECT($J$4&amp;"!C214")</f>
        <v>D8 - PSS closure</v>
      </c>
      <c r="C230" s="208"/>
      <c r="D230" s="208"/>
      <c r="E230" s="208"/>
      <c r="F230" s="208"/>
      <c r="G230" s="208"/>
      <c r="H230" s="208"/>
      <c r="I230" s="208"/>
      <c r="J230" s="208"/>
      <c r="K230" s="208"/>
      <c r="L230" s="208"/>
      <c r="M230" s="208"/>
      <c r="N230" s="208"/>
      <c r="O230" s="208"/>
      <c r="P230" s="208"/>
      <c r="Q230" s="208"/>
      <c r="R230" s="208"/>
      <c r="S230" s="208"/>
      <c r="T230" s="208"/>
      <c r="U230" s="309"/>
      <c r="V230" s="208"/>
      <c r="W230" s="208"/>
      <c r="X230" s="208"/>
      <c r="Y230" s="208"/>
      <c r="Z230" s="208"/>
      <c r="AA230" s="208"/>
      <c r="AB230" s="208"/>
      <c r="AC230" s="208"/>
      <c r="AD230" s="208"/>
      <c r="AE230" s="310"/>
      <c r="AF230" s="310"/>
      <c r="AG230" s="310"/>
      <c r="AH230" s="310"/>
      <c r="AI230" s="521"/>
      <c r="AJ230" s="310"/>
      <c r="AK230" s="310"/>
      <c r="AL230" s="310"/>
      <c r="AM230" s="310"/>
      <c r="AN230" s="310"/>
      <c r="AO230" s="310"/>
      <c r="AP230" s="310"/>
      <c r="AQ230" s="310"/>
      <c r="AR230" s="310"/>
      <c r="AS230" s="310"/>
      <c r="AT230" s="310"/>
      <c r="AU230" s="310"/>
      <c r="AV230" s="310"/>
      <c r="AW230" s="310"/>
      <c r="AX230" s="310"/>
      <c r="AY230" s="310"/>
      <c r="AZ230" s="310"/>
      <c r="BA230" s="310"/>
      <c r="BB230" s="310"/>
      <c r="BC230" s="310"/>
      <c r="BD230" s="310"/>
      <c r="BE230" s="310"/>
      <c r="BF230" s="521" t="str">
        <f ca="1">INDIRECT($J$4&amp;"!C217")&amp;":"</f>
        <v>Status of complaint:</v>
      </c>
      <c r="BG230" s="2089"/>
      <c r="BH230" s="2090"/>
      <c r="BI230" s="2090"/>
      <c r="BJ230" s="2090"/>
      <c r="BK230" s="2090"/>
      <c r="BL230" s="2090"/>
      <c r="BM230" s="2090"/>
      <c r="BN230" s="2090"/>
      <c r="BO230" s="2090"/>
      <c r="BP230" s="2090"/>
      <c r="BQ230" s="2090"/>
      <c r="BR230" s="2090"/>
      <c r="BS230" s="2090"/>
      <c r="BT230" s="2090"/>
      <c r="BU230" s="2090"/>
      <c r="BV230" s="2090"/>
      <c r="BW230" s="2090"/>
      <c r="BX230" s="2090"/>
      <c r="BY230" s="2090"/>
      <c r="BZ230" s="2090"/>
      <c r="CA230" s="2090"/>
      <c r="CB230" s="2090"/>
      <c r="CC230" s="2090"/>
      <c r="CD230" s="2090"/>
      <c r="CE230" s="2090"/>
      <c r="CF230" s="2090"/>
      <c r="CG230" s="2090"/>
      <c r="CH230" s="2090"/>
      <c r="CI230" s="2090"/>
      <c r="CJ230" s="2090"/>
      <c r="CK230" s="2090"/>
      <c r="CL230" s="2090"/>
      <c r="CM230" s="2090"/>
      <c r="CN230" s="2090"/>
      <c r="CO230" s="2090"/>
      <c r="CP230" s="2090"/>
      <c r="CQ230" s="2090"/>
      <c r="CR230" s="2090"/>
      <c r="CS230" s="2090"/>
      <c r="CT230" s="2090"/>
      <c r="CU230" s="2090"/>
      <c r="CV230" s="2090"/>
      <c r="CW230" s="2090"/>
      <c r="CX230" s="2090"/>
      <c r="CY230" s="2091"/>
      <c r="CZ230" s="309"/>
      <c r="DA230" s="309"/>
      <c r="DB230" s="309"/>
      <c r="DC230" s="309"/>
      <c r="DD230" s="309"/>
      <c r="DE230" s="309"/>
      <c r="DF230" s="309"/>
      <c r="DG230" s="309"/>
      <c r="DH230" s="309"/>
      <c r="DI230" s="521" t="str">
        <f ca="1">INDIRECT($J$4&amp;"!C216")</f>
        <v>Last Update</v>
      </c>
      <c r="DJ230" s="2092"/>
      <c r="DK230" s="2092"/>
      <c r="DL230" s="2092"/>
      <c r="DM230" s="2092"/>
      <c r="DN230" s="2092"/>
      <c r="DO230" s="2092"/>
      <c r="DP230" s="2092"/>
      <c r="DQ230" s="2092"/>
      <c r="DR230" s="2092"/>
      <c r="DS230" s="310"/>
      <c r="DT230" s="311"/>
    </row>
    <row r="231" spans="1:124" ht="6" customHeight="1">
      <c r="B231" s="211"/>
      <c r="C231" s="212"/>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310"/>
      <c r="AH231" s="310"/>
      <c r="AI231" s="310"/>
      <c r="AJ231" s="310"/>
      <c r="AK231" s="310"/>
      <c r="AL231" s="310"/>
      <c r="AM231" s="310"/>
      <c r="AN231" s="310"/>
      <c r="AO231" s="310"/>
      <c r="AP231" s="310"/>
      <c r="AQ231" s="310"/>
      <c r="AR231" s="310"/>
      <c r="AS231" s="310"/>
      <c r="AT231" s="310"/>
      <c r="AU231" s="310"/>
      <c r="AV231" s="310"/>
      <c r="AW231" s="310"/>
      <c r="AX231" s="310"/>
      <c r="AY231" s="310"/>
      <c r="AZ231" s="310"/>
      <c r="BA231" s="310"/>
      <c r="BB231" s="310"/>
      <c r="BC231" s="310"/>
      <c r="BD231" s="310"/>
      <c r="BE231" s="310"/>
      <c r="BF231" s="310"/>
      <c r="BG231" s="310"/>
      <c r="BH231" s="310"/>
      <c r="BI231" s="310"/>
      <c r="BJ231" s="310"/>
      <c r="BK231" s="310"/>
      <c r="BL231" s="310"/>
      <c r="BM231" s="310"/>
      <c r="BN231" s="310"/>
      <c r="BO231" s="310"/>
      <c r="BP231" s="310"/>
      <c r="BQ231" s="310"/>
      <c r="BR231" s="310"/>
      <c r="BS231" s="310"/>
      <c r="BT231" s="310"/>
      <c r="BU231" s="310"/>
      <c r="BV231" s="310"/>
      <c r="BW231" s="310"/>
      <c r="BX231" s="310"/>
      <c r="BY231" s="310"/>
      <c r="BZ231" s="310"/>
      <c r="CA231" s="310"/>
      <c r="CB231" s="310"/>
      <c r="CC231" s="310"/>
      <c r="CD231" s="310"/>
      <c r="CE231" s="310"/>
      <c r="CF231" s="310"/>
      <c r="CG231" s="310"/>
      <c r="CH231" s="310"/>
      <c r="CI231" s="310"/>
      <c r="CJ231" s="310"/>
      <c r="CK231" s="310"/>
      <c r="CL231" s="310"/>
      <c r="CM231" s="310"/>
      <c r="CN231" s="310"/>
      <c r="CO231" s="310"/>
      <c r="CP231" s="310"/>
      <c r="CQ231" s="310"/>
      <c r="CR231" s="310"/>
      <c r="CS231" s="310"/>
      <c r="CT231" s="310"/>
      <c r="CU231" s="310"/>
      <c r="CV231" s="310"/>
      <c r="CW231" s="310"/>
      <c r="CX231" s="310"/>
      <c r="CY231" s="310"/>
      <c r="CZ231" s="310"/>
      <c r="DA231" s="310"/>
      <c r="DB231" s="310"/>
      <c r="DC231" s="310"/>
      <c r="DD231" s="310"/>
      <c r="DE231" s="310"/>
      <c r="DF231" s="310"/>
      <c r="DG231" s="310"/>
      <c r="DH231" s="310"/>
      <c r="DI231" s="310"/>
      <c r="DJ231" s="310"/>
      <c r="DK231" s="310"/>
      <c r="DL231" s="310"/>
      <c r="DM231" s="310"/>
      <c r="DN231" s="310"/>
      <c r="DO231" s="310"/>
      <c r="DP231" s="310"/>
      <c r="DQ231" s="310"/>
      <c r="DR231" s="310"/>
      <c r="DS231" s="310"/>
      <c r="DT231" s="311"/>
    </row>
    <row r="232" spans="1:124" ht="6" customHeight="1">
      <c r="B232" s="312"/>
      <c r="C232" s="19"/>
      <c r="D232" s="19"/>
      <c r="E232" s="20"/>
      <c r="F232" s="20"/>
      <c r="G232" s="20"/>
      <c r="H232" s="20"/>
      <c r="I232" s="20"/>
      <c r="J232" s="20"/>
      <c r="K232" s="20"/>
      <c r="L232" s="20"/>
      <c r="M232" s="20"/>
      <c r="N232" s="20"/>
      <c r="O232" s="20"/>
      <c r="P232" s="21"/>
      <c r="Q232" s="20"/>
      <c r="R232" s="20"/>
      <c r="S232" s="20"/>
      <c r="T232" s="20"/>
      <c r="U232" s="20"/>
      <c r="V232" s="20"/>
      <c r="W232" s="20"/>
      <c r="X232" s="20"/>
      <c r="Y232" s="20"/>
      <c r="Z232" s="20"/>
      <c r="AA232" s="20"/>
      <c r="AB232" s="20"/>
      <c r="AC232" s="20"/>
      <c r="AD232" s="293"/>
      <c r="AE232" s="293"/>
      <c r="AF232" s="293"/>
      <c r="AG232" s="293"/>
      <c r="AH232" s="293"/>
      <c r="AI232" s="293"/>
      <c r="AJ232" s="293"/>
      <c r="AK232" s="293"/>
      <c r="AL232" s="293"/>
      <c r="AM232" s="293"/>
      <c r="AN232" s="293"/>
      <c r="AO232" s="293"/>
      <c r="AP232" s="293"/>
      <c r="AQ232" s="293"/>
      <c r="AR232" s="293"/>
      <c r="AS232" s="293"/>
      <c r="AT232" s="293"/>
      <c r="AU232" s="293"/>
      <c r="AV232" s="293"/>
      <c r="AW232" s="293"/>
      <c r="AX232" s="293"/>
      <c r="AY232" s="293"/>
      <c r="AZ232" s="293"/>
      <c r="BA232" s="293"/>
      <c r="BB232" s="293"/>
      <c r="BC232" s="293"/>
      <c r="BD232" s="293"/>
      <c r="BE232" s="293"/>
      <c r="BF232" s="293"/>
      <c r="BG232" s="293"/>
      <c r="BH232" s="293"/>
      <c r="BI232" s="293"/>
      <c r="BJ232" s="293"/>
      <c r="BK232" s="293"/>
      <c r="BL232" s="293"/>
      <c r="BM232" s="293"/>
      <c r="BN232" s="293"/>
      <c r="BO232" s="293"/>
      <c r="BP232" s="293"/>
      <c r="BQ232" s="293"/>
      <c r="BR232" s="293"/>
      <c r="BS232" s="293"/>
      <c r="BT232" s="293"/>
      <c r="BU232" s="293"/>
      <c r="BV232" s="293"/>
      <c r="BW232" s="293"/>
      <c r="BX232" s="293"/>
      <c r="BY232" s="293"/>
      <c r="BZ232" s="293"/>
      <c r="CA232" s="293"/>
      <c r="CB232" s="293"/>
      <c r="CC232" s="293"/>
      <c r="CD232" s="293"/>
      <c r="CE232" s="293"/>
      <c r="CF232" s="293"/>
      <c r="CG232" s="293"/>
      <c r="CH232" s="293"/>
      <c r="CI232" s="293"/>
      <c r="CJ232" s="293"/>
      <c r="CK232" s="293"/>
      <c r="CL232" s="293"/>
      <c r="CM232" s="293"/>
      <c r="CN232" s="293"/>
      <c r="CO232" s="293"/>
      <c r="CP232" s="293"/>
      <c r="CQ232" s="293"/>
      <c r="CR232" s="293"/>
      <c r="CS232" s="293"/>
      <c r="CT232" s="293"/>
      <c r="CU232" s="293"/>
      <c r="CV232" s="293"/>
      <c r="CW232" s="293"/>
      <c r="CX232" s="293"/>
      <c r="CY232" s="293"/>
      <c r="CZ232" s="293"/>
      <c r="DA232" s="293"/>
      <c r="DB232" s="293"/>
      <c r="DC232" s="293"/>
      <c r="DD232" s="293"/>
      <c r="DE232" s="293"/>
      <c r="DF232" s="293"/>
      <c r="DG232" s="293"/>
      <c r="DH232" s="293"/>
      <c r="DI232" s="293"/>
      <c r="DJ232" s="293"/>
      <c r="DK232" s="293"/>
      <c r="DL232" s="293"/>
      <c r="DM232" s="293"/>
      <c r="DN232" s="293"/>
      <c r="DO232" s="293"/>
      <c r="DP232" s="293"/>
      <c r="DQ232" s="293"/>
      <c r="DR232" s="293"/>
      <c r="DS232" s="293"/>
      <c r="DT232" s="311"/>
    </row>
    <row r="233" spans="1:124" ht="24.9" customHeight="1">
      <c r="B233" s="312"/>
      <c r="C233" s="19"/>
      <c r="D233" s="1761" t="str">
        <f ca="1">INDIRECT($J$4&amp;"!C221")</f>
        <v>Position</v>
      </c>
      <c r="E233" s="1762"/>
      <c r="F233" s="1762"/>
      <c r="G233" s="1762"/>
      <c r="H233" s="1762"/>
      <c r="I233" s="1762"/>
      <c r="J233" s="1762"/>
      <c r="K233" s="1762"/>
      <c r="L233" s="1762"/>
      <c r="M233" s="1762"/>
      <c r="N233" s="1762"/>
      <c r="O233" s="1762"/>
      <c r="P233" s="1762"/>
      <c r="Q233" s="1762"/>
      <c r="R233" s="1762"/>
      <c r="S233" s="1762"/>
      <c r="T233" s="1762"/>
      <c r="U233" s="1762"/>
      <c r="V233" s="1762"/>
      <c r="W233" s="1762"/>
      <c r="X233" s="1762"/>
      <c r="Y233" s="1932" t="str">
        <f ca="1">INDIRECT($J$4&amp;"!C24")</f>
        <v>Name, prename</v>
      </c>
      <c r="Z233" s="1932"/>
      <c r="AA233" s="1932"/>
      <c r="AB233" s="1932"/>
      <c r="AC233" s="1932"/>
      <c r="AD233" s="1932"/>
      <c r="AE233" s="1932"/>
      <c r="AF233" s="1932"/>
      <c r="AG233" s="1932"/>
      <c r="AH233" s="1932"/>
      <c r="AI233" s="1932"/>
      <c r="AJ233" s="1932"/>
      <c r="AK233" s="1932"/>
      <c r="AL233" s="1932"/>
      <c r="AM233" s="1932"/>
      <c r="AN233" s="1932"/>
      <c r="AO233" s="1932"/>
      <c r="AP233" s="1932"/>
      <c r="AQ233" s="1932"/>
      <c r="AR233" s="1932"/>
      <c r="AS233" s="1932"/>
      <c r="AT233" s="1932"/>
      <c r="AU233" s="1932"/>
      <c r="AV233" s="1932" t="str">
        <f ca="1">INDIRECT($J$4&amp;"!C69")</f>
        <v>Date</v>
      </c>
      <c r="AW233" s="1932"/>
      <c r="AX233" s="1932"/>
      <c r="AY233" s="1932"/>
      <c r="AZ233" s="1932"/>
      <c r="BA233" s="1932"/>
      <c r="BB233" s="1932"/>
      <c r="BC233" s="1932"/>
      <c r="BD233" s="1932"/>
      <c r="BE233" s="1932"/>
      <c r="BF233" s="1932"/>
      <c r="BG233" s="1932"/>
      <c r="BH233" s="1932"/>
      <c r="BI233" s="1932"/>
      <c r="BJ233" s="1932"/>
      <c r="BK233" s="1932"/>
      <c r="BL233" s="1932"/>
      <c r="BM233" s="1932"/>
      <c r="BN233" s="1932"/>
      <c r="BO233" s="1932"/>
      <c r="BP233" s="1932"/>
      <c r="BQ233" s="1932"/>
      <c r="BR233" s="1932"/>
      <c r="BS233" s="1932"/>
      <c r="BT233" s="1932"/>
      <c r="BU233" s="1932"/>
      <c r="BV233" s="1932"/>
      <c r="BW233" s="1932" t="str">
        <f ca="1">INDIRECT($J$4&amp;"!C232")</f>
        <v>Comments, conclusion (result of final discussion)</v>
      </c>
      <c r="BX233" s="1932"/>
      <c r="BY233" s="1932"/>
      <c r="BZ233" s="1932"/>
      <c r="CA233" s="1932"/>
      <c r="CB233" s="1932"/>
      <c r="CC233" s="1932"/>
      <c r="CD233" s="1932"/>
      <c r="CE233" s="1932"/>
      <c r="CF233" s="1932"/>
      <c r="CG233" s="1932"/>
      <c r="CH233" s="1932"/>
      <c r="CI233" s="1932"/>
      <c r="CJ233" s="1932"/>
      <c r="CK233" s="1932"/>
      <c r="CL233" s="1932"/>
      <c r="CM233" s="1932"/>
      <c r="CN233" s="1932"/>
      <c r="CO233" s="1932"/>
      <c r="CP233" s="1932"/>
      <c r="CQ233" s="1932"/>
      <c r="CR233" s="1932"/>
      <c r="CS233" s="1932"/>
      <c r="CT233" s="1932"/>
      <c r="CU233" s="1932"/>
      <c r="CV233" s="1932"/>
      <c r="CW233" s="1932"/>
      <c r="CX233" s="1932"/>
      <c r="CY233" s="1932"/>
      <c r="CZ233" s="1932"/>
      <c r="DA233" s="1932"/>
      <c r="DB233" s="1932"/>
      <c r="DC233" s="1932"/>
      <c r="DD233" s="1932"/>
      <c r="DE233" s="1932"/>
      <c r="DF233" s="1932"/>
      <c r="DG233" s="1932"/>
      <c r="DH233" s="1932"/>
      <c r="DI233" s="1932"/>
      <c r="DJ233" s="1932"/>
      <c r="DK233" s="1932"/>
      <c r="DL233" s="1932"/>
      <c r="DM233" s="1932"/>
      <c r="DN233" s="1932"/>
      <c r="DO233" s="1932"/>
      <c r="DP233" s="1932"/>
      <c r="DQ233" s="1932"/>
      <c r="DR233" s="1932"/>
      <c r="DS233" s="293"/>
      <c r="DT233" s="311"/>
    </row>
    <row r="234" spans="1:124" ht="24.9" customHeight="1">
      <c r="B234" s="312"/>
      <c r="C234" s="293"/>
      <c r="D234" s="1783" t="str">
        <f ca="1">INDIRECT($J$4&amp;"!C222")</f>
        <v>PSC</v>
      </c>
      <c r="E234" s="1784"/>
      <c r="F234" s="1784"/>
      <c r="G234" s="1784"/>
      <c r="H234" s="1784"/>
      <c r="I234" s="1784"/>
      <c r="J234" s="1784"/>
      <c r="K234" s="1784"/>
      <c r="L234" s="1784"/>
      <c r="M234" s="1784"/>
      <c r="N234" s="1784"/>
      <c r="O234" s="1784"/>
      <c r="P234" s="1784"/>
      <c r="Q234" s="1784"/>
      <c r="R234" s="1784"/>
      <c r="S234" s="1784"/>
      <c r="T234" s="1784"/>
      <c r="U234" s="1784"/>
      <c r="V234" s="1784"/>
      <c r="W234" s="1784"/>
      <c r="X234" s="2093"/>
      <c r="Y234" s="2094"/>
      <c r="Z234" s="2095"/>
      <c r="AA234" s="2095"/>
      <c r="AB234" s="2095"/>
      <c r="AC234" s="2095"/>
      <c r="AD234" s="2095"/>
      <c r="AE234" s="2095"/>
      <c r="AF234" s="2095"/>
      <c r="AG234" s="2095"/>
      <c r="AH234" s="2095"/>
      <c r="AI234" s="2095"/>
      <c r="AJ234" s="2095"/>
      <c r="AK234" s="2095"/>
      <c r="AL234" s="2095"/>
      <c r="AM234" s="2095"/>
      <c r="AN234" s="2095"/>
      <c r="AO234" s="2095"/>
      <c r="AP234" s="2095"/>
      <c r="AQ234" s="2095"/>
      <c r="AR234" s="2095"/>
      <c r="AS234" s="2095"/>
      <c r="AT234" s="2095"/>
      <c r="AU234" s="2096"/>
      <c r="AV234" s="1933" t="str">
        <f ca="1">INDIRECT($J$4&amp;"!C227")</f>
        <v>informed on</v>
      </c>
      <c r="AW234" s="1933"/>
      <c r="AX234" s="1933"/>
      <c r="AY234" s="1933"/>
      <c r="AZ234" s="1933"/>
      <c r="BA234" s="1933"/>
      <c r="BB234" s="1933"/>
      <c r="BC234" s="1933"/>
      <c r="BD234" s="1933"/>
      <c r="BE234" s="1933"/>
      <c r="BF234" s="1933"/>
      <c r="BG234" s="1933"/>
      <c r="BH234" s="1933"/>
      <c r="BI234" s="1933"/>
      <c r="BJ234" s="2097"/>
      <c r="BK234" s="2097"/>
      <c r="BL234" s="2097"/>
      <c r="BM234" s="2097"/>
      <c r="BN234" s="2097"/>
      <c r="BO234" s="2097"/>
      <c r="BP234" s="2097"/>
      <c r="BQ234" s="2097"/>
      <c r="BR234" s="2097"/>
      <c r="BS234" s="2097"/>
      <c r="BT234" s="2097"/>
      <c r="BU234" s="2097"/>
      <c r="BV234" s="2097"/>
      <c r="BW234" s="2085"/>
      <c r="BX234" s="2085"/>
      <c r="BY234" s="2085"/>
      <c r="BZ234" s="2085"/>
      <c r="CA234" s="2085"/>
      <c r="CB234" s="2085"/>
      <c r="CC234" s="2085"/>
      <c r="CD234" s="2085"/>
      <c r="CE234" s="2085"/>
      <c r="CF234" s="2085"/>
      <c r="CG234" s="2085"/>
      <c r="CH234" s="2085"/>
      <c r="CI234" s="2085"/>
      <c r="CJ234" s="2085"/>
      <c r="CK234" s="2085"/>
      <c r="CL234" s="2085"/>
      <c r="CM234" s="2085"/>
      <c r="CN234" s="2085"/>
      <c r="CO234" s="2085"/>
      <c r="CP234" s="2085"/>
      <c r="CQ234" s="2085"/>
      <c r="CR234" s="2085"/>
      <c r="CS234" s="2085"/>
      <c r="CT234" s="2085"/>
      <c r="CU234" s="2085"/>
      <c r="CV234" s="2085"/>
      <c r="CW234" s="2085"/>
      <c r="CX234" s="2085"/>
      <c r="CY234" s="2085"/>
      <c r="CZ234" s="2085"/>
      <c r="DA234" s="2085"/>
      <c r="DB234" s="2085"/>
      <c r="DC234" s="2085"/>
      <c r="DD234" s="2085"/>
      <c r="DE234" s="2085"/>
      <c r="DF234" s="2085"/>
      <c r="DG234" s="2085"/>
      <c r="DH234" s="2085"/>
      <c r="DI234" s="2085"/>
      <c r="DJ234" s="2085"/>
      <c r="DK234" s="2085"/>
      <c r="DL234" s="2085"/>
      <c r="DM234" s="2085"/>
      <c r="DN234" s="2085"/>
      <c r="DO234" s="2085"/>
      <c r="DP234" s="2085"/>
      <c r="DQ234" s="2085"/>
      <c r="DR234" s="2085"/>
      <c r="DS234" s="293"/>
      <c r="DT234" s="311"/>
    </row>
    <row r="235" spans="1:124" ht="24.9" customHeight="1">
      <c r="B235" s="312"/>
      <c r="C235" s="320"/>
      <c r="D235" s="1932" t="str">
        <f ca="1">INDIRECT($J$4&amp;"!C223")</f>
        <v>Responsible Q</v>
      </c>
      <c r="E235" s="1932"/>
      <c r="F235" s="1932"/>
      <c r="G235" s="1932"/>
      <c r="H235" s="1932"/>
      <c r="I235" s="1932"/>
      <c r="J235" s="1932"/>
      <c r="K235" s="1932"/>
      <c r="L235" s="1932"/>
      <c r="M235" s="1932"/>
      <c r="N235" s="1932"/>
      <c r="O235" s="1932"/>
      <c r="P235" s="1932"/>
      <c r="Q235" s="1932"/>
      <c r="R235" s="1932"/>
      <c r="S235" s="1932"/>
      <c r="T235" s="1932"/>
      <c r="U235" s="1932"/>
      <c r="V235" s="1932"/>
      <c r="W235" s="1932"/>
      <c r="X235" s="1932"/>
      <c r="Y235" s="2094"/>
      <c r="Z235" s="2095"/>
      <c r="AA235" s="2095"/>
      <c r="AB235" s="2095"/>
      <c r="AC235" s="2095"/>
      <c r="AD235" s="2095"/>
      <c r="AE235" s="2095"/>
      <c r="AF235" s="2095"/>
      <c r="AG235" s="2095"/>
      <c r="AH235" s="2095"/>
      <c r="AI235" s="2095"/>
      <c r="AJ235" s="2095"/>
      <c r="AK235" s="2095"/>
      <c r="AL235" s="2095"/>
      <c r="AM235" s="2095"/>
      <c r="AN235" s="2095"/>
      <c r="AO235" s="2095"/>
      <c r="AP235" s="2095"/>
      <c r="AQ235" s="2095"/>
      <c r="AR235" s="2095"/>
      <c r="AS235" s="2095"/>
      <c r="AT235" s="2095"/>
      <c r="AU235" s="2096"/>
      <c r="AV235" s="1933" t="str">
        <f ca="1">INDIRECT($J$4&amp;"!C227")</f>
        <v>informed on</v>
      </c>
      <c r="AW235" s="1933"/>
      <c r="AX235" s="1933"/>
      <c r="AY235" s="1933"/>
      <c r="AZ235" s="1933"/>
      <c r="BA235" s="1933"/>
      <c r="BB235" s="1933"/>
      <c r="BC235" s="1933"/>
      <c r="BD235" s="1933"/>
      <c r="BE235" s="1933"/>
      <c r="BF235" s="1933"/>
      <c r="BG235" s="1933"/>
      <c r="BH235" s="1933"/>
      <c r="BI235" s="1933"/>
      <c r="BJ235" s="2088"/>
      <c r="BK235" s="2088"/>
      <c r="BL235" s="2088"/>
      <c r="BM235" s="2088"/>
      <c r="BN235" s="2088"/>
      <c r="BO235" s="2088"/>
      <c r="BP235" s="2088"/>
      <c r="BQ235" s="2088"/>
      <c r="BR235" s="2088"/>
      <c r="BS235" s="2088"/>
      <c r="BT235" s="2088"/>
      <c r="BU235" s="2088"/>
      <c r="BV235" s="2088"/>
      <c r="BW235" s="2098"/>
      <c r="BX235" s="2098"/>
      <c r="BY235" s="2098"/>
      <c r="BZ235" s="2098"/>
      <c r="CA235" s="2098"/>
      <c r="CB235" s="2098"/>
      <c r="CC235" s="2098"/>
      <c r="CD235" s="2098"/>
      <c r="CE235" s="2098"/>
      <c r="CF235" s="2098"/>
      <c r="CG235" s="2098"/>
      <c r="CH235" s="2098"/>
      <c r="CI235" s="2098"/>
      <c r="CJ235" s="2098"/>
      <c r="CK235" s="2098"/>
      <c r="CL235" s="2098"/>
      <c r="CM235" s="2098"/>
      <c r="CN235" s="2098"/>
      <c r="CO235" s="2098"/>
      <c r="CP235" s="2098"/>
      <c r="CQ235" s="2098"/>
      <c r="CR235" s="2098"/>
      <c r="CS235" s="2098"/>
      <c r="CT235" s="2098"/>
      <c r="CU235" s="2098"/>
      <c r="CV235" s="2098"/>
      <c r="CW235" s="2098"/>
      <c r="CX235" s="2098"/>
      <c r="CY235" s="2098"/>
      <c r="CZ235" s="2098"/>
      <c r="DA235" s="2098"/>
      <c r="DB235" s="2098"/>
      <c r="DC235" s="2098"/>
      <c r="DD235" s="2098"/>
      <c r="DE235" s="2098"/>
      <c r="DF235" s="2098"/>
      <c r="DG235" s="2098"/>
      <c r="DH235" s="2098"/>
      <c r="DI235" s="2098"/>
      <c r="DJ235" s="2098"/>
      <c r="DK235" s="2098"/>
      <c r="DL235" s="2098"/>
      <c r="DM235" s="2098"/>
      <c r="DN235" s="2098"/>
      <c r="DO235" s="2098"/>
      <c r="DP235" s="2098"/>
      <c r="DQ235" s="2098"/>
      <c r="DR235" s="2098"/>
      <c r="DS235" s="293"/>
      <c r="DT235" s="311"/>
    </row>
    <row r="236" spans="1:124" ht="24.9" customHeight="1">
      <c r="B236" s="312"/>
      <c r="C236" s="320"/>
      <c r="D236" s="1932" t="str">
        <f ca="1">INDIRECT($J$4&amp;"!C224")</f>
        <v>AP-team leader</v>
      </c>
      <c r="E236" s="1932"/>
      <c r="F236" s="1932"/>
      <c r="G236" s="1932"/>
      <c r="H236" s="1932"/>
      <c r="I236" s="1932"/>
      <c r="J236" s="1932"/>
      <c r="K236" s="1932"/>
      <c r="L236" s="1932"/>
      <c r="M236" s="1932"/>
      <c r="N236" s="1932"/>
      <c r="O236" s="1932"/>
      <c r="P236" s="1932"/>
      <c r="Q236" s="1932"/>
      <c r="R236" s="1932"/>
      <c r="S236" s="1932"/>
      <c r="T236" s="1932"/>
      <c r="U236" s="1932"/>
      <c r="V236" s="1932"/>
      <c r="W236" s="1932"/>
      <c r="X236" s="1932"/>
      <c r="Y236" s="2094"/>
      <c r="Z236" s="2095"/>
      <c r="AA236" s="2095"/>
      <c r="AB236" s="2095"/>
      <c r="AC236" s="2095"/>
      <c r="AD236" s="2095"/>
      <c r="AE236" s="2095"/>
      <c r="AF236" s="2095"/>
      <c r="AG236" s="2095"/>
      <c r="AH236" s="2095"/>
      <c r="AI236" s="2095"/>
      <c r="AJ236" s="2095"/>
      <c r="AK236" s="2095"/>
      <c r="AL236" s="2095"/>
      <c r="AM236" s="2095"/>
      <c r="AN236" s="2095"/>
      <c r="AO236" s="2095"/>
      <c r="AP236" s="2095"/>
      <c r="AQ236" s="2095"/>
      <c r="AR236" s="2095"/>
      <c r="AS236" s="2095"/>
      <c r="AT236" s="2095"/>
      <c r="AU236" s="2096"/>
      <c r="AV236" s="1933" t="str">
        <f ca="1">INDIRECT($J$4&amp;"!C228")</f>
        <v>verified on</v>
      </c>
      <c r="AW236" s="1933"/>
      <c r="AX236" s="1933"/>
      <c r="AY236" s="1933"/>
      <c r="AZ236" s="1933"/>
      <c r="BA236" s="1933"/>
      <c r="BB236" s="1933"/>
      <c r="BC236" s="1933"/>
      <c r="BD236" s="1933"/>
      <c r="BE236" s="1933"/>
      <c r="BF236" s="1933"/>
      <c r="BG236" s="1933"/>
      <c r="BH236" s="1933"/>
      <c r="BI236" s="1933"/>
      <c r="BJ236" s="2088"/>
      <c r="BK236" s="2088"/>
      <c r="BL236" s="2088"/>
      <c r="BM236" s="2088"/>
      <c r="BN236" s="2088"/>
      <c r="BO236" s="2088"/>
      <c r="BP236" s="2088"/>
      <c r="BQ236" s="2088"/>
      <c r="BR236" s="2088"/>
      <c r="BS236" s="2088"/>
      <c r="BT236" s="2088"/>
      <c r="BU236" s="2088"/>
      <c r="BV236" s="2088"/>
      <c r="BW236" s="2098"/>
      <c r="BX236" s="2098"/>
      <c r="BY236" s="2098"/>
      <c r="BZ236" s="2098"/>
      <c r="CA236" s="2098"/>
      <c r="CB236" s="2098"/>
      <c r="CC236" s="2098"/>
      <c r="CD236" s="2098"/>
      <c r="CE236" s="2098"/>
      <c r="CF236" s="2098"/>
      <c r="CG236" s="2098"/>
      <c r="CH236" s="2098"/>
      <c r="CI236" s="2098"/>
      <c r="CJ236" s="2098"/>
      <c r="CK236" s="2098"/>
      <c r="CL236" s="2098"/>
      <c r="CM236" s="2098"/>
      <c r="CN236" s="2098"/>
      <c r="CO236" s="2098"/>
      <c r="CP236" s="2098"/>
      <c r="CQ236" s="2098"/>
      <c r="CR236" s="2098"/>
      <c r="CS236" s="2098"/>
      <c r="CT236" s="2098"/>
      <c r="CU236" s="2098"/>
      <c r="CV236" s="2098"/>
      <c r="CW236" s="2098"/>
      <c r="CX236" s="2098"/>
      <c r="CY236" s="2098"/>
      <c r="CZ236" s="2098"/>
      <c r="DA236" s="2098"/>
      <c r="DB236" s="2098"/>
      <c r="DC236" s="2098"/>
      <c r="DD236" s="2098"/>
      <c r="DE236" s="2098"/>
      <c r="DF236" s="2098"/>
      <c r="DG236" s="2098"/>
      <c r="DH236" s="2098"/>
      <c r="DI236" s="2098"/>
      <c r="DJ236" s="2098"/>
      <c r="DK236" s="2098"/>
      <c r="DL236" s="2098"/>
      <c r="DM236" s="2098"/>
      <c r="DN236" s="2098"/>
      <c r="DO236" s="2098"/>
      <c r="DP236" s="2098"/>
      <c r="DQ236" s="2098"/>
      <c r="DR236" s="2098"/>
      <c r="DS236" s="293"/>
      <c r="DT236" s="311"/>
    </row>
    <row r="237" spans="1:124" ht="24.9" customHeight="1">
      <c r="B237" s="312"/>
      <c r="C237" s="320"/>
      <c r="D237" s="1932" t="str">
        <f ca="1">INDIRECT($J$4&amp;"!C225")</f>
        <v>Problem coordinator</v>
      </c>
      <c r="E237" s="1932"/>
      <c r="F237" s="1932"/>
      <c r="G237" s="1932"/>
      <c r="H237" s="1932"/>
      <c r="I237" s="1932"/>
      <c r="J237" s="1932"/>
      <c r="K237" s="1932"/>
      <c r="L237" s="1932"/>
      <c r="M237" s="1932"/>
      <c r="N237" s="1932"/>
      <c r="O237" s="1932"/>
      <c r="P237" s="1932"/>
      <c r="Q237" s="1932"/>
      <c r="R237" s="1932"/>
      <c r="S237" s="1932"/>
      <c r="T237" s="1932"/>
      <c r="U237" s="1932"/>
      <c r="V237" s="1932"/>
      <c r="W237" s="1932"/>
      <c r="X237" s="1932"/>
      <c r="Y237" s="2094"/>
      <c r="Z237" s="2095"/>
      <c r="AA237" s="2095"/>
      <c r="AB237" s="2095"/>
      <c r="AC237" s="2095"/>
      <c r="AD237" s="2095"/>
      <c r="AE237" s="2095"/>
      <c r="AF237" s="2095"/>
      <c r="AG237" s="2095"/>
      <c r="AH237" s="2095"/>
      <c r="AI237" s="2095"/>
      <c r="AJ237" s="2095"/>
      <c r="AK237" s="2095"/>
      <c r="AL237" s="2095"/>
      <c r="AM237" s="2095"/>
      <c r="AN237" s="2095"/>
      <c r="AO237" s="2095"/>
      <c r="AP237" s="2095"/>
      <c r="AQ237" s="2095"/>
      <c r="AR237" s="2095"/>
      <c r="AS237" s="2095"/>
      <c r="AT237" s="2095"/>
      <c r="AU237" s="2096"/>
      <c r="AV237" s="1933" t="str">
        <f ca="1">INDIRECT($J$4&amp;"!C229")</f>
        <v>closed on</v>
      </c>
      <c r="AW237" s="1933"/>
      <c r="AX237" s="1933"/>
      <c r="AY237" s="1933"/>
      <c r="AZ237" s="1933"/>
      <c r="BA237" s="1933"/>
      <c r="BB237" s="1933"/>
      <c r="BC237" s="1933"/>
      <c r="BD237" s="1933"/>
      <c r="BE237" s="1933"/>
      <c r="BF237" s="1933"/>
      <c r="BG237" s="1933"/>
      <c r="BH237" s="1933"/>
      <c r="BI237" s="1933"/>
      <c r="BJ237" s="2088"/>
      <c r="BK237" s="2088"/>
      <c r="BL237" s="2088"/>
      <c r="BM237" s="2088"/>
      <c r="BN237" s="2088"/>
      <c r="BO237" s="2088"/>
      <c r="BP237" s="2088"/>
      <c r="BQ237" s="2088"/>
      <c r="BR237" s="2088"/>
      <c r="BS237" s="2088"/>
      <c r="BT237" s="2088"/>
      <c r="BU237" s="2088"/>
      <c r="BV237" s="2088"/>
      <c r="BW237" s="2098"/>
      <c r="BX237" s="2098"/>
      <c r="BY237" s="2098"/>
      <c r="BZ237" s="2098"/>
      <c r="CA237" s="2098"/>
      <c r="CB237" s="2098"/>
      <c r="CC237" s="2098"/>
      <c r="CD237" s="2098"/>
      <c r="CE237" s="2098"/>
      <c r="CF237" s="2098"/>
      <c r="CG237" s="2098"/>
      <c r="CH237" s="2098"/>
      <c r="CI237" s="2098"/>
      <c r="CJ237" s="2098"/>
      <c r="CK237" s="2098"/>
      <c r="CL237" s="2098"/>
      <c r="CM237" s="2098"/>
      <c r="CN237" s="2098"/>
      <c r="CO237" s="2098"/>
      <c r="CP237" s="2098"/>
      <c r="CQ237" s="2098"/>
      <c r="CR237" s="2098"/>
      <c r="CS237" s="2098"/>
      <c r="CT237" s="2098"/>
      <c r="CU237" s="2098"/>
      <c r="CV237" s="2098"/>
      <c r="CW237" s="2098"/>
      <c r="CX237" s="2098"/>
      <c r="CY237" s="2098"/>
      <c r="CZ237" s="2098"/>
      <c r="DA237" s="2098"/>
      <c r="DB237" s="2098"/>
      <c r="DC237" s="2098"/>
      <c r="DD237" s="2098"/>
      <c r="DE237" s="2098"/>
      <c r="DF237" s="2098"/>
      <c r="DG237" s="2098"/>
      <c r="DH237" s="2098"/>
      <c r="DI237" s="2098"/>
      <c r="DJ237" s="2098"/>
      <c r="DK237" s="2098"/>
      <c r="DL237" s="2098"/>
      <c r="DM237" s="2098"/>
      <c r="DN237" s="2098"/>
      <c r="DO237" s="2098"/>
      <c r="DP237" s="2098"/>
      <c r="DQ237" s="2098"/>
      <c r="DR237" s="2098"/>
      <c r="DS237" s="293"/>
      <c r="DT237" s="311"/>
    </row>
    <row r="238" spans="1:124" ht="6" customHeight="1">
      <c r="B238" s="319"/>
      <c r="C238" s="22"/>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1937"/>
      <c r="AE238" s="1938"/>
      <c r="AF238" s="1938"/>
      <c r="AG238" s="1938"/>
      <c r="AH238" s="1939"/>
      <c r="AI238" s="305"/>
      <c r="AJ238" s="305"/>
      <c r="AK238" s="305"/>
      <c r="AL238" s="305"/>
      <c r="AM238" s="305"/>
      <c r="AN238" s="305"/>
      <c r="AO238" s="305"/>
      <c r="AP238" s="305"/>
      <c r="AQ238" s="305"/>
      <c r="AR238" s="305"/>
      <c r="AS238" s="305"/>
      <c r="AT238" s="305"/>
      <c r="AU238" s="519"/>
      <c r="AV238" s="251"/>
      <c r="AW238" s="305"/>
      <c r="AX238" s="305"/>
      <c r="AY238" s="305"/>
      <c r="AZ238" s="305"/>
      <c r="BA238" s="305"/>
      <c r="BB238" s="305"/>
      <c r="BC238" s="305"/>
      <c r="BD238" s="305"/>
      <c r="BE238" s="305"/>
      <c r="BF238" s="305"/>
      <c r="BG238" s="305"/>
      <c r="BH238" s="305"/>
      <c r="BI238" s="305"/>
      <c r="BJ238" s="305"/>
      <c r="BK238" s="305"/>
      <c r="BL238" s="305"/>
      <c r="BM238" s="305"/>
      <c r="BN238" s="305"/>
      <c r="BO238" s="305"/>
      <c r="BP238" s="305"/>
      <c r="BQ238" s="305"/>
      <c r="BR238" s="305"/>
      <c r="BS238" s="305"/>
      <c r="BT238" s="305"/>
      <c r="BU238" s="305"/>
      <c r="BV238" s="305"/>
      <c r="BW238" s="305"/>
      <c r="BX238" s="305"/>
      <c r="BY238" s="305"/>
      <c r="BZ238" s="305"/>
      <c r="CA238" s="305"/>
      <c r="CB238" s="305"/>
      <c r="CC238" s="305"/>
      <c r="CD238" s="305"/>
      <c r="CE238" s="305"/>
      <c r="CF238" s="305"/>
      <c r="CG238" s="305"/>
      <c r="CH238" s="305"/>
      <c r="CI238" s="305"/>
      <c r="CJ238" s="305"/>
      <c r="CK238" s="305"/>
      <c r="CL238" s="305"/>
      <c r="CM238" s="305"/>
      <c r="CN238" s="305"/>
      <c r="CO238" s="305"/>
      <c r="CP238" s="305"/>
      <c r="CQ238" s="305"/>
      <c r="CR238" s="305"/>
      <c r="CS238" s="305"/>
      <c r="CT238" s="305"/>
      <c r="CU238" s="305"/>
      <c r="CV238" s="305"/>
      <c r="CW238" s="305"/>
      <c r="CX238" s="305"/>
      <c r="CY238" s="305"/>
      <c r="CZ238" s="305"/>
      <c r="DA238" s="305"/>
      <c r="DB238" s="305"/>
      <c r="DC238" s="305"/>
      <c r="DD238" s="305"/>
      <c r="DE238" s="305"/>
      <c r="DF238" s="305"/>
      <c r="DG238" s="305"/>
      <c r="DH238" s="305"/>
      <c r="DI238" s="305"/>
      <c r="DJ238" s="305"/>
      <c r="DK238" s="305"/>
      <c r="DL238" s="305"/>
      <c r="DM238" s="305"/>
      <c r="DN238" s="305"/>
      <c r="DO238" s="305"/>
      <c r="DP238" s="305"/>
      <c r="DQ238" s="305"/>
      <c r="DR238" s="325"/>
      <c r="DS238" s="293"/>
      <c r="DT238" s="311"/>
    </row>
    <row r="239" spans="1:124" ht="6" customHeight="1" thickBot="1">
      <c r="B239" s="322"/>
      <c r="C239" s="323"/>
      <c r="D239" s="323"/>
      <c r="E239" s="323"/>
      <c r="F239" s="323"/>
      <c r="G239" s="323"/>
      <c r="H239" s="323"/>
      <c r="I239" s="323"/>
      <c r="J239" s="323"/>
      <c r="K239" s="323"/>
      <c r="L239" s="323"/>
      <c r="M239" s="323"/>
      <c r="N239" s="323"/>
      <c r="O239" s="323"/>
      <c r="P239" s="323"/>
      <c r="Q239" s="323"/>
      <c r="R239" s="323"/>
      <c r="S239" s="323"/>
      <c r="T239" s="323"/>
      <c r="U239" s="323"/>
      <c r="V239" s="323"/>
      <c r="W239" s="323"/>
      <c r="X239" s="323"/>
      <c r="Y239" s="323"/>
      <c r="Z239" s="323"/>
      <c r="AA239" s="323"/>
      <c r="AB239" s="323"/>
      <c r="AC239" s="323"/>
      <c r="AD239" s="323"/>
      <c r="AE239" s="323"/>
      <c r="AF239" s="323"/>
      <c r="AG239" s="323"/>
      <c r="AH239" s="323"/>
      <c r="AI239" s="323"/>
      <c r="AJ239" s="323"/>
      <c r="AK239" s="323"/>
      <c r="AL239" s="323"/>
      <c r="AM239" s="323"/>
      <c r="AN239" s="323"/>
      <c r="AO239" s="323"/>
      <c r="AP239" s="323"/>
      <c r="AQ239" s="323"/>
      <c r="AR239" s="323"/>
      <c r="AS239" s="323"/>
      <c r="AT239" s="323"/>
      <c r="AU239" s="323"/>
      <c r="AV239" s="323"/>
      <c r="AW239" s="323"/>
      <c r="AX239" s="323"/>
      <c r="AY239" s="323"/>
      <c r="AZ239" s="323"/>
      <c r="BA239" s="323"/>
      <c r="BB239" s="323"/>
      <c r="BC239" s="323"/>
      <c r="BD239" s="323"/>
      <c r="BE239" s="323"/>
      <c r="BF239" s="323"/>
      <c r="BG239" s="323"/>
      <c r="BH239" s="323"/>
      <c r="BI239" s="323"/>
      <c r="BJ239" s="323"/>
      <c r="BK239" s="323"/>
      <c r="BL239" s="323"/>
      <c r="BM239" s="323"/>
      <c r="BN239" s="323"/>
      <c r="BO239" s="323"/>
      <c r="BP239" s="323"/>
      <c r="BQ239" s="323"/>
      <c r="BR239" s="323"/>
      <c r="BS239" s="323"/>
      <c r="BT239" s="323"/>
      <c r="BU239" s="323"/>
      <c r="BV239" s="323"/>
      <c r="BW239" s="323"/>
      <c r="BX239" s="323"/>
      <c r="BY239" s="323"/>
      <c r="BZ239" s="323"/>
      <c r="CA239" s="323"/>
      <c r="CB239" s="323"/>
      <c r="CC239" s="323"/>
      <c r="CD239" s="323"/>
      <c r="CE239" s="323"/>
      <c r="CF239" s="323"/>
      <c r="CG239" s="323"/>
      <c r="CH239" s="323"/>
      <c r="CI239" s="323"/>
      <c r="CJ239" s="323"/>
      <c r="CK239" s="323"/>
      <c r="CL239" s="323"/>
      <c r="CM239" s="323"/>
      <c r="CN239" s="323"/>
      <c r="CO239" s="323"/>
      <c r="CP239" s="323"/>
      <c r="CQ239" s="323"/>
      <c r="CR239" s="323"/>
      <c r="CS239" s="323"/>
      <c r="CT239" s="323"/>
      <c r="CU239" s="323"/>
      <c r="CV239" s="323"/>
      <c r="CW239" s="323"/>
      <c r="CX239" s="323"/>
      <c r="CY239" s="323"/>
      <c r="CZ239" s="323"/>
      <c r="DA239" s="323"/>
      <c r="DB239" s="323"/>
      <c r="DC239" s="323"/>
      <c r="DD239" s="323"/>
      <c r="DE239" s="323"/>
      <c r="DF239" s="323"/>
      <c r="DG239" s="323"/>
      <c r="DH239" s="323"/>
      <c r="DI239" s="323"/>
      <c r="DJ239" s="323"/>
      <c r="DK239" s="323"/>
      <c r="DL239" s="323"/>
      <c r="DM239" s="323"/>
      <c r="DN239" s="323"/>
      <c r="DO239" s="323"/>
      <c r="DP239" s="323"/>
      <c r="DQ239" s="323"/>
      <c r="DR239" s="323"/>
      <c r="DS239" s="323"/>
      <c r="DT239" s="324"/>
    </row>
    <row r="240" spans="1:124" ht="9.9" customHeight="1">
      <c r="A240" s="293"/>
      <c r="B240" s="293"/>
      <c r="C240" s="293"/>
      <c r="D240" s="293"/>
      <c r="E240" s="293"/>
      <c r="F240" s="293"/>
      <c r="G240" s="293"/>
      <c r="H240" s="293"/>
      <c r="I240" s="293"/>
      <c r="J240" s="293"/>
      <c r="K240" s="293"/>
      <c r="L240" s="293"/>
      <c r="M240" s="293"/>
      <c r="N240" s="293"/>
      <c r="O240" s="293"/>
      <c r="P240" s="293"/>
      <c r="Q240" s="293"/>
      <c r="R240" s="293"/>
      <c r="S240" s="293"/>
      <c r="T240" s="293"/>
      <c r="U240" s="293"/>
      <c r="V240" s="293"/>
      <c r="W240" s="293"/>
      <c r="X240" s="293"/>
      <c r="Y240" s="293"/>
      <c r="Z240" s="293"/>
      <c r="AA240" s="293"/>
      <c r="AB240" s="293"/>
      <c r="AC240" s="293"/>
      <c r="AD240" s="293"/>
      <c r="AE240" s="293"/>
      <c r="AF240" s="293"/>
      <c r="AG240" s="293"/>
      <c r="AH240" s="293"/>
      <c r="AI240" s="293"/>
      <c r="AJ240" s="293"/>
      <c r="AK240" s="293"/>
      <c r="AL240" s="293"/>
      <c r="AM240" s="293"/>
      <c r="AN240" s="293"/>
      <c r="AO240" s="293"/>
      <c r="AP240" s="293"/>
      <c r="AQ240" s="293"/>
      <c r="AR240" s="293"/>
      <c r="AS240" s="293"/>
      <c r="AT240" s="293"/>
      <c r="AU240" s="293"/>
      <c r="AV240" s="293"/>
      <c r="AW240" s="293"/>
      <c r="AX240" s="293"/>
      <c r="AY240" s="293"/>
      <c r="AZ240" s="293"/>
      <c r="BA240" s="293"/>
      <c r="BB240" s="293"/>
      <c r="BC240" s="293"/>
      <c r="BD240" s="293"/>
      <c r="BE240" s="293"/>
      <c r="BF240" s="293"/>
      <c r="BG240" s="293"/>
      <c r="BH240" s="293"/>
      <c r="BI240" s="293"/>
      <c r="BJ240" s="293"/>
      <c r="BK240" s="293"/>
      <c r="BL240" s="293"/>
      <c r="BM240" s="293"/>
      <c r="BN240" s="293"/>
      <c r="BO240" s="293"/>
      <c r="BP240" s="293"/>
      <c r="BQ240" s="293"/>
      <c r="BR240" s="293"/>
      <c r="BS240" s="293"/>
      <c r="BT240" s="293"/>
      <c r="BU240" s="293"/>
      <c r="BV240" s="293"/>
      <c r="BW240" s="293"/>
      <c r="BX240" s="293"/>
      <c r="BY240" s="293"/>
      <c r="BZ240" s="293"/>
      <c r="CA240" s="293"/>
      <c r="CB240" s="293"/>
      <c r="CC240" s="293"/>
      <c r="CD240" s="293"/>
      <c r="CE240" s="293"/>
      <c r="CF240" s="293"/>
      <c r="CG240" s="293"/>
      <c r="CH240" s="293"/>
      <c r="CI240" s="293"/>
      <c r="CJ240" s="293"/>
      <c r="CK240" s="293"/>
      <c r="CL240" s="293"/>
      <c r="CM240" s="293"/>
      <c r="CN240" s="293"/>
      <c r="CO240" s="293"/>
      <c r="CP240" s="293"/>
      <c r="CQ240" s="293"/>
      <c r="CR240" s="293"/>
      <c r="CS240" s="293"/>
      <c r="CT240" s="293"/>
      <c r="CU240" s="293"/>
      <c r="CV240" s="293"/>
      <c r="CW240" s="293"/>
      <c r="CX240" s="293"/>
      <c r="CY240" s="293"/>
      <c r="CZ240" s="293"/>
      <c r="DA240" s="293"/>
      <c r="DB240" s="293"/>
      <c r="DC240" s="293"/>
      <c r="DD240" s="293"/>
      <c r="DE240" s="293"/>
      <c r="DF240" s="293"/>
      <c r="DG240" s="293"/>
      <c r="DH240" s="293"/>
      <c r="DI240" s="293"/>
      <c r="DJ240" s="293"/>
      <c r="DK240" s="293"/>
      <c r="DL240" s="293"/>
      <c r="DM240" s="293"/>
      <c r="DN240" s="293"/>
      <c r="DO240" s="293"/>
      <c r="DP240" s="293"/>
      <c r="DQ240" s="293"/>
      <c r="DR240" s="293"/>
      <c r="DS240" s="293"/>
      <c r="DT240" s="293"/>
    </row>
  </sheetData>
  <sheetProtection algorithmName="SHA-512" hashValue="K8qQG3k56bvPJMDWxQVO4oDxD5Cf4mQvR1O7peAN3skFbq9IklVxRoCB/KqrYQSisy+cx2/w6v5CO1muuBNAyQ==" saltValue="KJCiS1OqQtjQqs23Aq4oKg==" spinCount="100000" sheet="1" formatCells="0" formatRows="0"/>
  <protectedRanges>
    <protectedRange password="CF58" sqref="AT47 BU48:BU53 BV47:CA53 CI47:CS53 CB47:CH47 CC48:CH48 CB49:CH49 CC50:CH50 CB51:CH51 CB53:CH53 CC52:CH52" name="Range1_1"/>
  </protectedRanges>
  <mergeCells count="841">
    <mergeCell ref="R2:CF2"/>
    <mergeCell ref="CG2:DT2"/>
    <mergeCell ref="DX2:EE2"/>
    <mergeCell ref="C4:I4"/>
    <mergeCell ref="J4:V4"/>
    <mergeCell ref="AA4:AH4"/>
    <mergeCell ref="AI4:AU4"/>
    <mergeCell ref="AZ4:BI4"/>
    <mergeCell ref="BJ4:BV4"/>
    <mergeCell ref="N9:Z9"/>
    <mergeCell ref="AF9:AQ9"/>
    <mergeCell ref="AR9:BD9"/>
    <mergeCell ref="BM9:CJ9"/>
    <mergeCell ref="CK9:DR9"/>
    <mergeCell ref="B11:AR12"/>
    <mergeCell ref="C7:M7"/>
    <mergeCell ref="N7:Z7"/>
    <mergeCell ref="AF7:AQ7"/>
    <mergeCell ref="AR7:BD7"/>
    <mergeCell ref="BM7:CJ7"/>
    <mergeCell ref="CK7:DR7"/>
    <mergeCell ref="D17:M17"/>
    <mergeCell ref="N17:AH17"/>
    <mergeCell ref="AM17:BB17"/>
    <mergeCell ref="BC17:BU17"/>
    <mergeCell ref="DD17:DR17"/>
    <mergeCell ref="B20:AD21"/>
    <mergeCell ref="CC17:DC17"/>
    <mergeCell ref="D14:M14"/>
    <mergeCell ref="N14:AH14"/>
    <mergeCell ref="AM14:BB14"/>
    <mergeCell ref="BC14:BU14"/>
    <mergeCell ref="DD14:DR14"/>
    <mergeCell ref="DD16:DR16"/>
    <mergeCell ref="CQ24:DR24"/>
    <mergeCell ref="D26:DP26"/>
    <mergeCell ref="D28:R28"/>
    <mergeCell ref="S28:AH28"/>
    <mergeCell ref="AI28:BH28"/>
    <mergeCell ref="BL28:BZ28"/>
    <mergeCell ref="CA28:CP28"/>
    <mergeCell ref="CQ28:DR28"/>
    <mergeCell ref="D22:BH22"/>
    <mergeCell ref="BL22:DP22"/>
    <mergeCell ref="D23:R23"/>
    <mergeCell ref="BK23:BY23"/>
    <mergeCell ref="CD23:CX23"/>
    <mergeCell ref="D24:R24"/>
    <mergeCell ref="S24:AH24"/>
    <mergeCell ref="AI24:BH24"/>
    <mergeCell ref="BL24:BZ24"/>
    <mergeCell ref="CA24:CP24"/>
    <mergeCell ref="D30:R30"/>
    <mergeCell ref="S30:AH30"/>
    <mergeCell ref="AI30:BH30"/>
    <mergeCell ref="BL30:BZ30"/>
    <mergeCell ref="CA30:CP30"/>
    <mergeCell ref="CQ30:DR30"/>
    <mergeCell ref="D29:R29"/>
    <mergeCell ref="S29:AH29"/>
    <mergeCell ref="AI29:BH29"/>
    <mergeCell ref="BL29:BZ29"/>
    <mergeCell ref="CA29:CP29"/>
    <mergeCell ref="CQ29:DR29"/>
    <mergeCell ref="D32:R32"/>
    <mergeCell ref="S32:AH32"/>
    <mergeCell ref="AI32:BH32"/>
    <mergeCell ref="BL32:BZ32"/>
    <mergeCell ref="CA32:CP32"/>
    <mergeCell ref="CQ32:DR32"/>
    <mergeCell ref="D31:R31"/>
    <mergeCell ref="S31:AH31"/>
    <mergeCell ref="AI31:BH31"/>
    <mergeCell ref="BL31:BZ31"/>
    <mergeCell ref="CA31:CP31"/>
    <mergeCell ref="CQ31:DR31"/>
    <mergeCell ref="AV46:CG46"/>
    <mergeCell ref="CH46:DR46"/>
    <mergeCell ref="D47:U47"/>
    <mergeCell ref="V47:AO48"/>
    <mergeCell ref="AV47:CG47"/>
    <mergeCell ref="CH47:DR47"/>
    <mergeCell ref="AV48:CG48"/>
    <mergeCell ref="CH48:DR48"/>
    <mergeCell ref="B35:AR36"/>
    <mergeCell ref="D38:K43"/>
    <mergeCell ref="L38:BJ43"/>
    <mergeCell ref="BL38:BS43"/>
    <mergeCell ref="BT38:DR43"/>
    <mergeCell ref="D45:U45"/>
    <mergeCell ref="V45:AO46"/>
    <mergeCell ref="AV45:CG45"/>
    <mergeCell ref="CH45:DR45"/>
    <mergeCell ref="AS46:AU49"/>
    <mergeCell ref="AV49:CG49"/>
    <mergeCell ref="CH49:DR49"/>
    <mergeCell ref="D50:W50"/>
    <mergeCell ref="AH50:AO50"/>
    <mergeCell ref="AS50:AU53"/>
    <mergeCell ref="AV50:CG50"/>
    <mergeCell ref="CH50:DR50"/>
    <mergeCell ref="D51:AO51"/>
    <mergeCell ref="AV51:CG51"/>
    <mergeCell ref="CH51:DR51"/>
    <mergeCell ref="D55:L55"/>
    <mergeCell ref="M55:AO55"/>
    <mergeCell ref="AV55:CG55"/>
    <mergeCell ref="CH55:DR55"/>
    <mergeCell ref="M56:AO56"/>
    <mergeCell ref="AV56:CG56"/>
    <mergeCell ref="CH56:DR56"/>
    <mergeCell ref="AV52:CG52"/>
    <mergeCell ref="CH52:DR52"/>
    <mergeCell ref="M53:AO53"/>
    <mergeCell ref="AV53:CG53"/>
    <mergeCell ref="CH53:DR53"/>
    <mergeCell ref="AS54:AU57"/>
    <mergeCell ref="AV54:CG54"/>
    <mergeCell ref="CH54:DR54"/>
    <mergeCell ref="M59:AO59"/>
    <mergeCell ref="AV59:CG59"/>
    <mergeCell ref="CH59:DR59"/>
    <mergeCell ref="D60:P60"/>
    <mergeCell ref="R60:AO60"/>
    <mergeCell ref="AV60:CG60"/>
    <mergeCell ref="CH60:DR60"/>
    <mergeCell ref="D57:L57"/>
    <mergeCell ref="M57:AO57"/>
    <mergeCell ref="AV57:CG57"/>
    <mergeCell ref="CH57:DR57"/>
    <mergeCell ref="D58:L58"/>
    <mergeCell ref="M58:AO58"/>
    <mergeCell ref="AS58:AU61"/>
    <mergeCell ref="AV58:CG58"/>
    <mergeCell ref="CH58:DR58"/>
    <mergeCell ref="D59:L59"/>
    <mergeCell ref="AR68:AZ68"/>
    <mergeCell ref="BA68:BJ68"/>
    <mergeCell ref="BY68:CK68"/>
    <mergeCell ref="D70:DR70"/>
    <mergeCell ref="AJ68:AN68"/>
    <mergeCell ref="AJ72:AN72"/>
    <mergeCell ref="M61:P61"/>
    <mergeCell ref="R61:AO61"/>
    <mergeCell ref="AV61:CG61"/>
    <mergeCell ref="CH61:DR61"/>
    <mergeCell ref="B64:AO65"/>
    <mergeCell ref="BY65:CK65"/>
    <mergeCell ref="DJ65:DR65"/>
    <mergeCell ref="CK72:CP72"/>
    <mergeCell ref="BZ72:CE72"/>
    <mergeCell ref="BL72:BQ72"/>
    <mergeCell ref="CT72:CY72"/>
    <mergeCell ref="G74:BH74"/>
    <mergeCell ref="BM74:CP74"/>
    <mergeCell ref="CR74:DR74"/>
    <mergeCell ref="T75:AN75"/>
    <mergeCell ref="BM75:CA75"/>
    <mergeCell ref="CB75:CE75"/>
    <mergeCell ref="CF75:CP75"/>
    <mergeCell ref="CR75:DB75"/>
    <mergeCell ref="DC75:DG75"/>
    <mergeCell ref="DN75:DR75"/>
    <mergeCell ref="DH75:DM75"/>
    <mergeCell ref="BD75:BK75"/>
    <mergeCell ref="DN77:DR77"/>
    <mergeCell ref="L78:R78"/>
    <mergeCell ref="T78:AN78"/>
    <mergeCell ref="AO78:AU78"/>
    <mergeCell ref="AV78:BB78"/>
    <mergeCell ref="BC78:BK78"/>
    <mergeCell ref="BM78:CA78"/>
    <mergeCell ref="CB78:CE78"/>
    <mergeCell ref="CF78:CP78"/>
    <mergeCell ref="CR78:DB78"/>
    <mergeCell ref="BM77:CA77"/>
    <mergeCell ref="CB77:CE77"/>
    <mergeCell ref="CF77:CP77"/>
    <mergeCell ref="CR77:DB77"/>
    <mergeCell ref="DC77:DG77"/>
    <mergeCell ref="DH77:DM77"/>
    <mergeCell ref="L77:R77"/>
    <mergeCell ref="T77:AN77"/>
    <mergeCell ref="AO77:AU77"/>
    <mergeCell ref="AV77:BB77"/>
    <mergeCell ref="BC77:BK77"/>
    <mergeCell ref="DC78:DG78"/>
    <mergeCell ref="DH78:DM78"/>
    <mergeCell ref="DN78:DR78"/>
    <mergeCell ref="L79:R79"/>
    <mergeCell ref="T79:AN79"/>
    <mergeCell ref="AO79:AU79"/>
    <mergeCell ref="AV79:BB79"/>
    <mergeCell ref="BC79:BK79"/>
    <mergeCell ref="BM79:CA79"/>
    <mergeCell ref="CB79:CE79"/>
    <mergeCell ref="CF79:CP79"/>
    <mergeCell ref="CR79:DB79"/>
    <mergeCell ref="DC79:DG79"/>
    <mergeCell ref="DH79:DM79"/>
    <mergeCell ref="DN79:DR79"/>
    <mergeCell ref="D80:J82"/>
    <mergeCell ref="L80:R80"/>
    <mergeCell ref="T80:AN80"/>
    <mergeCell ref="AO80:AU80"/>
    <mergeCell ref="AV80:BB80"/>
    <mergeCell ref="D77:J79"/>
    <mergeCell ref="L82:R82"/>
    <mergeCell ref="T82:AN82"/>
    <mergeCell ref="AO82:AU82"/>
    <mergeCell ref="AV82:BB82"/>
    <mergeCell ref="BC82:BK82"/>
    <mergeCell ref="BM82:CA82"/>
    <mergeCell ref="DH80:DM80"/>
    <mergeCell ref="DN80:DR80"/>
    <mergeCell ref="L81:R81"/>
    <mergeCell ref="T81:AN81"/>
    <mergeCell ref="AO81:AU81"/>
    <mergeCell ref="AV81:BB81"/>
    <mergeCell ref="BC81:BK81"/>
    <mergeCell ref="BM81:CA81"/>
    <mergeCell ref="CB81:CE81"/>
    <mergeCell ref="BC80:BK80"/>
    <mergeCell ref="BM80:CA80"/>
    <mergeCell ref="CB80:CE80"/>
    <mergeCell ref="CF80:CP80"/>
    <mergeCell ref="CR80:DB80"/>
    <mergeCell ref="DC80:DG80"/>
    <mergeCell ref="CB82:CE82"/>
    <mergeCell ref="CF82:CP82"/>
    <mergeCell ref="CR82:DB82"/>
    <mergeCell ref="DC82:DG82"/>
    <mergeCell ref="BM83:CA83"/>
    <mergeCell ref="CB83:CE83"/>
    <mergeCell ref="CF83:CP83"/>
    <mergeCell ref="CR83:DB83"/>
    <mergeCell ref="DC83:DG83"/>
    <mergeCell ref="DH83:DM83"/>
    <mergeCell ref="L83:R83"/>
    <mergeCell ref="T83:AN83"/>
    <mergeCell ref="CF81:CP81"/>
    <mergeCell ref="L84:R84"/>
    <mergeCell ref="T84:AN84"/>
    <mergeCell ref="AO84:AU84"/>
    <mergeCell ref="AV84:BB84"/>
    <mergeCell ref="BC84:BK84"/>
    <mergeCell ref="BM84:CA84"/>
    <mergeCell ref="CB84:CE84"/>
    <mergeCell ref="CF84:CP84"/>
    <mergeCell ref="CR84:DB84"/>
    <mergeCell ref="DH85:DM85"/>
    <mergeCell ref="DN85:DR85"/>
    <mergeCell ref="DH82:DM82"/>
    <mergeCell ref="DN82:DR82"/>
    <mergeCell ref="CR81:DB81"/>
    <mergeCell ref="DC81:DG81"/>
    <mergeCell ref="DH81:DM81"/>
    <mergeCell ref="DN81:DR81"/>
    <mergeCell ref="DN83:DR83"/>
    <mergeCell ref="T85:AN85"/>
    <mergeCell ref="AO85:AU85"/>
    <mergeCell ref="AV85:BB85"/>
    <mergeCell ref="BC85:BK85"/>
    <mergeCell ref="BM85:CA85"/>
    <mergeCell ref="CB85:CE85"/>
    <mergeCell ref="CF85:CP85"/>
    <mergeCell ref="CR85:DB85"/>
    <mergeCell ref="DC85:DG85"/>
    <mergeCell ref="D83:J85"/>
    <mergeCell ref="H94:V95"/>
    <mergeCell ref="AD94:AR95"/>
    <mergeCell ref="AU94:BK95"/>
    <mergeCell ref="BQ94:CE95"/>
    <mergeCell ref="CH94:DB95"/>
    <mergeCell ref="DD94:DR95"/>
    <mergeCell ref="AD89:AG89"/>
    <mergeCell ref="BQ89:BT89"/>
    <mergeCell ref="DD89:DG89"/>
    <mergeCell ref="DP89:DR89"/>
    <mergeCell ref="H91:U92"/>
    <mergeCell ref="AD91:AR92"/>
    <mergeCell ref="AU91:BG92"/>
    <mergeCell ref="BQ91:CE92"/>
    <mergeCell ref="CH91:CT92"/>
    <mergeCell ref="DD91:DR92"/>
    <mergeCell ref="AO83:AU83"/>
    <mergeCell ref="AV83:BB83"/>
    <mergeCell ref="BC83:BK83"/>
    <mergeCell ref="DC84:DG84"/>
    <mergeCell ref="DH84:DM84"/>
    <mergeCell ref="DN84:DR84"/>
    <mergeCell ref="L85:R85"/>
    <mergeCell ref="L101:P101"/>
    <mergeCell ref="AR101:AV101"/>
    <mergeCell ref="D103:F106"/>
    <mergeCell ref="H103:DR106"/>
    <mergeCell ref="CH109:CJ109"/>
    <mergeCell ref="CZ109:DB109"/>
    <mergeCell ref="H97:Z97"/>
    <mergeCell ref="AD97:AR99"/>
    <mergeCell ref="BQ97:CE99"/>
    <mergeCell ref="CH97:CZ97"/>
    <mergeCell ref="DD97:DR97"/>
    <mergeCell ref="DD99:DR99"/>
    <mergeCell ref="BY101:CB101"/>
    <mergeCell ref="D87:E99"/>
    <mergeCell ref="H87:AR87"/>
    <mergeCell ref="AU87:CE87"/>
    <mergeCell ref="CH87:DR87"/>
    <mergeCell ref="H89:AA89"/>
    <mergeCell ref="CS113:DB113"/>
    <mergeCell ref="DC113:DR113"/>
    <mergeCell ref="D115:D124"/>
    <mergeCell ref="E115:L115"/>
    <mergeCell ref="M115:AG115"/>
    <mergeCell ref="AH115:AR115"/>
    <mergeCell ref="AS115:BE115"/>
    <mergeCell ref="BF115:BR115"/>
    <mergeCell ref="BS115:CE115"/>
    <mergeCell ref="CF115:CR115"/>
    <mergeCell ref="D113:AG113"/>
    <mergeCell ref="AH113:AR113"/>
    <mergeCell ref="AS113:BE113"/>
    <mergeCell ref="BF113:BR113"/>
    <mergeCell ref="BS113:CE113"/>
    <mergeCell ref="CF113:CR113"/>
    <mergeCell ref="CS115:DB115"/>
    <mergeCell ref="DC115:DR115"/>
    <mergeCell ref="E116:L116"/>
    <mergeCell ref="M116:AG116"/>
    <mergeCell ref="AH116:AR116"/>
    <mergeCell ref="AS116:BE116"/>
    <mergeCell ref="BF116:BR116"/>
    <mergeCell ref="BS116:CE116"/>
    <mergeCell ref="CF116:CR116"/>
    <mergeCell ref="CS116:DB116"/>
    <mergeCell ref="DC116:DR116"/>
    <mergeCell ref="E117:L117"/>
    <mergeCell ref="M117:AG117"/>
    <mergeCell ref="AH117:AR117"/>
    <mergeCell ref="AS117:BE117"/>
    <mergeCell ref="BF117:BR117"/>
    <mergeCell ref="BS117:CE117"/>
    <mergeCell ref="CF117:CR117"/>
    <mergeCell ref="CS117:DB117"/>
    <mergeCell ref="DC117:DR117"/>
    <mergeCell ref="CF118:CR118"/>
    <mergeCell ref="CS118:DB118"/>
    <mergeCell ref="DC118:DR118"/>
    <mergeCell ref="E119:L119"/>
    <mergeCell ref="M119:AG119"/>
    <mergeCell ref="AH119:AR119"/>
    <mergeCell ref="AS119:BE119"/>
    <mergeCell ref="BF119:BR119"/>
    <mergeCell ref="BS119:CE119"/>
    <mergeCell ref="CF119:CR119"/>
    <mergeCell ref="E118:L118"/>
    <mergeCell ref="M118:AG118"/>
    <mergeCell ref="AH118:AR118"/>
    <mergeCell ref="AS118:BE118"/>
    <mergeCell ref="BF118:BR118"/>
    <mergeCell ref="BS118:CE118"/>
    <mergeCell ref="CS119:DB119"/>
    <mergeCell ref="DC119:DR119"/>
    <mergeCell ref="E120:L120"/>
    <mergeCell ref="M120:AG120"/>
    <mergeCell ref="AH120:AR120"/>
    <mergeCell ref="AS120:BE120"/>
    <mergeCell ref="BF120:BR120"/>
    <mergeCell ref="BS120:CE120"/>
    <mergeCell ref="CF120:CR120"/>
    <mergeCell ref="CS120:DB120"/>
    <mergeCell ref="DC120:DR120"/>
    <mergeCell ref="E121:L121"/>
    <mergeCell ref="M121:AG121"/>
    <mergeCell ref="AH121:AR121"/>
    <mergeCell ref="AS121:BE121"/>
    <mergeCell ref="BF121:BR121"/>
    <mergeCell ref="BS121:CE121"/>
    <mergeCell ref="CF121:CR121"/>
    <mergeCell ref="CS121:DB121"/>
    <mergeCell ref="DC121:DR121"/>
    <mergeCell ref="CF122:CR122"/>
    <mergeCell ref="CS122:DB122"/>
    <mergeCell ref="DC122:DR122"/>
    <mergeCell ref="E123:L123"/>
    <mergeCell ref="M123:AG123"/>
    <mergeCell ref="AH123:AR123"/>
    <mergeCell ref="AS123:BE123"/>
    <mergeCell ref="BF123:BR123"/>
    <mergeCell ref="BS123:CE123"/>
    <mergeCell ref="CF123:CR123"/>
    <mergeCell ref="E122:L122"/>
    <mergeCell ref="M122:AG122"/>
    <mergeCell ref="AH122:AR122"/>
    <mergeCell ref="AS122:BE122"/>
    <mergeCell ref="BF122:BR122"/>
    <mergeCell ref="BS122:CE122"/>
    <mergeCell ref="CS123:DB123"/>
    <mergeCell ref="DC123:DR123"/>
    <mergeCell ref="E124:L124"/>
    <mergeCell ref="M124:AG124"/>
    <mergeCell ref="AH124:AR124"/>
    <mergeCell ref="AS124:BE124"/>
    <mergeCell ref="BF124:BR124"/>
    <mergeCell ref="BS124:CE124"/>
    <mergeCell ref="CF124:CR124"/>
    <mergeCell ref="CS124:DB124"/>
    <mergeCell ref="DC124:DR124"/>
    <mergeCell ref="D126:D135"/>
    <mergeCell ref="E126:L126"/>
    <mergeCell ref="M126:AG126"/>
    <mergeCell ref="AH126:AR126"/>
    <mergeCell ref="AS126:BE126"/>
    <mergeCell ref="BF126:BR126"/>
    <mergeCell ref="BS126:CE126"/>
    <mergeCell ref="CF126:CR126"/>
    <mergeCell ref="CS126:DB126"/>
    <mergeCell ref="CF128:CR128"/>
    <mergeCell ref="CS128:DB128"/>
    <mergeCell ref="E130:L130"/>
    <mergeCell ref="M130:AG130"/>
    <mergeCell ref="AH130:AR130"/>
    <mergeCell ref="AS130:BE130"/>
    <mergeCell ref="BF130:BR130"/>
    <mergeCell ref="BS130:CE130"/>
    <mergeCell ref="CF130:CR130"/>
    <mergeCell ref="CS130:DB130"/>
    <mergeCell ref="CF132:CR132"/>
    <mergeCell ref="CS132:DB132"/>
    <mergeCell ref="E134:L134"/>
    <mergeCell ref="M134:AG134"/>
    <mergeCell ref="AH134:AR134"/>
    <mergeCell ref="DC126:DR126"/>
    <mergeCell ref="E127:L127"/>
    <mergeCell ref="M127:AG127"/>
    <mergeCell ref="AH127:AR127"/>
    <mergeCell ref="AS127:BE127"/>
    <mergeCell ref="BF127:BR127"/>
    <mergeCell ref="BS127:CE127"/>
    <mergeCell ref="CF127:CR127"/>
    <mergeCell ref="CS127:DB127"/>
    <mergeCell ref="DC127:DR127"/>
    <mergeCell ref="DC128:DR128"/>
    <mergeCell ref="E129:L129"/>
    <mergeCell ref="M129:AG129"/>
    <mergeCell ref="AH129:AR129"/>
    <mergeCell ref="AS129:BE129"/>
    <mergeCell ref="BF129:BR129"/>
    <mergeCell ref="BS129:CE129"/>
    <mergeCell ref="CF129:CR129"/>
    <mergeCell ref="E128:L128"/>
    <mergeCell ref="M128:AG128"/>
    <mergeCell ref="AH128:AR128"/>
    <mergeCell ref="AS128:BE128"/>
    <mergeCell ref="BF128:BR128"/>
    <mergeCell ref="BS128:CE128"/>
    <mergeCell ref="CS129:DB129"/>
    <mergeCell ref="DC129:DR129"/>
    <mergeCell ref="DC130:DR130"/>
    <mergeCell ref="E131:L131"/>
    <mergeCell ref="M131:AG131"/>
    <mergeCell ref="AH131:AR131"/>
    <mergeCell ref="AS131:BE131"/>
    <mergeCell ref="BF131:BR131"/>
    <mergeCell ref="BS131:CE131"/>
    <mergeCell ref="CF131:CR131"/>
    <mergeCell ref="CS131:DB131"/>
    <mergeCell ref="DC131:DR131"/>
    <mergeCell ref="DC132:DR132"/>
    <mergeCell ref="E133:L133"/>
    <mergeCell ref="M133:AG133"/>
    <mergeCell ref="AH133:AR133"/>
    <mergeCell ref="AS133:BE133"/>
    <mergeCell ref="BF133:BR133"/>
    <mergeCell ref="BS133:CE133"/>
    <mergeCell ref="CF133:CR133"/>
    <mergeCell ref="E132:L132"/>
    <mergeCell ref="M132:AG132"/>
    <mergeCell ref="AH132:AR132"/>
    <mergeCell ref="AS132:BE132"/>
    <mergeCell ref="BF132:BR132"/>
    <mergeCell ref="BS132:CE132"/>
    <mergeCell ref="CS133:DB133"/>
    <mergeCell ref="DC133:DR133"/>
    <mergeCell ref="AS134:BE134"/>
    <mergeCell ref="BF134:BR134"/>
    <mergeCell ref="BS134:CE134"/>
    <mergeCell ref="CF134:CR134"/>
    <mergeCell ref="CS134:DB134"/>
    <mergeCell ref="DC134:DR134"/>
    <mergeCell ref="E135:L135"/>
    <mergeCell ref="M135:AG135"/>
    <mergeCell ref="AH135:AR135"/>
    <mergeCell ref="AS135:BE135"/>
    <mergeCell ref="BF135:BR135"/>
    <mergeCell ref="BS135:CE135"/>
    <mergeCell ref="CF135:CR135"/>
    <mergeCell ref="CS135:DB135"/>
    <mergeCell ref="DC135:DR135"/>
    <mergeCell ref="D137:F139"/>
    <mergeCell ref="H137:DR139"/>
    <mergeCell ref="D146:CM147"/>
    <mergeCell ref="CO146:DR147"/>
    <mergeCell ref="D151:AB151"/>
    <mergeCell ref="AC151:BO151"/>
    <mergeCell ref="BQ151:BY151"/>
    <mergeCell ref="BZ151:CF151"/>
    <mergeCell ref="CG151:CM151"/>
    <mergeCell ref="CO151:CZ151"/>
    <mergeCell ref="DD151:DG151"/>
    <mergeCell ref="DI151:DR151"/>
    <mergeCell ref="D153:H153"/>
    <mergeCell ref="I153:AB153"/>
    <mergeCell ref="AC153:BP153"/>
    <mergeCell ref="BQ153:BY153"/>
    <mergeCell ref="BZ153:CF153"/>
    <mergeCell ref="CG153:CM153"/>
    <mergeCell ref="CO153:DC153"/>
    <mergeCell ref="DD153:DG153"/>
    <mergeCell ref="DH153:DR153"/>
    <mergeCell ref="D154:H154"/>
    <mergeCell ref="I154:AB154"/>
    <mergeCell ref="AC154:BP154"/>
    <mergeCell ref="BQ154:BY154"/>
    <mergeCell ref="BZ154:CF154"/>
    <mergeCell ref="CG154:CM154"/>
    <mergeCell ref="CO154:DC154"/>
    <mergeCell ref="DD154:DG154"/>
    <mergeCell ref="DH154:DR154"/>
    <mergeCell ref="CO155:DC155"/>
    <mergeCell ref="DD155:DG155"/>
    <mergeCell ref="DH155:DR155"/>
    <mergeCell ref="D156:H156"/>
    <mergeCell ref="I156:AB156"/>
    <mergeCell ref="AC156:BP156"/>
    <mergeCell ref="BQ156:BY156"/>
    <mergeCell ref="BZ156:CF156"/>
    <mergeCell ref="CG156:CM156"/>
    <mergeCell ref="CO156:DC156"/>
    <mergeCell ref="D155:H155"/>
    <mergeCell ref="I155:AB155"/>
    <mergeCell ref="AC155:BP155"/>
    <mergeCell ref="BQ155:BY155"/>
    <mergeCell ref="BZ155:CF155"/>
    <mergeCell ref="CG155:CM155"/>
    <mergeCell ref="DD156:DG156"/>
    <mergeCell ref="DH156:DR156"/>
    <mergeCell ref="D157:H157"/>
    <mergeCell ref="I157:AB157"/>
    <mergeCell ref="AC157:BP157"/>
    <mergeCell ref="BQ157:BY157"/>
    <mergeCell ref="BZ157:CF157"/>
    <mergeCell ref="CG157:CM157"/>
    <mergeCell ref="CO157:DC157"/>
    <mergeCell ref="DD157:DG157"/>
    <mergeCell ref="DH157:DR157"/>
    <mergeCell ref="D158:H158"/>
    <mergeCell ref="I158:AB158"/>
    <mergeCell ref="AC158:BP158"/>
    <mergeCell ref="BQ158:BY158"/>
    <mergeCell ref="BZ158:CF158"/>
    <mergeCell ref="CG158:CM158"/>
    <mergeCell ref="CO158:DC158"/>
    <mergeCell ref="DD158:DG158"/>
    <mergeCell ref="DH158:DR158"/>
    <mergeCell ref="CO159:DC159"/>
    <mergeCell ref="DD159:DG159"/>
    <mergeCell ref="DH159:DR159"/>
    <mergeCell ref="D160:H160"/>
    <mergeCell ref="I160:AB160"/>
    <mergeCell ref="AC160:BP160"/>
    <mergeCell ref="BQ160:BY160"/>
    <mergeCell ref="BZ160:CF160"/>
    <mergeCell ref="CG160:CM160"/>
    <mergeCell ref="CO160:DC160"/>
    <mergeCell ref="D159:H159"/>
    <mergeCell ref="I159:AB159"/>
    <mergeCell ref="AC159:BP159"/>
    <mergeCell ref="BQ159:BY159"/>
    <mergeCell ref="BZ159:CF159"/>
    <mergeCell ref="CG159:CM159"/>
    <mergeCell ref="DD160:DG160"/>
    <mergeCell ref="DH160:DR160"/>
    <mergeCell ref="D161:H161"/>
    <mergeCell ref="I161:AB161"/>
    <mergeCell ref="AC161:BP161"/>
    <mergeCell ref="BQ161:BY161"/>
    <mergeCell ref="BZ161:CF161"/>
    <mergeCell ref="CG161:CM161"/>
    <mergeCell ref="CO161:DC161"/>
    <mergeCell ref="DD161:DG161"/>
    <mergeCell ref="DH161:DR161"/>
    <mergeCell ref="D162:H162"/>
    <mergeCell ref="I162:AB162"/>
    <mergeCell ref="AC162:BP162"/>
    <mergeCell ref="BQ162:BY162"/>
    <mergeCell ref="BZ162:CF162"/>
    <mergeCell ref="CG162:CM162"/>
    <mergeCell ref="CO162:DC162"/>
    <mergeCell ref="DD162:DG162"/>
    <mergeCell ref="DH162:DR162"/>
    <mergeCell ref="CO166:DC166"/>
    <mergeCell ref="DD166:DG166"/>
    <mergeCell ref="DH166:DR166"/>
    <mergeCell ref="D167:H167"/>
    <mergeCell ref="I167:AB167"/>
    <mergeCell ref="AC167:BP167"/>
    <mergeCell ref="BQ167:BY167"/>
    <mergeCell ref="BZ167:CF167"/>
    <mergeCell ref="CG167:CM167"/>
    <mergeCell ref="CO167:DC167"/>
    <mergeCell ref="D166:H166"/>
    <mergeCell ref="I166:AB166"/>
    <mergeCell ref="AC166:BP166"/>
    <mergeCell ref="BQ166:BY166"/>
    <mergeCell ref="BZ166:CF166"/>
    <mergeCell ref="CG166:CM166"/>
    <mergeCell ref="DD167:DG167"/>
    <mergeCell ref="DH167:DR167"/>
    <mergeCell ref="D168:H168"/>
    <mergeCell ref="I168:AB168"/>
    <mergeCell ref="AC168:BP168"/>
    <mergeCell ref="BQ168:BY168"/>
    <mergeCell ref="BZ168:CF168"/>
    <mergeCell ref="CG168:CM168"/>
    <mergeCell ref="CO168:DC168"/>
    <mergeCell ref="DD168:DG168"/>
    <mergeCell ref="DH168:DR168"/>
    <mergeCell ref="D169:H169"/>
    <mergeCell ref="I169:AB169"/>
    <mergeCell ref="AC169:BP169"/>
    <mergeCell ref="BQ169:BY169"/>
    <mergeCell ref="BZ169:CF169"/>
    <mergeCell ref="CG169:CM169"/>
    <mergeCell ref="CO169:DC169"/>
    <mergeCell ref="DD169:DG169"/>
    <mergeCell ref="DH169:DR169"/>
    <mergeCell ref="CO170:DC170"/>
    <mergeCell ref="DD170:DG170"/>
    <mergeCell ref="DH170:DR170"/>
    <mergeCell ref="D171:H171"/>
    <mergeCell ref="I171:AB171"/>
    <mergeCell ref="AC171:BP171"/>
    <mergeCell ref="BQ171:BY171"/>
    <mergeCell ref="BZ171:CF171"/>
    <mergeCell ref="CG171:CM171"/>
    <mergeCell ref="CO171:DC171"/>
    <mergeCell ref="D170:H170"/>
    <mergeCell ref="I170:AB170"/>
    <mergeCell ref="AC170:BP170"/>
    <mergeCell ref="BQ170:BY170"/>
    <mergeCell ref="BZ170:CF170"/>
    <mergeCell ref="CG170:CM170"/>
    <mergeCell ref="DD171:DG171"/>
    <mergeCell ref="DH171:DR171"/>
    <mergeCell ref="D172:H172"/>
    <mergeCell ref="I172:AB172"/>
    <mergeCell ref="AC172:BP172"/>
    <mergeCell ref="BQ172:BY172"/>
    <mergeCell ref="BZ172:CF172"/>
    <mergeCell ref="CG172:CM172"/>
    <mergeCell ref="CO172:DC172"/>
    <mergeCell ref="DD172:DG172"/>
    <mergeCell ref="DH172:DR172"/>
    <mergeCell ref="D173:H173"/>
    <mergeCell ref="I173:AB173"/>
    <mergeCell ref="AC173:BP173"/>
    <mergeCell ref="BQ173:BY173"/>
    <mergeCell ref="BZ173:CF173"/>
    <mergeCell ref="CG173:CM173"/>
    <mergeCell ref="CO173:DC173"/>
    <mergeCell ref="DD173:DG173"/>
    <mergeCell ref="DH173:DR173"/>
    <mergeCell ref="CO174:DC174"/>
    <mergeCell ref="DD174:DG174"/>
    <mergeCell ref="DH174:DR174"/>
    <mergeCell ref="D175:H175"/>
    <mergeCell ref="I175:AB175"/>
    <mergeCell ref="AC175:BP175"/>
    <mergeCell ref="BQ175:BY175"/>
    <mergeCell ref="BZ175:CF175"/>
    <mergeCell ref="CG175:CM175"/>
    <mergeCell ref="CO175:DC175"/>
    <mergeCell ref="D174:H174"/>
    <mergeCell ref="I174:AB174"/>
    <mergeCell ref="AC174:BP174"/>
    <mergeCell ref="BQ174:BY174"/>
    <mergeCell ref="BZ174:CF174"/>
    <mergeCell ref="CG174:CM174"/>
    <mergeCell ref="D190:G196"/>
    <mergeCell ref="H190:DR196"/>
    <mergeCell ref="BR200:BW200"/>
    <mergeCell ref="BX200:CL200"/>
    <mergeCell ref="CZ200:DB200"/>
    <mergeCell ref="DJ200:DR200"/>
    <mergeCell ref="DD175:DG175"/>
    <mergeCell ref="DH175:DR175"/>
    <mergeCell ref="D181:G181"/>
    <mergeCell ref="H181:DR181"/>
    <mergeCell ref="D182:G188"/>
    <mergeCell ref="H182:DR188"/>
    <mergeCell ref="BK205:BX205"/>
    <mergeCell ref="BY205:CD205"/>
    <mergeCell ref="CE205:CS205"/>
    <mergeCell ref="CT205:DA205"/>
    <mergeCell ref="DB205:DI205"/>
    <mergeCell ref="DJ205:DR205"/>
    <mergeCell ref="D205:P205"/>
    <mergeCell ref="Q205:V205"/>
    <mergeCell ref="W205:AJ205"/>
    <mergeCell ref="AK205:AR205"/>
    <mergeCell ref="AS205:AZ205"/>
    <mergeCell ref="BA205:BI205"/>
    <mergeCell ref="BK206:BX206"/>
    <mergeCell ref="BY206:CD206"/>
    <mergeCell ref="CE206:CS206"/>
    <mergeCell ref="CT206:DA206"/>
    <mergeCell ref="DB206:DI206"/>
    <mergeCell ref="DJ206:DR206"/>
    <mergeCell ref="D206:P206"/>
    <mergeCell ref="Q206:V206"/>
    <mergeCell ref="W206:AJ206"/>
    <mergeCell ref="AK206:AR206"/>
    <mergeCell ref="AS206:AZ206"/>
    <mergeCell ref="BA206:BI206"/>
    <mergeCell ref="BK207:BX207"/>
    <mergeCell ref="BY207:CD207"/>
    <mergeCell ref="CE207:CS207"/>
    <mergeCell ref="CT207:DA207"/>
    <mergeCell ref="DB207:DI207"/>
    <mergeCell ref="DJ207:DR207"/>
    <mergeCell ref="D207:P207"/>
    <mergeCell ref="Q207:V207"/>
    <mergeCell ref="W207:AJ207"/>
    <mergeCell ref="AK207:AR207"/>
    <mergeCell ref="AS207:AZ207"/>
    <mergeCell ref="BA207:BI207"/>
    <mergeCell ref="BK208:BX208"/>
    <mergeCell ref="BY208:CD208"/>
    <mergeCell ref="CE208:CS208"/>
    <mergeCell ref="CT208:DA208"/>
    <mergeCell ref="DB208:DI208"/>
    <mergeCell ref="DJ208:DR208"/>
    <mergeCell ref="D208:P208"/>
    <mergeCell ref="Q208:V208"/>
    <mergeCell ref="W208:AJ208"/>
    <mergeCell ref="AK208:AR208"/>
    <mergeCell ref="AS208:AZ208"/>
    <mergeCell ref="BA208:BI208"/>
    <mergeCell ref="BK209:BX209"/>
    <mergeCell ref="BY209:CD209"/>
    <mergeCell ref="CE209:CS209"/>
    <mergeCell ref="CT209:DA209"/>
    <mergeCell ref="DB209:DI209"/>
    <mergeCell ref="DJ209:DR209"/>
    <mergeCell ref="D209:P209"/>
    <mergeCell ref="Q209:V209"/>
    <mergeCell ref="W209:AJ209"/>
    <mergeCell ref="AK209:AR209"/>
    <mergeCell ref="AS209:AZ209"/>
    <mergeCell ref="BA209:BI209"/>
    <mergeCell ref="C212:AR212"/>
    <mergeCell ref="C214:R214"/>
    <mergeCell ref="S214:X214"/>
    <mergeCell ref="Y214:Z214"/>
    <mergeCell ref="CV214:DL214"/>
    <mergeCell ref="DM214:DR214"/>
    <mergeCell ref="BK210:BX210"/>
    <mergeCell ref="BY210:CD210"/>
    <mergeCell ref="CE210:CS210"/>
    <mergeCell ref="CT210:DA210"/>
    <mergeCell ref="DB210:DI210"/>
    <mergeCell ref="DJ210:DR210"/>
    <mergeCell ref="D210:P210"/>
    <mergeCell ref="Q210:V210"/>
    <mergeCell ref="W210:AJ210"/>
    <mergeCell ref="AK210:AR210"/>
    <mergeCell ref="AS210:AZ210"/>
    <mergeCell ref="BA210:BI210"/>
    <mergeCell ref="D218:X218"/>
    <mergeCell ref="Y218:CN218"/>
    <mergeCell ref="CO218:DA218"/>
    <mergeCell ref="DB218:DR218"/>
    <mergeCell ref="D219:X219"/>
    <mergeCell ref="Y219:CN219"/>
    <mergeCell ref="CO219:DA219"/>
    <mergeCell ref="DB219:DR219"/>
    <mergeCell ref="D216:X216"/>
    <mergeCell ref="Y216:CN216"/>
    <mergeCell ref="CO216:DA216"/>
    <mergeCell ref="DB216:DR216"/>
    <mergeCell ref="D217:X217"/>
    <mergeCell ref="Y217:CN217"/>
    <mergeCell ref="CO217:DA217"/>
    <mergeCell ref="DB217:DR217"/>
    <mergeCell ref="D224:X224"/>
    <mergeCell ref="Y224:CN224"/>
    <mergeCell ref="CO224:DA224"/>
    <mergeCell ref="DB224:DR224"/>
    <mergeCell ref="D225:X225"/>
    <mergeCell ref="Y225:CN225"/>
    <mergeCell ref="CO225:DA225"/>
    <mergeCell ref="DB225:DR225"/>
    <mergeCell ref="C221:R221"/>
    <mergeCell ref="S221:X221"/>
    <mergeCell ref="D223:X223"/>
    <mergeCell ref="Y223:CN223"/>
    <mergeCell ref="CO223:DA223"/>
    <mergeCell ref="DB223:DR223"/>
    <mergeCell ref="D234:X234"/>
    <mergeCell ref="Y234:AU234"/>
    <mergeCell ref="AV234:BI234"/>
    <mergeCell ref="BJ234:BV234"/>
    <mergeCell ref="BW234:DR234"/>
    <mergeCell ref="AD238:AH238"/>
    <mergeCell ref="D235:X235"/>
    <mergeCell ref="Y235:AU235"/>
    <mergeCell ref="AV235:BI235"/>
    <mergeCell ref="BJ235:BV235"/>
    <mergeCell ref="BW235:DR235"/>
    <mergeCell ref="D236:X236"/>
    <mergeCell ref="Y236:AU236"/>
    <mergeCell ref="AV236:BI236"/>
    <mergeCell ref="BJ236:BV236"/>
    <mergeCell ref="BW236:DR236"/>
    <mergeCell ref="D237:X237"/>
    <mergeCell ref="Y237:AU237"/>
    <mergeCell ref="AV237:BI237"/>
    <mergeCell ref="BJ237:BV237"/>
    <mergeCell ref="BW237:DR237"/>
    <mergeCell ref="D226:X226"/>
    <mergeCell ref="Y226:CN226"/>
    <mergeCell ref="CO226:DA226"/>
    <mergeCell ref="DB226:DR226"/>
    <mergeCell ref="BG230:CY230"/>
    <mergeCell ref="DJ230:DR230"/>
    <mergeCell ref="D233:X233"/>
    <mergeCell ref="Y233:AU233"/>
    <mergeCell ref="AV233:BV233"/>
    <mergeCell ref="BW233:DR233"/>
  </mergeCells>
  <phoneticPr fontId="198" type="noConversion"/>
  <conditionalFormatting sqref="I101:BU101 BY101 CJ101:DS101 CD101">
    <cfRule type="expression" dxfId="1859" priority="43">
      <formula>IF(AND(#REF!="X",#REF!="X",#REF!="X"),1,0)</formula>
    </cfRule>
  </conditionalFormatting>
  <conditionalFormatting sqref="AR54">
    <cfRule type="expression" dxfId="1858" priority="44">
      <formula>IF($GN$55=INDIRECT(#REF!&amp;"!C125"),1,0)</formula>
    </cfRule>
  </conditionalFormatting>
  <conditionalFormatting sqref="DS103:DS107">
    <cfRule type="expression" dxfId="1857" priority="41">
      <formula>IF(AND(#REF!="X",#REF!="X",#REF!="X"),1,0)</formula>
    </cfRule>
  </conditionalFormatting>
  <conditionalFormatting sqref="AS115:AS124 BF115:BF124 BS115:BS124 CF115:CF124 CS115:CS124 DC115:DC124">
    <cfRule type="cellIs" dxfId="1856" priority="39" operator="equal">
      <formula>0</formula>
    </cfRule>
  </conditionalFormatting>
  <conditionalFormatting sqref="H94 H91:U92 H97:Z97 AD94 AD91 BQ97 AD97">
    <cfRule type="expression" dxfId="1855" priority="38">
      <formula>IF($AD$93=INDIRECT($J$4&amp;"!C42"),1,0)</formula>
    </cfRule>
  </conditionalFormatting>
  <conditionalFormatting sqref="AU94 AU91:BG92 BQ94 AU97:BD97 BQ91 BI97">
    <cfRule type="expression" dxfId="1854" priority="37">
      <formula>IF($BQ$93=INDIRECT($J$4&amp;"!C42"),1,0)</formula>
    </cfRule>
  </conditionalFormatting>
  <conditionalFormatting sqref="CH91:CT92 CH94 DD94 CH97:CZ97 DD91 DD97 DB97 CG98">
    <cfRule type="expression" dxfId="1853" priority="36">
      <formula>IF($DD$93=INDIRECT($J$4&amp;"!C42"),1,0)</formula>
    </cfRule>
  </conditionalFormatting>
  <conditionalFormatting sqref="R61:AO61">
    <cfRule type="expression" dxfId="1852" priority="32">
      <formula>IF($M$61=INDIRECT($J$4&amp;"!C42"),1,0)</formula>
    </cfRule>
  </conditionalFormatting>
  <conditionalFormatting sqref="R60:AO60">
    <cfRule type="expression" dxfId="1851" priority="31">
      <formula>IF($M$61=INDIRECT($J$4&amp;"!C42"),1,0)</formula>
    </cfRule>
  </conditionalFormatting>
  <conditionalFormatting sqref="AS126:AS135 BF126:BF135 BS126:BS135 CF126:CF135">
    <cfRule type="cellIs" dxfId="1850" priority="30" operator="equal">
      <formula>0</formula>
    </cfRule>
  </conditionalFormatting>
  <conditionalFormatting sqref="CS126:CS135 DC126:DC135">
    <cfRule type="cellIs" dxfId="1849" priority="29" operator="equal">
      <formula>0</formula>
    </cfRule>
  </conditionalFormatting>
  <conditionalFormatting sqref="CB77:CB85 DD153:DD162 DD166:DD175">
    <cfRule type="expression" dxfId="1848" priority="27">
      <formula>IF($BF$50=INDIRECT($O$4&amp;"!C42"),1,0)</formula>
    </cfRule>
  </conditionalFormatting>
  <conditionalFormatting sqref="AR68:CK68">
    <cfRule type="expression" dxfId="1847" priority="14">
      <formula>IF($AJ$68=INDIRECT($J$4&amp;"!C42"),1,0)</formula>
    </cfRule>
  </conditionalFormatting>
  <conditionalFormatting sqref="CJ72:CK72 BR72:BY72 EB73:EY73 EC72:EY72 BI72:BL72">
    <cfRule type="expression" dxfId="1846" priority="9">
      <formula>IF($BA$73=INDIRECT($J$4&amp;"!C42"),1,0)</formula>
    </cfRule>
  </conditionalFormatting>
  <conditionalFormatting sqref="CG72:CI72">
    <cfRule type="expression" dxfId="1845" priority="8">
      <formula>IF($BA$73=INDIRECT($J$4&amp;"!C42"),1,0)</formula>
    </cfRule>
  </conditionalFormatting>
  <conditionalFormatting sqref="BZ72 CF72">
    <cfRule type="expression" dxfId="1844" priority="7">
      <formula>IF($BA$73=INDIRECT($J$4&amp;"!C42"),1,0)</formula>
    </cfRule>
  </conditionalFormatting>
  <conditionalFormatting sqref="AP72:DQ72">
    <cfRule type="expression" dxfId="1843" priority="3">
      <formula>IF($AJ$72=INDIRECT($J$4&amp;"!C42"),1,0)</formula>
    </cfRule>
  </conditionalFormatting>
  <conditionalFormatting sqref="BW101:BX101 CC101">
    <cfRule type="expression" dxfId="1842" priority="2">
      <formula>IF(AND(#REF!="X",#REF!="X",#REF!="X"),1,0)</formula>
    </cfRule>
  </conditionalFormatting>
  <conditionalFormatting sqref="CF101:CG101">
    <cfRule type="expression" dxfId="1841" priority="1">
      <formula>IF(AND(#REF!="X",#REF!="X",#REF!="X"),1,0)</formula>
    </cfRule>
  </conditionalFormatting>
  <dataValidations count="3">
    <dataValidation type="list" allowBlank="1" showInputMessage="1" showErrorMessage="1" sqref="J4:V4">
      <formula1>Sprachen</formula1>
    </dataValidation>
    <dataValidation allowBlank="1" sqref="DA65:DC65 DD16:DS16 AH68:AI68"/>
    <dataValidation type="list" allowBlank="1" showInputMessage="1" showErrorMessage="1" sqref="BY65:CK65">
      <formula1>INDIRECT($J$4&amp;"!C94:C95")</formula1>
    </dataValidation>
  </dataValidations>
  <hyperlinks>
    <hyperlink ref="CV214" r:id="rId1"/>
  </hyperlinks>
  <pageMargins left="0.7" right="0.7" top="0.3046875" bottom="0.78740157499999996" header="0.3" footer="0.3"/>
  <pageSetup paperSize="9" scale="28" fitToHeight="0" orientation="portrait" r:id="rId2"/>
  <rowBreaks count="2" manualBreakCount="2">
    <brk id="108" max="124" man="1"/>
    <brk id="240" max="126" man="1"/>
  </rowBreaks>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42" id="{DEEE1F58-6A0F-44F0-A2DC-3DC0DC467CE4}">
            <xm:f>IF($D$14=DropDown!$N$9,1,0)</xm:f>
            <x14:dxf>
              <font>
                <color theme="0"/>
              </font>
              <fill>
                <patternFill>
                  <bgColor theme="0"/>
                </patternFill>
              </fill>
              <border>
                <left/>
                <right/>
                <top/>
                <bottom/>
                <vertical/>
                <horizontal/>
              </border>
            </x14:dxf>
          </x14:cfRule>
          <xm:sqref>C18:D18 BC17:BV18 N17:AM18 C17</xm:sqref>
        </x14:conditionalFormatting>
        <x14:conditionalFormatting xmlns:xm="http://schemas.microsoft.com/office/excel/2006/main">
          <x14:cfRule type="expression" priority="35" id="{3F9DBDCB-6550-4823-807B-4487C0A90F8E}">
            <xm:f>IF($D$14=DropDown!$N$10,1,0)</xm:f>
            <x14:dxf>
              <font>
                <color theme="0"/>
              </font>
              <border>
                <left/>
                <right/>
                <top/>
                <bottom/>
                <vertical/>
                <horizontal/>
              </border>
            </x14:dxf>
          </x14:cfRule>
          <xm:sqref>D16:BU16 N17:BU17</xm:sqref>
        </x14:conditionalFormatting>
        <x14:conditionalFormatting xmlns:xm="http://schemas.microsoft.com/office/excel/2006/main">
          <x14:cfRule type="expression" priority="34" id="{5F65E077-597C-43E5-B75B-C3B4DD032617}">
            <xm:f>IF($D$14=DropDown!$N$10,1,0)</xm:f>
            <x14:dxf>
              <font>
                <color theme="1"/>
              </font>
            </x14:dxf>
          </x14:cfRule>
          <xm:sqref>BM7:CJ7</xm:sqref>
        </x14:conditionalFormatting>
        <x14:conditionalFormatting xmlns:xm="http://schemas.microsoft.com/office/excel/2006/main">
          <x14:cfRule type="expression" priority="33" id="{0BA17437-FFEC-4C3F-82CE-9C9F06FCA8A9}">
            <xm:f>IF($D$14=DropDown!$N$10,1,0)</xm:f>
            <x14:dxf>
              <border>
                <left style="thin">
                  <color auto="1"/>
                </left>
                <right style="thin">
                  <color auto="1"/>
                </right>
                <top style="thin">
                  <color auto="1"/>
                </top>
                <bottom style="thin">
                  <color auto="1"/>
                </bottom>
                <vertical/>
                <horizontal/>
              </border>
            </x14:dxf>
          </x14:cfRule>
          <xm:sqref>CK7:DR7</xm:sqref>
        </x14:conditionalFormatting>
        <x14:conditionalFormatting xmlns:xm="http://schemas.microsoft.com/office/excel/2006/main">
          <x14:cfRule type="expression" priority="28" id="{72990EE6-9B94-4A05-A33F-A1AD488C38A7}">
            <xm:f>IF($DD$17=DropDown!$N$12,1,0)</xm:f>
            <x14:dxf>
              <font>
                <color theme="0" tint="-4.9989318521683403E-2"/>
              </font>
              <fill>
                <patternFill>
                  <bgColor theme="0" tint="-4.9989318521683403E-2"/>
                </patternFill>
              </fill>
            </x14:dxf>
          </x14:cfRule>
          <xm:sqref>Y234:DR234</xm:sqref>
        </x14:conditionalFormatting>
        <x14:conditionalFormatting xmlns:xm="http://schemas.microsoft.com/office/excel/2006/main">
          <x14:cfRule type="containsText" priority="23" operator="containsText" id="{A61F643C-DCEB-4CAE-A08C-C08452047938}">
            <xm:f>NOT(ISERROR(SEARCH("ALARP",CB77)))</xm:f>
            <xm:f>"ALARP"</xm:f>
            <x14:dxf>
              <font>
                <color auto="1"/>
              </font>
              <fill>
                <patternFill>
                  <bgColor rgb="FFFFFF00"/>
                </patternFill>
              </fill>
            </x14:dxf>
          </x14:cfRule>
          <x14:cfRule type="containsText" priority="24" operator="containsText" id="{E5C922FB-8680-4C42-A2B4-DC187FA96D93}">
            <xm:f>NOT(ISERROR(SEARCH("mid",CB77)))</xm:f>
            <xm:f>"mid"</xm:f>
            <x14:dxf>
              <font>
                <color auto="1"/>
              </font>
              <fill>
                <patternFill>
                  <bgColor rgb="FFFFC000"/>
                </patternFill>
              </fill>
            </x14:dxf>
          </x14:cfRule>
          <x14:cfRule type="containsText" priority="25" operator="containsText" id="{48F3B97C-89A3-4210-99A4-1E2157D1B2C0}">
            <xm:f>NOT(ISERROR(SEARCH("low",CB77)))</xm:f>
            <xm:f>"low"</xm:f>
            <x14:dxf>
              <font>
                <color theme="1"/>
              </font>
              <fill>
                <patternFill>
                  <bgColor rgb="FF00B050"/>
                </patternFill>
              </fill>
            </x14:dxf>
          </x14:cfRule>
          <x14:cfRule type="containsText" priority="26" operator="containsText" id="{A7E69922-0CC1-4C5F-A14B-6D569D53387C}">
            <xm:f>NOT(ISERROR(SEARCH("high",CB77)))</xm:f>
            <xm:f>"high"</xm:f>
            <x14:dxf>
              <font>
                <color auto="1"/>
              </font>
              <fill>
                <patternFill>
                  <bgColor rgb="FFFF0000"/>
                </patternFill>
              </fill>
            </x14:dxf>
          </x14:cfRule>
          <xm:sqref>CB77:CB85</xm:sqref>
        </x14:conditionalFormatting>
        <x14:conditionalFormatting xmlns:xm="http://schemas.microsoft.com/office/excel/2006/main">
          <x14:cfRule type="containsText" priority="19" operator="containsText" id="{D08BCD5A-E84B-4BD2-A4E9-A5E806C09BF4}">
            <xm:f>NOT(ISERROR(SEARCH("ALARP",DD153)))</xm:f>
            <xm:f>"ALARP"</xm:f>
            <x14:dxf>
              <font>
                <color auto="1"/>
              </font>
              <fill>
                <patternFill>
                  <bgColor rgb="FFFFFF00"/>
                </patternFill>
              </fill>
            </x14:dxf>
          </x14:cfRule>
          <x14:cfRule type="containsText" priority="20" operator="containsText" id="{3CF55809-C9A2-4B17-91F0-6205B5899F1E}">
            <xm:f>NOT(ISERROR(SEARCH("mid",DD153)))</xm:f>
            <xm:f>"mid"</xm:f>
            <x14:dxf>
              <font>
                <color auto="1"/>
              </font>
              <fill>
                <patternFill>
                  <bgColor rgb="FFFFC000"/>
                </patternFill>
              </fill>
            </x14:dxf>
          </x14:cfRule>
          <x14:cfRule type="containsText" priority="21" operator="containsText" id="{840035DF-10F9-493F-8EA2-59E7D2861924}">
            <xm:f>NOT(ISERROR(SEARCH("low",DD153)))</xm:f>
            <xm:f>"low"</xm:f>
            <x14:dxf>
              <font>
                <color theme="1"/>
              </font>
              <fill>
                <patternFill>
                  <bgColor rgb="FF00B050"/>
                </patternFill>
              </fill>
            </x14:dxf>
          </x14:cfRule>
          <x14:cfRule type="containsText" priority="22" operator="containsText" id="{AC1D9D8A-88AE-4409-AD59-6A03245432F2}">
            <xm:f>NOT(ISERROR(SEARCH("high",DD153)))</xm:f>
            <xm:f>"high"</xm:f>
            <x14:dxf>
              <font>
                <color auto="1"/>
              </font>
              <fill>
                <patternFill>
                  <bgColor rgb="FFFF0000"/>
                </patternFill>
              </fill>
            </x14:dxf>
          </x14:cfRule>
          <xm:sqref>DD153:DG162</xm:sqref>
        </x14:conditionalFormatting>
        <x14:conditionalFormatting xmlns:xm="http://schemas.microsoft.com/office/excel/2006/main">
          <x14:cfRule type="containsText" priority="15" operator="containsText" id="{5F57E438-CA4A-4F05-9052-F07564ECC7E0}">
            <xm:f>NOT(ISERROR(SEARCH("ALARP",DD166)))</xm:f>
            <xm:f>"ALARP"</xm:f>
            <x14:dxf>
              <font>
                <color auto="1"/>
              </font>
              <fill>
                <patternFill>
                  <bgColor rgb="FFFFFF00"/>
                </patternFill>
              </fill>
            </x14:dxf>
          </x14:cfRule>
          <x14:cfRule type="containsText" priority="16" operator="containsText" id="{6C434568-6C40-4740-85AC-546A6BB497D8}">
            <xm:f>NOT(ISERROR(SEARCH("mid",DD166)))</xm:f>
            <xm:f>"mid"</xm:f>
            <x14:dxf>
              <font>
                <color auto="1"/>
              </font>
              <fill>
                <patternFill>
                  <bgColor rgb="FFFFC000"/>
                </patternFill>
              </fill>
            </x14:dxf>
          </x14:cfRule>
          <x14:cfRule type="containsText" priority="17" operator="containsText" id="{6103F637-4CA2-4896-B17A-42604E4EAF0F}">
            <xm:f>NOT(ISERROR(SEARCH("low",DD166)))</xm:f>
            <xm:f>"low"</xm:f>
            <x14:dxf>
              <font>
                <color theme="1"/>
              </font>
              <fill>
                <patternFill>
                  <bgColor rgb="FF00B050"/>
                </patternFill>
              </fill>
            </x14:dxf>
          </x14:cfRule>
          <x14:cfRule type="containsText" priority="18" operator="containsText" id="{21E36CA1-6612-4042-944E-1B5D9B5065BB}">
            <xm:f>NOT(ISERROR(SEARCH("high",DD166)))</xm:f>
            <xm:f>"high"</xm:f>
            <x14:dxf>
              <font>
                <color auto="1"/>
              </font>
              <fill>
                <patternFill>
                  <bgColor rgb="FFFF0000"/>
                </patternFill>
              </fill>
            </x14:dxf>
          </x14:cfRule>
          <xm:sqref>DD166:DG175</xm:sqref>
        </x14:conditionalFormatting>
        <x14:conditionalFormatting xmlns:xm="http://schemas.microsoft.com/office/excel/2006/main">
          <x14:cfRule type="expression" priority="13" id="{1B4E9500-245C-4A1A-9DD1-4B65E829E98A}">
            <xm:f>IF($S$214=INDIRECT('D1-D2-D3'!$J$4&amp;"!C42"),1,0)</xm:f>
            <x14:dxf>
              <font>
                <color theme="0"/>
              </font>
              <border>
                <left/>
                <right/>
                <top/>
                <bottom/>
                <vertical/>
                <horizontal/>
              </border>
            </x14:dxf>
          </x14:cfRule>
          <xm:sqref>BW214:DR214</xm:sqref>
        </x14:conditionalFormatting>
        <x14:conditionalFormatting xmlns:xm="http://schemas.microsoft.com/office/excel/2006/main">
          <x14:cfRule type="expression" priority="11" id="{CC016CF6-4225-44AC-AFB8-B32E319B3EA8}">
            <xm:f>IF($D$14=DropDown!$N$10,1,0)</xm:f>
            <x14:dxf>
              <font>
                <color theme="0"/>
              </font>
              <border>
                <left/>
                <right/>
                <top/>
                <bottom/>
                <vertical/>
                <horizontal/>
              </border>
            </x14:dxf>
          </x14:cfRule>
          <x14:cfRule type="expression" priority="12" id="{5D8AB9DE-D349-42BD-9178-7B2798FBCE74}">
            <xm:f>IF($D$14=DropDown!$N$9,1,0)</xm:f>
            <x14:dxf>
              <font>
                <color theme="0"/>
              </font>
              <fill>
                <patternFill patternType="solid">
                  <fgColor auto="1"/>
                  <bgColor theme="0"/>
                </patternFill>
              </fill>
              <border>
                <left/>
                <right/>
                <top/>
                <bottom/>
                <vertical/>
                <horizontal/>
              </border>
            </x14:dxf>
          </x14:cfRule>
          <xm:sqref>D17:M17</xm:sqref>
        </x14:conditionalFormatting>
        <x14:conditionalFormatting xmlns:xm="http://schemas.microsoft.com/office/excel/2006/main">
          <x14:cfRule type="expression" priority="10" id="{A39BCEE6-621D-4339-839B-CF5753DA3A67}">
            <xm:f>IF($DD$17=DropDown!$N$12,1,0)</xm:f>
            <x14:dxf>
              <font>
                <color theme="0" tint="-4.9989318521683403E-2"/>
              </font>
              <fill>
                <patternFill>
                  <bgColor theme="0" tint="-4.9989318521683403E-2"/>
                </patternFill>
              </fill>
            </x14:dxf>
          </x14:cfRule>
          <xm:sqref>D234</xm:sqref>
        </x14:conditionalFormatting>
      </x14:conditionalFormattings>
    </ext>
    <ext xmlns:x14="http://schemas.microsoft.com/office/spreadsheetml/2009/9/main" uri="{CCE6A557-97BC-4b89-ADB6-D9C93CAAB3DF}">
      <x14:dataValidations xmlns:xm="http://schemas.microsoft.com/office/excel/2006/main" count="12">
        <x14:dataValidation type="list" allowBlank="1" showInputMessage="1" showErrorMessage="1">
          <x14:formula1>
            <xm:f>DropDown!$H$2:$H$3</xm:f>
          </x14:formula1>
          <xm:sqref>CZ109:DB109 CH109:CJ109</xm:sqref>
        </x14:dataValidation>
        <x14:dataValidation type="list" allowBlank="1" showInputMessage="1" showErrorMessage="1">
          <x14:formula1>
            <xm:f>DropDown!$A$2:$A$16</xm:f>
          </x14:formula1>
          <xm:sqref>BJ4:BV4</xm:sqref>
        </x14:dataValidation>
        <x14:dataValidation type="list" allowBlank="1" showInputMessage="1" showErrorMessage="1">
          <x14:formula1>
            <xm:f>DropDown!$N$8:$N$10</xm:f>
          </x14:formula1>
          <xm:sqref>D14:M14</xm:sqref>
        </x14:dataValidation>
        <x14:dataValidation type="list" allowBlank="1" showInputMessage="1" showErrorMessage="1">
          <x14:formula1>
            <xm:f>DropDown!$O$1:$O$34</xm:f>
          </x14:formula1>
          <xm:sqref>N7:Z7</xm:sqref>
        </x14:dataValidation>
        <x14:dataValidation type="list" allowBlank="1" showInputMessage="1" showErrorMessage="1">
          <x14:formula1>
            <xm:f>DropDown!$L$15:$L$16</xm:f>
          </x14:formula1>
          <xm:sqref>CC17:DC17</xm:sqref>
        </x14:dataValidation>
        <x14:dataValidation type="list" allowBlank="1" showInputMessage="1" showErrorMessage="1">
          <x14:formula1>
            <xm:f>DropDown!$N$11:$N$12</xm:f>
          </x14:formula1>
          <xm:sqref>AJ72:AN72 M61:P61 AJ68:AN68 DD17 AD89:AG89 BQ89:BT89 DD89:DG89 S214:X214 S221:X221 DM214:DR214</xm:sqref>
        </x14:dataValidation>
        <x14:dataValidation type="list" allowBlank="1" showInputMessage="1" showErrorMessage="1">
          <x14:formula1>
            <xm:f>DropDown!$J$15:$J$17</xm:f>
          </x14:formula1>
          <xm:sqref>L77:L85</xm:sqref>
        </x14:dataValidation>
        <x14:dataValidation type="list" allowBlank="1" showInputMessage="1" showErrorMessage="1">
          <x14:formula1>
            <xm:f>DropDown!$C$17:$C$18</xm:f>
          </x14:formula1>
          <xm:sqref>E115:E124 E126:E135</xm:sqref>
        </x14:dataValidation>
        <x14:dataValidation type="list" allowBlank="1" showInputMessage="1" showErrorMessage="1">
          <x14:formula1>
            <xm:f>DropDown!$L$22:$L$25</xm:f>
          </x14:formula1>
          <xm:sqref>CB77:CE85 DD153:DG162 DD166:DG175</xm:sqref>
        </x14:dataValidation>
        <x14:dataValidation type="list" allowBlank="1" showInputMessage="1" showErrorMessage="1">
          <x14:formula1>
            <xm:f>DropDown!$J$7:$J$8</xm:f>
          </x14:formula1>
          <xm:sqref>BX200</xm:sqref>
        </x14:dataValidation>
        <x14:dataValidation type="list" allowBlank="1" showInputMessage="1" showErrorMessage="1">
          <x14:formula1>
            <xm:f>DropDown!$J$23:$J$25</xm:f>
          </x14:formula1>
          <xm:sqref>Q206:Q210 BY206:BY210</xm:sqref>
        </x14:dataValidation>
        <x14:dataValidation type="list" allowBlank="1" showInputMessage="1" showErrorMessage="1">
          <x14:formula1>
            <xm:f>DropDown!$J$10:$J$13</xm:f>
          </x14:formula1>
          <xm:sqref>BG230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O49"/>
  <sheetViews>
    <sheetView topLeftCell="B4" workbookViewId="0">
      <selection activeCell="L36" sqref="L36"/>
    </sheetView>
  </sheetViews>
  <sheetFormatPr defaultColWidth="10.6640625" defaultRowHeight="14.4"/>
  <cols>
    <col min="1" max="1" width="25.109375" style="766" bestFit="1" customWidth="1"/>
    <col min="2" max="9" width="10.6640625" style="766"/>
    <col min="10" max="10" width="26.6640625" style="766" bestFit="1" customWidth="1"/>
    <col min="11" max="13" width="10.6640625" style="766"/>
    <col min="14" max="14" width="18" style="766" bestFit="1" customWidth="1"/>
    <col min="15" max="15" width="16.44140625" style="766" customWidth="1"/>
    <col min="16" max="16384" width="10.6640625" style="346"/>
  </cols>
  <sheetData>
    <row r="1" spans="1:15">
      <c r="A1" s="765"/>
      <c r="O1" s="766" t="s">
        <v>962</v>
      </c>
    </row>
    <row r="2" spans="1:15" ht="17.399999999999999">
      <c r="A2" s="769" t="s">
        <v>6</v>
      </c>
      <c r="B2" s="767"/>
      <c r="C2" s="766" t="s">
        <v>60</v>
      </c>
      <c r="G2" s="552"/>
      <c r="H2" s="553"/>
      <c r="J2" s="766" t="str">
        <f ca="1">INDIRECT('D1-D2-D3'!$J$4&amp;"!C96")</f>
        <v>Page 2: D4</v>
      </c>
      <c r="O2" s="766" t="s">
        <v>963</v>
      </c>
    </row>
    <row r="3" spans="1:15" ht="17.399999999999999">
      <c r="A3" s="769" t="s">
        <v>56</v>
      </c>
      <c r="B3" s="767"/>
      <c r="C3" s="766" t="s">
        <v>58</v>
      </c>
      <c r="G3" s="554"/>
      <c r="H3" s="553"/>
      <c r="J3" s="766" t="str">
        <f ca="1">INDIRECT('D1-D2-D3'!$J$4&amp;"!C97")</f>
        <v>Data/Facts/Numbers</v>
      </c>
      <c r="O3" s="766" t="s">
        <v>964</v>
      </c>
    </row>
    <row r="4" spans="1:15" ht="17.399999999999999">
      <c r="A4" s="769" t="s">
        <v>121</v>
      </c>
      <c r="B4" s="767"/>
      <c r="C4" s="766" t="s">
        <v>59</v>
      </c>
      <c r="G4" s="554"/>
      <c r="H4" s="553"/>
      <c r="J4" s="766" t="str">
        <f ca="1">INDIRECT('D1-D2-D3'!$J$4&amp;"!C98")</f>
        <v>Rework</v>
      </c>
      <c r="O4" s="1013" t="s">
        <v>3361</v>
      </c>
    </row>
    <row r="5" spans="1:15" ht="17.399999999999999">
      <c r="A5" s="769" t="s">
        <v>57</v>
      </c>
      <c r="B5" s="767"/>
      <c r="C5" s="766" t="s">
        <v>116</v>
      </c>
      <c r="E5" s="768"/>
      <c r="G5" s="554"/>
      <c r="H5" s="553"/>
      <c r="N5" s="766" t="str">
        <f ca="1">INDIRECT('D1-D2-D3'!$J$4&amp;"!C15")</f>
        <v>Int. KSK-No.</v>
      </c>
      <c r="O5" s="766" t="s">
        <v>965</v>
      </c>
    </row>
    <row r="6" spans="1:15" ht="15">
      <c r="B6" s="767"/>
      <c r="C6" s="766" t="s">
        <v>68</v>
      </c>
      <c r="G6" s="554"/>
      <c r="H6" s="553"/>
      <c r="N6" s="766" t="str">
        <f ca="1">INDIRECT('D1-D2-D3'!$J$4&amp;"!C18")</f>
        <v>Box Number</v>
      </c>
      <c r="O6" s="766" t="s">
        <v>966</v>
      </c>
    </row>
    <row r="7" spans="1:15" ht="17.399999999999999">
      <c r="A7" s="769" t="s">
        <v>575</v>
      </c>
      <c r="B7" s="767"/>
      <c r="C7" s="766" t="s">
        <v>61</v>
      </c>
      <c r="G7" s="554"/>
      <c r="H7" s="553"/>
      <c r="J7" s="766" t="str">
        <f ca="1">INDIRECT('D1-D2-D3'!$J$4&amp;"!C94")</f>
        <v>In work</v>
      </c>
      <c r="N7" s="766" t="s">
        <v>936</v>
      </c>
      <c r="O7" s="766" t="s">
        <v>967</v>
      </c>
    </row>
    <row r="8" spans="1:15" ht="17.399999999999999">
      <c r="A8" s="769" t="s">
        <v>574</v>
      </c>
      <c r="B8" s="767"/>
      <c r="C8" s="766" t="s">
        <v>67</v>
      </c>
      <c r="G8" s="554"/>
      <c r="H8" s="553"/>
      <c r="J8" s="766" t="str">
        <f ca="1">INDIRECT('D1-D2-D3'!$J$4&amp;"!C95")</f>
        <v>Completed</v>
      </c>
      <c r="N8" s="766" t="s">
        <v>900</v>
      </c>
      <c r="O8" s="1013" t="s">
        <v>3362</v>
      </c>
    </row>
    <row r="9" spans="1:15" ht="17.399999999999999">
      <c r="A9" s="769" t="s">
        <v>122</v>
      </c>
      <c r="B9" s="767"/>
      <c r="C9" s="766" t="s">
        <v>62</v>
      </c>
      <c r="G9" s="554"/>
      <c r="H9" s="553"/>
      <c r="N9" s="766" t="s">
        <v>901</v>
      </c>
      <c r="O9" s="766" t="s">
        <v>968</v>
      </c>
    </row>
    <row r="10" spans="1:15" ht="17.399999999999999">
      <c r="A10" s="769" t="s">
        <v>573</v>
      </c>
      <c r="B10" s="767"/>
      <c r="C10" s="766" t="s">
        <v>63</v>
      </c>
      <c r="G10" s="554"/>
      <c r="H10" s="553"/>
      <c r="J10" s="766" t="str">
        <f ca="1">INDIRECT('D1-D2-D3'!$J$4&amp;"!C218")</f>
        <v>Accepted</v>
      </c>
      <c r="N10" s="766" t="s">
        <v>937</v>
      </c>
      <c r="O10" s="766" t="s">
        <v>969</v>
      </c>
    </row>
    <row r="11" spans="1:15" ht="17.399999999999999">
      <c r="A11" s="769" t="s">
        <v>120</v>
      </c>
      <c r="B11" s="767"/>
      <c r="C11" s="766" t="s">
        <v>64</v>
      </c>
      <c r="G11" s="554"/>
      <c r="H11" s="553"/>
      <c r="J11" s="766" t="str">
        <f ca="1">INDIRECT('D1-D2-D3'!$J$4&amp;"!C219")</f>
        <v>Rejected, accepted from customer/supplier/other Kroschu-plant</v>
      </c>
      <c r="N11" s="766" t="str">
        <f ca="1">INDIRECT('D1-D2-D3'!$J$4&amp;"!C41")</f>
        <v>Yes</v>
      </c>
      <c r="O11" s="766" t="s">
        <v>970</v>
      </c>
    </row>
    <row r="12" spans="1:15" ht="17.399999999999999">
      <c r="A12" s="769" t="s">
        <v>115</v>
      </c>
      <c r="B12" s="767"/>
      <c r="C12" s="766" t="s">
        <v>366</v>
      </c>
      <c r="G12" s="554"/>
      <c r="H12" s="553"/>
      <c r="J12" s="766" t="str">
        <f ca="1">INDIRECT('D1-D2-D3'!$J$4&amp;"!C220")</f>
        <v>Rejected</v>
      </c>
      <c r="N12" s="766" t="str">
        <f ca="1">INDIRECT('D1-D2-D3'!$J$4&amp;"!C42")</f>
        <v>No</v>
      </c>
      <c r="O12" s="766" t="s">
        <v>971</v>
      </c>
    </row>
    <row r="13" spans="1:15" ht="17.399999999999999">
      <c r="A13" s="769" t="s">
        <v>576</v>
      </c>
      <c r="B13" s="767"/>
      <c r="C13" s="766" t="s">
        <v>65</v>
      </c>
      <c r="G13" s="554"/>
      <c r="H13" s="553"/>
      <c r="J13" s="766" t="str">
        <f ca="1">INDIRECT('D1-D2-D3'!$J$4&amp;"!C94")</f>
        <v>In work</v>
      </c>
      <c r="L13" s="1014"/>
      <c r="O13" s="766" t="s">
        <v>972</v>
      </c>
    </row>
    <row r="14" spans="1:15" ht="17.399999999999999">
      <c r="A14" s="769" t="s">
        <v>777</v>
      </c>
      <c r="C14" s="766" t="s">
        <v>66</v>
      </c>
      <c r="G14" s="554"/>
      <c r="H14" s="553"/>
      <c r="L14" s="1014"/>
      <c r="O14" s="766" t="s">
        <v>973</v>
      </c>
    </row>
    <row r="15" spans="1:15" ht="17.399999999999999">
      <c r="A15" s="769" t="s">
        <v>579</v>
      </c>
      <c r="C15" s="766" t="s">
        <v>118</v>
      </c>
      <c r="G15" s="554"/>
      <c r="H15" s="553"/>
      <c r="J15" s="766" t="str">
        <f ca="1">INDIRECT('D1-D2-D3'!$J$4&amp;"!C10")</f>
        <v>Customer</v>
      </c>
      <c r="L15" s="1014" t="str">
        <f ca="1">INDIRECT('D1-D2-D3'!$J$4&amp;"!C20")</f>
        <v>Safety-relevant characterisitc</v>
      </c>
      <c r="O15" s="766" t="s">
        <v>974</v>
      </c>
    </row>
    <row r="16" spans="1:15" ht="15">
      <c r="G16" s="554"/>
      <c r="H16" s="553"/>
      <c r="J16" s="766" t="str">
        <f ca="1">INDIRECT('D1-D2-D3'!$J$4&amp;"!C74")</f>
        <v>on transit</v>
      </c>
      <c r="L16" s="1014" t="str">
        <f ca="1">INDIRECT('D1-D2-D3'!$J$4&amp;"!C270")</f>
        <v>FuSi (Functional safety)</v>
      </c>
      <c r="O16" s="766" t="s">
        <v>975</v>
      </c>
    </row>
    <row r="17" spans="3:15" ht="15">
      <c r="C17" s="766" t="str">
        <f ca="1">INDIRECT('D1-D2-D3'!$J$4&amp;"!C139")</f>
        <v>Occurrence</v>
      </c>
      <c r="G17" s="554"/>
      <c r="H17" s="553"/>
      <c r="J17" s="766" t="str">
        <f ca="1">INDIRECT('D1-D2-D3'!$J$4&amp;"!C75")</f>
        <v>at Kroschu</v>
      </c>
      <c r="L17" s="1014"/>
      <c r="O17" s="766" t="s">
        <v>976</v>
      </c>
    </row>
    <row r="18" spans="3:15" ht="15">
      <c r="C18" s="766" t="str">
        <f ca="1">INDIRECT('D1-D2-D3'!$J$4&amp;"!C140")</f>
        <v>Non-detection</v>
      </c>
      <c r="G18" s="554"/>
      <c r="H18" s="553"/>
      <c r="L18" s="1014" t="str">
        <f ca="1">INDIRECT('D1-D2-D3'!$J$4&amp;"!C222")</f>
        <v>PSC</v>
      </c>
      <c r="O18" s="766" t="s">
        <v>977</v>
      </c>
    </row>
    <row r="19" spans="3:15" ht="15">
      <c r="G19" s="554"/>
      <c r="H19" s="553"/>
      <c r="J19" s="766" t="str">
        <f ca="1">INDIRECT('D1-D2-D3'!$J$4&amp;"!C262")</f>
        <v>Start date</v>
      </c>
      <c r="L19" s="1014" t="str">
        <f ca="1">INDIRECT('D1-D2-D3'!$J$4&amp;"!C271")</f>
        <v>PSC/ FSM</v>
      </c>
      <c r="O19" s="766" t="s">
        <v>978</v>
      </c>
    </row>
    <row r="20" spans="3:15" ht="15">
      <c r="C20" s="819" t="s">
        <v>1133</v>
      </c>
      <c r="G20" s="554"/>
      <c r="H20" s="553"/>
      <c r="J20" s="766" t="str">
        <f ca="1">INDIRECT('D1-D2-D3'!$J$4&amp;"!C263")</f>
        <v>Closing date</v>
      </c>
      <c r="L20" s="1014"/>
      <c r="O20" s="766" t="s">
        <v>979</v>
      </c>
    </row>
    <row r="21" spans="3:15" ht="15">
      <c r="C21" s="819" t="s">
        <v>1134</v>
      </c>
      <c r="G21" s="554"/>
      <c r="H21" s="553"/>
      <c r="J21" s="766" t="str">
        <f ca="1">INDIRECT('D1-D2-D3'!$J$4&amp;"!C264")</f>
        <v>Result</v>
      </c>
      <c r="O21" s="766" t="s">
        <v>980</v>
      </c>
    </row>
    <row r="22" spans="3:15" ht="20.399999999999999">
      <c r="C22" s="819" t="s">
        <v>1135</v>
      </c>
      <c r="G22" s="554"/>
      <c r="H22" s="553"/>
      <c r="J22" s="766" t="str">
        <f ca="1">INDIRECT('D1-D2-D3'!$J$4&amp;"!C265")</f>
        <v>Inform Prevention-Team</v>
      </c>
      <c r="L22" s="1019" t="s">
        <v>941</v>
      </c>
      <c r="M22" s="869"/>
      <c r="O22" s="766" t="s">
        <v>981</v>
      </c>
    </row>
    <row r="23" spans="3:15" ht="20.399999999999999">
      <c r="G23" s="554"/>
      <c r="H23" s="553"/>
      <c r="J23" s="766" t="str">
        <f ca="1">INDIRECT('D1-D2-D3'!$J$4&amp;"!C266")</f>
        <v>New</v>
      </c>
      <c r="L23" s="1020" t="s">
        <v>946</v>
      </c>
      <c r="M23" s="869"/>
      <c r="O23" s="766" t="s">
        <v>982</v>
      </c>
    </row>
    <row r="24" spans="3:15" ht="17.399999999999999">
      <c r="G24" s="554"/>
      <c r="H24" s="553"/>
      <c r="J24" s="766" t="str">
        <f ca="1">INDIRECT('D1-D2-D3'!$J$4&amp;"!C267")</f>
        <v>Updated</v>
      </c>
      <c r="L24" s="1021" t="s">
        <v>947</v>
      </c>
      <c r="M24" s="1023"/>
      <c r="O24" s="766" t="s">
        <v>983</v>
      </c>
    </row>
    <row r="25" spans="3:15" ht="20.399999999999999">
      <c r="G25" s="554"/>
      <c r="H25" s="553"/>
      <c r="J25" s="766" t="str">
        <f ca="1">INDIRECT('D1-D2-D3'!$J$4&amp;"!C268")</f>
        <v>Checked, NA</v>
      </c>
      <c r="L25" s="1022" t="s">
        <v>948</v>
      </c>
      <c r="M25" s="869"/>
      <c r="O25" s="766" t="s">
        <v>984</v>
      </c>
    </row>
    <row r="26" spans="3:15" ht="15">
      <c r="G26" s="554"/>
      <c r="H26" s="553"/>
      <c r="O26" s="766" t="s">
        <v>985</v>
      </c>
    </row>
    <row r="27" spans="3:15" ht="15">
      <c r="G27" s="554"/>
      <c r="H27" s="553"/>
      <c r="O27" s="766" t="s">
        <v>986</v>
      </c>
    </row>
    <row r="28" spans="3:15" ht="15">
      <c r="G28" s="554"/>
      <c r="H28" s="553"/>
      <c r="O28" s="766" t="s">
        <v>987</v>
      </c>
    </row>
    <row r="29" spans="3:15" ht="15">
      <c r="G29" s="554"/>
      <c r="H29" s="553"/>
      <c r="O29" s="766" t="s">
        <v>988</v>
      </c>
    </row>
    <row r="30" spans="3:15" ht="15">
      <c r="G30" s="554"/>
      <c r="H30" s="553"/>
      <c r="O30" s="766" t="s">
        <v>989</v>
      </c>
    </row>
    <row r="31" spans="3:15" ht="15">
      <c r="G31" s="554"/>
      <c r="H31" s="553"/>
      <c r="O31" s="766" t="s">
        <v>990</v>
      </c>
    </row>
    <row r="32" spans="3:15" ht="15">
      <c r="G32" s="554"/>
      <c r="H32" s="553"/>
      <c r="O32" s="939" t="s">
        <v>2617</v>
      </c>
    </row>
    <row r="33" spans="7:15" ht="15">
      <c r="G33" s="554"/>
      <c r="H33" s="553"/>
      <c r="O33" s="939" t="s">
        <v>2618</v>
      </c>
    </row>
    <row r="34" spans="7:15" ht="15">
      <c r="G34" s="554"/>
      <c r="H34" s="553"/>
      <c r="O34" s="1012" t="s">
        <v>3364</v>
      </c>
    </row>
    <row r="35" spans="7:15" ht="15">
      <c r="G35" s="554"/>
      <c r="H35" s="553"/>
    </row>
    <row r="36" spans="7:15" ht="15">
      <c r="G36" s="554"/>
      <c r="H36" s="553"/>
    </row>
    <row r="37" spans="7:15" ht="15">
      <c r="G37" s="554"/>
      <c r="H37" s="553"/>
    </row>
    <row r="38" spans="7:15" ht="15">
      <c r="G38" s="554"/>
      <c r="H38" s="553"/>
    </row>
    <row r="39" spans="7:15" ht="15">
      <c r="G39" s="554"/>
      <c r="H39" s="553"/>
    </row>
    <row r="40" spans="7:15" ht="15">
      <c r="G40" s="554"/>
      <c r="H40" s="553"/>
    </row>
    <row r="41" spans="7:15" ht="15">
      <c r="G41" s="554"/>
      <c r="H41" s="553"/>
    </row>
    <row r="42" spans="7:15" ht="15">
      <c r="G42" s="554"/>
      <c r="H42" s="553"/>
    </row>
    <row r="43" spans="7:15" ht="15">
      <c r="G43" s="554"/>
      <c r="H43" s="553"/>
    </row>
    <row r="44" spans="7:15" ht="15">
      <c r="G44" s="554"/>
      <c r="H44" s="553"/>
    </row>
    <row r="45" spans="7:15" ht="15">
      <c r="G45" s="554"/>
      <c r="H45" s="553"/>
    </row>
    <row r="46" spans="7:15" ht="15">
      <c r="G46" s="554"/>
      <c r="H46" s="553"/>
    </row>
    <row r="47" spans="7:15" ht="15">
      <c r="G47" s="554"/>
      <c r="H47" s="553"/>
    </row>
    <row r="48" spans="7:15" ht="15">
      <c r="G48" s="554"/>
      <c r="H48" s="553"/>
    </row>
    <row r="49" spans="7:8" ht="15">
      <c r="G49" s="554"/>
      <c r="H49" s="553"/>
    </row>
  </sheetData>
  <sheetProtection algorithmName="SHA-512" hashValue="yS420+6lv2vUZ2O7zGYcB16h8dN85G02fdIbG0YbHneP3rmKKCeUifSgba+1nbf+FceQXQm7yQod1PowsYr+uw==" saltValue="TnZJhvJV8n8ivtH7FeCKjw==" spinCount="100000" sheet="1" objects="1" scenarios="1"/>
  <customSheetViews>
    <customSheetView guid="{727552C9-10E3-4948-B2AE-8FE165517887}" state="hidden">
      <selection activeCell="H6" sqref="H6"/>
      <pageMargins left="0.7" right="0.7" top="0.78740157499999996" bottom="0.78740157499999996" header="0.3" footer="0.3"/>
      <pageSetup paperSize="9" orientation="portrait" r:id="rId1"/>
    </customSheetView>
  </customSheetViews>
  <phoneticPr fontId="198" type="noConversion"/>
  <pageMargins left="0.7" right="0.7" top="0.78740157499999996" bottom="0.78740157499999996"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selection activeCell="A9" sqref="A9"/>
    </sheetView>
  </sheetViews>
  <sheetFormatPr defaultColWidth="11.44140625" defaultRowHeight="14.4"/>
  <cols>
    <col min="1" max="1" width="14.33203125" style="3" bestFit="1" customWidth="1"/>
    <col min="2" max="2" width="104" style="3" bestFit="1" customWidth="1"/>
    <col min="3" max="16384" width="11.44140625" style="3"/>
  </cols>
  <sheetData>
    <row r="1" spans="1:2">
      <c r="A1" s="992" t="s">
        <v>410</v>
      </c>
      <c r="B1" s="346"/>
    </row>
    <row r="2" spans="1:2">
      <c r="A2" s="993"/>
      <c r="B2" s="346"/>
    </row>
    <row r="3" spans="1:2">
      <c r="A3" s="994" t="s">
        <v>2575</v>
      </c>
      <c r="B3" s="995" t="s">
        <v>841</v>
      </c>
    </row>
    <row r="4" spans="1:2">
      <c r="A4" s="994" t="s">
        <v>2619</v>
      </c>
      <c r="B4" s="995" t="s">
        <v>2620</v>
      </c>
    </row>
    <row r="5" spans="1:2">
      <c r="A5" s="996" t="s">
        <v>3115</v>
      </c>
      <c r="B5" s="995" t="s">
        <v>3116</v>
      </c>
    </row>
    <row r="6" spans="1:2">
      <c r="A6" s="997">
        <v>45721</v>
      </c>
      <c r="B6" s="995" t="s">
        <v>3358</v>
      </c>
    </row>
    <row r="7" spans="1:2">
      <c r="A7" s="997">
        <v>45779</v>
      </c>
      <c r="B7" s="995" t="s">
        <v>3363</v>
      </c>
    </row>
    <row r="8" spans="1:2" ht="28.8">
      <c r="A8" s="1026">
        <v>45814</v>
      </c>
      <c r="B8" s="1025" t="s">
        <v>3367</v>
      </c>
    </row>
    <row r="9" spans="1:2">
      <c r="A9" s="997">
        <v>45853</v>
      </c>
      <c r="B9" s="995" t="s">
        <v>3369</v>
      </c>
    </row>
    <row r="10" spans="1:2">
      <c r="A10" s="997"/>
      <c r="B10" s="995"/>
    </row>
    <row r="11" spans="1:2">
      <c r="A11" s="18"/>
    </row>
    <row r="12" spans="1:2">
      <c r="A12" s="18"/>
    </row>
    <row r="13" spans="1:2">
      <c r="A13" s="18"/>
    </row>
    <row r="14" spans="1:2">
      <c r="A14" s="18"/>
    </row>
    <row r="15" spans="1:2">
      <c r="A15" s="18"/>
    </row>
    <row r="16" spans="1:2">
      <c r="A16" s="18"/>
    </row>
    <row r="17" spans="1:1">
      <c r="A17" s="18"/>
    </row>
    <row r="18" spans="1:1">
      <c r="A18" s="18"/>
    </row>
    <row r="19" spans="1:1">
      <c r="A19" s="18"/>
    </row>
    <row r="20" spans="1:1">
      <c r="A20" s="18"/>
    </row>
  </sheetData>
  <customSheetViews>
    <customSheetView guid="{727552C9-10E3-4948-B2AE-8FE165517887}" state="hidden">
      <pageMargins left="0.7" right="0.7" top="0.78740157499999996" bottom="0.78740157499999996" header="0.3" footer="0.3"/>
      <pageSetup paperSize="9" orientation="portrait" r:id="rId1"/>
    </customSheetView>
  </customSheetViews>
  <phoneticPr fontId="198" type="noConversion"/>
  <pageMargins left="0.7" right="0.7" top="0.78740157499999996" bottom="0.78740157499999996"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dimension ref="A1:BE136"/>
  <sheetViews>
    <sheetView view="pageBreakPreview" zoomScale="80" zoomScaleNormal="100" zoomScaleSheetLayoutView="80" workbookViewId="0">
      <selection activeCell="N59" sqref="N59:N61"/>
    </sheetView>
  </sheetViews>
  <sheetFormatPr defaultColWidth="11.44140625" defaultRowHeight="15"/>
  <cols>
    <col min="1" max="26" width="7" style="12" customWidth="1"/>
    <col min="27" max="27" width="0.5546875" style="1" customWidth="1"/>
    <col min="28" max="29" width="0.6640625" style="1" customWidth="1"/>
    <col min="30" max="256" width="1.44140625" style="1"/>
    <col min="257" max="282" width="0.6640625" style="1" customWidth="1"/>
    <col min="283" max="283" width="0.5546875" style="1" customWidth="1"/>
    <col min="284" max="285" width="0.6640625" style="1" customWidth="1"/>
    <col min="286" max="512" width="1.44140625" style="1"/>
    <col min="513" max="538" width="0.6640625" style="1" customWidth="1"/>
    <col min="539" max="539" width="0.5546875" style="1" customWidth="1"/>
    <col min="540" max="541" width="0.6640625" style="1" customWidth="1"/>
    <col min="542" max="768" width="1.44140625" style="1"/>
    <col min="769" max="794" width="0.6640625" style="1" customWidth="1"/>
    <col min="795" max="795" width="0.5546875" style="1" customWidth="1"/>
    <col min="796" max="797" width="0.6640625" style="1" customWidth="1"/>
    <col min="798" max="1024" width="10.6640625" style="1"/>
    <col min="1025" max="1050" width="0.6640625" style="1" customWidth="1"/>
    <col min="1051" max="1051" width="0.5546875" style="1" customWidth="1"/>
    <col min="1052" max="1053" width="0.6640625" style="1" customWidth="1"/>
    <col min="1054" max="1280" width="1.44140625" style="1"/>
    <col min="1281" max="1306" width="0.6640625" style="1" customWidth="1"/>
    <col min="1307" max="1307" width="0.5546875" style="1" customWidth="1"/>
    <col min="1308" max="1309" width="0.6640625" style="1" customWidth="1"/>
    <col min="1310" max="1536" width="1.44140625" style="1"/>
    <col min="1537" max="1562" width="0.6640625" style="1" customWidth="1"/>
    <col min="1563" max="1563" width="0.5546875" style="1" customWidth="1"/>
    <col min="1564" max="1565" width="0.6640625" style="1" customWidth="1"/>
    <col min="1566" max="1792" width="1.44140625" style="1"/>
    <col min="1793" max="1818" width="0.6640625" style="1" customWidth="1"/>
    <col min="1819" max="1819" width="0.5546875" style="1" customWidth="1"/>
    <col min="1820" max="1821" width="0.6640625" style="1" customWidth="1"/>
    <col min="1822" max="2048" width="10.6640625" style="1"/>
    <col min="2049" max="2074" width="0.6640625" style="1" customWidth="1"/>
    <col min="2075" max="2075" width="0.5546875" style="1" customWidth="1"/>
    <col min="2076" max="2077" width="0.6640625" style="1" customWidth="1"/>
    <col min="2078" max="2304" width="1.44140625" style="1"/>
    <col min="2305" max="2330" width="0.6640625" style="1" customWidth="1"/>
    <col min="2331" max="2331" width="0.5546875" style="1" customWidth="1"/>
    <col min="2332" max="2333" width="0.6640625" style="1" customWidth="1"/>
    <col min="2334" max="2560" width="1.44140625" style="1"/>
    <col min="2561" max="2586" width="0.6640625" style="1" customWidth="1"/>
    <col min="2587" max="2587" width="0.5546875" style="1" customWidth="1"/>
    <col min="2588" max="2589" width="0.6640625" style="1" customWidth="1"/>
    <col min="2590" max="2816" width="1.44140625" style="1"/>
    <col min="2817" max="2842" width="0.6640625" style="1" customWidth="1"/>
    <col min="2843" max="2843" width="0.5546875" style="1" customWidth="1"/>
    <col min="2844" max="2845" width="0.6640625" style="1" customWidth="1"/>
    <col min="2846" max="3072" width="10.6640625" style="1"/>
    <col min="3073" max="3098" width="0.6640625" style="1" customWidth="1"/>
    <col min="3099" max="3099" width="0.5546875" style="1" customWidth="1"/>
    <col min="3100" max="3101" width="0.6640625" style="1" customWidth="1"/>
    <col min="3102" max="3328" width="1.44140625" style="1"/>
    <col min="3329" max="3354" width="0.6640625" style="1" customWidth="1"/>
    <col min="3355" max="3355" width="0.5546875" style="1" customWidth="1"/>
    <col min="3356" max="3357" width="0.6640625" style="1" customWidth="1"/>
    <col min="3358" max="3584" width="1.44140625" style="1"/>
    <col min="3585" max="3610" width="0.6640625" style="1" customWidth="1"/>
    <col min="3611" max="3611" width="0.5546875" style="1" customWidth="1"/>
    <col min="3612" max="3613" width="0.6640625" style="1" customWidth="1"/>
    <col min="3614" max="3840" width="1.44140625" style="1"/>
    <col min="3841" max="3866" width="0.6640625" style="1" customWidth="1"/>
    <col min="3867" max="3867" width="0.5546875" style="1" customWidth="1"/>
    <col min="3868" max="3869" width="0.6640625" style="1" customWidth="1"/>
    <col min="3870" max="4096" width="10.6640625" style="1"/>
    <col min="4097" max="4122" width="0.6640625" style="1" customWidth="1"/>
    <col min="4123" max="4123" width="0.5546875" style="1" customWidth="1"/>
    <col min="4124" max="4125" width="0.6640625" style="1" customWidth="1"/>
    <col min="4126" max="4352" width="1.44140625" style="1"/>
    <col min="4353" max="4378" width="0.6640625" style="1" customWidth="1"/>
    <col min="4379" max="4379" width="0.5546875" style="1" customWidth="1"/>
    <col min="4380" max="4381" width="0.6640625" style="1" customWidth="1"/>
    <col min="4382" max="4608" width="1.44140625" style="1"/>
    <col min="4609" max="4634" width="0.6640625" style="1" customWidth="1"/>
    <col min="4635" max="4635" width="0.5546875" style="1" customWidth="1"/>
    <col min="4636" max="4637" width="0.6640625" style="1" customWidth="1"/>
    <col min="4638" max="4864" width="1.44140625" style="1"/>
    <col min="4865" max="4890" width="0.6640625" style="1" customWidth="1"/>
    <col min="4891" max="4891" width="0.5546875" style="1" customWidth="1"/>
    <col min="4892" max="4893" width="0.6640625" style="1" customWidth="1"/>
    <col min="4894" max="5120" width="10.6640625" style="1"/>
    <col min="5121" max="5146" width="0.6640625" style="1" customWidth="1"/>
    <col min="5147" max="5147" width="0.5546875" style="1" customWidth="1"/>
    <col min="5148" max="5149" width="0.6640625" style="1" customWidth="1"/>
    <col min="5150" max="5376" width="1.44140625" style="1"/>
    <col min="5377" max="5402" width="0.6640625" style="1" customWidth="1"/>
    <col min="5403" max="5403" width="0.5546875" style="1" customWidth="1"/>
    <col min="5404" max="5405" width="0.6640625" style="1" customWidth="1"/>
    <col min="5406" max="5632" width="1.44140625" style="1"/>
    <col min="5633" max="5658" width="0.6640625" style="1" customWidth="1"/>
    <col min="5659" max="5659" width="0.5546875" style="1" customWidth="1"/>
    <col min="5660" max="5661" width="0.6640625" style="1" customWidth="1"/>
    <col min="5662" max="5888" width="1.44140625" style="1"/>
    <col min="5889" max="5914" width="0.6640625" style="1" customWidth="1"/>
    <col min="5915" max="5915" width="0.5546875" style="1" customWidth="1"/>
    <col min="5916" max="5917" width="0.6640625" style="1" customWidth="1"/>
    <col min="5918" max="6144" width="10.6640625" style="1"/>
    <col min="6145" max="6170" width="0.6640625" style="1" customWidth="1"/>
    <col min="6171" max="6171" width="0.5546875" style="1" customWidth="1"/>
    <col min="6172" max="6173" width="0.6640625" style="1" customWidth="1"/>
    <col min="6174" max="6400" width="1.44140625" style="1"/>
    <col min="6401" max="6426" width="0.6640625" style="1" customWidth="1"/>
    <col min="6427" max="6427" width="0.5546875" style="1" customWidth="1"/>
    <col min="6428" max="6429" width="0.6640625" style="1" customWidth="1"/>
    <col min="6430" max="6656" width="1.44140625" style="1"/>
    <col min="6657" max="6682" width="0.6640625" style="1" customWidth="1"/>
    <col min="6683" max="6683" width="0.5546875" style="1" customWidth="1"/>
    <col min="6684" max="6685" width="0.6640625" style="1" customWidth="1"/>
    <col min="6686" max="6912" width="1.44140625" style="1"/>
    <col min="6913" max="6938" width="0.6640625" style="1" customWidth="1"/>
    <col min="6939" max="6939" width="0.5546875" style="1" customWidth="1"/>
    <col min="6940" max="6941" width="0.6640625" style="1" customWidth="1"/>
    <col min="6942" max="7168" width="10.6640625" style="1"/>
    <col min="7169" max="7194" width="0.6640625" style="1" customWidth="1"/>
    <col min="7195" max="7195" width="0.5546875" style="1" customWidth="1"/>
    <col min="7196" max="7197" width="0.6640625" style="1" customWidth="1"/>
    <col min="7198" max="7424" width="1.44140625" style="1"/>
    <col min="7425" max="7450" width="0.6640625" style="1" customWidth="1"/>
    <col min="7451" max="7451" width="0.5546875" style="1" customWidth="1"/>
    <col min="7452" max="7453" width="0.6640625" style="1" customWidth="1"/>
    <col min="7454" max="7680" width="1.44140625" style="1"/>
    <col min="7681" max="7706" width="0.6640625" style="1" customWidth="1"/>
    <col min="7707" max="7707" width="0.5546875" style="1" customWidth="1"/>
    <col min="7708" max="7709" width="0.6640625" style="1" customWidth="1"/>
    <col min="7710" max="7936" width="1.44140625" style="1"/>
    <col min="7937" max="7962" width="0.6640625" style="1" customWidth="1"/>
    <col min="7963" max="7963" width="0.5546875" style="1" customWidth="1"/>
    <col min="7964" max="7965" width="0.6640625" style="1" customWidth="1"/>
    <col min="7966" max="8192" width="10.6640625" style="1"/>
    <col min="8193" max="8218" width="0.6640625" style="1" customWidth="1"/>
    <col min="8219" max="8219" width="0.5546875" style="1" customWidth="1"/>
    <col min="8220" max="8221" width="0.6640625" style="1" customWidth="1"/>
    <col min="8222" max="8448" width="1.44140625" style="1"/>
    <col min="8449" max="8474" width="0.6640625" style="1" customWidth="1"/>
    <col min="8475" max="8475" width="0.5546875" style="1" customWidth="1"/>
    <col min="8476" max="8477" width="0.6640625" style="1" customWidth="1"/>
    <col min="8478" max="8704" width="1.44140625" style="1"/>
    <col min="8705" max="8730" width="0.6640625" style="1" customWidth="1"/>
    <col min="8731" max="8731" width="0.5546875" style="1" customWidth="1"/>
    <col min="8732" max="8733" width="0.6640625" style="1" customWidth="1"/>
    <col min="8734" max="8960" width="1.44140625" style="1"/>
    <col min="8961" max="8986" width="0.6640625" style="1" customWidth="1"/>
    <col min="8987" max="8987" width="0.5546875" style="1" customWidth="1"/>
    <col min="8988" max="8989" width="0.6640625" style="1" customWidth="1"/>
    <col min="8990" max="9216" width="10.6640625" style="1"/>
    <col min="9217" max="9242" width="0.6640625" style="1" customWidth="1"/>
    <col min="9243" max="9243" width="0.5546875" style="1" customWidth="1"/>
    <col min="9244" max="9245" width="0.6640625" style="1" customWidth="1"/>
    <col min="9246" max="9472" width="1.44140625" style="1"/>
    <col min="9473" max="9498" width="0.6640625" style="1" customWidth="1"/>
    <col min="9499" max="9499" width="0.5546875" style="1" customWidth="1"/>
    <col min="9500" max="9501" width="0.6640625" style="1" customWidth="1"/>
    <col min="9502" max="9728" width="1.44140625" style="1"/>
    <col min="9729" max="9754" width="0.6640625" style="1" customWidth="1"/>
    <col min="9755" max="9755" width="0.5546875" style="1" customWidth="1"/>
    <col min="9756" max="9757" width="0.6640625" style="1" customWidth="1"/>
    <col min="9758" max="9984" width="1.44140625" style="1"/>
    <col min="9985" max="10010" width="0.6640625" style="1" customWidth="1"/>
    <col min="10011" max="10011" width="0.5546875" style="1" customWidth="1"/>
    <col min="10012" max="10013" width="0.6640625" style="1" customWidth="1"/>
    <col min="10014" max="10240" width="10.6640625" style="1"/>
    <col min="10241" max="10266" width="0.6640625" style="1" customWidth="1"/>
    <col min="10267" max="10267" width="0.5546875" style="1" customWidth="1"/>
    <col min="10268" max="10269" width="0.6640625" style="1" customWidth="1"/>
    <col min="10270" max="10496" width="1.44140625" style="1"/>
    <col min="10497" max="10522" width="0.6640625" style="1" customWidth="1"/>
    <col min="10523" max="10523" width="0.5546875" style="1" customWidth="1"/>
    <col min="10524" max="10525" width="0.6640625" style="1" customWidth="1"/>
    <col min="10526" max="10752" width="1.44140625" style="1"/>
    <col min="10753" max="10778" width="0.6640625" style="1" customWidth="1"/>
    <col min="10779" max="10779" width="0.5546875" style="1" customWidth="1"/>
    <col min="10780" max="10781" width="0.6640625" style="1" customWidth="1"/>
    <col min="10782" max="11008" width="1.44140625" style="1"/>
    <col min="11009" max="11034" width="0.6640625" style="1" customWidth="1"/>
    <col min="11035" max="11035" width="0.5546875" style="1" customWidth="1"/>
    <col min="11036" max="11037" width="0.6640625" style="1" customWidth="1"/>
    <col min="11038" max="11264" width="10.6640625" style="1"/>
    <col min="11265" max="11290" width="0.6640625" style="1" customWidth="1"/>
    <col min="11291" max="11291" width="0.5546875" style="1" customWidth="1"/>
    <col min="11292" max="11293" width="0.6640625" style="1" customWidth="1"/>
    <col min="11294" max="11520" width="1.44140625" style="1"/>
    <col min="11521" max="11546" width="0.6640625" style="1" customWidth="1"/>
    <col min="11547" max="11547" width="0.5546875" style="1" customWidth="1"/>
    <col min="11548" max="11549" width="0.6640625" style="1" customWidth="1"/>
    <col min="11550" max="11776" width="1.44140625" style="1"/>
    <col min="11777" max="11802" width="0.6640625" style="1" customWidth="1"/>
    <col min="11803" max="11803" width="0.5546875" style="1" customWidth="1"/>
    <col min="11804" max="11805" width="0.6640625" style="1" customWidth="1"/>
    <col min="11806" max="12032" width="1.44140625" style="1"/>
    <col min="12033" max="12058" width="0.6640625" style="1" customWidth="1"/>
    <col min="12059" max="12059" width="0.5546875" style="1" customWidth="1"/>
    <col min="12060" max="12061" width="0.6640625" style="1" customWidth="1"/>
    <col min="12062" max="12288" width="10.6640625" style="1"/>
    <col min="12289" max="12314" width="0.6640625" style="1" customWidth="1"/>
    <col min="12315" max="12315" width="0.5546875" style="1" customWidth="1"/>
    <col min="12316" max="12317" width="0.6640625" style="1" customWidth="1"/>
    <col min="12318" max="12544" width="1.44140625" style="1"/>
    <col min="12545" max="12570" width="0.6640625" style="1" customWidth="1"/>
    <col min="12571" max="12571" width="0.5546875" style="1" customWidth="1"/>
    <col min="12572" max="12573" width="0.6640625" style="1" customWidth="1"/>
    <col min="12574" max="12800" width="1.44140625" style="1"/>
    <col min="12801" max="12826" width="0.6640625" style="1" customWidth="1"/>
    <col min="12827" max="12827" width="0.5546875" style="1" customWidth="1"/>
    <col min="12828" max="12829" width="0.6640625" style="1" customWidth="1"/>
    <col min="12830" max="13056" width="1.44140625" style="1"/>
    <col min="13057" max="13082" width="0.6640625" style="1" customWidth="1"/>
    <col min="13083" max="13083" width="0.5546875" style="1" customWidth="1"/>
    <col min="13084" max="13085" width="0.6640625" style="1" customWidth="1"/>
    <col min="13086" max="13312" width="10.6640625" style="1"/>
    <col min="13313" max="13338" width="0.6640625" style="1" customWidth="1"/>
    <col min="13339" max="13339" width="0.5546875" style="1" customWidth="1"/>
    <col min="13340" max="13341" width="0.6640625" style="1" customWidth="1"/>
    <col min="13342" max="13568" width="1.44140625" style="1"/>
    <col min="13569" max="13594" width="0.6640625" style="1" customWidth="1"/>
    <col min="13595" max="13595" width="0.5546875" style="1" customWidth="1"/>
    <col min="13596" max="13597" width="0.6640625" style="1" customWidth="1"/>
    <col min="13598" max="13824" width="1.44140625" style="1"/>
    <col min="13825" max="13850" width="0.6640625" style="1" customWidth="1"/>
    <col min="13851" max="13851" width="0.5546875" style="1" customWidth="1"/>
    <col min="13852" max="13853" width="0.6640625" style="1" customWidth="1"/>
    <col min="13854" max="14080" width="1.44140625" style="1"/>
    <col min="14081" max="14106" width="0.6640625" style="1" customWidth="1"/>
    <col min="14107" max="14107" width="0.5546875" style="1" customWidth="1"/>
    <col min="14108" max="14109" width="0.6640625" style="1" customWidth="1"/>
    <col min="14110" max="14336" width="10.6640625" style="1"/>
    <col min="14337" max="14362" width="0.6640625" style="1" customWidth="1"/>
    <col min="14363" max="14363" width="0.5546875" style="1" customWidth="1"/>
    <col min="14364" max="14365" width="0.6640625" style="1" customWidth="1"/>
    <col min="14366" max="14592" width="1.44140625" style="1"/>
    <col min="14593" max="14618" width="0.6640625" style="1" customWidth="1"/>
    <col min="14619" max="14619" width="0.5546875" style="1" customWidth="1"/>
    <col min="14620" max="14621" width="0.6640625" style="1" customWidth="1"/>
    <col min="14622" max="14848" width="1.44140625" style="1"/>
    <col min="14849" max="14874" width="0.6640625" style="1" customWidth="1"/>
    <col min="14875" max="14875" width="0.5546875" style="1" customWidth="1"/>
    <col min="14876" max="14877" width="0.6640625" style="1" customWidth="1"/>
    <col min="14878" max="15104" width="1.44140625" style="1"/>
    <col min="15105" max="15130" width="0.6640625" style="1" customWidth="1"/>
    <col min="15131" max="15131" width="0.5546875" style="1" customWidth="1"/>
    <col min="15132" max="15133" width="0.6640625" style="1" customWidth="1"/>
    <col min="15134" max="15360" width="10.6640625" style="1"/>
    <col min="15361" max="15386" width="0.6640625" style="1" customWidth="1"/>
    <col min="15387" max="15387" width="0.5546875" style="1" customWidth="1"/>
    <col min="15388" max="15389" width="0.6640625" style="1" customWidth="1"/>
    <col min="15390" max="15616" width="1.44140625" style="1"/>
    <col min="15617" max="15642" width="0.6640625" style="1" customWidth="1"/>
    <col min="15643" max="15643" width="0.5546875" style="1" customWidth="1"/>
    <col min="15644" max="15645" width="0.6640625" style="1" customWidth="1"/>
    <col min="15646" max="15872" width="1.44140625" style="1"/>
    <col min="15873" max="15898" width="0.6640625" style="1" customWidth="1"/>
    <col min="15899" max="15899" width="0.5546875" style="1" customWidth="1"/>
    <col min="15900" max="15901" width="0.6640625" style="1" customWidth="1"/>
    <col min="15902" max="16128" width="1.44140625" style="1"/>
    <col min="16129" max="16154" width="0.6640625" style="1" customWidth="1"/>
    <col min="16155" max="16155" width="0.5546875" style="1" customWidth="1"/>
    <col min="16156" max="16157" width="0.6640625" style="1" customWidth="1"/>
    <col min="16158" max="16384" width="10.6640625" style="1"/>
  </cols>
  <sheetData>
    <row r="1" spans="1:57" ht="15" customHeight="1">
      <c r="A1" s="2299" t="s">
        <v>108</v>
      </c>
      <c r="B1" s="2300"/>
      <c r="C1" s="2300"/>
      <c r="D1" s="2300"/>
      <c r="E1" s="2300"/>
      <c r="F1" s="2300"/>
      <c r="G1" s="2301"/>
      <c r="H1" s="2290" t="s">
        <v>109</v>
      </c>
      <c r="I1" s="2291"/>
      <c r="J1" s="2291"/>
      <c r="K1" s="2291"/>
      <c r="L1" s="2291"/>
      <c r="M1" s="2291"/>
      <c r="N1" s="2291"/>
      <c r="O1" s="2291"/>
      <c r="P1" s="2291"/>
      <c r="Q1" s="2291"/>
      <c r="R1" s="2291"/>
      <c r="S1" s="2291"/>
      <c r="T1" s="2291"/>
      <c r="U1" s="2292"/>
      <c r="V1" s="2369" t="s">
        <v>110</v>
      </c>
      <c r="W1" s="2370"/>
      <c r="X1" s="2370"/>
      <c r="Y1" s="2370"/>
      <c r="Z1" s="2371"/>
    </row>
    <row r="2" spans="1:57" ht="15" customHeight="1">
      <c r="A2" s="2302"/>
      <c r="B2" s="2303"/>
      <c r="C2" s="2303"/>
      <c r="D2" s="2303"/>
      <c r="E2" s="2303"/>
      <c r="F2" s="2303"/>
      <c r="G2" s="2304"/>
      <c r="H2" s="2293"/>
      <c r="I2" s="2294"/>
      <c r="J2" s="2294"/>
      <c r="K2" s="2294"/>
      <c r="L2" s="2294"/>
      <c r="M2" s="2294"/>
      <c r="N2" s="2294"/>
      <c r="O2" s="2294"/>
      <c r="P2" s="2294"/>
      <c r="Q2" s="2294"/>
      <c r="R2" s="2294"/>
      <c r="S2" s="2294"/>
      <c r="T2" s="2294"/>
      <c r="U2" s="2295"/>
      <c r="V2" s="2372"/>
      <c r="W2" s="2373"/>
      <c r="X2" s="2373"/>
      <c r="Y2" s="2373"/>
      <c r="Z2" s="2374"/>
    </row>
    <row r="3" spans="1:57" ht="15" customHeight="1" thickBot="1">
      <c r="A3" s="2302"/>
      <c r="B3" s="2303"/>
      <c r="C3" s="2303"/>
      <c r="D3" s="2303"/>
      <c r="E3" s="2303"/>
      <c r="F3" s="2303"/>
      <c r="G3" s="2304"/>
      <c r="H3" s="2293"/>
      <c r="I3" s="2294"/>
      <c r="J3" s="2294"/>
      <c r="K3" s="2294"/>
      <c r="L3" s="2294"/>
      <c r="M3" s="2294"/>
      <c r="N3" s="2294"/>
      <c r="O3" s="2294"/>
      <c r="P3" s="2294"/>
      <c r="Q3" s="2294"/>
      <c r="R3" s="2294"/>
      <c r="S3" s="2294"/>
      <c r="T3" s="2294"/>
      <c r="U3" s="2295"/>
      <c r="V3" s="2375"/>
      <c r="W3" s="2376"/>
      <c r="X3" s="2376"/>
      <c r="Y3" s="2376"/>
      <c r="Z3" s="2377"/>
    </row>
    <row r="4" spans="1:57" ht="15" customHeight="1">
      <c r="A4" s="2302"/>
      <c r="B4" s="2303"/>
      <c r="C4" s="2303"/>
      <c r="D4" s="2303"/>
      <c r="E4" s="2303"/>
      <c r="F4" s="2303"/>
      <c r="G4" s="2304"/>
      <c r="H4" s="2293"/>
      <c r="I4" s="2294"/>
      <c r="J4" s="2294"/>
      <c r="K4" s="2294"/>
      <c r="L4" s="2294"/>
      <c r="M4" s="2294"/>
      <c r="N4" s="2294"/>
      <c r="O4" s="2294"/>
      <c r="P4" s="2294"/>
      <c r="Q4" s="2294"/>
      <c r="R4" s="2294"/>
      <c r="S4" s="2294"/>
      <c r="T4" s="2294"/>
      <c r="U4" s="2295"/>
      <c r="V4" s="2393" t="s">
        <v>76</v>
      </c>
      <c r="W4" s="2394"/>
      <c r="X4" s="2393" t="s">
        <v>77</v>
      </c>
      <c r="Y4" s="2395"/>
      <c r="Z4" s="2394"/>
    </row>
    <row r="5" spans="1:57" ht="15.75" customHeight="1" thickBot="1">
      <c r="A5" s="2305"/>
      <c r="B5" s="2306"/>
      <c r="C5" s="2306"/>
      <c r="D5" s="2306"/>
      <c r="E5" s="2306"/>
      <c r="F5" s="2306"/>
      <c r="G5" s="2307"/>
      <c r="H5" s="2296"/>
      <c r="I5" s="2297"/>
      <c r="J5" s="2297"/>
      <c r="K5" s="2297"/>
      <c r="L5" s="2297"/>
      <c r="M5" s="2297"/>
      <c r="N5" s="2297"/>
      <c r="O5" s="2297"/>
      <c r="P5" s="2297"/>
      <c r="Q5" s="2297"/>
      <c r="R5" s="2297"/>
      <c r="S5" s="2297"/>
      <c r="T5" s="2297"/>
      <c r="U5" s="2298"/>
      <c r="V5" s="2396"/>
      <c r="W5" s="2397"/>
      <c r="X5" s="2398"/>
      <c r="Y5" s="2399"/>
      <c r="Z5" s="2400"/>
    </row>
    <row r="6" spans="1:57" ht="8.4" customHeight="1">
      <c r="A6" s="2356" t="s">
        <v>69</v>
      </c>
      <c r="B6" s="2357"/>
      <c r="C6" s="2357"/>
      <c r="D6" s="2362"/>
      <c r="E6" s="2362"/>
      <c r="F6" s="2362"/>
      <c r="G6" s="2362"/>
      <c r="H6" s="2362"/>
      <c r="I6" s="2362"/>
      <c r="J6" s="2362"/>
      <c r="K6" s="2362"/>
      <c r="L6" s="2362"/>
      <c r="M6" s="2363"/>
      <c r="N6" s="2347" t="s">
        <v>78</v>
      </c>
      <c r="O6" s="2348"/>
      <c r="P6" s="2348"/>
      <c r="Q6" s="2348"/>
      <c r="R6" s="2348"/>
      <c r="S6" s="2348"/>
      <c r="T6" s="2348"/>
      <c r="U6" s="2348"/>
      <c r="V6" s="2348"/>
      <c r="W6" s="2348"/>
      <c r="X6" s="2348"/>
      <c r="Y6" s="2348"/>
      <c r="Z6" s="2349"/>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row>
    <row r="7" spans="1:57" ht="8.4" customHeight="1">
      <c r="A7" s="2358"/>
      <c r="B7" s="2359"/>
      <c r="C7" s="2359"/>
      <c r="D7" s="2364"/>
      <c r="E7" s="2364"/>
      <c r="F7" s="2364"/>
      <c r="G7" s="2364"/>
      <c r="H7" s="2364"/>
      <c r="I7" s="2364"/>
      <c r="J7" s="2364"/>
      <c r="K7" s="2364"/>
      <c r="L7" s="2364"/>
      <c r="M7" s="2365"/>
      <c r="N7" s="2350"/>
      <c r="O7" s="2351"/>
      <c r="P7" s="2351"/>
      <c r="Q7" s="2351"/>
      <c r="R7" s="2351"/>
      <c r="S7" s="2351"/>
      <c r="T7" s="2351"/>
      <c r="U7" s="2351"/>
      <c r="V7" s="2351"/>
      <c r="W7" s="2351"/>
      <c r="X7" s="2351"/>
      <c r="Y7" s="2351"/>
      <c r="Z7" s="235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row>
    <row r="8" spans="1:57" ht="8.4" customHeight="1">
      <c r="A8" s="2358"/>
      <c r="B8" s="2359"/>
      <c r="C8" s="2359"/>
      <c r="D8" s="2364"/>
      <c r="E8" s="2364"/>
      <c r="F8" s="2364"/>
      <c r="G8" s="2364"/>
      <c r="H8" s="2364"/>
      <c r="I8" s="2364"/>
      <c r="J8" s="2364"/>
      <c r="K8" s="2364"/>
      <c r="L8" s="2364"/>
      <c r="M8" s="2365"/>
      <c r="N8" s="2350"/>
      <c r="O8" s="2351"/>
      <c r="P8" s="2351"/>
      <c r="Q8" s="2351"/>
      <c r="R8" s="2351"/>
      <c r="S8" s="2351"/>
      <c r="T8" s="2351"/>
      <c r="U8" s="2351"/>
      <c r="V8" s="2351"/>
      <c r="W8" s="2351"/>
      <c r="X8" s="2351"/>
      <c r="Y8" s="2351"/>
      <c r="Z8" s="235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row>
    <row r="9" spans="1:57" ht="8.4" customHeight="1">
      <c r="A9" s="2358"/>
      <c r="B9" s="2359"/>
      <c r="C9" s="2359"/>
      <c r="D9" s="2364"/>
      <c r="E9" s="2364"/>
      <c r="F9" s="2364"/>
      <c r="G9" s="2364"/>
      <c r="H9" s="2364"/>
      <c r="I9" s="2364"/>
      <c r="J9" s="2364"/>
      <c r="K9" s="2364"/>
      <c r="L9" s="2364"/>
      <c r="M9" s="2365"/>
      <c r="N9" s="2350"/>
      <c r="O9" s="2351"/>
      <c r="P9" s="2351"/>
      <c r="Q9" s="2351"/>
      <c r="R9" s="2351"/>
      <c r="S9" s="2351"/>
      <c r="T9" s="2351"/>
      <c r="U9" s="2351"/>
      <c r="V9" s="2351"/>
      <c r="W9" s="2351"/>
      <c r="X9" s="2351"/>
      <c r="Y9" s="2351"/>
      <c r="Z9" s="235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row>
    <row r="10" spans="1:57" ht="8.4" customHeight="1">
      <c r="A10" s="2358"/>
      <c r="B10" s="2359"/>
      <c r="C10" s="2359"/>
      <c r="D10" s="2364"/>
      <c r="E10" s="2364"/>
      <c r="F10" s="2364"/>
      <c r="G10" s="2364"/>
      <c r="H10" s="2364"/>
      <c r="I10" s="2364"/>
      <c r="J10" s="2364"/>
      <c r="K10" s="2364"/>
      <c r="L10" s="2364"/>
      <c r="M10" s="2365"/>
      <c r="N10" s="2350"/>
      <c r="O10" s="2351"/>
      <c r="P10" s="2351"/>
      <c r="Q10" s="2351"/>
      <c r="R10" s="2351"/>
      <c r="S10" s="2351"/>
      <c r="T10" s="2351"/>
      <c r="U10" s="2351"/>
      <c r="V10" s="2351"/>
      <c r="W10" s="2351"/>
      <c r="X10" s="2351"/>
      <c r="Y10" s="2351"/>
      <c r="Z10" s="235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row>
    <row r="11" spans="1:57" ht="8.4" customHeight="1">
      <c r="A11" s="2358"/>
      <c r="B11" s="2359"/>
      <c r="C11" s="2359"/>
      <c r="D11" s="2364"/>
      <c r="E11" s="2364"/>
      <c r="F11" s="2364"/>
      <c r="G11" s="2364"/>
      <c r="H11" s="2364"/>
      <c r="I11" s="2364"/>
      <c r="J11" s="2364"/>
      <c r="K11" s="2364"/>
      <c r="L11" s="2364"/>
      <c r="M11" s="2365"/>
      <c r="N11" s="2350"/>
      <c r="O11" s="2351"/>
      <c r="P11" s="2351"/>
      <c r="Q11" s="2351"/>
      <c r="R11" s="2351"/>
      <c r="S11" s="2351"/>
      <c r="T11" s="2351"/>
      <c r="U11" s="2351"/>
      <c r="V11" s="2351"/>
      <c r="W11" s="2351"/>
      <c r="X11" s="2351"/>
      <c r="Y11" s="2351"/>
      <c r="Z11" s="2352"/>
      <c r="AB11" s="2"/>
      <c r="AC11" s="2"/>
      <c r="AD11" s="2"/>
      <c r="AE11" s="2390"/>
      <c r="AF11" s="2390"/>
      <c r="AG11" s="2390"/>
      <c r="AH11" s="2390"/>
      <c r="AI11" s="2390"/>
      <c r="AJ11" s="2"/>
      <c r="AK11" s="2"/>
      <c r="AL11" s="2"/>
      <c r="AM11" s="2"/>
      <c r="AN11" s="2"/>
      <c r="AO11" s="2"/>
      <c r="AP11" s="2"/>
      <c r="AQ11" s="2"/>
      <c r="AR11" s="2"/>
      <c r="AS11" s="2"/>
      <c r="AT11" s="2"/>
      <c r="AU11" s="2"/>
      <c r="AV11" s="2"/>
      <c r="AW11" s="2"/>
      <c r="AX11" s="2"/>
      <c r="AY11" s="2"/>
      <c r="AZ11" s="2"/>
      <c r="BA11" s="2"/>
      <c r="BB11" s="2"/>
      <c r="BC11" s="2"/>
      <c r="BD11" s="2"/>
      <c r="BE11" s="2"/>
    </row>
    <row r="12" spans="1:57" ht="8.4" customHeight="1" thickBot="1">
      <c r="A12" s="2360"/>
      <c r="B12" s="2361"/>
      <c r="C12" s="2361"/>
      <c r="D12" s="2366"/>
      <c r="E12" s="2366"/>
      <c r="F12" s="2366"/>
      <c r="G12" s="2366"/>
      <c r="H12" s="2366"/>
      <c r="I12" s="2366"/>
      <c r="J12" s="2366"/>
      <c r="K12" s="2366"/>
      <c r="L12" s="2366"/>
      <c r="M12" s="2367"/>
      <c r="N12" s="2350"/>
      <c r="O12" s="2351"/>
      <c r="P12" s="2351"/>
      <c r="Q12" s="2351"/>
      <c r="R12" s="2351"/>
      <c r="S12" s="2351"/>
      <c r="T12" s="2351"/>
      <c r="U12" s="2351"/>
      <c r="V12" s="2351"/>
      <c r="W12" s="2351"/>
      <c r="X12" s="2351"/>
      <c r="Y12" s="2351"/>
      <c r="Z12" s="2352"/>
      <c r="AB12" s="2"/>
      <c r="AC12" s="2"/>
      <c r="AD12" s="2"/>
      <c r="AE12" s="2391"/>
      <c r="AF12" s="2391"/>
      <c r="AG12" s="2392"/>
      <c r="AH12" s="2392"/>
      <c r="AI12" s="2392"/>
      <c r="AJ12" s="2"/>
      <c r="AK12" s="2"/>
      <c r="AL12" s="2"/>
      <c r="AM12" s="2"/>
      <c r="AN12" s="2"/>
      <c r="AO12" s="2"/>
      <c r="AP12" s="2"/>
      <c r="AQ12" s="2"/>
      <c r="AR12" s="2"/>
      <c r="AS12" s="2"/>
      <c r="AT12" s="2"/>
      <c r="AU12" s="2"/>
      <c r="AV12" s="2"/>
      <c r="AW12" s="2"/>
      <c r="AX12" s="2"/>
      <c r="AY12" s="2"/>
      <c r="AZ12" s="2"/>
      <c r="BA12" s="2"/>
      <c r="BB12" s="2"/>
      <c r="BC12" s="2"/>
      <c r="BD12" s="2"/>
      <c r="BE12" s="2"/>
    </row>
    <row r="13" spans="1:57" ht="8.4" customHeight="1">
      <c r="A13" s="2314" t="s">
        <v>79</v>
      </c>
      <c r="B13" s="2315"/>
      <c r="C13" s="2315"/>
      <c r="D13" s="2341"/>
      <c r="E13" s="2341"/>
      <c r="F13" s="2341"/>
      <c r="G13" s="2341"/>
      <c r="H13" s="2341"/>
      <c r="I13" s="2341"/>
      <c r="J13" s="2341"/>
      <c r="K13" s="2341"/>
      <c r="L13" s="2341"/>
      <c r="M13" s="2342"/>
      <c r="N13" s="2350"/>
      <c r="O13" s="2351"/>
      <c r="P13" s="2351"/>
      <c r="Q13" s="2351"/>
      <c r="R13" s="2351"/>
      <c r="S13" s="2351"/>
      <c r="T13" s="2351"/>
      <c r="U13" s="2351"/>
      <c r="V13" s="2351"/>
      <c r="W13" s="2351"/>
      <c r="X13" s="2351"/>
      <c r="Y13" s="2351"/>
      <c r="Z13" s="235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row>
    <row r="14" spans="1:57" ht="8.4" customHeight="1">
      <c r="A14" s="2317"/>
      <c r="B14" s="2318"/>
      <c r="C14" s="2318"/>
      <c r="D14" s="2343"/>
      <c r="E14" s="2343"/>
      <c r="F14" s="2343"/>
      <c r="G14" s="2343"/>
      <c r="H14" s="2343"/>
      <c r="I14" s="2343"/>
      <c r="J14" s="2343"/>
      <c r="K14" s="2343"/>
      <c r="L14" s="2343"/>
      <c r="M14" s="2344"/>
      <c r="N14" s="2350"/>
      <c r="O14" s="2351"/>
      <c r="P14" s="2351"/>
      <c r="Q14" s="2351"/>
      <c r="R14" s="2351"/>
      <c r="S14" s="2351"/>
      <c r="T14" s="2351"/>
      <c r="U14" s="2351"/>
      <c r="V14" s="2351"/>
      <c r="W14" s="2351"/>
      <c r="X14" s="2351"/>
      <c r="Y14" s="2351"/>
      <c r="Z14" s="235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row>
    <row r="15" spans="1:57" ht="8.4" customHeight="1">
      <c r="A15" s="2317"/>
      <c r="B15" s="2318"/>
      <c r="C15" s="2318"/>
      <c r="D15" s="2343"/>
      <c r="E15" s="2343"/>
      <c r="F15" s="2343"/>
      <c r="G15" s="2343"/>
      <c r="H15" s="2343"/>
      <c r="I15" s="2343"/>
      <c r="J15" s="2343"/>
      <c r="K15" s="2343"/>
      <c r="L15" s="2343"/>
      <c r="M15" s="2344"/>
      <c r="N15" s="2350"/>
      <c r="O15" s="2351"/>
      <c r="P15" s="2351"/>
      <c r="Q15" s="2351"/>
      <c r="R15" s="2351"/>
      <c r="S15" s="2351"/>
      <c r="T15" s="2351"/>
      <c r="U15" s="2351"/>
      <c r="V15" s="2351"/>
      <c r="W15" s="2351"/>
      <c r="X15" s="2351"/>
      <c r="Y15" s="2351"/>
      <c r="Z15" s="235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row>
    <row r="16" spans="1:57" ht="8.4" customHeight="1" thickBot="1">
      <c r="A16" s="2320"/>
      <c r="B16" s="2321"/>
      <c r="C16" s="2321"/>
      <c r="D16" s="2345"/>
      <c r="E16" s="2345"/>
      <c r="F16" s="2345"/>
      <c r="G16" s="2345"/>
      <c r="H16" s="2345"/>
      <c r="I16" s="2345"/>
      <c r="J16" s="2345"/>
      <c r="K16" s="2345"/>
      <c r="L16" s="2345"/>
      <c r="M16" s="2346"/>
      <c r="N16" s="2350"/>
      <c r="O16" s="2351"/>
      <c r="P16" s="2351"/>
      <c r="Q16" s="2351"/>
      <c r="R16" s="2351"/>
      <c r="S16" s="2351"/>
      <c r="T16" s="2351"/>
      <c r="U16" s="2351"/>
      <c r="V16" s="2351"/>
      <c r="W16" s="2351"/>
      <c r="X16" s="2351"/>
      <c r="Y16" s="2351"/>
      <c r="Z16" s="235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row>
    <row r="17" spans="1:57" ht="8.4" customHeight="1">
      <c r="A17" s="2314" t="s">
        <v>102</v>
      </c>
      <c r="B17" s="2315"/>
      <c r="C17" s="2315"/>
      <c r="D17" s="2341"/>
      <c r="E17" s="2341"/>
      <c r="F17" s="2341"/>
      <c r="G17" s="2341"/>
      <c r="H17" s="2341"/>
      <c r="I17" s="2341"/>
      <c r="J17" s="2341"/>
      <c r="K17" s="2341"/>
      <c r="L17" s="2341"/>
      <c r="M17" s="2342"/>
      <c r="N17" s="2350"/>
      <c r="O17" s="2351"/>
      <c r="P17" s="2351"/>
      <c r="Q17" s="2351"/>
      <c r="R17" s="2351"/>
      <c r="S17" s="2351"/>
      <c r="T17" s="2351"/>
      <c r="U17" s="2351"/>
      <c r="V17" s="2351"/>
      <c r="W17" s="2351"/>
      <c r="X17" s="2351"/>
      <c r="Y17" s="2351"/>
      <c r="Z17" s="2352"/>
      <c r="AB17" s="5"/>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row>
    <row r="18" spans="1:57" ht="8.4" customHeight="1">
      <c r="A18" s="2317"/>
      <c r="B18" s="2318"/>
      <c r="C18" s="2318"/>
      <c r="D18" s="2343"/>
      <c r="E18" s="2343"/>
      <c r="F18" s="2343"/>
      <c r="G18" s="2343"/>
      <c r="H18" s="2343"/>
      <c r="I18" s="2343"/>
      <c r="J18" s="2343"/>
      <c r="K18" s="2343"/>
      <c r="L18" s="2343"/>
      <c r="M18" s="2344"/>
      <c r="N18" s="2350"/>
      <c r="O18" s="2351"/>
      <c r="P18" s="2351"/>
      <c r="Q18" s="2351"/>
      <c r="R18" s="2351"/>
      <c r="S18" s="2351"/>
      <c r="T18" s="2351"/>
      <c r="U18" s="2351"/>
      <c r="V18" s="2351"/>
      <c r="W18" s="2351"/>
      <c r="X18" s="2351"/>
      <c r="Y18" s="2351"/>
      <c r="Z18" s="235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row>
    <row r="19" spans="1:57" ht="8.4" customHeight="1">
      <c r="A19" s="2317"/>
      <c r="B19" s="2318"/>
      <c r="C19" s="2318"/>
      <c r="D19" s="2343"/>
      <c r="E19" s="2343"/>
      <c r="F19" s="2343"/>
      <c r="G19" s="2343"/>
      <c r="H19" s="2343"/>
      <c r="I19" s="2343"/>
      <c r="J19" s="2343"/>
      <c r="K19" s="2343"/>
      <c r="L19" s="2343"/>
      <c r="M19" s="2344"/>
      <c r="N19" s="2350"/>
      <c r="O19" s="2351"/>
      <c r="P19" s="2351"/>
      <c r="Q19" s="2351"/>
      <c r="R19" s="2351"/>
      <c r="S19" s="2351"/>
      <c r="T19" s="2351"/>
      <c r="U19" s="2351"/>
      <c r="V19" s="2351"/>
      <c r="W19" s="2351"/>
      <c r="X19" s="2351"/>
      <c r="Y19" s="2351"/>
      <c r="Z19" s="235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row>
    <row r="20" spans="1:57" ht="8.4" customHeight="1" thickBot="1">
      <c r="A20" s="2320"/>
      <c r="B20" s="2321"/>
      <c r="C20" s="2321"/>
      <c r="D20" s="2345"/>
      <c r="E20" s="2345"/>
      <c r="F20" s="2345"/>
      <c r="G20" s="2345"/>
      <c r="H20" s="2345"/>
      <c r="I20" s="2345"/>
      <c r="J20" s="2345"/>
      <c r="K20" s="2345"/>
      <c r="L20" s="2345"/>
      <c r="M20" s="2346"/>
      <c r="N20" s="2350"/>
      <c r="O20" s="2351"/>
      <c r="P20" s="2351"/>
      <c r="Q20" s="2351"/>
      <c r="R20" s="2351"/>
      <c r="S20" s="2351"/>
      <c r="T20" s="2351"/>
      <c r="U20" s="2351"/>
      <c r="V20" s="2351"/>
      <c r="W20" s="2351"/>
      <c r="X20" s="2351"/>
      <c r="Y20" s="2351"/>
      <c r="Z20" s="235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row>
    <row r="21" spans="1:57" ht="8.4" customHeight="1">
      <c r="A21" s="2314" t="s">
        <v>80</v>
      </c>
      <c r="B21" s="2315"/>
      <c r="C21" s="2315"/>
      <c r="D21" s="2341"/>
      <c r="E21" s="2341"/>
      <c r="F21" s="2341"/>
      <c r="G21" s="2341"/>
      <c r="H21" s="2341"/>
      <c r="I21" s="2341"/>
      <c r="J21" s="2341"/>
      <c r="K21" s="2341"/>
      <c r="L21" s="2341"/>
      <c r="M21" s="2342"/>
      <c r="N21" s="2350"/>
      <c r="O21" s="2351"/>
      <c r="P21" s="2351"/>
      <c r="Q21" s="2351"/>
      <c r="R21" s="2351"/>
      <c r="S21" s="2351"/>
      <c r="T21" s="2351"/>
      <c r="U21" s="2351"/>
      <c r="V21" s="2351"/>
      <c r="W21" s="2351"/>
      <c r="X21" s="2351"/>
      <c r="Y21" s="2351"/>
      <c r="Z21" s="235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row>
    <row r="22" spans="1:57" ht="8.4" customHeight="1">
      <c r="A22" s="2317"/>
      <c r="B22" s="2318"/>
      <c r="C22" s="2318"/>
      <c r="D22" s="2343"/>
      <c r="E22" s="2343"/>
      <c r="F22" s="2343"/>
      <c r="G22" s="2343"/>
      <c r="H22" s="2343"/>
      <c r="I22" s="2343"/>
      <c r="J22" s="2343"/>
      <c r="K22" s="2343"/>
      <c r="L22" s="2343"/>
      <c r="M22" s="2344"/>
      <c r="N22" s="2350"/>
      <c r="O22" s="2351"/>
      <c r="P22" s="2351"/>
      <c r="Q22" s="2351"/>
      <c r="R22" s="2351"/>
      <c r="S22" s="2351"/>
      <c r="T22" s="2351"/>
      <c r="U22" s="2351"/>
      <c r="V22" s="2351"/>
      <c r="W22" s="2351"/>
      <c r="X22" s="2351"/>
      <c r="Y22" s="2351"/>
      <c r="Z22" s="235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row>
    <row r="23" spans="1:57" ht="8.4" customHeight="1">
      <c r="A23" s="2317"/>
      <c r="B23" s="2318"/>
      <c r="C23" s="2318"/>
      <c r="D23" s="2343"/>
      <c r="E23" s="2343"/>
      <c r="F23" s="2343"/>
      <c r="G23" s="2343"/>
      <c r="H23" s="2343"/>
      <c r="I23" s="2343"/>
      <c r="J23" s="2343"/>
      <c r="K23" s="2343"/>
      <c r="L23" s="2343"/>
      <c r="M23" s="2344"/>
      <c r="N23" s="2350"/>
      <c r="O23" s="2351"/>
      <c r="P23" s="2351"/>
      <c r="Q23" s="2351"/>
      <c r="R23" s="2351"/>
      <c r="S23" s="2351"/>
      <c r="T23" s="2351"/>
      <c r="U23" s="2351"/>
      <c r="V23" s="2351"/>
      <c r="W23" s="2351"/>
      <c r="X23" s="2351"/>
      <c r="Y23" s="2351"/>
      <c r="Z23" s="235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row>
    <row r="24" spans="1:57" ht="8.4" customHeight="1" thickBot="1">
      <c r="A24" s="2320"/>
      <c r="B24" s="2321"/>
      <c r="C24" s="2321"/>
      <c r="D24" s="2345"/>
      <c r="E24" s="2345"/>
      <c r="F24" s="2345"/>
      <c r="G24" s="2345"/>
      <c r="H24" s="2345"/>
      <c r="I24" s="2345"/>
      <c r="J24" s="2345"/>
      <c r="K24" s="2345"/>
      <c r="L24" s="2345"/>
      <c r="M24" s="2346"/>
      <c r="N24" s="2350"/>
      <c r="O24" s="2351"/>
      <c r="P24" s="2351"/>
      <c r="Q24" s="2351"/>
      <c r="R24" s="2351"/>
      <c r="S24" s="2351"/>
      <c r="T24" s="2351"/>
      <c r="U24" s="2351"/>
      <c r="V24" s="2351"/>
      <c r="W24" s="2351"/>
      <c r="X24" s="2351"/>
      <c r="Y24" s="2351"/>
      <c r="Z24" s="235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row>
    <row r="25" spans="1:57" ht="8.4" customHeight="1">
      <c r="A25" s="2314" t="s">
        <v>81</v>
      </c>
      <c r="B25" s="2315"/>
      <c r="C25" s="2315"/>
      <c r="D25" s="2341"/>
      <c r="E25" s="2341"/>
      <c r="F25" s="2341"/>
      <c r="G25" s="2341"/>
      <c r="H25" s="2341"/>
      <c r="I25" s="2341"/>
      <c r="J25" s="2341"/>
      <c r="K25" s="2341"/>
      <c r="L25" s="2341"/>
      <c r="M25" s="2342"/>
      <c r="N25" s="2350"/>
      <c r="O25" s="2351"/>
      <c r="P25" s="2351"/>
      <c r="Q25" s="2351"/>
      <c r="R25" s="2351"/>
      <c r="S25" s="2351"/>
      <c r="T25" s="2351"/>
      <c r="U25" s="2351"/>
      <c r="V25" s="2351"/>
      <c r="W25" s="2351"/>
      <c r="X25" s="2351"/>
      <c r="Y25" s="2351"/>
      <c r="Z25" s="235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row>
    <row r="26" spans="1:57" ht="8.4" customHeight="1">
      <c r="A26" s="2317"/>
      <c r="B26" s="2318"/>
      <c r="C26" s="2318"/>
      <c r="D26" s="2343"/>
      <c r="E26" s="2343"/>
      <c r="F26" s="2343"/>
      <c r="G26" s="2343"/>
      <c r="H26" s="2343"/>
      <c r="I26" s="2343"/>
      <c r="J26" s="2343"/>
      <c r="K26" s="2343"/>
      <c r="L26" s="2343"/>
      <c r="M26" s="2344"/>
      <c r="N26" s="2350"/>
      <c r="O26" s="2351"/>
      <c r="P26" s="2351"/>
      <c r="Q26" s="2351"/>
      <c r="R26" s="2351"/>
      <c r="S26" s="2351"/>
      <c r="T26" s="2351"/>
      <c r="U26" s="2351"/>
      <c r="V26" s="2351"/>
      <c r="W26" s="2351"/>
      <c r="X26" s="2351"/>
      <c r="Y26" s="2351"/>
      <c r="Z26" s="235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row>
    <row r="27" spans="1:57" ht="8.4" customHeight="1">
      <c r="A27" s="2317"/>
      <c r="B27" s="2318"/>
      <c r="C27" s="2318"/>
      <c r="D27" s="2343"/>
      <c r="E27" s="2343"/>
      <c r="F27" s="2343"/>
      <c r="G27" s="2343"/>
      <c r="H27" s="2343"/>
      <c r="I27" s="2343"/>
      <c r="J27" s="2343"/>
      <c r="K27" s="2343"/>
      <c r="L27" s="2343"/>
      <c r="M27" s="2344"/>
      <c r="N27" s="2350"/>
      <c r="O27" s="2351"/>
      <c r="P27" s="2351"/>
      <c r="Q27" s="2351"/>
      <c r="R27" s="2351"/>
      <c r="S27" s="2351"/>
      <c r="T27" s="2351"/>
      <c r="U27" s="2351"/>
      <c r="V27" s="2351"/>
      <c r="W27" s="2351"/>
      <c r="X27" s="2351"/>
      <c r="Y27" s="2351"/>
      <c r="Z27" s="235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row>
    <row r="28" spans="1:57" ht="8.4" customHeight="1" thickBot="1">
      <c r="A28" s="2320"/>
      <c r="B28" s="2321"/>
      <c r="C28" s="2321"/>
      <c r="D28" s="2345"/>
      <c r="E28" s="2345"/>
      <c r="F28" s="2345"/>
      <c r="G28" s="2345"/>
      <c r="H28" s="2345"/>
      <c r="I28" s="2345"/>
      <c r="J28" s="2345"/>
      <c r="K28" s="2345"/>
      <c r="L28" s="2345"/>
      <c r="M28" s="2346"/>
      <c r="N28" s="2350"/>
      <c r="O28" s="2351"/>
      <c r="P28" s="2351"/>
      <c r="Q28" s="2351"/>
      <c r="R28" s="2351"/>
      <c r="S28" s="2351"/>
      <c r="T28" s="2351"/>
      <c r="U28" s="2351"/>
      <c r="V28" s="2351"/>
      <c r="W28" s="2351"/>
      <c r="X28" s="2351"/>
      <c r="Y28" s="2351"/>
      <c r="Z28" s="235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row>
    <row r="29" spans="1:57" ht="8.4" customHeight="1">
      <c r="A29" s="2314" t="s">
        <v>84</v>
      </c>
      <c r="B29" s="2315"/>
      <c r="C29" s="2315"/>
      <c r="D29" s="2341"/>
      <c r="E29" s="2341"/>
      <c r="F29" s="2341"/>
      <c r="G29" s="2341"/>
      <c r="H29" s="2341"/>
      <c r="I29" s="2341"/>
      <c r="J29" s="2341"/>
      <c r="K29" s="2341"/>
      <c r="L29" s="2341"/>
      <c r="M29" s="2342"/>
      <c r="N29" s="2350"/>
      <c r="O29" s="2351"/>
      <c r="P29" s="2351"/>
      <c r="Q29" s="2351"/>
      <c r="R29" s="2351"/>
      <c r="S29" s="2351"/>
      <c r="T29" s="2351"/>
      <c r="U29" s="2351"/>
      <c r="V29" s="2351"/>
      <c r="W29" s="2351"/>
      <c r="X29" s="2351"/>
      <c r="Y29" s="2351"/>
      <c r="Z29" s="235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row>
    <row r="30" spans="1:57" ht="8.4" customHeight="1">
      <c r="A30" s="2317"/>
      <c r="B30" s="2318"/>
      <c r="C30" s="2318"/>
      <c r="D30" s="2343"/>
      <c r="E30" s="2343"/>
      <c r="F30" s="2343"/>
      <c r="G30" s="2343"/>
      <c r="H30" s="2343"/>
      <c r="I30" s="2343"/>
      <c r="J30" s="2343"/>
      <c r="K30" s="2343"/>
      <c r="L30" s="2343"/>
      <c r="M30" s="2344"/>
      <c r="N30" s="2350"/>
      <c r="O30" s="2351"/>
      <c r="P30" s="2351"/>
      <c r="Q30" s="2351"/>
      <c r="R30" s="2351"/>
      <c r="S30" s="2351"/>
      <c r="T30" s="2351"/>
      <c r="U30" s="2351"/>
      <c r="V30" s="2351"/>
      <c r="W30" s="2351"/>
      <c r="X30" s="2351"/>
      <c r="Y30" s="2351"/>
      <c r="Z30" s="235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row>
    <row r="31" spans="1:57" ht="8.4" customHeight="1">
      <c r="A31" s="2317"/>
      <c r="B31" s="2318"/>
      <c r="C31" s="2318"/>
      <c r="D31" s="2343"/>
      <c r="E31" s="2343"/>
      <c r="F31" s="2343"/>
      <c r="G31" s="2343"/>
      <c r="H31" s="2343"/>
      <c r="I31" s="2343"/>
      <c r="J31" s="2343"/>
      <c r="K31" s="2343"/>
      <c r="L31" s="2343"/>
      <c r="M31" s="2344"/>
      <c r="N31" s="2350"/>
      <c r="O31" s="2351"/>
      <c r="P31" s="2351"/>
      <c r="Q31" s="2351"/>
      <c r="R31" s="2351"/>
      <c r="S31" s="2351"/>
      <c r="T31" s="2351"/>
      <c r="U31" s="2351"/>
      <c r="V31" s="2351"/>
      <c r="W31" s="2351"/>
      <c r="X31" s="2351"/>
      <c r="Y31" s="2351"/>
      <c r="Z31" s="235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row>
    <row r="32" spans="1:57" ht="8.4" customHeight="1" thickBot="1">
      <c r="A32" s="2320"/>
      <c r="B32" s="2321"/>
      <c r="C32" s="2321"/>
      <c r="D32" s="2345"/>
      <c r="E32" s="2345"/>
      <c r="F32" s="2345"/>
      <c r="G32" s="2345"/>
      <c r="H32" s="2345"/>
      <c r="I32" s="2345"/>
      <c r="J32" s="2345"/>
      <c r="K32" s="2345"/>
      <c r="L32" s="2345"/>
      <c r="M32" s="2346"/>
      <c r="N32" s="2353"/>
      <c r="O32" s="2354"/>
      <c r="P32" s="2354"/>
      <c r="Q32" s="2354"/>
      <c r="R32" s="2354"/>
      <c r="S32" s="2354"/>
      <c r="T32" s="2354"/>
      <c r="U32" s="2354"/>
      <c r="V32" s="2354"/>
      <c r="W32" s="2354"/>
      <c r="X32" s="2354"/>
      <c r="Y32" s="2354"/>
      <c r="Z32" s="2355"/>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row>
    <row r="33" spans="1:57" ht="8.4" customHeight="1">
      <c r="A33" s="2314" t="s">
        <v>82</v>
      </c>
      <c r="B33" s="2315"/>
      <c r="C33" s="2315"/>
      <c r="D33" s="2341"/>
      <c r="E33" s="2341"/>
      <c r="F33" s="2341"/>
      <c r="G33" s="2341"/>
      <c r="H33" s="2341"/>
      <c r="I33" s="2341"/>
      <c r="J33" s="2341"/>
      <c r="K33" s="2341"/>
      <c r="L33" s="2341"/>
      <c r="M33" s="2342"/>
      <c r="N33" s="2314" t="s">
        <v>83</v>
      </c>
      <c r="O33" s="2315"/>
      <c r="P33" s="2315"/>
      <c r="Q33" s="2315"/>
      <c r="R33" s="2368" t="e">
        <f>#REF!</f>
        <v>#REF!</v>
      </c>
      <c r="S33" s="2341"/>
      <c r="T33" s="2341"/>
      <c r="U33" s="2341"/>
      <c r="V33" s="2341"/>
      <c r="W33" s="2341"/>
      <c r="X33" s="2341"/>
      <c r="Y33" s="2341"/>
      <c r="Z33" s="234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row>
    <row r="34" spans="1:57" ht="8.4" customHeight="1">
      <c r="A34" s="2317"/>
      <c r="B34" s="2318"/>
      <c r="C34" s="2318"/>
      <c r="D34" s="2343"/>
      <c r="E34" s="2343"/>
      <c r="F34" s="2343"/>
      <c r="G34" s="2343"/>
      <c r="H34" s="2343"/>
      <c r="I34" s="2343"/>
      <c r="J34" s="2343"/>
      <c r="K34" s="2343"/>
      <c r="L34" s="2343"/>
      <c r="M34" s="2344"/>
      <c r="N34" s="2317"/>
      <c r="O34" s="2318"/>
      <c r="P34" s="2318"/>
      <c r="Q34" s="2318"/>
      <c r="R34" s="2343"/>
      <c r="S34" s="2343"/>
      <c r="T34" s="2343"/>
      <c r="U34" s="2343"/>
      <c r="V34" s="2343"/>
      <c r="W34" s="2343"/>
      <c r="X34" s="2343"/>
      <c r="Y34" s="2343"/>
      <c r="Z34" s="2344"/>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row>
    <row r="35" spans="1:57" ht="8.4" customHeight="1">
      <c r="A35" s="2317"/>
      <c r="B35" s="2318"/>
      <c r="C35" s="2318"/>
      <c r="D35" s="2343"/>
      <c r="E35" s="2343"/>
      <c r="F35" s="2343"/>
      <c r="G35" s="2343"/>
      <c r="H35" s="2343"/>
      <c r="I35" s="2343"/>
      <c r="J35" s="2343"/>
      <c r="K35" s="2343"/>
      <c r="L35" s="2343"/>
      <c r="M35" s="2344"/>
      <c r="N35" s="2317"/>
      <c r="O35" s="2318"/>
      <c r="P35" s="2318"/>
      <c r="Q35" s="2318"/>
      <c r="R35" s="2343"/>
      <c r="S35" s="2343"/>
      <c r="T35" s="2343"/>
      <c r="U35" s="2343"/>
      <c r="V35" s="2343"/>
      <c r="W35" s="2343"/>
      <c r="X35" s="2343"/>
      <c r="Y35" s="2343"/>
      <c r="Z35" s="2344"/>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row>
    <row r="36" spans="1:57" ht="8.4" customHeight="1" thickBot="1">
      <c r="A36" s="2320"/>
      <c r="B36" s="2321"/>
      <c r="C36" s="2321"/>
      <c r="D36" s="2345"/>
      <c r="E36" s="2345"/>
      <c r="F36" s="2345"/>
      <c r="G36" s="2345"/>
      <c r="H36" s="2345"/>
      <c r="I36" s="2345"/>
      <c r="J36" s="2345"/>
      <c r="K36" s="2345"/>
      <c r="L36" s="2345"/>
      <c r="M36" s="2346"/>
      <c r="N36" s="2320"/>
      <c r="O36" s="2321"/>
      <c r="P36" s="2321"/>
      <c r="Q36" s="2321"/>
      <c r="R36" s="2345"/>
      <c r="S36" s="2345"/>
      <c r="T36" s="2345"/>
      <c r="U36" s="2345"/>
      <c r="V36" s="2345"/>
      <c r="W36" s="2345"/>
      <c r="X36" s="2345"/>
      <c r="Y36" s="2345"/>
      <c r="Z36" s="2346"/>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row>
    <row r="37" spans="1:57" ht="8.4" customHeight="1">
      <c r="A37" s="2314" t="s">
        <v>104</v>
      </c>
      <c r="B37" s="2315"/>
      <c r="C37" s="2315"/>
      <c r="D37" s="2341"/>
      <c r="E37" s="2341"/>
      <c r="F37" s="2341"/>
      <c r="G37" s="2341"/>
      <c r="H37" s="2341"/>
      <c r="I37" s="2341"/>
      <c r="J37" s="2341"/>
      <c r="K37" s="2341"/>
      <c r="L37" s="2341"/>
      <c r="M37" s="2342"/>
      <c r="N37" s="2314" t="s">
        <v>101</v>
      </c>
      <c r="O37" s="2315"/>
      <c r="P37" s="2315"/>
      <c r="Q37" s="2315"/>
      <c r="R37" s="2341" t="e">
        <f>#REF!</f>
        <v>#REF!</v>
      </c>
      <c r="S37" s="2341"/>
      <c r="T37" s="2341"/>
      <c r="U37" s="2341"/>
      <c r="V37" s="2341"/>
      <c r="W37" s="2341"/>
      <c r="X37" s="2341"/>
      <c r="Y37" s="2341"/>
      <c r="Z37" s="234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row>
    <row r="38" spans="1:57" ht="8.4" customHeight="1">
      <c r="A38" s="2317"/>
      <c r="B38" s="2318"/>
      <c r="C38" s="2318"/>
      <c r="D38" s="2343"/>
      <c r="E38" s="2343"/>
      <c r="F38" s="2343"/>
      <c r="G38" s="2343"/>
      <c r="H38" s="2343"/>
      <c r="I38" s="2343"/>
      <c r="J38" s="2343"/>
      <c r="K38" s="2343"/>
      <c r="L38" s="2343"/>
      <c r="M38" s="2344"/>
      <c r="N38" s="2317"/>
      <c r="O38" s="2318"/>
      <c r="P38" s="2318"/>
      <c r="Q38" s="2318"/>
      <c r="R38" s="2343"/>
      <c r="S38" s="2343"/>
      <c r="T38" s="2343"/>
      <c r="U38" s="2343"/>
      <c r="V38" s="2343"/>
      <c r="W38" s="2343"/>
      <c r="X38" s="2343"/>
      <c r="Y38" s="2343"/>
      <c r="Z38" s="2344"/>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row>
    <row r="39" spans="1:57" ht="8.4" customHeight="1">
      <c r="A39" s="2317"/>
      <c r="B39" s="2318"/>
      <c r="C39" s="2318"/>
      <c r="D39" s="2343"/>
      <c r="E39" s="2343"/>
      <c r="F39" s="2343"/>
      <c r="G39" s="2343"/>
      <c r="H39" s="2343"/>
      <c r="I39" s="2343"/>
      <c r="J39" s="2343"/>
      <c r="K39" s="2343"/>
      <c r="L39" s="2343"/>
      <c r="M39" s="2344"/>
      <c r="N39" s="2317"/>
      <c r="O39" s="2318"/>
      <c r="P39" s="2318"/>
      <c r="Q39" s="2318"/>
      <c r="R39" s="2343"/>
      <c r="S39" s="2343"/>
      <c r="T39" s="2343"/>
      <c r="U39" s="2343"/>
      <c r="V39" s="2343"/>
      <c r="W39" s="2343"/>
      <c r="X39" s="2343"/>
      <c r="Y39" s="2343"/>
      <c r="Z39" s="2344"/>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row>
    <row r="40" spans="1:57" ht="8.4" customHeight="1" thickBot="1">
      <c r="A40" s="2320"/>
      <c r="B40" s="2321"/>
      <c r="C40" s="2321"/>
      <c r="D40" s="2345"/>
      <c r="E40" s="2345"/>
      <c r="F40" s="2345"/>
      <c r="G40" s="2345"/>
      <c r="H40" s="2345"/>
      <c r="I40" s="2345"/>
      <c r="J40" s="2345"/>
      <c r="K40" s="2345"/>
      <c r="L40" s="2345"/>
      <c r="M40" s="2346"/>
      <c r="N40" s="2320"/>
      <c r="O40" s="2321"/>
      <c r="P40" s="2321"/>
      <c r="Q40" s="2321"/>
      <c r="R40" s="2345"/>
      <c r="S40" s="2345"/>
      <c r="T40" s="2345"/>
      <c r="U40" s="2345"/>
      <c r="V40" s="2345"/>
      <c r="W40" s="2345"/>
      <c r="X40" s="2345"/>
      <c r="Y40" s="2345"/>
      <c r="Z40" s="2346"/>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row>
    <row r="41" spans="1:57" ht="8.4" customHeight="1">
      <c r="A41" s="2378" t="s">
        <v>85</v>
      </c>
      <c r="B41" s="2379"/>
      <c r="C41" s="2379"/>
      <c r="D41" s="2379"/>
      <c r="E41" s="2379"/>
      <c r="F41" s="2379"/>
      <c r="G41" s="2379"/>
      <c r="H41" s="2379"/>
      <c r="I41" s="2379"/>
      <c r="J41" s="2379"/>
      <c r="K41" s="2379"/>
      <c r="L41" s="2379"/>
      <c r="M41" s="2379"/>
      <c r="N41" s="2379"/>
      <c r="O41" s="2379"/>
      <c r="P41" s="2379"/>
      <c r="Q41" s="2379"/>
      <c r="R41" s="2379"/>
      <c r="S41" s="2379"/>
      <c r="T41" s="2379"/>
      <c r="U41" s="2379"/>
      <c r="V41" s="2379"/>
      <c r="W41" s="2379"/>
      <c r="X41" s="2379"/>
      <c r="Y41" s="2379"/>
      <c r="Z41" s="2380"/>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row>
    <row r="42" spans="1:57" ht="8.4" customHeight="1">
      <c r="A42" s="2381"/>
      <c r="B42" s="2382"/>
      <c r="C42" s="2382"/>
      <c r="D42" s="2382"/>
      <c r="E42" s="2382"/>
      <c r="F42" s="2382"/>
      <c r="G42" s="2382"/>
      <c r="H42" s="2382"/>
      <c r="I42" s="2382"/>
      <c r="J42" s="2382"/>
      <c r="K42" s="2382"/>
      <c r="L42" s="2382"/>
      <c r="M42" s="2382"/>
      <c r="N42" s="2382"/>
      <c r="O42" s="2382"/>
      <c r="P42" s="2382"/>
      <c r="Q42" s="2382"/>
      <c r="R42" s="2382"/>
      <c r="S42" s="2382"/>
      <c r="T42" s="2382"/>
      <c r="U42" s="2382"/>
      <c r="V42" s="2382"/>
      <c r="W42" s="2382"/>
      <c r="X42" s="2382"/>
      <c r="Y42" s="2382"/>
      <c r="Z42" s="2383"/>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row>
    <row r="43" spans="1:57" ht="8.4" customHeight="1">
      <c r="A43" s="2381"/>
      <c r="B43" s="2382"/>
      <c r="C43" s="2382"/>
      <c r="D43" s="2382"/>
      <c r="E43" s="2382"/>
      <c r="F43" s="2382"/>
      <c r="G43" s="2382"/>
      <c r="H43" s="2382"/>
      <c r="I43" s="2382"/>
      <c r="J43" s="2382"/>
      <c r="K43" s="2382"/>
      <c r="L43" s="2382"/>
      <c r="M43" s="2382"/>
      <c r="N43" s="2382"/>
      <c r="O43" s="2382"/>
      <c r="P43" s="2382"/>
      <c r="Q43" s="2382"/>
      <c r="R43" s="2382"/>
      <c r="S43" s="2382"/>
      <c r="T43" s="2382"/>
      <c r="U43" s="2382"/>
      <c r="V43" s="2382"/>
      <c r="W43" s="2382"/>
      <c r="X43" s="2382"/>
      <c r="Y43" s="2382"/>
      <c r="Z43" s="2383"/>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row>
    <row r="44" spans="1:57" ht="8.4" customHeight="1">
      <c r="A44" s="2384"/>
      <c r="B44" s="2385"/>
      <c r="C44" s="2385"/>
      <c r="D44" s="2385"/>
      <c r="E44" s="2385"/>
      <c r="F44" s="2385"/>
      <c r="G44" s="2385"/>
      <c r="H44" s="2385"/>
      <c r="I44" s="2385"/>
      <c r="J44" s="2385"/>
      <c r="K44" s="2385"/>
      <c r="L44" s="2385"/>
      <c r="M44" s="2385"/>
      <c r="N44" s="2385"/>
      <c r="O44" s="2385"/>
      <c r="P44" s="2385"/>
      <c r="Q44" s="2385"/>
      <c r="R44" s="2385"/>
      <c r="S44" s="2385"/>
      <c r="T44" s="2385"/>
      <c r="U44" s="2385"/>
      <c r="V44" s="2385"/>
      <c r="W44" s="2385"/>
      <c r="X44" s="2385"/>
      <c r="Y44" s="2385"/>
      <c r="Z44" s="2386"/>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row>
    <row r="45" spans="1:57" ht="8.4" customHeight="1">
      <c r="A45" s="2384"/>
      <c r="B45" s="2385"/>
      <c r="C45" s="2385"/>
      <c r="D45" s="2385"/>
      <c r="E45" s="2385"/>
      <c r="F45" s="2385"/>
      <c r="G45" s="2385"/>
      <c r="H45" s="2385"/>
      <c r="I45" s="2385"/>
      <c r="J45" s="2385"/>
      <c r="K45" s="2385"/>
      <c r="L45" s="2385"/>
      <c r="M45" s="2385"/>
      <c r="N45" s="2385"/>
      <c r="O45" s="2385"/>
      <c r="P45" s="2385"/>
      <c r="Q45" s="2385"/>
      <c r="R45" s="2385"/>
      <c r="S45" s="2385"/>
      <c r="T45" s="2385"/>
      <c r="U45" s="2385"/>
      <c r="V45" s="2385"/>
      <c r="W45" s="2385"/>
      <c r="X45" s="2385"/>
      <c r="Y45" s="2385"/>
      <c r="Z45" s="2386"/>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row>
    <row r="46" spans="1:57" ht="8.4" customHeight="1">
      <c r="A46" s="2384"/>
      <c r="B46" s="2385"/>
      <c r="C46" s="2385"/>
      <c r="D46" s="2385"/>
      <c r="E46" s="2385"/>
      <c r="F46" s="2385"/>
      <c r="G46" s="2385"/>
      <c r="H46" s="2385"/>
      <c r="I46" s="2385"/>
      <c r="J46" s="2385"/>
      <c r="K46" s="2385"/>
      <c r="L46" s="2385"/>
      <c r="M46" s="2385"/>
      <c r="N46" s="2385"/>
      <c r="O46" s="2385"/>
      <c r="P46" s="2385"/>
      <c r="Q46" s="2385"/>
      <c r="R46" s="2385"/>
      <c r="S46" s="2385"/>
      <c r="T46" s="2385"/>
      <c r="U46" s="2385"/>
      <c r="V46" s="2385"/>
      <c r="W46" s="2385"/>
      <c r="X46" s="2385"/>
      <c r="Y46" s="2385"/>
      <c r="Z46" s="2386"/>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row>
    <row r="47" spans="1:57" ht="8.4" customHeight="1">
      <c r="A47" s="2384"/>
      <c r="B47" s="2385"/>
      <c r="C47" s="2385"/>
      <c r="D47" s="2385"/>
      <c r="E47" s="2385"/>
      <c r="F47" s="2385"/>
      <c r="G47" s="2385"/>
      <c r="H47" s="2385"/>
      <c r="I47" s="2385"/>
      <c r="J47" s="2385"/>
      <c r="K47" s="2385"/>
      <c r="L47" s="2385"/>
      <c r="M47" s="2385"/>
      <c r="N47" s="2385"/>
      <c r="O47" s="2385"/>
      <c r="P47" s="2385"/>
      <c r="Q47" s="2385"/>
      <c r="R47" s="2385"/>
      <c r="S47" s="2385"/>
      <c r="T47" s="2385"/>
      <c r="U47" s="2385"/>
      <c r="V47" s="2385"/>
      <c r="W47" s="2385"/>
      <c r="X47" s="2385"/>
      <c r="Y47" s="2385"/>
      <c r="Z47" s="2386"/>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row>
    <row r="48" spans="1:57" ht="8.4" customHeight="1">
      <c r="A48" s="2384"/>
      <c r="B48" s="2385"/>
      <c r="C48" s="2385"/>
      <c r="D48" s="2385"/>
      <c r="E48" s="2385"/>
      <c r="F48" s="2385"/>
      <c r="G48" s="2385"/>
      <c r="H48" s="2385"/>
      <c r="I48" s="2385"/>
      <c r="J48" s="2385"/>
      <c r="K48" s="2385"/>
      <c r="L48" s="2385"/>
      <c r="M48" s="2385"/>
      <c r="N48" s="2385"/>
      <c r="O48" s="2385"/>
      <c r="P48" s="2385"/>
      <c r="Q48" s="2385"/>
      <c r="R48" s="2385"/>
      <c r="S48" s="2385"/>
      <c r="T48" s="2385"/>
      <c r="U48" s="2385"/>
      <c r="V48" s="2385"/>
      <c r="W48" s="2385"/>
      <c r="X48" s="2385"/>
      <c r="Y48" s="2385"/>
      <c r="Z48" s="2386"/>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row>
    <row r="49" spans="1:57" ht="8.4" customHeight="1">
      <c r="A49" s="2384"/>
      <c r="B49" s="2385"/>
      <c r="C49" s="2385"/>
      <c r="D49" s="2385"/>
      <c r="E49" s="2385"/>
      <c r="F49" s="2385"/>
      <c r="G49" s="2385"/>
      <c r="H49" s="2385"/>
      <c r="I49" s="2385"/>
      <c r="J49" s="2385"/>
      <c r="K49" s="2385"/>
      <c r="L49" s="2385"/>
      <c r="M49" s="2385"/>
      <c r="N49" s="2385"/>
      <c r="O49" s="2385"/>
      <c r="P49" s="2385"/>
      <c r="Q49" s="2385"/>
      <c r="R49" s="2385"/>
      <c r="S49" s="2385"/>
      <c r="T49" s="2385"/>
      <c r="U49" s="2385"/>
      <c r="V49" s="2385"/>
      <c r="W49" s="2385"/>
      <c r="X49" s="2385"/>
      <c r="Y49" s="2385"/>
      <c r="Z49" s="2386"/>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row>
    <row r="50" spans="1:57" ht="8.4" customHeight="1">
      <c r="A50" s="2384"/>
      <c r="B50" s="2385"/>
      <c r="C50" s="2385"/>
      <c r="D50" s="2385"/>
      <c r="E50" s="2385"/>
      <c r="F50" s="2385"/>
      <c r="G50" s="2385"/>
      <c r="H50" s="2385"/>
      <c r="I50" s="2385"/>
      <c r="J50" s="2385"/>
      <c r="K50" s="2385"/>
      <c r="L50" s="2385"/>
      <c r="M50" s="2385"/>
      <c r="N50" s="2385"/>
      <c r="O50" s="2385"/>
      <c r="P50" s="2385"/>
      <c r="Q50" s="2385"/>
      <c r="R50" s="2385"/>
      <c r="S50" s="2385"/>
      <c r="T50" s="2385"/>
      <c r="U50" s="2385"/>
      <c r="V50" s="2385"/>
      <c r="W50" s="2385"/>
      <c r="X50" s="2385"/>
      <c r="Y50" s="2385"/>
      <c r="Z50" s="2386"/>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row>
    <row r="51" spans="1:57" ht="8.4" customHeight="1">
      <c r="A51" s="2384"/>
      <c r="B51" s="2385"/>
      <c r="C51" s="2385"/>
      <c r="D51" s="2385"/>
      <c r="E51" s="2385"/>
      <c r="F51" s="2385"/>
      <c r="G51" s="2385"/>
      <c r="H51" s="2385"/>
      <c r="I51" s="2385"/>
      <c r="J51" s="2385"/>
      <c r="K51" s="2385"/>
      <c r="L51" s="2385"/>
      <c r="M51" s="2385"/>
      <c r="N51" s="2385"/>
      <c r="O51" s="2385"/>
      <c r="P51" s="2385"/>
      <c r="Q51" s="2385"/>
      <c r="R51" s="2385"/>
      <c r="S51" s="2385"/>
      <c r="T51" s="2385"/>
      <c r="U51" s="2385"/>
      <c r="V51" s="2385"/>
      <c r="W51" s="2385"/>
      <c r="X51" s="2385"/>
      <c r="Y51" s="2385"/>
      <c r="Z51" s="2386"/>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row>
    <row r="52" spans="1:57" ht="8.4" customHeight="1">
      <c r="A52" s="2384"/>
      <c r="B52" s="2385"/>
      <c r="C52" s="2385"/>
      <c r="D52" s="2385"/>
      <c r="E52" s="2385"/>
      <c r="F52" s="2385"/>
      <c r="G52" s="2385"/>
      <c r="H52" s="2385"/>
      <c r="I52" s="2385"/>
      <c r="J52" s="2385"/>
      <c r="K52" s="2385"/>
      <c r="L52" s="2385"/>
      <c r="M52" s="2385"/>
      <c r="N52" s="2385"/>
      <c r="O52" s="2385"/>
      <c r="P52" s="2385"/>
      <c r="Q52" s="2385"/>
      <c r="R52" s="2385"/>
      <c r="S52" s="2385"/>
      <c r="T52" s="2385"/>
      <c r="U52" s="2385"/>
      <c r="V52" s="2385"/>
      <c r="W52" s="2385"/>
      <c r="X52" s="2385"/>
      <c r="Y52" s="2385"/>
      <c r="Z52" s="2386"/>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row>
    <row r="53" spans="1:57" ht="8.4" customHeight="1">
      <c r="A53" s="2384"/>
      <c r="B53" s="2385"/>
      <c r="C53" s="2385"/>
      <c r="D53" s="2385"/>
      <c r="E53" s="2385"/>
      <c r="F53" s="2385"/>
      <c r="G53" s="2385"/>
      <c r="H53" s="2385"/>
      <c r="I53" s="2385"/>
      <c r="J53" s="2385"/>
      <c r="K53" s="2385"/>
      <c r="L53" s="2385"/>
      <c r="M53" s="2385"/>
      <c r="N53" s="2385"/>
      <c r="O53" s="2385"/>
      <c r="P53" s="2385"/>
      <c r="Q53" s="2385"/>
      <c r="R53" s="2385"/>
      <c r="S53" s="2385"/>
      <c r="T53" s="2385"/>
      <c r="U53" s="2385"/>
      <c r="V53" s="2385"/>
      <c r="W53" s="2385"/>
      <c r="X53" s="2385"/>
      <c r="Y53" s="2385"/>
      <c r="Z53" s="2386"/>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row>
    <row r="54" spans="1:57" ht="8.4" customHeight="1">
      <c r="A54" s="2384"/>
      <c r="B54" s="2385"/>
      <c r="C54" s="2385"/>
      <c r="D54" s="2385"/>
      <c r="E54" s="2385"/>
      <c r="F54" s="2385"/>
      <c r="G54" s="2385"/>
      <c r="H54" s="2385"/>
      <c r="I54" s="2385"/>
      <c r="J54" s="2385"/>
      <c r="K54" s="2385"/>
      <c r="L54" s="2385"/>
      <c r="M54" s="2385"/>
      <c r="N54" s="2385"/>
      <c r="O54" s="2385"/>
      <c r="P54" s="2385"/>
      <c r="Q54" s="2385"/>
      <c r="R54" s="2385"/>
      <c r="S54" s="2385"/>
      <c r="T54" s="2385"/>
      <c r="U54" s="2385"/>
      <c r="V54" s="2385"/>
      <c r="W54" s="2385"/>
      <c r="X54" s="2385"/>
      <c r="Y54" s="2385"/>
      <c r="Z54" s="2386"/>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row>
    <row r="55" spans="1:57" ht="8.4" customHeight="1">
      <c r="A55" s="2384"/>
      <c r="B55" s="2385"/>
      <c r="C55" s="2385"/>
      <c r="D55" s="2385"/>
      <c r="E55" s="2385"/>
      <c r="F55" s="2385"/>
      <c r="G55" s="2385"/>
      <c r="H55" s="2385"/>
      <c r="I55" s="2385"/>
      <c r="J55" s="2385"/>
      <c r="K55" s="2385"/>
      <c r="L55" s="2385"/>
      <c r="M55" s="2385"/>
      <c r="N55" s="2385"/>
      <c r="O55" s="2385"/>
      <c r="P55" s="2385"/>
      <c r="Q55" s="2385"/>
      <c r="R55" s="2385"/>
      <c r="S55" s="2385"/>
      <c r="T55" s="2385"/>
      <c r="U55" s="2385"/>
      <c r="V55" s="2385"/>
      <c r="W55" s="2385"/>
      <c r="X55" s="2385"/>
      <c r="Y55" s="2385"/>
      <c r="Z55" s="2386"/>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row>
    <row r="56" spans="1:57" ht="8.4" customHeight="1">
      <c r="A56" s="2384"/>
      <c r="B56" s="2385"/>
      <c r="C56" s="2385"/>
      <c r="D56" s="2385"/>
      <c r="E56" s="2385"/>
      <c r="F56" s="2385"/>
      <c r="G56" s="2385"/>
      <c r="H56" s="2385"/>
      <c r="I56" s="2385"/>
      <c r="J56" s="2385"/>
      <c r="K56" s="2385"/>
      <c r="L56" s="2385"/>
      <c r="M56" s="2385"/>
      <c r="N56" s="2385"/>
      <c r="O56" s="2385"/>
      <c r="P56" s="2385"/>
      <c r="Q56" s="2385"/>
      <c r="R56" s="2385"/>
      <c r="S56" s="2385"/>
      <c r="T56" s="2385"/>
      <c r="U56" s="2385"/>
      <c r="V56" s="2385"/>
      <c r="W56" s="2385"/>
      <c r="X56" s="2385"/>
      <c r="Y56" s="2385"/>
      <c r="Z56" s="2386"/>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row>
    <row r="57" spans="1:57" ht="8.4" customHeight="1">
      <c r="A57" s="2384"/>
      <c r="B57" s="2385"/>
      <c r="C57" s="2385"/>
      <c r="D57" s="2385"/>
      <c r="E57" s="2385"/>
      <c r="F57" s="2385"/>
      <c r="G57" s="2385"/>
      <c r="H57" s="2385"/>
      <c r="I57" s="2385"/>
      <c r="J57" s="2385"/>
      <c r="K57" s="2385"/>
      <c r="L57" s="2385"/>
      <c r="M57" s="2385"/>
      <c r="N57" s="2385"/>
      <c r="O57" s="2385"/>
      <c r="P57" s="2385"/>
      <c r="Q57" s="2385"/>
      <c r="R57" s="2385"/>
      <c r="S57" s="2385"/>
      <c r="T57" s="2385"/>
      <c r="U57" s="2385"/>
      <c r="V57" s="2385"/>
      <c r="W57" s="2385"/>
      <c r="X57" s="2385"/>
      <c r="Y57" s="2385"/>
      <c r="Z57" s="2386"/>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row>
    <row r="58" spans="1:57" ht="8.4" customHeight="1" thickBot="1">
      <c r="A58" s="2387"/>
      <c r="B58" s="2388"/>
      <c r="C58" s="2388"/>
      <c r="D58" s="2388"/>
      <c r="E58" s="2388"/>
      <c r="F58" s="2388"/>
      <c r="G58" s="2388"/>
      <c r="H58" s="2388"/>
      <c r="I58" s="2388"/>
      <c r="J58" s="2388"/>
      <c r="K58" s="2388"/>
      <c r="L58" s="2388"/>
      <c r="M58" s="2388"/>
      <c r="N58" s="2388"/>
      <c r="O58" s="2388"/>
      <c r="P58" s="2388"/>
      <c r="Q58" s="2388"/>
      <c r="R58" s="2388"/>
      <c r="S58" s="2388"/>
      <c r="T58" s="2388"/>
      <c r="U58" s="2388"/>
      <c r="V58" s="2388"/>
      <c r="W58" s="2388"/>
      <c r="X58" s="2388"/>
      <c r="Y58" s="2388"/>
      <c r="Z58" s="2389"/>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row>
    <row r="59" spans="1:57" ht="8.4" customHeight="1">
      <c r="A59" s="2314" t="s">
        <v>86</v>
      </c>
      <c r="B59" s="2315"/>
      <c r="C59" s="2315"/>
      <c r="D59" s="2315"/>
      <c r="E59" s="2315"/>
      <c r="F59" s="2315"/>
      <c r="G59" s="2316"/>
      <c r="H59" s="2311"/>
      <c r="I59" s="2314" t="s">
        <v>87</v>
      </c>
      <c r="J59" s="2315"/>
      <c r="K59" s="2315"/>
      <c r="L59" s="2315"/>
      <c r="M59" s="2316"/>
      <c r="N59" s="2311"/>
      <c r="O59" s="2314" t="s">
        <v>88</v>
      </c>
      <c r="P59" s="2315"/>
      <c r="Q59" s="2315"/>
      <c r="R59" s="2315"/>
      <c r="S59" s="2316"/>
      <c r="T59" s="2311"/>
      <c r="U59" s="2314" t="s">
        <v>89</v>
      </c>
      <c r="V59" s="2315"/>
      <c r="W59" s="2315"/>
      <c r="X59" s="2315"/>
      <c r="Y59" s="2315"/>
      <c r="Z59" s="2316"/>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row>
    <row r="60" spans="1:57" ht="8.4" customHeight="1">
      <c r="A60" s="2317"/>
      <c r="B60" s="2318"/>
      <c r="C60" s="2318"/>
      <c r="D60" s="2318"/>
      <c r="E60" s="2318"/>
      <c r="F60" s="2318"/>
      <c r="G60" s="2319"/>
      <c r="H60" s="2312"/>
      <c r="I60" s="2317"/>
      <c r="J60" s="2318"/>
      <c r="K60" s="2318"/>
      <c r="L60" s="2318"/>
      <c r="M60" s="2319"/>
      <c r="N60" s="2312"/>
      <c r="O60" s="2317"/>
      <c r="P60" s="2318"/>
      <c r="Q60" s="2318"/>
      <c r="R60" s="2318"/>
      <c r="S60" s="2319"/>
      <c r="T60" s="2312"/>
      <c r="U60" s="2317"/>
      <c r="V60" s="2318"/>
      <c r="W60" s="2318"/>
      <c r="X60" s="2318"/>
      <c r="Y60" s="2318"/>
      <c r="Z60" s="2319"/>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row>
    <row r="61" spans="1:57" ht="8.4" customHeight="1" thickBot="1">
      <c r="A61" s="2320"/>
      <c r="B61" s="2321"/>
      <c r="C61" s="2321"/>
      <c r="D61" s="2321"/>
      <c r="E61" s="2321"/>
      <c r="F61" s="2321"/>
      <c r="G61" s="2322"/>
      <c r="H61" s="2313"/>
      <c r="I61" s="2320"/>
      <c r="J61" s="2321"/>
      <c r="K61" s="2321"/>
      <c r="L61" s="2321"/>
      <c r="M61" s="2322"/>
      <c r="N61" s="2313"/>
      <c r="O61" s="2320"/>
      <c r="P61" s="2321"/>
      <c r="Q61" s="2321"/>
      <c r="R61" s="2321"/>
      <c r="S61" s="2322"/>
      <c r="T61" s="2313"/>
      <c r="U61" s="2320"/>
      <c r="V61" s="2321"/>
      <c r="W61" s="2321"/>
      <c r="X61" s="2321"/>
      <c r="Y61" s="2321"/>
      <c r="Z61" s="232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row>
    <row r="62" spans="1:57" ht="8.4" customHeight="1">
      <c r="A62" s="2378" t="s">
        <v>90</v>
      </c>
      <c r="B62" s="2379"/>
      <c r="C62" s="2379"/>
      <c r="D62" s="2379"/>
      <c r="E62" s="2379"/>
      <c r="F62" s="2379"/>
      <c r="G62" s="2379"/>
      <c r="H62" s="2379"/>
      <c r="I62" s="2379"/>
      <c r="J62" s="2379"/>
      <c r="K62" s="2379"/>
      <c r="L62" s="2379"/>
      <c r="M62" s="2379"/>
      <c r="N62" s="2379"/>
      <c r="O62" s="2379"/>
      <c r="P62" s="2379"/>
      <c r="Q62" s="2379"/>
      <c r="R62" s="2379"/>
      <c r="S62" s="2379"/>
      <c r="T62" s="2379"/>
      <c r="U62" s="2379"/>
      <c r="V62" s="2379"/>
      <c r="W62" s="2379"/>
      <c r="X62" s="2379"/>
      <c r="Y62" s="2379"/>
      <c r="Z62" s="2380"/>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row>
    <row r="63" spans="1:57" ht="8.4" customHeight="1">
      <c r="A63" s="2381"/>
      <c r="B63" s="2382"/>
      <c r="C63" s="2382"/>
      <c r="D63" s="2382"/>
      <c r="E63" s="2382"/>
      <c r="F63" s="2382"/>
      <c r="G63" s="2382"/>
      <c r="H63" s="2382"/>
      <c r="I63" s="2382"/>
      <c r="J63" s="2382"/>
      <c r="K63" s="2382"/>
      <c r="L63" s="2382"/>
      <c r="M63" s="2382"/>
      <c r="N63" s="2382"/>
      <c r="O63" s="2382"/>
      <c r="P63" s="2382"/>
      <c r="Q63" s="2382"/>
      <c r="R63" s="2382"/>
      <c r="S63" s="2382"/>
      <c r="T63" s="2382"/>
      <c r="U63" s="2382"/>
      <c r="V63" s="2382"/>
      <c r="W63" s="2382"/>
      <c r="X63" s="2382"/>
      <c r="Y63" s="2382"/>
      <c r="Z63" s="2383"/>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row>
    <row r="64" spans="1:57" ht="8.4" customHeight="1">
      <c r="A64" s="2381"/>
      <c r="B64" s="2382"/>
      <c r="C64" s="2382"/>
      <c r="D64" s="2382"/>
      <c r="E64" s="2382"/>
      <c r="F64" s="2382"/>
      <c r="G64" s="2382"/>
      <c r="H64" s="2382"/>
      <c r="I64" s="2382"/>
      <c r="J64" s="2382"/>
      <c r="K64" s="2382"/>
      <c r="L64" s="2382"/>
      <c r="M64" s="2382"/>
      <c r="N64" s="2382"/>
      <c r="O64" s="2382"/>
      <c r="P64" s="2382"/>
      <c r="Q64" s="2382"/>
      <c r="R64" s="2382"/>
      <c r="S64" s="2382"/>
      <c r="T64" s="2382"/>
      <c r="U64" s="2382"/>
      <c r="V64" s="2382"/>
      <c r="W64" s="2382"/>
      <c r="X64" s="2382"/>
      <c r="Y64" s="2382"/>
      <c r="Z64" s="2383"/>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row>
    <row r="65" spans="1:57" ht="8.4" customHeight="1">
      <c r="A65" s="2384"/>
      <c r="B65" s="2385"/>
      <c r="C65" s="2385"/>
      <c r="D65" s="2385"/>
      <c r="E65" s="2385"/>
      <c r="F65" s="2385"/>
      <c r="G65" s="2385"/>
      <c r="H65" s="2385"/>
      <c r="I65" s="2385"/>
      <c r="J65" s="2385"/>
      <c r="K65" s="2385"/>
      <c r="L65" s="2385"/>
      <c r="M65" s="2385"/>
      <c r="N65" s="2385"/>
      <c r="O65" s="2385"/>
      <c r="P65" s="2385"/>
      <c r="Q65" s="2385"/>
      <c r="R65" s="2385"/>
      <c r="S65" s="2385"/>
      <c r="T65" s="2385"/>
      <c r="U65" s="2385"/>
      <c r="V65" s="2385"/>
      <c r="W65" s="2385"/>
      <c r="X65" s="2385"/>
      <c r="Y65" s="2385"/>
      <c r="Z65" s="2386"/>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row>
    <row r="66" spans="1:57" ht="8.4" customHeight="1">
      <c r="A66" s="2384"/>
      <c r="B66" s="2385"/>
      <c r="C66" s="2385"/>
      <c r="D66" s="2385"/>
      <c r="E66" s="2385"/>
      <c r="F66" s="2385"/>
      <c r="G66" s="2385"/>
      <c r="H66" s="2385"/>
      <c r="I66" s="2385"/>
      <c r="J66" s="2385"/>
      <c r="K66" s="2385"/>
      <c r="L66" s="2385"/>
      <c r="M66" s="2385"/>
      <c r="N66" s="2385"/>
      <c r="O66" s="2385"/>
      <c r="P66" s="2385"/>
      <c r="Q66" s="2385"/>
      <c r="R66" s="2385"/>
      <c r="S66" s="2385"/>
      <c r="T66" s="2385"/>
      <c r="U66" s="2385"/>
      <c r="V66" s="2385"/>
      <c r="W66" s="2385"/>
      <c r="X66" s="2385"/>
      <c r="Y66" s="2385"/>
      <c r="Z66" s="2386"/>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row>
    <row r="67" spans="1:57" ht="8.4" customHeight="1">
      <c r="A67" s="2384"/>
      <c r="B67" s="2385"/>
      <c r="C67" s="2385"/>
      <c r="D67" s="2385"/>
      <c r="E67" s="2385"/>
      <c r="F67" s="2385"/>
      <c r="G67" s="2385"/>
      <c r="H67" s="2385"/>
      <c r="I67" s="2385"/>
      <c r="J67" s="2385"/>
      <c r="K67" s="2385"/>
      <c r="L67" s="2385"/>
      <c r="M67" s="2385"/>
      <c r="N67" s="2385"/>
      <c r="O67" s="2385"/>
      <c r="P67" s="2385"/>
      <c r="Q67" s="2385"/>
      <c r="R67" s="2385"/>
      <c r="S67" s="2385"/>
      <c r="T67" s="2385"/>
      <c r="U67" s="2385"/>
      <c r="V67" s="2385"/>
      <c r="W67" s="2385"/>
      <c r="X67" s="2385"/>
      <c r="Y67" s="2385"/>
      <c r="Z67" s="2386"/>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row>
    <row r="68" spans="1:57" ht="8.4" customHeight="1">
      <c r="A68" s="2384"/>
      <c r="B68" s="2385"/>
      <c r="C68" s="2385"/>
      <c r="D68" s="2385"/>
      <c r="E68" s="2385"/>
      <c r="F68" s="2385"/>
      <c r="G68" s="2385"/>
      <c r="H68" s="2385"/>
      <c r="I68" s="2385"/>
      <c r="J68" s="2385"/>
      <c r="K68" s="2385"/>
      <c r="L68" s="2385"/>
      <c r="M68" s="2385"/>
      <c r="N68" s="2385"/>
      <c r="O68" s="2385"/>
      <c r="P68" s="2385"/>
      <c r="Q68" s="2385"/>
      <c r="R68" s="2385"/>
      <c r="S68" s="2385"/>
      <c r="T68" s="2385"/>
      <c r="U68" s="2385"/>
      <c r="V68" s="2385"/>
      <c r="W68" s="2385"/>
      <c r="X68" s="2385"/>
      <c r="Y68" s="2385"/>
      <c r="Z68" s="2386"/>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row>
    <row r="69" spans="1:57" ht="8.4" customHeight="1">
      <c r="A69" s="2384"/>
      <c r="B69" s="2385"/>
      <c r="C69" s="2385"/>
      <c r="D69" s="2385"/>
      <c r="E69" s="2385"/>
      <c r="F69" s="2385"/>
      <c r="G69" s="2385"/>
      <c r="H69" s="2385"/>
      <c r="I69" s="2385"/>
      <c r="J69" s="2385"/>
      <c r="K69" s="2385"/>
      <c r="L69" s="2385"/>
      <c r="M69" s="2385"/>
      <c r="N69" s="2385"/>
      <c r="O69" s="2385"/>
      <c r="P69" s="2385"/>
      <c r="Q69" s="2385"/>
      <c r="R69" s="2385"/>
      <c r="S69" s="2385"/>
      <c r="T69" s="2385"/>
      <c r="U69" s="2385"/>
      <c r="V69" s="2385"/>
      <c r="W69" s="2385"/>
      <c r="X69" s="2385"/>
      <c r="Y69" s="2385"/>
      <c r="Z69" s="2386"/>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row>
    <row r="70" spans="1:57" ht="8.4" customHeight="1">
      <c r="A70" s="2384"/>
      <c r="B70" s="2385"/>
      <c r="C70" s="2385"/>
      <c r="D70" s="2385"/>
      <c r="E70" s="2385"/>
      <c r="F70" s="2385"/>
      <c r="G70" s="2385"/>
      <c r="H70" s="2385"/>
      <c r="I70" s="2385"/>
      <c r="J70" s="2385"/>
      <c r="K70" s="2385"/>
      <c r="L70" s="2385"/>
      <c r="M70" s="2385"/>
      <c r="N70" s="2385"/>
      <c r="O70" s="2385"/>
      <c r="P70" s="2385"/>
      <c r="Q70" s="2385"/>
      <c r="R70" s="2385"/>
      <c r="S70" s="2385"/>
      <c r="T70" s="2385"/>
      <c r="U70" s="2385"/>
      <c r="V70" s="2385"/>
      <c r="W70" s="2385"/>
      <c r="X70" s="2385"/>
      <c r="Y70" s="2385"/>
      <c r="Z70" s="2386"/>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row>
    <row r="71" spans="1:57" ht="8.4" customHeight="1">
      <c r="A71" s="2384"/>
      <c r="B71" s="2385"/>
      <c r="C71" s="2385"/>
      <c r="D71" s="2385"/>
      <c r="E71" s="2385"/>
      <c r="F71" s="2385"/>
      <c r="G71" s="2385"/>
      <c r="H71" s="2385"/>
      <c r="I71" s="2385"/>
      <c r="J71" s="2385"/>
      <c r="K71" s="2385"/>
      <c r="L71" s="2385"/>
      <c r="M71" s="2385"/>
      <c r="N71" s="2385"/>
      <c r="O71" s="2385"/>
      <c r="P71" s="2385"/>
      <c r="Q71" s="2385"/>
      <c r="R71" s="2385"/>
      <c r="S71" s="2385"/>
      <c r="T71" s="2385"/>
      <c r="U71" s="2385"/>
      <c r="V71" s="2385"/>
      <c r="W71" s="2385"/>
      <c r="X71" s="2385"/>
      <c r="Y71" s="2385"/>
      <c r="Z71" s="2386"/>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row>
    <row r="72" spans="1:57" ht="8.4" customHeight="1">
      <c r="A72" s="2384"/>
      <c r="B72" s="2385"/>
      <c r="C72" s="2385"/>
      <c r="D72" s="2385"/>
      <c r="E72" s="2385"/>
      <c r="F72" s="2385"/>
      <c r="G72" s="2385"/>
      <c r="H72" s="2385"/>
      <c r="I72" s="2385"/>
      <c r="J72" s="2385"/>
      <c r="K72" s="2385"/>
      <c r="L72" s="2385"/>
      <c r="M72" s="2385"/>
      <c r="N72" s="2385"/>
      <c r="O72" s="2385"/>
      <c r="P72" s="2385"/>
      <c r="Q72" s="2385"/>
      <c r="R72" s="2385"/>
      <c r="S72" s="2385"/>
      <c r="T72" s="2385"/>
      <c r="U72" s="2385"/>
      <c r="V72" s="2385"/>
      <c r="W72" s="2385"/>
      <c r="X72" s="2385"/>
      <c r="Y72" s="2385"/>
      <c r="Z72" s="2386"/>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row>
    <row r="73" spans="1:57" ht="8.4" customHeight="1">
      <c r="A73" s="2384"/>
      <c r="B73" s="2385"/>
      <c r="C73" s="2385"/>
      <c r="D73" s="2385"/>
      <c r="E73" s="2385"/>
      <c r="F73" s="2385"/>
      <c r="G73" s="2385"/>
      <c r="H73" s="2385"/>
      <c r="I73" s="2385"/>
      <c r="J73" s="2385"/>
      <c r="K73" s="2385"/>
      <c r="L73" s="2385"/>
      <c r="M73" s="2385"/>
      <c r="N73" s="2385"/>
      <c r="O73" s="2385"/>
      <c r="P73" s="2385"/>
      <c r="Q73" s="2385"/>
      <c r="R73" s="2385"/>
      <c r="S73" s="2385"/>
      <c r="T73" s="2385"/>
      <c r="U73" s="2385"/>
      <c r="V73" s="2385"/>
      <c r="W73" s="2385"/>
      <c r="X73" s="2385"/>
      <c r="Y73" s="2385"/>
      <c r="Z73" s="2386"/>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row>
    <row r="74" spans="1:57" ht="8.4" customHeight="1">
      <c r="A74" s="2384"/>
      <c r="B74" s="2385"/>
      <c r="C74" s="2385"/>
      <c r="D74" s="2385"/>
      <c r="E74" s="2385"/>
      <c r="F74" s="2385"/>
      <c r="G74" s="2385"/>
      <c r="H74" s="2385"/>
      <c r="I74" s="2385"/>
      <c r="J74" s="2385"/>
      <c r="K74" s="2385"/>
      <c r="L74" s="2385"/>
      <c r="M74" s="2385"/>
      <c r="N74" s="2385"/>
      <c r="O74" s="2385"/>
      <c r="P74" s="2385"/>
      <c r="Q74" s="2385"/>
      <c r="R74" s="2385"/>
      <c r="S74" s="2385"/>
      <c r="T74" s="2385"/>
      <c r="U74" s="2385"/>
      <c r="V74" s="2385"/>
      <c r="W74" s="2385"/>
      <c r="X74" s="2385"/>
      <c r="Y74" s="2385"/>
      <c r="Z74" s="2386"/>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row>
    <row r="75" spans="1:57" ht="8.4" customHeight="1">
      <c r="A75" s="2384"/>
      <c r="B75" s="2385"/>
      <c r="C75" s="2385"/>
      <c r="D75" s="2385"/>
      <c r="E75" s="2385"/>
      <c r="F75" s="2385"/>
      <c r="G75" s="2385"/>
      <c r="H75" s="2385"/>
      <c r="I75" s="2385"/>
      <c r="J75" s="2385"/>
      <c r="K75" s="2385"/>
      <c r="L75" s="2385"/>
      <c r="M75" s="2385"/>
      <c r="N75" s="2385"/>
      <c r="O75" s="2385"/>
      <c r="P75" s="2385"/>
      <c r="Q75" s="2385"/>
      <c r="R75" s="2385"/>
      <c r="S75" s="2385"/>
      <c r="T75" s="2385"/>
      <c r="U75" s="2385"/>
      <c r="V75" s="2385"/>
      <c r="W75" s="2385"/>
      <c r="X75" s="2385"/>
      <c r="Y75" s="2385"/>
      <c r="Z75" s="2386"/>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row>
    <row r="76" spans="1:57" ht="8.4" customHeight="1">
      <c r="A76" s="2384"/>
      <c r="B76" s="2385"/>
      <c r="C76" s="2385"/>
      <c r="D76" s="2385"/>
      <c r="E76" s="2385"/>
      <c r="F76" s="2385"/>
      <c r="G76" s="2385"/>
      <c r="H76" s="2385"/>
      <c r="I76" s="2385"/>
      <c r="J76" s="2385"/>
      <c r="K76" s="2385"/>
      <c r="L76" s="2385"/>
      <c r="M76" s="2385"/>
      <c r="N76" s="2385"/>
      <c r="O76" s="2385"/>
      <c r="P76" s="2385"/>
      <c r="Q76" s="2385"/>
      <c r="R76" s="2385"/>
      <c r="S76" s="2385"/>
      <c r="T76" s="2385"/>
      <c r="U76" s="2385"/>
      <c r="V76" s="2385"/>
      <c r="W76" s="2385"/>
      <c r="X76" s="2385"/>
      <c r="Y76" s="2385"/>
      <c r="Z76" s="2386"/>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row>
    <row r="77" spans="1:57" ht="8.4" customHeight="1">
      <c r="A77" s="2384"/>
      <c r="B77" s="2385"/>
      <c r="C77" s="2385"/>
      <c r="D77" s="2385"/>
      <c r="E77" s="2385"/>
      <c r="F77" s="2385"/>
      <c r="G77" s="2385"/>
      <c r="H77" s="2385"/>
      <c r="I77" s="2385"/>
      <c r="J77" s="2385"/>
      <c r="K77" s="2385"/>
      <c r="L77" s="2385"/>
      <c r="M77" s="2385"/>
      <c r="N77" s="2385"/>
      <c r="O77" s="2385"/>
      <c r="P77" s="2385"/>
      <c r="Q77" s="2385"/>
      <c r="R77" s="2385"/>
      <c r="S77" s="2385"/>
      <c r="T77" s="2385"/>
      <c r="U77" s="2385"/>
      <c r="V77" s="2385"/>
      <c r="W77" s="2385"/>
      <c r="X77" s="2385"/>
      <c r="Y77" s="2385"/>
      <c r="Z77" s="2386"/>
    </row>
    <row r="78" spans="1:57" ht="8.4" customHeight="1">
      <c r="A78" s="2384"/>
      <c r="B78" s="2385"/>
      <c r="C78" s="2385"/>
      <c r="D78" s="2385"/>
      <c r="E78" s="2385"/>
      <c r="F78" s="2385"/>
      <c r="G78" s="2385"/>
      <c r="H78" s="2385"/>
      <c r="I78" s="2385"/>
      <c r="J78" s="2385"/>
      <c r="K78" s="2385"/>
      <c r="L78" s="2385"/>
      <c r="M78" s="2385"/>
      <c r="N78" s="2385"/>
      <c r="O78" s="2385"/>
      <c r="P78" s="2385"/>
      <c r="Q78" s="2385"/>
      <c r="R78" s="2385"/>
      <c r="S78" s="2385"/>
      <c r="T78" s="2385"/>
      <c r="U78" s="2385"/>
      <c r="V78" s="2385"/>
      <c r="W78" s="2385"/>
      <c r="X78" s="2385"/>
      <c r="Y78" s="2385"/>
      <c r="Z78" s="2386"/>
    </row>
    <row r="79" spans="1:57" ht="8.4" customHeight="1">
      <c r="A79" s="2384"/>
      <c r="B79" s="2385"/>
      <c r="C79" s="2385"/>
      <c r="D79" s="2385"/>
      <c r="E79" s="2385"/>
      <c r="F79" s="2385"/>
      <c r="G79" s="2385"/>
      <c r="H79" s="2385"/>
      <c r="I79" s="2385"/>
      <c r="J79" s="2385"/>
      <c r="K79" s="2385"/>
      <c r="L79" s="2385"/>
      <c r="M79" s="2385"/>
      <c r="N79" s="2385"/>
      <c r="O79" s="2385"/>
      <c r="P79" s="2385"/>
      <c r="Q79" s="2385"/>
      <c r="R79" s="2385"/>
      <c r="S79" s="2385"/>
      <c r="T79" s="2385"/>
      <c r="U79" s="2385"/>
      <c r="V79" s="2385"/>
      <c r="W79" s="2385"/>
      <c r="X79" s="2385"/>
      <c r="Y79" s="2385"/>
      <c r="Z79" s="2386"/>
    </row>
    <row r="80" spans="1:57" ht="8.4" customHeight="1">
      <c r="A80" s="2384"/>
      <c r="B80" s="2385"/>
      <c r="C80" s="2385"/>
      <c r="D80" s="2385"/>
      <c r="E80" s="2385"/>
      <c r="F80" s="2385"/>
      <c r="G80" s="2385"/>
      <c r="H80" s="2385"/>
      <c r="I80" s="2385"/>
      <c r="J80" s="2385"/>
      <c r="K80" s="2385"/>
      <c r="L80" s="2385"/>
      <c r="M80" s="2385"/>
      <c r="N80" s="2385"/>
      <c r="O80" s="2385"/>
      <c r="P80" s="2385"/>
      <c r="Q80" s="2385"/>
      <c r="R80" s="2385"/>
      <c r="S80" s="2385"/>
      <c r="T80" s="2385"/>
      <c r="U80" s="2385"/>
      <c r="V80" s="2385"/>
      <c r="W80" s="2385"/>
      <c r="X80" s="2385"/>
      <c r="Y80" s="2385"/>
      <c r="Z80" s="2386"/>
    </row>
    <row r="81" spans="1:29" ht="8.4" customHeight="1">
      <c r="A81" s="2384"/>
      <c r="B81" s="2385"/>
      <c r="C81" s="2385"/>
      <c r="D81" s="2385"/>
      <c r="E81" s="2385"/>
      <c r="F81" s="2385"/>
      <c r="G81" s="2385"/>
      <c r="H81" s="2385"/>
      <c r="I81" s="2385"/>
      <c r="J81" s="2385"/>
      <c r="K81" s="2385"/>
      <c r="L81" s="2385"/>
      <c r="M81" s="2385"/>
      <c r="N81" s="2385"/>
      <c r="O81" s="2385"/>
      <c r="P81" s="2385"/>
      <c r="Q81" s="2385"/>
      <c r="R81" s="2385"/>
      <c r="S81" s="2385"/>
      <c r="T81" s="2385"/>
      <c r="U81" s="2385"/>
      <c r="V81" s="2385"/>
      <c r="W81" s="2385"/>
      <c r="X81" s="2385"/>
      <c r="Y81" s="2385"/>
      <c r="Z81" s="2386"/>
      <c r="AC81" s="6"/>
    </row>
    <row r="82" spans="1:29" ht="8.4" customHeight="1">
      <c r="A82" s="2384"/>
      <c r="B82" s="2385"/>
      <c r="C82" s="2385"/>
      <c r="D82" s="2385"/>
      <c r="E82" s="2385"/>
      <c r="F82" s="2385"/>
      <c r="G82" s="2385"/>
      <c r="H82" s="2385"/>
      <c r="I82" s="2385"/>
      <c r="J82" s="2385"/>
      <c r="K82" s="2385"/>
      <c r="L82" s="2385"/>
      <c r="M82" s="2385"/>
      <c r="N82" s="2385"/>
      <c r="O82" s="2385"/>
      <c r="P82" s="2385"/>
      <c r="Q82" s="2385"/>
      <c r="R82" s="2385"/>
      <c r="S82" s="2385"/>
      <c r="T82" s="2385"/>
      <c r="U82" s="2385"/>
      <c r="V82" s="2385"/>
      <c r="W82" s="2385"/>
      <c r="X82" s="2385"/>
      <c r="Y82" s="2385"/>
      <c r="Z82" s="2386"/>
    </row>
    <row r="83" spans="1:29" ht="8.4" customHeight="1" thickBot="1">
      <c r="A83" s="2387"/>
      <c r="B83" s="2388"/>
      <c r="C83" s="2388"/>
      <c r="D83" s="2388"/>
      <c r="E83" s="2388"/>
      <c r="F83" s="2388"/>
      <c r="G83" s="2388"/>
      <c r="H83" s="2388"/>
      <c r="I83" s="2388"/>
      <c r="J83" s="2388"/>
      <c r="K83" s="2388"/>
      <c r="L83" s="2388"/>
      <c r="M83" s="2388"/>
      <c r="N83" s="2388"/>
      <c r="O83" s="2388"/>
      <c r="P83" s="2388"/>
      <c r="Q83" s="2388"/>
      <c r="R83" s="2388"/>
      <c r="S83" s="2388"/>
      <c r="T83" s="2388"/>
      <c r="U83" s="2388"/>
      <c r="V83" s="2388"/>
      <c r="W83" s="2388"/>
      <c r="X83" s="2388"/>
      <c r="Y83" s="2388"/>
      <c r="Z83" s="2389"/>
    </row>
    <row r="84" spans="1:29" ht="8.4" customHeight="1">
      <c r="A84" s="2249" t="s">
        <v>91</v>
      </c>
      <c r="B84" s="2250"/>
      <c r="C84" s="2250"/>
      <c r="D84" s="2250"/>
      <c r="E84" s="2250"/>
      <c r="F84" s="2250"/>
      <c r="G84" s="2250"/>
      <c r="H84" s="2250"/>
      <c r="I84" s="2250"/>
      <c r="J84" s="2250"/>
      <c r="K84" s="2250"/>
      <c r="L84" s="2250"/>
      <c r="M84" s="2250"/>
      <c r="N84" s="2323" t="s">
        <v>92</v>
      </c>
      <c r="O84" s="2324"/>
      <c r="P84" s="2324"/>
      <c r="Q84" s="2324"/>
      <c r="R84" s="2324"/>
      <c r="S84" s="2324"/>
      <c r="T84" s="2324"/>
      <c r="U84" s="2324"/>
      <c r="V84" s="2324"/>
      <c r="W84" s="2324"/>
      <c r="X84" s="2324"/>
      <c r="Y84" s="2324"/>
      <c r="Z84" s="2325"/>
    </row>
    <row r="85" spans="1:29" ht="8.4" customHeight="1">
      <c r="A85" s="2252"/>
      <c r="B85" s="2253"/>
      <c r="C85" s="2253"/>
      <c r="D85" s="2253"/>
      <c r="E85" s="2253"/>
      <c r="F85" s="2253"/>
      <c r="G85" s="2253"/>
      <c r="H85" s="2253"/>
      <c r="I85" s="2253"/>
      <c r="J85" s="2253"/>
      <c r="K85" s="2253"/>
      <c r="L85" s="2253"/>
      <c r="M85" s="2253"/>
      <c r="N85" s="2326"/>
      <c r="O85" s="2327"/>
      <c r="P85" s="2327"/>
      <c r="Q85" s="2327"/>
      <c r="R85" s="2327"/>
      <c r="S85" s="2327"/>
      <c r="T85" s="2327"/>
      <c r="U85" s="2327"/>
      <c r="V85" s="2327"/>
      <c r="W85" s="2327"/>
      <c r="X85" s="2327"/>
      <c r="Y85" s="2327"/>
      <c r="Z85" s="2328"/>
    </row>
    <row r="86" spans="1:29" ht="8.4" customHeight="1" thickBot="1">
      <c r="A86" s="2255"/>
      <c r="B86" s="2256"/>
      <c r="C86" s="2256"/>
      <c r="D86" s="2256"/>
      <c r="E86" s="2256"/>
      <c r="F86" s="2256"/>
      <c r="G86" s="2256"/>
      <c r="H86" s="2256"/>
      <c r="I86" s="2256"/>
      <c r="J86" s="2256"/>
      <c r="K86" s="2256"/>
      <c r="L86" s="2256"/>
      <c r="M86" s="2256"/>
      <c r="N86" s="2329"/>
      <c r="O86" s="2330"/>
      <c r="P86" s="2330"/>
      <c r="Q86" s="2330"/>
      <c r="R86" s="2330"/>
      <c r="S86" s="2330"/>
      <c r="T86" s="2330"/>
      <c r="U86" s="2330"/>
      <c r="V86" s="2330"/>
      <c r="W86" s="2330"/>
      <c r="X86" s="2330"/>
      <c r="Y86" s="2330"/>
      <c r="Z86" s="2331"/>
    </row>
    <row r="87" spans="1:29" ht="8.4" customHeight="1">
      <c r="A87" s="2332" t="s">
        <v>93</v>
      </c>
      <c r="B87" s="2333"/>
      <c r="C87" s="2333"/>
      <c r="D87" s="2333"/>
      <c r="E87" s="2333"/>
      <c r="F87" s="2333"/>
      <c r="G87" s="2333"/>
      <c r="H87" s="2333"/>
      <c r="I87" s="2333"/>
      <c r="J87" s="2333"/>
      <c r="K87" s="2333"/>
      <c r="L87" s="2333"/>
      <c r="M87" s="2334"/>
      <c r="N87" s="2332" t="s">
        <v>93</v>
      </c>
      <c r="O87" s="2333"/>
      <c r="P87" s="2333"/>
      <c r="Q87" s="2333"/>
      <c r="R87" s="2333"/>
      <c r="S87" s="2333"/>
      <c r="T87" s="2333"/>
      <c r="U87" s="2333"/>
      <c r="V87" s="2333"/>
      <c r="W87" s="2333"/>
      <c r="X87" s="2333"/>
      <c r="Y87" s="2333"/>
      <c r="Z87" s="2334"/>
    </row>
    <row r="88" spans="1:29" ht="8.4" customHeight="1">
      <c r="A88" s="2335"/>
      <c r="B88" s="2336"/>
      <c r="C88" s="2336"/>
      <c r="D88" s="2336"/>
      <c r="E88" s="2336"/>
      <c r="F88" s="2336"/>
      <c r="G88" s="2336"/>
      <c r="H88" s="2336"/>
      <c r="I88" s="2336"/>
      <c r="J88" s="2336"/>
      <c r="K88" s="2336"/>
      <c r="L88" s="2336"/>
      <c r="M88" s="2337"/>
      <c r="N88" s="2335"/>
      <c r="O88" s="2336"/>
      <c r="P88" s="2336"/>
      <c r="Q88" s="2336"/>
      <c r="R88" s="2336"/>
      <c r="S88" s="2336"/>
      <c r="T88" s="2336"/>
      <c r="U88" s="2336"/>
      <c r="V88" s="2336"/>
      <c r="W88" s="2336"/>
      <c r="X88" s="2336"/>
      <c r="Y88" s="2336"/>
      <c r="Z88" s="2337"/>
    </row>
    <row r="89" spans="1:29" ht="8.4" customHeight="1">
      <c r="A89" s="2335"/>
      <c r="B89" s="2336"/>
      <c r="C89" s="2336"/>
      <c r="D89" s="2336"/>
      <c r="E89" s="2336"/>
      <c r="F89" s="2336"/>
      <c r="G89" s="2336"/>
      <c r="H89" s="2336"/>
      <c r="I89" s="2336"/>
      <c r="J89" s="2336"/>
      <c r="K89" s="2336"/>
      <c r="L89" s="2336"/>
      <c r="M89" s="2337"/>
      <c r="N89" s="2335"/>
      <c r="O89" s="2336"/>
      <c r="P89" s="2336"/>
      <c r="Q89" s="2336"/>
      <c r="R89" s="2336"/>
      <c r="S89" s="2336"/>
      <c r="T89" s="2336"/>
      <c r="U89" s="2336"/>
      <c r="V89" s="2336"/>
      <c r="W89" s="2336"/>
      <c r="X89" s="2336"/>
      <c r="Y89" s="2336"/>
      <c r="Z89" s="2337"/>
    </row>
    <row r="90" spans="1:29" ht="8.4" customHeight="1">
      <c r="A90" s="2335"/>
      <c r="B90" s="2336"/>
      <c r="C90" s="2336"/>
      <c r="D90" s="2336"/>
      <c r="E90" s="2336"/>
      <c r="F90" s="2336"/>
      <c r="G90" s="2336"/>
      <c r="H90" s="2336"/>
      <c r="I90" s="2336"/>
      <c r="J90" s="2336"/>
      <c r="K90" s="2336"/>
      <c r="L90" s="2336"/>
      <c r="M90" s="2337"/>
      <c r="N90" s="2335"/>
      <c r="O90" s="2336"/>
      <c r="P90" s="2336"/>
      <c r="Q90" s="2336"/>
      <c r="R90" s="2336"/>
      <c r="S90" s="2336"/>
      <c r="T90" s="2336"/>
      <c r="U90" s="2336"/>
      <c r="V90" s="2336"/>
      <c r="W90" s="2336"/>
      <c r="X90" s="2336"/>
      <c r="Y90" s="2336"/>
      <c r="Z90" s="2337"/>
    </row>
    <row r="91" spans="1:29" ht="8.4" customHeight="1">
      <c r="A91" s="2335"/>
      <c r="B91" s="2336"/>
      <c r="C91" s="2336"/>
      <c r="D91" s="2336"/>
      <c r="E91" s="2336"/>
      <c r="F91" s="2336"/>
      <c r="G91" s="2336"/>
      <c r="H91" s="2336"/>
      <c r="I91" s="2336"/>
      <c r="J91" s="2336"/>
      <c r="K91" s="2336"/>
      <c r="L91" s="2336"/>
      <c r="M91" s="2337"/>
      <c r="N91" s="2335"/>
      <c r="O91" s="2336"/>
      <c r="P91" s="2336"/>
      <c r="Q91" s="2336"/>
      <c r="R91" s="2336"/>
      <c r="S91" s="2336"/>
      <c r="T91" s="2336"/>
      <c r="U91" s="2336"/>
      <c r="V91" s="2336"/>
      <c r="W91" s="2336"/>
      <c r="X91" s="2336"/>
      <c r="Y91" s="2336"/>
      <c r="Z91" s="2337"/>
    </row>
    <row r="92" spans="1:29" ht="8.4" customHeight="1">
      <c r="A92" s="2335"/>
      <c r="B92" s="2336"/>
      <c r="C92" s="2336"/>
      <c r="D92" s="2336"/>
      <c r="E92" s="2336"/>
      <c r="F92" s="2336"/>
      <c r="G92" s="2336"/>
      <c r="H92" s="2336"/>
      <c r="I92" s="2336"/>
      <c r="J92" s="2336"/>
      <c r="K92" s="2336"/>
      <c r="L92" s="2336"/>
      <c r="M92" s="2337"/>
      <c r="N92" s="2335"/>
      <c r="O92" s="2336"/>
      <c r="P92" s="2336"/>
      <c r="Q92" s="2336"/>
      <c r="R92" s="2336"/>
      <c r="S92" s="2336"/>
      <c r="T92" s="2336"/>
      <c r="U92" s="2336"/>
      <c r="V92" s="2336"/>
      <c r="W92" s="2336"/>
      <c r="X92" s="2336"/>
      <c r="Y92" s="2336"/>
      <c r="Z92" s="2337"/>
    </row>
    <row r="93" spans="1:29" ht="8.4" customHeight="1">
      <c r="A93" s="2335"/>
      <c r="B93" s="2336"/>
      <c r="C93" s="2336"/>
      <c r="D93" s="2336"/>
      <c r="E93" s="2336"/>
      <c r="F93" s="2336"/>
      <c r="G93" s="2336"/>
      <c r="H93" s="2336"/>
      <c r="I93" s="2336"/>
      <c r="J93" s="2336"/>
      <c r="K93" s="2336"/>
      <c r="L93" s="2336"/>
      <c r="M93" s="2337"/>
      <c r="N93" s="2335"/>
      <c r="O93" s="2336"/>
      <c r="P93" s="2336"/>
      <c r="Q93" s="2336"/>
      <c r="R93" s="2336"/>
      <c r="S93" s="2336"/>
      <c r="T93" s="2336"/>
      <c r="U93" s="2336"/>
      <c r="V93" s="2336"/>
      <c r="W93" s="2336"/>
      <c r="X93" s="2336"/>
      <c r="Y93" s="2336"/>
      <c r="Z93" s="2337"/>
    </row>
    <row r="94" spans="1:29" ht="8.4" customHeight="1">
      <c r="A94" s="2335"/>
      <c r="B94" s="2336"/>
      <c r="C94" s="2336"/>
      <c r="D94" s="2336"/>
      <c r="E94" s="2336"/>
      <c r="F94" s="2336"/>
      <c r="G94" s="2336"/>
      <c r="H94" s="2336"/>
      <c r="I94" s="2336"/>
      <c r="J94" s="2336"/>
      <c r="K94" s="2336"/>
      <c r="L94" s="2336"/>
      <c r="M94" s="2337"/>
      <c r="N94" s="2335"/>
      <c r="O94" s="2336"/>
      <c r="P94" s="2336"/>
      <c r="Q94" s="2336"/>
      <c r="R94" s="2336"/>
      <c r="S94" s="2336"/>
      <c r="T94" s="2336"/>
      <c r="U94" s="2336"/>
      <c r="V94" s="2336"/>
      <c r="W94" s="2336"/>
      <c r="X94" s="2336"/>
      <c r="Y94" s="2336"/>
      <c r="Z94" s="2337"/>
    </row>
    <row r="95" spans="1:29" ht="8.4" customHeight="1">
      <c r="A95" s="2335"/>
      <c r="B95" s="2336"/>
      <c r="C95" s="2336"/>
      <c r="D95" s="2336"/>
      <c r="E95" s="2336"/>
      <c r="F95" s="2336"/>
      <c r="G95" s="2336"/>
      <c r="H95" s="2336"/>
      <c r="I95" s="2336"/>
      <c r="J95" s="2336"/>
      <c r="K95" s="2336"/>
      <c r="L95" s="2336"/>
      <c r="M95" s="2337"/>
      <c r="N95" s="2335"/>
      <c r="O95" s="2336"/>
      <c r="P95" s="2336"/>
      <c r="Q95" s="2336"/>
      <c r="R95" s="2336"/>
      <c r="S95" s="2336"/>
      <c r="T95" s="2336"/>
      <c r="U95" s="2336"/>
      <c r="V95" s="2336"/>
      <c r="W95" s="2336"/>
      <c r="X95" s="2336"/>
      <c r="Y95" s="2336"/>
      <c r="Z95" s="2337"/>
    </row>
    <row r="96" spans="1:29" ht="8.4" customHeight="1">
      <c r="A96" s="2335"/>
      <c r="B96" s="2336"/>
      <c r="C96" s="2336"/>
      <c r="D96" s="2336"/>
      <c r="E96" s="2336"/>
      <c r="F96" s="2336"/>
      <c r="G96" s="2336"/>
      <c r="H96" s="2336"/>
      <c r="I96" s="2336"/>
      <c r="J96" s="2336"/>
      <c r="K96" s="2336"/>
      <c r="L96" s="2336"/>
      <c r="M96" s="2337"/>
      <c r="N96" s="2335"/>
      <c r="O96" s="2336"/>
      <c r="P96" s="2336"/>
      <c r="Q96" s="2336"/>
      <c r="R96" s="2336"/>
      <c r="S96" s="2336"/>
      <c r="T96" s="2336"/>
      <c r="U96" s="2336"/>
      <c r="V96" s="2336"/>
      <c r="W96" s="2336"/>
      <c r="X96" s="2336"/>
      <c r="Y96" s="2336"/>
      <c r="Z96" s="2337"/>
    </row>
    <row r="97" spans="1:26" ht="8.4" customHeight="1">
      <c r="A97" s="2335"/>
      <c r="B97" s="2336"/>
      <c r="C97" s="2336"/>
      <c r="D97" s="2336"/>
      <c r="E97" s="2336"/>
      <c r="F97" s="2336"/>
      <c r="G97" s="2336"/>
      <c r="H97" s="2336"/>
      <c r="I97" s="2336"/>
      <c r="J97" s="2336"/>
      <c r="K97" s="2336"/>
      <c r="L97" s="2336"/>
      <c r="M97" s="2337"/>
      <c r="N97" s="2335"/>
      <c r="O97" s="2336"/>
      <c r="P97" s="2336"/>
      <c r="Q97" s="2336"/>
      <c r="R97" s="2336"/>
      <c r="S97" s="2336"/>
      <c r="T97" s="2336"/>
      <c r="U97" s="2336"/>
      <c r="V97" s="2336"/>
      <c r="W97" s="2336"/>
      <c r="X97" s="2336"/>
      <c r="Y97" s="2336"/>
      <c r="Z97" s="2337"/>
    </row>
    <row r="98" spans="1:26" ht="8.4" customHeight="1">
      <c r="A98" s="2335"/>
      <c r="B98" s="2336"/>
      <c r="C98" s="2336"/>
      <c r="D98" s="2336"/>
      <c r="E98" s="2336"/>
      <c r="F98" s="2336"/>
      <c r="G98" s="2336"/>
      <c r="H98" s="2336"/>
      <c r="I98" s="2336"/>
      <c r="J98" s="2336"/>
      <c r="K98" s="2336"/>
      <c r="L98" s="2336"/>
      <c r="M98" s="2337"/>
      <c r="N98" s="2335"/>
      <c r="O98" s="2336"/>
      <c r="P98" s="2336"/>
      <c r="Q98" s="2336"/>
      <c r="R98" s="2336"/>
      <c r="S98" s="2336"/>
      <c r="T98" s="2336"/>
      <c r="U98" s="2336"/>
      <c r="V98" s="2336"/>
      <c r="W98" s="2336"/>
      <c r="X98" s="2336"/>
      <c r="Y98" s="2336"/>
      <c r="Z98" s="2337"/>
    </row>
    <row r="99" spans="1:26" ht="8.4" customHeight="1">
      <c r="A99" s="2335"/>
      <c r="B99" s="2336"/>
      <c r="C99" s="2336"/>
      <c r="D99" s="2336"/>
      <c r="E99" s="2336"/>
      <c r="F99" s="2336"/>
      <c r="G99" s="2336"/>
      <c r="H99" s="2336"/>
      <c r="I99" s="2336"/>
      <c r="J99" s="2336"/>
      <c r="K99" s="2336"/>
      <c r="L99" s="2336"/>
      <c r="M99" s="2337"/>
      <c r="N99" s="2335"/>
      <c r="O99" s="2336"/>
      <c r="P99" s="2336"/>
      <c r="Q99" s="2336"/>
      <c r="R99" s="2336"/>
      <c r="S99" s="2336"/>
      <c r="T99" s="2336"/>
      <c r="U99" s="2336"/>
      <c r="V99" s="2336"/>
      <c r="W99" s="2336"/>
      <c r="X99" s="2336"/>
      <c r="Y99" s="2336"/>
      <c r="Z99" s="2337"/>
    </row>
    <row r="100" spans="1:26" ht="8.4" customHeight="1">
      <c r="A100" s="2335"/>
      <c r="B100" s="2336"/>
      <c r="C100" s="2336"/>
      <c r="D100" s="2336"/>
      <c r="E100" s="2336"/>
      <c r="F100" s="2336"/>
      <c r="G100" s="2336"/>
      <c r="H100" s="2336"/>
      <c r="I100" s="2336"/>
      <c r="J100" s="2336"/>
      <c r="K100" s="2336"/>
      <c r="L100" s="2336"/>
      <c r="M100" s="2337"/>
      <c r="N100" s="2335"/>
      <c r="O100" s="2336"/>
      <c r="P100" s="2336"/>
      <c r="Q100" s="2336"/>
      <c r="R100" s="2336"/>
      <c r="S100" s="2336"/>
      <c r="T100" s="2336"/>
      <c r="U100" s="2336"/>
      <c r="V100" s="2336"/>
      <c r="W100" s="2336"/>
      <c r="X100" s="2336"/>
      <c r="Y100" s="2336"/>
      <c r="Z100" s="2337"/>
    </row>
    <row r="101" spans="1:26" ht="8.4" customHeight="1">
      <c r="A101" s="2335"/>
      <c r="B101" s="2336"/>
      <c r="C101" s="2336"/>
      <c r="D101" s="2336"/>
      <c r="E101" s="2336"/>
      <c r="F101" s="2336"/>
      <c r="G101" s="2336"/>
      <c r="H101" s="2336"/>
      <c r="I101" s="2336"/>
      <c r="J101" s="2336"/>
      <c r="K101" s="2336"/>
      <c r="L101" s="2336"/>
      <c r="M101" s="2337"/>
      <c r="N101" s="2335"/>
      <c r="O101" s="2336"/>
      <c r="P101" s="2336"/>
      <c r="Q101" s="2336"/>
      <c r="R101" s="2336"/>
      <c r="S101" s="2336"/>
      <c r="T101" s="2336"/>
      <c r="U101" s="2336"/>
      <c r="V101" s="2336"/>
      <c r="W101" s="2336"/>
      <c r="X101" s="2336"/>
      <c r="Y101" s="2336"/>
      <c r="Z101" s="2337"/>
    </row>
    <row r="102" spans="1:26" ht="8.4" customHeight="1">
      <c r="A102" s="2335"/>
      <c r="B102" s="2336"/>
      <c r="C102" s="2336"/>
      <c r="D102" s="2336"/>
      <c r="E102" s="2336"/>
      <c r="F102" s="2336"/>
      <c r="G102" s="2336"/>
      <c r="H102" s="2336"/>
      <c r="I102" s="2336"/>
      <c r="J102" s="2336"/>
      <c r="K102" s="2336"/>
      <c r="L102" s="2336"/>
      <c r="M102" s="2337"/>
      <c r="N102" s="2335"/>
      <c r="O102" s="2336"/>
      <c r="P102" s="2336"/>
      <c r="Q102" s="2336"/>
      <c r="R102" s="2336"/>
      <c r="S102" s="2336"/>
      <c r="T102" s="2336"/>
      <c r="U102" s="2336"/>
      <c r="V102" s="2336"/>
      <c r="W102" s="2336"/>
      <c r="X102" s="2336"/>
      <c r="Y102" s="2336"/>
      <c r="Z102" s="2337"/>
    </row>
    <row r="103" spans="1:26" ht="8.4" customHeight="1">
      <c r="A103" s="2335"/>
      <c r="B103" s="2336"/>
      <c r="C103" s="2336"/>
      <c r="D103" s="2336"/>
      <c r="E103" s="2336"/>
      <c r="F103" s="2336"/>
      <c r="G103" s="2336"/>
      <c r="H103" s="2336"/>
      <c r="I103" s="2336"/>
      <c r="J103" s="2336"/>
      <c r="K103" s="2336"/>
      <c r="L103" s="2336"/>
      <c r="M103" s="2337"/>
      <c r="N103" s="2335"/>
      <c r="O103" s="2336"/>
      <c r="P103" s="2336"/>
      <c r="Q103" s="2336"/>
      <c r="R103" s="2336"/>
      <c r="S103" s="2336"/>
      <c r="T103" s="2336"/>
      <c r="U103" s="2336"/>
      <c r="V103" s="2336"/>
      <c r="W103" s="2336"/>
      <c r="X103" s="2336"/>
      <c r="Y103" s="2336"/>
      <c r="Z103" s="2337"/>
    </row>
    <row r="104" spans="1:26" ht="8.4" customHeight="1">
      <c r="A104" s="2335"/>
      <c r="B104" s="2336"/>
      <c r="C104" s="2336"/>
      <c r="D104" s="2336"/>
      <c r="E104" s="2336"/>
      <c r="F104" s="2336"/>
      <c r="G104" s="2336"/>
      <c r="H104" s="2336"/>
      <c r="I104" s="2336"/>
      <c r="J104" s="2336"/>
      <c r="K104" s="2336"/>
      <c r="L104" s="2336"/>
      <c r="M104" s="2337"/>
      <c r="N104" s="2335"/>
      <c r="O104" s="2336"/>
      <c r="P104" s="2336"/>
      <c r="Q104" s="2336"/>
      <c r="R104" s="2336"/>
      <c r="S104" s="2336"/>
      <c r="T104" s="2336"/>
      <c r="U104" s="2336"/>
      <c r="V104" s="2336"/>
      <c r="W104" s="2336"/>
      <c r="X104" s="2336"/>
      <c r="Y104" s="2336"/>
      <c r="Z104" s="2337"/>
    </row>
    <row r="105" spans="1:26" ht="8.25" customHeight="1">
      <c r="A105" s="2335"/>
      <c r="B105" s="2336"/>
      <c r="C105" s="2336"/>
      <c r="D105" s="2336"/>
      <c r="E105" s="2336"/>
      <c r="F105" s="2336"/>
      <c r="G105" s="2336"/>
      <c r="H105" s="2336"/>
      <c r="I105" s="2336"/>
      <c r="J105" s="2336"/>
      <c r="K105" s="2336"/>
      <c r="L105" s="2336"/>
      <c r="M105" s="2337"/>
      <c r="N105" s="2335"/>
      <c r="O105" s="2336"/>
      <c r="P105" s="2336"/>
      <c r="Q105" s="2336"/>
      <c r="R105" s="2336"/>
      <c r="S105" s="2336"/>
      <c r="T105" s="2336"/>
      <c r="U105" s="2336"/>
      <c r="V105" s="2336"/>
      <c r="W105" s="2336"/>
      <c r="X105" s="2336"/>
      <c r="Y105" s="2336"/>
      <c r="Z105" s="2337"/>
    </row>
    <row r="106" spans="1:26" ht="8.4" customHeight="1" thickBot="1">
      <c r="A106" s="2338"/>
      <c r="B106" s="2339"/>
      <c r="C106" s="2339"/>
      <c r="D106" s="2339"/>
      <c r="E106" s="2339"/>
      <c r="F106" s="2339"/>
      <c r="G106" s="2339"/>
      <c r="H106" s="2339"/>
      <c r="I106" s="2339"/>
      <c r="J106" s="2339"/>
      <c r="K106" s="2339"/>
      <c r="L106" s="2339"/>
      <c r="M106" s="2340"/>
      <c r="N106" s="2338"/>
      <c r="O106" s="2339"/>
      <c r="P106" s="2339"/>
      <c r="Q106" s="2339"/>
      <c r="R106" s="2339"/>
      <c r="S106" s="2339"/>
      <c r="T106" s="2339"/>
      <c r="U106" s="2339"/>
      <c r="V106" s="2339"/>
      <c r="W106" s="2339"/>
      <c r="X106" s="2339"/>
      <c r="Y106" s="2339"/>
      <c r="Z106" s="2340"/>
    </row>
    <row r="107" spans="1:26" ht="11.25" customHeight="1">
      <c r="A107" s="2249" t="s">
        <v>94</v>
      </c>
      <c r="B107" s="2250"/>
      <c r="C107" s="2250"/>
      <c r="D107" s="2250"/>
      <c r="E107" s="2250"/>
      <c r="F107" s="2250"/>
      <c r="G107" s="2250"/>
      <c r="H107" s="2250"/>
      <c r="I107" s="2250"/>
      <c r="J107" s="2250"/>
      <c r="K107" s="2250"/>
      <c r="L107" s="2250"/>
      <c r="M107" s="2250"/>
      <c r="N107" s="2250"/>
      <c r="O107" s="2250"/>
      <c r="P107" s="2250"/>
      <c r="Q107" s="2250"/>
      <c r="R107" s="2250"/>
      <c r="S107" s="2250"/>
      <c r="T107" s="2250"/>
      <c r="U107" s="2250"/>
      <c r="V107" s="2250"/>
      <c r="W107" s="2250"/>
      <c r="X107" s="2250"/>
      <c r="Y107" s="2250"/>
      <c r="Z107" s="2251"/>
    </row>
    <row r="108" spans="1:26" ht="11.25" customHeight="1">
      <c r="A108" s="2252"/>
      <c r="B108" s="2253"/>
      <c r="C108" s="2253"/>
      <c r="D108" s="2253"/>
      <c r="E108" s="2253"/>
      <c r="F108" s="2253"/>
      <c r="G108" s="2253"/>
      <c r="H108" s="2253"/>
      <c r="I108" s="2253"/>
      <c r="J108" s="2253"/>
      <c r="K108" s="2253"/>
      <c r="L108" s="2253"/>
      <c r="M108" s="2253"/>
      <c r="N108" s="2253"/>
      <c r="O108" s="2253"/>
      <c r="P108" s="2253"/>
      <c r="Q108" s="2253"/>
      <c r="R108" s="2253"/>
      <c r="S108" s="2253"/>
      <c r="T108" s="2253"/>
      <c r="U108" s="2253"/>
      <c r="V108" s="2253"/>
      <c r="W108" s="2253"/>
      <c r="X108" s="2253"/>
      <c r="Y108" s="2253"/>
      <c r="Z108" s="2254"/>
    </row>
    <row r="109" spans="1:26" ht="11.25" customHeight="1" thickBot="1">
      <c r="A109" s="2255"/>
      <c r="B109" s="2256"/>
      <c r="C109" s="2256"/>
      <c r="D109" s="2256"/>
      <c r="E109" s="2256"/>
      <c r="F109" s="2256"/>
      <c r="G109" s="2256"/>
      <c r="H109" s="2256"/>
      <c r="I109" s="2256"/>
      <c r="J109" s="2256"/>
      <c r="K109" s="2256"/>
      <c r="L109" s="2256"/>
      <c r="M109" s="2256"/>
      <c r="N109" s="2256"/>
      <c r="O109" s="2256"/>
      <c r="P109" s="2256"/>
      <c r="Q109" s="2256"/>
      <c r="R109" s="2256"/>
      <c r="S109" s="2256"/>
      <c r="T109" s="2256"/>
      <c r="U109" s="2256"/>
      <c r="V109" s="2256"/>
      <c r="W109" s="2256"/>
      <c r="X109" s="2256"/>
      <c r="Y109" s="2256"/>
      <c r="Z109" s="2257"/>
    </row>
    <row r="110" spans="1:26" ht="11.25" customHeight="1">
      <c r="A110" s="2249" t="s">
        <v>95</v>
      </c>
      <c r="B110" s="2250"/>
      <c r="C110" s="2250"/>
      <c r="D110" s="2250"/>
      <c r="E110" s="2250"/>
      <c r="F110" s="2251"/>
      <c r="G110" s="2249" t="s">
        <v>96</v>
      </c>
      <c r="H110" s="2250"/>
      <c r="I110" s="2250"/>
      <c r="J110" s="2250"/>
      <c r="K110" s="2250"/>
      <c r="L110" s="2250"/>
      <c r="M110" s="2250"/>
      <c r="N110" s="2250"/>
      <c r="O110" s="2250"/>
      <c r="P110" s="2250"/>
      <c r="Q110" s="2250"/>
      <c r="R110" s="2250"/>
      <c r="S110" s="2251"/>
      <c r="T110" s="2250" t="s">
        <v>97</v>
      </c>
      <c r="U110" s="2250"/>
      <c r="V110" s="2250"/>
      <c r="W110" s="2251"/>
      <c r="X110" s="2249" t="s">
        <v>98</v>
      </c>
      <c r="Y110" s="2250"/>
      <c r="Z110" s="2251"/>
    </row>
    <row r="111" spans="1:26" ht="11.25" customHeight="1">
      <c r="A111" s="2252"/>
      <c r="B111" s="2253"/>
      <c r="C111" s="2253"/>
      <c r="D111" s="2253"/>
      <c r="E111" s="2253"/>
      <c r="F111" s="2254"/>
      <c r="G111" s="2252"/>
      <c r="H111" s="2253"/>
      <c r="I111" s="2253"/>
      <c r="J111" s="2253"/>
      <c r="K111" s="2253"/>
      <c r="L111" s="2253"/>
      <c r="M111" s="2253"/>
      <c r="N111" s="2253"/>
      <c r="O111" s="2253"/>
      <c r="P111" s="2253"/>
      <c r="Q111" s="2253"/>
      <c r="R111" s="2253"/>
      <c r="S111" s="2254"/>
      <c r="T111" s="2253"/>
      <c r="U111" s="2253"/>
      <c r="V111" s="2253"/>
      <c r="W111" s="2254"/>
      <c r="X111" s="2252"/>
      <c r="Y111" s="2253"/>
      <c r="Z111" s="2254"/>
    </row>
    <row r="112" spans="1:26" ht="11.25" customHeight="1" thickBot="1">
      <c r="A112" s="2255"/>
      <c r="B112" s="2256"/>
      <c r="C112" s="2256"/>
      <c r="D112" s="2256"/>
      <c r="E112" s="2256"/>
      <c r="F112" s="2257"/>
      <c r="G112" s="2255"/>
      <c r="H112" s="2256"/>
      <c r="I112" s="2256"/>
      <c r="J112" s="2256"/>
      <c r="K112" s="2256"/>
      <c r="L112" s="2256"/>
      <c r="M112" s="2256"/>
      <c r="N112" s="2256"/>
      <c r="O112" s="2256"/>
      <c r="P112" s="2256"/>
      <c r="Q112" s="2256"/>
      <c r="R112" s="2256"/>
      <c r="S112" s="2257"/>
      <c r="T112" s="2256"/>
      <c r="U112" s="2256"/>
      <c r="V112" s="2256"/>
      <c r="W112" s="2257"/>
      <c r="X112" s="2255"/>
      <c r="Y112" s="2256"/>
      <c r="Z112" s="2257"/>
    </row>
    <row r="113" spans="1:26" ht="11.25" customHeight="1">
      <c r="A113" s="2308"/>
      <c r="B113" s="2309"/>
      <c r="C113" s="2309"/>
      <c r="D113" s="2309"/>
      <c r="E113" s="2309"/>
      <c r="F113" s="2309"/>
      <c r="G113" s="2286"/>
      <c r="H113" s="2287"/>
      <c r="I113" s="2287"/>
      <c r="J113" s="2287"/>
      <c r="K113" s="2287"/>
      <c r="L113" s="2287"/>
      <c r="M113" s="2287"/>
      <c r="N113" s="2287"/>
      <c r="O113" s="2287"/>
      <c r="P113" s="2287"/>
      <c r="Q113" s="2287"/>
      <c r="R113" s="2287"/>
      <c r="S113" s="2288"/>
      <c r="T113" s="2287"/>
      <c r="U113" s="2287"/>
      <c r="V113" s="2287"/>
      <c r="W113" s="2288"/>
      <c r="X113" s="2309"/>
      <c r="Y113" s="2309"/>
      <c r="Z113" s="2310"/>
    </row>
    <row r="114" spans="1:26" ht="11.25" customHeight="1">
      <c r="A114" s="2258"/>
      <c r="B114" s="2259"/>
      <c r="C114" s="2259"/>
      <c r="D114" s="2259"/>
      <c r="E114" s="2259"/>
      <c r="F114" s="2259"/>
      <c r="G114" s="2275"/>
      <c r="H114" s="2268"/>
      <c r="I114" s="2268"/>
      <c r="J114" s="2268"/>
      <c r="K114" s="2268"/>
      <c r="L114" s="2268"/>
      <c r="M114" s="2268"/>
      <c r="N114" s="2268"/>
      <c r="O114" s="2268"/>
      <c r="P114" s="2268"/>
      <c r="Q114" s="2268"/>
      <c r="R114" s="2268"/>
      <c r="S114" s="2269"/>
      <c r="T114" s="2268"/>
      <c r="U114" s="2268"/>
      <c r="V114" s="2268"/>
      <c r="W114" s="2269"/>
      <c r="X114" s="2259"/>
      <c r="Y114" s="2259"/>
      <c r="Z114" s="2262"/>
    </row>
    <row r="115" spans="1:26" ht="11.25" customHeight="1">
      <c r="A115" s="2258"/>
      <c r="B115" s="2259"/>
      <c r="C115" s="2259"/>
      <c r="D115" s="2259"/>
      <c r="E115" s="2259"/>
      <c r="F115" s="2259"/>
      <c r="G115" s="2277"/>
      <c r="H115" s="2271"/>
      <c r="I115" s="2271"/>
      <c r="J115" s="2271"/>
      <c r="K115" s="2271"/>
      <c r="L115" s="2271"/>
      <c r="M115" s="2271"/>
      <c r="N115" s="2271"/>
      <c r="O115" s="2271"/>
      <c r="P115" s="2271"/>
      <c r="Q115" s="2271"/>
      <c r="R115" s="2271"/>
      <c r="S115" s="2272"/>
      <c r="T115" s="2271"/>
      <c r="U115" s="2271"/>
      <c r="V115" s="2271"/>
      <c r="W115" s="2272"/>
      <c r="X115" s="2259"/>
      <c r="Y115" s="2259"/>
      <c r="Z115" s="2262"/>
    </row>
    <row r="116" spans="1:26" ht="11.25" customHeight="1">
      <c r="A116" s="2258"/>
      <c r="B116" s="2259"/>
      <c r="C116" s="2259"/>
      <c r="D116" s="2259"/>
      <c r="E116" s="2259"/>
      <c r="F116" s="2259"/>
      <c r="G116" s="2273"/>
      <c r="H116" s="2265"/>
      <c r="I116" s="2265"/>
      <c r="J116" s="2265"/>
      <c r="K116" s="2265"/>
      <c r="L116" s="2265"/>
      <c r="M116" s="2265"/>
      <c r="N116" s="2265"/>
      <c r="O116" s="2265"/>
      <c r="P116" s="2265"/>
      <c r="Q116" s="2265"/>
      <c r="R116" s="2265"/>
      <c r="S116" s="2266"/>
      <c r="T116" s="2265"/>
      <c r="U116" s="2265"/>
      <c r="V116" s="2265"/>
      <c r="W116" s="2266"/>
      <c r="X116" s="2259"/>
      <c r="Y116" s="2259"/>
      <c r="Z116" s="2262"/>
    </row>
    <row r="117" spans="1:26" ht="11.25" customHeight="1">
      <c r="A117" s="2258"/>
      <c r="B117" s="2259"/>
      <c r="C117" s="2259"/>
      <c r="D117" s="2259"/>
      <c r="E117" s="2259"/>
      <c r="F117" s="2259"/>
      <c r="G117" s="2275"/>
      <c r="H117" s="2268"/>
      <c r="I117" s="2268"/>
      <c r="J117" s="2268"/>
      <c r="K117" s="2268"/>
      <c r="L117" s="2268"/>
      <c r="M117" s="2268"/>
      <c r="N117" s="2268"/>
      <c r="O117" s="2268"/>
      <c r="P117" s="2268"/>
      <c r="Q117" s="2268"/>
      <c r="R117" s="2268"/>
      <c r="S117" s="2269"/>
      <c r="T117" s="2268"/>
      <c r="U117" s="2268"/>
      <c r="V117" s="2268"/>
      <c r="W117" s="2269"/>
      <c r="X117" s="2259"/>
      <c r="Y117" s="2259"/>
      <c r="Z117" s="2262"/>
    </row>
    <row r="118" spans="1:26" ht="11.25" customHeight="1">
      <c r="A118" s="2258"/>
      <c r="B118" s="2259"/>
      <c r="C118" s="2259"/>
      <c r="D118" s="2259"/>
      <c r="E118" s="2259"/>
      <c r="F118" s="2259"/>
      <c r="G118" s="2277"/>
      <c r="H118" s="2271"/>
      <c r="I118" s="2271"/>
      <c r="J118" s="2271"/>
      <c r="K118" s="2271"/>
      <c r="L118" s="2271"/>
      <c r="M118" s="2271"/>
      <c r="N118" s="2271"/>
      <c r="O118" s="2271"/>
      <c r="P118" s="2271"/>
      <c r="Q118" s="2271"/>
      <c r="R118" s="2271"/>
      <c r="S118" s="2272"/>
      <c r="T118" s="2271"/>
      <c r="U118" s="2271"/>
      <c r="V118" s="2271"/>
      <c r="W118" s="2272"/>
      <c r="X118" s="2259"/>
      <c r="Y118" s="2259"/>
      <c r="Z118" s="2262"/>
    </row>
    <row r="119" spans="1:26" ht="11.25" customHeight="1">
      <c r="A119" s="2264"/>
      <c r="B119" s="2265"/>
      <c r="C119" s="2265"/>
      <c r="D119" s="2265"/>
      <c r="E119" s="2265"/>
      <c r="F119" s="2266"/>
      <c r="G119" s="2273"/>
      <c r="H119" s="2265"/>
      <c r="I119" s="2265"/>
      <c r="J119" s="2265"/>
      <c r="K119" s="2265"/>
      <c r="L119" s="2265"/>
      <c r="M119" s="2265"/>
      <c r="N119" s="2265"/>
      <c r="O119" s="2265"/>
      <c r="P119" s="2265"/>
      <c r="Q119" s="2265"/>
      <c r="R119" s="2265"/>
      <c r="S119" s="2266"/>
      <c r="T119" s="2265"/>
      <c r="U119" s="2265"/>
      <c r="V119" s="2265"/>
      <c r="W119" s="2266"/>
      <c r="X119" s="2273"/>
      <c r="Y119" s="2265"/>
      <c r="Z119" s="2274"/>
    </row>
    <row r="120" spans="1:26" ht="11.25" customHeight="1">
      <c r="A120" s="2267"/>
      <c r="B120" s="2268"/>
      <c r="C120" s="2268"/>
      <c r="D120" s="2268"/>
      <c r="E120" s="2268"/>
      <c r="F120" s="2269"/>
      <c r="G120" s="2275"/>
      <c r="H120" s="2268"/>
      <c r="I120" s="2268"/>
      <c r="J120" s="2268"/>
      <c r="K120" s="2268"/>
      <c r="L120" s="2268"/>
      <c r="M120" s="2268"/>
      <c r="N120" s="2268"/>
      <c r="O120" s="2268"/>
      <c r="P120" s="2268"/>
      <c r="Q120" s="2268"/>
      <c r="R120" s="2268"/>
      <c r="S120" s="2269"/>
      <c r="T120" s="2268"/>
      <c r="U120" s="2268"/>
      <c r="V120" s="2268"/>
      <c r="W120" s="2269"/>
      <c r="X120" s="2275"/>
      <c r="Y120" s="2268"/>
      <c r="Z120" s="2276"/>
    </row>
    <row r="121" spans="1:26" ht="11.25" customHeight="1">
      <c r="A121" s="2270"/>
      <c r="B121" s="2271"/>
      <c r="C121" s="2271"/>
      <c r="D121" s="2271"/>
      <c r="E121" s="2271"/>
      <c r="F121" s="2272"/>
      <c r="G121" s="2277"/>
      <c r="H121" s="2271"/>
      <c r="I121" s="2271"/>
      <c r="J121" s="2271"/>
      <c r="K121" s="2271"/>
      <c r="L121" s="2271"/>
      <c r="M121" s="2271"/>
      <c r="N121" s="2271"/>
      <c r="O121" s="2271"/>
      <c r="P121" s="2271"/>
      <c r="Q121" s="2271"/>
      <c r="R121" s="2271"/>
      <c r="S121" s="2272"/>
      <c r="T121" s="2271"/>
      <c r="U121" s="2271"/>
      <c r="V121" s="2271"/>
      <c r="W121" s="2272"/>
      <c r="X121" s="2277"/>
      <c r="Y121" s="2271"/>
      <c r="Z121" s="2278"/>
    </row>
    <row r="122" spans="1:26" ht="11.25" customHeight="1">
      <c r="A122" s="2279"/>
      <c r="B122" s="2280"/>
      <c r="C122" s="2280"/>
      <c r="D122" s="2280"/>
      <c r="E122" s="2280"/>
      <c r="F122" s="2281"/>
      <c r="G122" s="2273"/>
      <c r="H122" s="2265"/>
      <c r="I122" s="2265"/>
      <c r="J122" s="2265"/>
      <c r="K122" s="2265"/>
      <c r="L122" s="2265"/>
      <c r="M122" s="2265"/>
      <c r="N122" s="2265"/>
      <c r="O122" s="2265"/>
      <c r="P122" s="2265"/>
      <c r="Q122" s="2265"/>
      <c r="R122" s="2265"/>
      <c r="S122" s="2266"/>
      <c r="T122" s="2265"/>
      <c r="U122" s="2265"/>
      <c r="V122" s="2265"/>
      <c r="W122" s="2266"/>
      <c r="X122" s="2282"/>
      <c r="Y122" s="2280"/>
      <c r="Z122" s="2283"/>
    </row>
    <row r="123" spans="1:26" ht="11.25" customHeight="1">
      <c r="A123" s="2279"/>
      <c r="B123" s="2280"/>
      <c r="C123" s="2280"/>
      <c r="D123" s="2280"/>
      <c r="E123" s="2280"/>
      <c r="F123" s="2281"/>
      <c r="G123" s="2275"/>
      <c r="H123" s="2268"/>
      <c r="I123" s="2268"/>
      <c r="J123" s="2268"/>
      <c r="K123" s="2268"/>
      <c r="L123" s="2268"/>
      <c r="M123" s="2268"/>
      <c r="N123" s="2268"/>
      <c r="O123" s="2268"/>
      <c r="P123" s="2268"/>
      <c r="Q123" s="2268"/>
      <c r="R123" s="2268"/>
      <c r="S123" s="2269"/>
      <c r="T123" s="2268"/>
      <c r="U123" s="2268"/>
      <c r="V123" s="2268"/>
      <c r="W123" s="2269"/>
      <c r="X123" s="2282"/>
      <c r="Y123" s="2280"/>
      <c r="Z123" s="2283"/>
    </row>
    <row r="124" spans="1:26" ht="11.25" customHeight="1">
      <c r="A124" s="2279"/>
      <c r="B124" s="2280"/>
      <c r="C124" s="2280"/>
      <c r="D124" s="2280"/>
      <c r="E124" s="2280"/>
      <c r="F124" s="2281"/>
      <c r="G124" s="2277"/>
      <c r="H124" s="2271"/>
      <c r="I124" s="2271"/>
      <c r="J124" s="2271"/>
      <c r="K124" s="2271"/>
      <c r="L124" s="2271"/>
      <c r="M124" s="2271"/>
      <c r="N124" s="2271"/>
      <c r="O124" s="2271"/>
      <c r="P124" s="2271"/>
      <c r="Q124" s="2271"/>
      <c r="R124" s="2271"/>
      <c r="S124" s="2272"/>
      <c r="T124" s="2271"/>
      <c r="U124" s="2271"/>
      <c r="V124" s="2271"/>
      <c r="W124" s="2272"/>
      <c r="X124" s="2282"/>
      <c r="Y124" s="2280"/>
      <c r="Z124" s="2283"/>
    </row>
    <row r="125" spans="1:26" ht="11.25" customHeight="1">
      <c r="A125" s="2258"/>
      <c r="B125" s="2259"/>
      <c r="C125" s="2259"/>
      <c r="D125" s="2259"/>
      <c r="E125" s="2259"/>
      <c r="F125" s="2259"/>
      <c r="G125" s="2273"/>
      <c r="H125" s="2265"/>
      <c r="I125" s="2265"/>
      <c r="J125" s="2265"/>
      <c r="K125" s="2265"/>
      <c r="L125" s="2265"/>
      <c r="M125" s="2265"/>
      <c r="N125" s="2265"/>
      <c r="O125" s="2265"/>
      <c r="P125" s="2265"/>
      <c r="Q125" s="2265"/>
      <c r="R125" s="2265"/>
      <c r="S125" s="2266"/>
      <c r="T125" s="2265"/>
      <c r="U125" s="2265"/>
      <c r="V125" s="2265"/>
      <c r="W125" s="2266"/>
      <c r="X125" s="2259"/>
      <c r="Y125" s="2259"/>
      <c r="Z125" s="2262"/>
    </row>
    <row r="126" spans="1:26" ht="11.25" customHeight="1">
      <c r="A126" s="2258"/>
      <c r="B126" s="2259"/>
      <c r="C126" s="2259"/>
      <c r="D126" s="2259"/>
      <c r="E126" s="2259"/>
      <c r="F126" s="2259"/>
      <c r="G126" s="2275"/>
      <c r="H126" s="2268"/>
      <c r="I126" s="2268"/>
      <c r="J126" s="2268"/>
      <c r="K126" s="2268"/>
      <c r="L126" s="2268"/>
      <c r="M126" s="2268"/>
      <c r="N126" s="2268"/>
      <c r="O126" s="2268"/>
      <c r="P126" s="2268"/>
      <c r="Q126" s="2268"/>
      <c r="R126" s="2268"/>
      <c r="S126" s="2269"/>
      <c r="T126" s="2268"/>
      <c r="U126" s="2268"/>
      <c r="V126" s="2268"/>
      <c r="W126" s="2269"/>
      <c r="X126" s="2259"/>
      <c r="Y126" s="2259"/>
      <c r="Z126" s="2262"/>
    </row>
    <row r="127" spans="1:26" ht="11.25" customHeight="1" thickBot="1">
      <c r="A127" s="2260"/>
      <c r="B127" s="2261"/>
      <c r="C127" s="2261"/>
      <c r="D127" s="2261"/>
      <c r="E127" s="2261"/>
      <c r="F127" s="2261"/>
      <c r="G127" s="2289"/>
      <c r="H127" s="2284"/>
      <c r="I127" s="2284"/>
      <c r="J127" s="2284"/>
      <c r="K127" s="2284"/>
      <c r="L127" s="2284"/>
      <c r="M127" s="2284"/>
      <c r="N127" s="2284"/>
      <c r="O127" s="2284"/>
      <c r="P127" s="2284"/>
      <c r="Q127" s="2284"/>
      <c r="R127" s="2284"/>
      <c r="S127" s="2285"/>
      <c r="T127" s="2284"/>
      <c r="U127" s="2284"/>
      <c r="V127" s="2284"/>
      <c r="W127" s="2285"/>
      <c r="X127" s="2261"/>
      <c r="Y127" s="2261"/>
      <c r="Z127" s="2263"/>
    </row>
    <row r="128" spans="1:26" ht="1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 customHeight="1">
      <c r="A129" s="9"/>
      <c r="B129" s="10" t="s">
        <v>103</v>
      </c>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 customHeight="1">
      <c r="A132" s="11"/>
      <c r="B132" s="9"/>
      <c r="C132" s="9"/>
      <c r="D132" s="9"/>
      <c r="E132" s="9"/>
      <c r="F132" s="9"/>
      <c r="G132" s="9"/>
      <c r="H132" s="9"/>
      <c r="I132" s="9"/>
      <c r="J132" s="9"/>
      <c r="K132" s="9"/>
      <c r="L132" s="9"/>
      <c r="M132" s="9"/>
      <c r="N132" s="9"/>
      <c r="O132" s="9"/>
      <c r="P132" s="9"/>
      <c r="Q132" s="9"/>
      <c r="R132" s="9"/>
      <c r="S132" s="9"/>
      <c r="T132" s="9"/>
      <c r="U132" s="9"/>
      <c r="V132" s="9"/>
      <c r="W132" s="9"/>
      <c r="X132" s="11"/>
      <c r="Y132" s="11"/>
      <c r="Z132" s="11"/>
    </row>
    <row r="133" spans="1:26" ht="15" customHeight="1">
      <c r="A133" s="11"/>
      <c r="B133" s="9"/>
      <c r="C133" s="9"/>
      <c r="D133" s="9"/>
      <c r="E133" s="9"/>
      <c r="F133" s="9"/>
      <c r="G133" s="9"/>
      <c r="H133" s="9"/>
      <c r="I133" s="9"/>
      <c r="J133" s="9"/>
      <c r="K133" s="9"/>
      <c r="L133" s="9"/>
      <c r="M133" s="9"/>
      <c r="N133" s="9"/>
      <c r="O133" s="9"/>
      <c r="P133" s="9"/>
      <c r="Q133" s="9"/>
      <c r="R133" s="9"/>
      <c r="S133" s="9"/>
      <c r="T133" s="9"/>
      <c r="U133" s="9"/>
      <c r="V133" s="9"/>
      <c r="W133" s="9"/>
      <c r="X133" s="11"/>
      <c r="Y133" s="11"/>
      <c r="Z133" s="11"/>
    </row>
    <row r="134" spans="1:26" ht="15" customHeight="1">
      <c r="A134" s="11"/>
      <c r="B134" s="9"/>
      <c r="C134" s="9"/>
      <c r="D134" s="9"/>
      <c r="E134" s="9"/>
      <c r="F134" s="9"/>
      <c r="G134" s="9"/>
      <c r="H134" s="9"/>
      <c r="I134" s="9"/>
      <c r="J134" s="9"/>
      <c r="K134" s="9"/>
      <c r="L134" s="9"/>
      <c r="M134" s="9"/>
      <c r="N134" s="9"/>
      <c r="O134" s="9"/>
      <c r="P134" s="9"/>
      <c r="Q134" s="9"/>
      <c r="R134" s="9"/>
      <c r="S134" s="9"/>
      <c r="T134" s="9"/>
      <c r="U134" s="9"/>
      <c r="V134" s="9"/>
      <c r="W134" s="9"/>
      <c r="X134" s="11"/>
      <c r="Y134" s="11"/>
      <c r="Z134" s="11"/>
    </row>
    <row r="135" spans="1:26" ht="15" customHeight="1">
      <c r="B135" s="9"/>
      <c r="C135" s="9"/>
      <c r="D135" s="9"/>
      <c r="E135" s="9"/>
      <c r="F135" s="9"/>
      <c r="G135" s="9"/>
      <c r="H135" s="9"/>
      <c r="I135" s="9"/>
      <c r="J135" s="9"/>
      <c r="K135" s="9"/>
      <c r="L135" s="9"/>
      <c r="M135" s="9"/>
      <c r="N135" s="9"/>
      <c r="O135" s="9"/>
      <c r="P135" s="9"/>
      <c r="Q135" s="9"/>
      <c r="R135" s="9"/>
      <c r="S135" s="9"/>
      <c r="T135" s="9"/>
      <c r="U135" s="9"/>
      <c r="V135" s="9"/>
      <c r="W135" s="9"/>
    </row>
    <row r="136" spans="1:26" ht="15" customHeight="1">
      <c r="B136" s="9"/>
      <c r="C136" s="9"/>
      <c r="D136" s="9"/>
      <c r="E136" s="9"/>
      <c r="F136" s="9"/>
      <c r="G136" s="9"/>
      <c r="H136" s="9"/>
      <c r="I136" s="9"/>
      <c r="J136" s="9"/>
      <c r="K136" s="9"/>
      <c r="L136" s="9"/>
      <c r="M136" s="9"/>
      <c r="N136" s="9"/>
      <c r="O136" s="9"/>
      <c r="P136" s="9"/>
      <c r="Q136" s="9"/>
      <c r="R136" s="9"/>
      <c r="S136" s="9"/>
      <c r="T136" s="9"/>
      <c r="U136" s="9"/>
      <c r="V136" s="9"/>
      <c r="W136" s="9"/>
    </row>
  </sheetData>
  <sheetProtection algorithmName="SHA-512" hashValue="svL/8u9C0/T1NErzLplOG9zkXzl+DuuVnDoYWMNmFG63VAQ1SEMDvrrX8kjsLDw4gT6N+ULTkmQPwqqh6Vx98g==" saltValue="y7UQ4692sRmDPsbwQvMbHw==" spinCount="100000" sheet="1" objects="1" scenarios="1"/>
  <customSheetViews>
    <customSheetView guid="{727552C9-10E3-4948-B2AE-8FE165517887}" scale="80" showPageBreaks="1" printArea="1" state="hidden" view="pageBreakPreview" topLeftCell="A100">
      <selection activeCell="N59" sqref="N59:N61"/>
      <pageMargins left="0.7" right="0.7" top="0.78740157499999996" bottom="0.78740157499999996" header="0.3" footer="0.3"/>
      <pageSetup paperSize="9" scale="49" orientation="portrait" r:id="rId1"/>
    </customSheetView>
  </customSheetViews>
  <mergeCells count="72">
    <mergeCell ref="AE11:AF11"/>
    <mergeCell ref="AG11:AI11"/>
    <mergeCell ref="AE12:AF12"/>
    <mergeCell ref="AG12:AI12"/>
    <mergeCell ref="V4:W4"/>
    <mergeCell ref="X4:Z4"/>
    <mergeCell ref="V5:W5"/>
    <mergeCell ref="X5:Z5"/>
    <mergeCell ref="V1:Z3"/>
    <mergeCell ref="T113:W115"/>
    <mergeCell ref="T116:W118"/>
    <mergeCell ref="T119:W121"/>
    <mergeCell ref="T122:W124"/>
    <mergeCell ref="A41:Z43"/>
    <mergeCell ref="A44:Z58"/>
    <mergeCell ref="G110:S112"/>
    <mergeCell ref="T110:W112"/>
    <mergeCell ref="A62:Z64"/>
    <mergeCell ref="A65:Z83"/>
    <mergeCell ref="D17:M20"/>
    <mergeCell ref="D21:M24"/>
    <mergeCell ref="D25:M28"/>
    <mergeCell ref="D29:M32"/>
    <mergeCell ref="D33:M36"/>
    <mergeCell ref="A29:C32"/>
    <mergeCell ref="A33:C36"/>
    <mergeCell ref="A37:C40"/>
    <mergeCell ref="N37:Q40"/>
    <mergeCell ref="D37:M40"/>
    <mergeCell ref="N33:Q36"/>
    <mergeCell ref="N6:Z32"/>
    <mergeCell ref="A6:C12"/>
    <mergeCell ref="A13:C16"/>
    <mergeCell ref="D6:M12"/>
    <mergeCell ref="D13:M16"/>
    <mergeCell ref="A17:C20"/>
    <mergeCell ref="A21:C24"/>
    <mergeCell ref="A25:C28"/>
    <mergeCell ref="R33:Z36"/>
    <mergeCell ref="R37:Z40"/>
    <mergeCell ref="H1:U5"/>
    <mergeCell ref="A1:G5"/>
    <mergeCell ref="A113:F115"/>
    <mergeCell ref="X113:Z115"/>
    <mergeCell ref="T59:T61"/>
    <mergeCell ref="U59:Z61"/>
    <mergeCell ref="A84:M86"/>
    <mergeCell ref="N84:Z86"/>
    <mergeCell ref="A87:M106"/>
    <mergeCell ref="N87:Z106"/>
    <mergeCell ref="A59:G61"/>
    <mergeCell ref="H59:H61"/>
    <mergeCell ref="I59:M61"/>
    <mergeCell ref="N59:N61"/>
    <mergeCell ref="O59:S61"/>
    <mergeCell ref="A107:Z109"/>
    <mergeCell ref="A110:F112"/>
    <mergeCell ref="X110:Z112"/>
    <mergeCell ref="A125:F127"/>
    <mergeCell ref="X125:Z127"/>
    <mergeCell ref="A116:F118"/>
    <mergeCell ref="X116:Z118"/>
    <mergeCell ref="A119:F121"/>
    <mergeCell ref="X119:Z121"/>
    <mergeCell ref="A122:F124"/>
    <mergeCell ref="X122:Z124"/>
    <mergeCell ref="T125:W127"/>
    <mergeCell ref="G113:S115"/>
    <mergeCell ref="G116:S118"/>
    <mergeCell ref="G119:S121"/>
    <mergeCell ref="G122:S124"/>
    <mergeCell ref="G125:S127"/>
  </mergeCells>
  <phoneticPr fontId="198" type="noConversion"/>
  <pageMargins left="0.7" right="0.7" top="0.78740157499999996" bottom="0.78740157499999996" header="0.3" footer="0.3"/>
  <pageSetup paperSize="9" scale="4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34"/>
  <sheetViews>
    <sheetView topLeftCell="A86" workbookViewId="0">
      <selection activeCell="A109" sqref="A109"/>
    </sheetView>
  </sheetViews>
  <sheetFormatPr defaultColWidth="11.44140625" defaultRowHeight="14.4"/>
  <cols>
    <col min="1" max="1" width="14.109375" style="846" customWidth="1"/>
    <col min="2" max="2" width="11.44140625" style="840"/>
    <col min="3" max="3" width="58" style="840" customWidth="1"/>
    <col min="4" max="4" width="7.33203125" style="832" customWidth="1"/>
    <col min="5" max="5" width="11.44140625" style="843"/>
    <col min="6" max="16384" width="11.44140625" style="3"/>
  </cols>
  <sheetData>
    <row r="1" spans="1:5">
      <c r="A1" s="837" t="s">
        <v>1738</v>
      </c>
      <c r="B1" s="838"/>
      <c r="C1" s="841" t="s">
        <v>1739</v>
      </c>
      <c r="D1" s="841" t="s">
        <v>1740</v>
      </c>
      <c r="E1" s="841"/>
    </row>
    <row r="2" spans="1:5" ht="15">
      <c r="A2" s="845" t="s">
        <v>1156</v>
      </c>
      <c r="B2" s="853"/>
      <c r="C2" s="665" t="s">
        <v>1224</v>
      </c>
      <c r="E2" s="842"/>
    </row>
    <row r="3" spans="1:5" ht="15">
      <c r="A3" s="845" t="s">
        <v>1157</v>
      </c>
      <c r="B3" s="853"/>
      <c r="C3" s="665" t="s">
        <v>141</v>
      </c>
    </row>
    <row r="4" spans="1:5" ht="15">
      <c r="A4" s="845" t="s">
        <v>1158</v>
      </c>
      <c r="B4" s="853"/>
      <c r="C4" s="665" t="s">
        <v>597</v>
      </c>
    </row>
    <row r="5" spans="1:5" ht="15">
      <c r="A5" s="845" t="s">
        <v>1159</v>
      </c>
      <c r="B5" s="853"/>
      <c r="C5" s="665" t="s">
        <v>142</v>
      </c>
    </row>
    <row r="6" spans="1:5" ht="15">
      <c r="A6" s="845" t="s">
        <v>1160</v>
      </c>
      <c r="B6" s="853"/>
      <c r="C6" s="665" t="s">
        <v>143</v>
      </c>
    </row>
    <row r="7" spans="1:5" ht="15">
      <c r="A7" s="845" t="s">
        <v>1161</v>
      </c>
      <c r="B7" s="853"/>
      <c r="C7" s="665" t="s">
        <v>598</v>
      </c>
    </row>
    <row r="8" spans="1:5" ht="15">
      <c r="A8" s="845" t="s">
        <v>1162</v>
      </c>
      <c r="B8" s="853"/>
      <c r="C8" s="665" t="s">
        <v>144</v>
      </c>
    </row>
    <row r="9" spans="1:5" ht="15">
      <c r="A9" s="845" t="s">
        <v>1163</v>
      </c>
      <c r="B9" s="853"/>
      <c r="C9" s="665" t="s">
        <v>411</v>
      </c>
    </row>
    <row r="10" spans="1:5" ht="15">
      <c r="A10" s="845" t="s">
        <v>1164</v>
      </c>
      <c r="B10" s="853"/>
      <c r="C10" s="665" t="s">
        <v>599</v>
      </c>
    </row>
    <row r="11" spans="1:5" ht="15">
      <c r="A11" s="845" t="s">
        <v>1225</v>
      </c>
      <c r="B11" s="853"/>
      <c r="C11" s="665" t="s">
        <v>152</v>
      </c>
    </row>
    <row r="12" spans="1:5" ht="15">
      <c r="A12" s="845" t="s">
        <v>1226</v>
      </c>
      <c r="B12" s="853"/>
      <c r="C12" s="665" t="s">
        <v>153</v>
      </c>
    </row>
    <row r="13" spans="1:5" ht="15">
      <c r="A13" s="845" t="s">
        <v>1227</v>
      </c>
      <c r="B13" s="853"/>
      <c r="C13" s="665" t="s">
        <v>154</v>
      </c>
    </row>
    <row r="14" spans="1:5" ht="15">
      <c r="A14" s="845" t="s">
        <v>1228</v>
      </c>
      <c r="B14" s="853"/>
      <c r="C14" s="665" t="s">
        <v>155</v>
      </c>
    </row>
    <row r="15" spans="1:5" ht="15">
      <c r="A15" s="845" t="s">
        <v>1229</v>
      </c>
      <c r="B15" s="853"/>
      <c r="C15" s="665" t="s">
        <v>156</v>
      </c>
    </row>
    <row r="16" spans="1:5" ht="15">
      <c r="A16" s="845" t="s">
        <v>1230</v>
      </c>
      <c r="B16" s="853"/>
      <c r="C16" s="665" t="s">
        <v>157</v>
      </c>
    </row>
    <row r="17" spans="1:3" ht="15">
      <c r="A17" s="845" t="s">
        <v>1231</v>
      </c>
      <c r="B17" s="853"/>
      <c r="C17" s="665" t="s">
        <v>158</v>
      </c>
    </row>
    <row r="18" spans="1:3" ht="15">
      <c r="A18" s="845" t="s">
        <v>1232</v>
      </c>
      <c r="B18" s="853"/>
      <c r="C18" s="665" t="s">
        <v>159</v>
      </c>
    </row>
    <row r="19" spans="1:3" ht="15">
      <c r="A19" s="845" t="s">
        <v>1233</v>
      </c>
      <c r="B19" s="853"/>
      <c r="C19" s="665" t="s">
        <v>160</v>
      </c>
    </row>
    <row r="20" spans="1:3" ht="15">
      <c r="A20" s="845" t="s">
        <v>1234</v>
      </c>
      <c r="B20" s="853"/>
      <c r="C20" s="665" t="s">
        <v>161</v>
      </c>
    </row>
    <row r="21" spans="1:3" ht="15">
      <c r="A21" s="845" t="s">
        <v>1235</v>
      </c>
      <c r="B21" s="853"/>
      <c r="C21" s="665" t="s">
        <v>600</v>
      </c>
    </row>
    <row r="22" spans="1:3" ht="15">
      <c r="A22" s="845" t="s">
        <v>1236</v>
      </c>
      <c r="B22" s="853"/>
      <c r="C22" s="665" t="s">
        <v>213</v>
      </c>
    </row>
    <row r="23" spans="1:3" ht="15">
      <c r="A23" s="845" t="s">
        <v>1237</v>
      </c>
      <c r="B23" s="853"/>
      <c r="C23" s="665" t="s">
        <v>214</v>
      </c>
    </row>
    <row r="24" spans="1:3" ht="15">
      <c r="A24" s="845" t="s">
        <v>1238</v>
      </c>
      <c r="B24" s="853"/>
      <c r="C24" s="665" t="s">
        <v>215</v>
      </c>
    </row>
    <row r="25" spans="1:3" ht="15">
      <c r="A25" s="845" t="s">
        <v>1239</v>
      </c>
      <c r="B25" s="853"/>
      <c r="C25" s="665" t="s">
        <v>216</v>
      </c>
    </row>
    <row r="26" spans="1:3" ht="15">
      <c r="A26" s="845" t="s">
        <v>1240</v>
      </c>
      <c r="B26" s="853"/>
      <c r="C26" s="665" t="s">
        <v>217</v>
      </c>
    </row>
    <row r="27" spans="1:3" ht="15">
      <c r="A27" s="1016" t="s">
        <v>3365</v>
      </c>
      <c r="B27" s="853"/>
      <c r="C27" s="665" t="s">
        <v>218</v>
      </c>
    </row>
    <row r="28" spans="1:3" ht="15">
      <c r="A28" s="845" t="s">
        <v>1241</v>
      </c>
      <c r="B28" s="853"/>
      <c r="C28" s="665" t="s">
        <v>219</v>
      </c>
    </row>
    <row r="29" spans="1:3" ht="15">
      <c r="A29" s="845" t="s">
        <v>1242</v>
      </c>
      <c r="B29" s="853"/>
      <c r="C29" s="665" t="s">
        <v>601</v>
      </c>
    </row>
    <row r="30" spans="1:3" ht="15">
      <c r="A30" s="845" t="s">
        <v>1243</v>
      </c>
      <c r="B30" s="853"/>
      <c r="C30" s="665" t="s">
        <v>220</v>
      </c>
    </row>
    <row r="31" spans="1:3" ht="15">
      <c r="A31" s="845" t="s">
        <v>1244</v>
      </c>
      <c r="B31" s="853"/>
      <c r="C31" s="665" t="s">
        <v>221</v>
      </c>
    </row>
    <row r="32" spans="1:3" ht="15">
      <c r="A32" s="845" t="s">
        <v>1245</v>
      </c>
      <c r="B32" s="853"/>
      <c r="C32" s="665" t="s">
        <v>232</v>
      </c>
    </row>
    <row r="33" spans="1:3" ht="15">
      <c r="A33" s="845" t="s">
        <v>1246</v>
      </c>
      <c r="B33" s="853"/>
      <c r="C33" s="665" t="s">
        <v>270</v>
      </c>
    </row>
    <row r="34" spans="1:3" ht="15">
      <c r="A34" s="845" t="s">
        <v>1247</v>
      </c>
      <c r="B34" s="853"/>
      <c r="C34" s="665" t="s">
        <v>279</v>
      </c>
    </row>
    <row r="35" spans="1:3" ht="15">
      <c r="A35" s="845" t="s">
        <v>1248</v>
      </c>
      <c r="B35" s="853"/>
      <c r="C35" s="665" t="s">
        <v>284</v>
      </c>
    </row>
    <row r="36" spans="1:3" ht="15">
      <c r="A36" s="845"/>
      <c r="B36" s="853"/>
      <c r="C36" s="665" t="s">
        <v>1249</v>
      </c>
    </row>
    <row r="37" spans="1:3" ht="15">
      <c r="A37" s="845" t="s">
        <v>1165</v>
      </c>
      <c r="B37" s="853"/>
      <c r="C37" s="665" t="s">
        <v>1250</v>
      </c>
    </row>
    <row r="38" spans="1:3" ht="15">
      <c r="A38" s="845" t="s">
        <v>1166</v>
      </c>
      <c r="B38" s="853"/>
      <c r="C38" s="665" t="s">
        <v>145</v>
      </c>
    </row>
    <row r="39" spans="1:3" ht="15">
      <c r="A39" s="845" t="s">
        <v>1167</v>
      </c>
      <c r="B39" s="853"/>
      <c r="C39" s="665" t="s">
        <v>602</v>
      </c>
    </row>
    <row r="40" spans="1:3" ht="15">
      <c r="A40" s="845" t="s">
        <v>1168</v>
      </c>
      <c r="B40" s="853"/>
      <c r="C40" s="665" t="s">
        <v>146</v>
      </c>
    </row>
    <row r="41" spans="1:3" ht="15">
      <c r="A41" s="845" t="s">
        <v>1169</v>
      </c>
      <c r="B41" s="853"/>
      <c r="C41" s="665" t="s">
        <v>603</v>
      </c>
    </row>
    <row r="42" spans="1:3" ht="15">
      <c r="A42" s="845" t="s">
        <v>1170</v>
      </c>
      <c r="B42" s="853"/>
      <c r="C42" s="665" t="s">
        <v>147</v>
      </c>
    </row>
    <row r="43" spans="1:3" ht="15">
      <c r="A43" s="845" t="s">
        <v>1171</v>
      </c>
      <c r="B43" s="853"/>
      <c r="C43" s="665" t="s">
        <v>148</v>
      </c>
    </row>
    <row r="44" spans="1:3" ht="15">
      <c r="A44" s="845" t="s">
        <v>1172</v>
      </c>
      <c r="B44" s="853"/>
      <c r="C44" s="665" t="s">
        <v>149</v>
      </c>
    </row>
    <row r="45" spans="1:3" ht="15">
      <c r="A45" s="845" t="s">
        <v>1173</v>
      </c>
      <c r="B45" s="853"/>
      <c r="C45" s="665" t="s">
        <v>150</v>
      </c>
    </row>
    <row r="46" spans="1:3" ht="15">
      <c r="A46" s="845" t="s">
        <v>1174</v>
      </c>
      <c r="B46" s="853"/>
      <c r="C46" s="665" t="s">
        <v>224</v>
      </c>
    </row>
    <row r="47" spans="1:3" ht="15">
      <c r="A47" s="845" t="s">
        <v>1175</v>
      </c>
      <c r="B47" s="853"/>
      <c r="C47" s="665" t="s">
        <v>225</v>
      </c>
    </row>
    <row r="48" spans="1:3" ht="15">
      <c r="A48" s="845" t="s">
        <v>1176</v>
      </c>
      <c r="B48" s="853"/>
      <c r="C48" s="665" t="s">
        <v>604</v>
      </c>
    </row>
    <row r="49" spans="1:3" ht="15">
      <c r="A49" s="845" t="s">
        <v>1177</v>
      </c>
      <c r="B49" s="853"/>
      <c r="C49" s="665" t="s">
        <v>811</v>
      </c>
    </row>
    <row r="50" spans="1:3" ht="15">
      <c r="A50" s="845" t="s">
        <v>1178</v>
      </c>
      <c r="B50" s="853"/>
      <c r="C50" s="665" t="s">
        <v>222</v>
      </c>
    </row>
    <row r="51" spans="1:3" ht="15">
      <c r="A51" s="845" t="s">
        <v>1179</v>
      </c>
      <c r="B51" s="853"/>
      <c r="C51" s="665" t="s">
        <v>223</v>
      </c>
    </row>
    <row r="52" spans="1:3" ht="15">
      <c r="A52" s="845"/>
      <c r="B52" s="853"/>
      <c r="C52" s="665" t="s">
        <v>1251</v>
      </c>
    </row>
    <row r="53" spans="1:3" ht="15">
      <c r="A53" s="845" t="s">
        <v>1252</v>
      </c>
      <c r="B53" s="853"/>
      <c r="C53" s="665" t="s">
        <v>300</v>
      </c>
    </row>
    <row r="54" spans="1:3" ht="15">
      <c r="A54" s="845" t="s">
        <v>1253</v>
      </c>
      <c r="B54" s="853"/>
      <c r="C54" s="665" t="s">
        <v>605</v>
      </c>
    </row>
    <row r="55" spans="1:3" ht="15">
      <c r="A55" s="845" t="s">
        <v>1254</v>
      </c>
      <c r="B55" s="853"/>
      <c r="C55" s="665" t="s">
        <v>301</v>
      </c>
    </row>
    <row r="56" spans="1:3" ht="15">
      <c r="A56" s="845" t="s">
        <v>1255</v>
      </c>
      <c r="B56" s="853"/>
      <c r="C56" s="665" t="s">
        <v>302</v>
      </c>
    </row>
    <row r="57" spans="1:3" ht="15">
      <c r="A57" s="845" t="s">
        <v>1256</v>
      </c>
      <c r="B57" s="853"/>
      <c r="C57" s="665" t="s">
        <v>606</v>
      </c>
    </row>
    <row r="58" spans="1:3" ht="15">
      <c r="A58" s="845" t="s">
        <v>1257</v>
      </c>
      <c r="B58" s="853"/>
      <c r="C58" s="665" t="s">
        <v>607</v>
      </c>
    </row>
    <row r="59" spans="1:3" ht="15">
      <c r="A59" s="845"/>
      <c r="B59" s="853"/>
      <c r="C59" s="665" t="s">
        <v>1258</v>
      </c>
    </row>
    <row r="60" spans="1:3" ht="15">
      <c r="A60" s="845" t="s">
        <v>1259</v>
      </c>
      <c r="B60" s="853"/>
      <c r="C60" s="665" t="s">
        <v>345</v>
      </c>
    </row>
    <row r="61" spans="1:3" ht="15">
      <c r="A61" s="845" t="s">
        <v>1260</v>
      </c>
      <c r="B61" s="853"/>
      <c r="C61" s="665" t="s">
        <v>346</v>
      </c>
    </row>
    <row r="62" spans="1:3" ht="15">
      <c r="A62" s="845" t="s">
        <v>1261</v>
      </c>
      <c r="B62" s="853"/>
      <c r="C62" s="665" t="s">
        <v>347</v>
      </c>
    </row>
    <row r="63" spans="1:3" ht="15">
      <c r="A63" s="845" t="s">
        <v>1262</v>
      </c>
      <c r="B63" s="853"/>
      <c r="C63" s="665" t="s">
        <v>348</v>
      </c>
    </row>
    <row r="64" spans="1:3" ht="15">
      <c r="A64" s="845" t="s">
        <v>1263</v>
      </c>
      <c r="B64" s="853"/>
      <c r="C64" s="665" t="s">
        <v>349</v>
      </c>
    </row>
    <row r="65" spans="1:3" ht="15">
      <c r="A65" s="845" t="s">
        <v>1264</v>
      </c>
      <c r="B65" s="853"/>
      <c r="C65" s="665" t="s">
        <v>608</v>
      </c>
    </row>
    <row r="66" spans="1:3" ht="15">
      <c r="A66" s="845" t="s">
        <v>1265</v>
      </c>
      <c r="B66" s="853"/>
      <c r="C66" s="665" t="s">
        <v>609</v>
      </c>
    </row>
    <row r="67" spans="1:3" ht="15">
      <c r="A67" s="845" t="s">
        <v>1266</v>
      </c>
      <c r="B67" s="853"/>
      <c r="C67" s="665" t="s">
        <v>610</v>
      </c>
    </row>
    <row r="68" spans="1:3" ht="15">
      <c r="A68" s="845" t="s">
        <v>1267</v>
      </c>
      <c r="B68" s="853"/>
      <c r="C68" s="665" t="s">
        <v>611</v>
      </c>
    </row>
    <row r="69" spans="1:3" ht="15">
      <c r="A69" s="845" t="s">
        <v>1268</v>
      </c>
      <c r="B69" s="853"/>
      <c r="C69" s="665" t="s">
        <v>612</v>
      </c>
    </row>
    <row r="70" spans="1:3" ht="15">
      <c r="A70" s="845" t="s">
        <v>1269</v>
      </c>
      <c r="B70" s="853"/>
      <c r="C70" s="665" t="s">
        <v>613</v>
      </c>
    </row>
    <row r="71" spans="1:3" ht="15">
      <c r="A71" s="845"/>
      <c r="B71" s="853"/>
      <c r="C71" s="665" t="s">
        <v>1270</v>
      </c>
    </row>
    <row r="72" spans="1:3" ht="15">
      <c r="A72" s="845"/>
      <c r="B72" s="853"/>
      <c r="C72" s="665" t="s">
        <v>1271</v>
      </c>
    </row>
    <row r="73" spans="1:3" ht="15">
      <c r="A73" s="845" t="s">
        <v>1272</v>
      </c>
      <c r="B73" s="853"/>
      <c r="C73" s="665" t="s">
        <v>614</v>
      </c>
    </row>
    <row r="74" spans="1:3" ht="15">
      <c r="A74" s="845" t="s">
        <v>1273</v>
      </c>
      <c r="B74" s="853"/>
      <c r="C74" s="665" t="s">
        <v>615</v>
      </c>
    </row>
    <row r="75" spans="1:3" ht="15">
      <c r="A75" s="845" t="s">
        <v>1274</v>
      </c>
      <c r="B75" s="853"/>
      <c r="C75" s="665" t="s">
        <v>1275</v>
      </c>
    </row>
    <row r="76" spans="1:3" ht="15">
      <c r="A76" s="845" t="s">
        <v>1276</v>
      </c>
      <c r="B76" s="853"/>
      <c r="C76" s="665" t="s">
        <v>162</v>
      </c>
    </row>
    <row r="77" spans="1:3" ht="15">
      <c r="A77" s="845" t="s">
        <v>1277</v>
      </c>
      <c r="B77" s="853"/>
      <c r="C77" s="665" t="s">
        <v>163</v>
      </c>
    </row>
    <row r="78" spans="1:3" ht="15">
      <c r="A78" s="845" t="s">
        <v>1278</v>
      </c>
      <c r="B78" s="853"/>
      <c r="C78" s="665" t="s">
        <v>812</v>
      </c>
    </row>
    <row r="79" spans="1:3" ht="15">
      <c r="A79" s="845" t="s">
        <v>1279</v>
      </c>
      <c r="B79" s="853"/>
      <c r="C79" s="665" t="s">
        <v>813</v>
      </c>
    </row>
    <row r="80" spans="1:3" ht="15">
      <c r="A80" s="845" t="s">
        <v>1280</v>
      </c>
      <c r="B80" s="853"/>
      <c r="C80" s="665" t="s">
        <v>814</v>
      </c>
    </row>
    <row r="81" spans="1:3" ht="15">
      <c r="A81" s="845" t="s">
        <v>1281</v>
      </c>
      <c r="B81" s="853"/>
      <c r="C81" s="665" t="s">
        <v>616</v>
      </c>
    </row>
    <row r="82" spans="1:3" ht="15">
      <c r="A82" s="845" t="s">
        <v>1282</v>
      </c>
      <c r="B82" s="853"/>
      <c r="C82" s="665" t="s">
        <v>617</v>
      </c>
    </row>
    <row r="83" spans="1:3" ht="15">
      <c r="A83" s="845" t="s">
        <v>1283</v>
      </c>
      <c r="B83" s="853"/>
      <c r="C83" s="665" t="s">
        <v>618</v>
      </c>
    </row>
    <row r="84" spans="1:3" ht="15">
      <c r="A84" s="845" t="s">
        <v>1284</v>
      </c>
      <c r="B84" s="853"/>
      <c r="C84" s="665" t="s">
        <v>164</v>
      </c>
    </row>
    <row r="85" spans="1:3" ht="15">
      <c r="A85" s="845" t="s">
        <v>1285</v>
      </c>
      <c r="B85" s="853"/>
      <c r="C85" s="665" t="s">
        <v>165</v>
      </c>
    </row>
    <row r="86" spans="1:3" ht="15">
      <c r="A86" s="845" t="s">
        <v>1286</v>
      </c>
      <c r="B86" s="853"/>
      <c r="C86" s="665" t="s">
        <v>619</v>
      </c>
    </row>
    <row r="87" spans="1:3" ht="15">
      <c r="A87" s="845" t="s">
        <v>1287</v>
      </c>
      <c r="B87" s="853"/>
      <c r="C87" s="665" t="s">
        <v>620</v>
      </c>
    </row>
    <row r="88" spans="1:3" ht="15">
      <c r="A88" s="845" t="s">
        <v>1288</v>
      </c>
      <c r="B88" s="853"/>
      <c r="C88" s="665" t="s">
        <v>167</v>
      </c>
    </row>
    <row r="89" spans="1:3" ht="15">
      <c r="A89" s="845" t="s">
        <v>1289</v>
      </c>
      <c r="B89" s="853"/>
      <c r="C89" s="665" t="s">
        <v>168</v>
      </c>
    </row>
    <row r="90" spans="1:3" ht="15">
      <c r="A90" s="845" t="s">
        <v>1290</v>
      </c>
      <c r="B90" s="853"/>
      <c r="C90" s="665" t="s">
        <v>169</v>
      </c>
    </row>
    <row r="91" spans="1:3" ht="15">
      <c r="A91" s="845" t="s">
        <v>1291</v>
      </c>
      <c r="B91" s="853"/>
      <c r="C91" s="665" t="s">
        <v>170</v>
      </c>
    </row>
    <row r="92" spans="1:3" ht="15">
      <c r="A92" s="845" t="s">
        <v>1292</v>
      </c>
      <c r="B92" s="853"/>
      <c r="C92" s="665" t="s">
        <v>171</v>
      </c>
    </row>
    <row r="93" spans="1:3" ht="15">
      <c r="A93" s="845" t="s">
        <v>1293</v>
      </c>
      <c r="B93" s="853"/>
      <c r="C93" s="665" t="s">
        <v>173</v>
      </c>
    </row>
    <row r="94" spans="1:3" ht="15">
      <c r="A94" s="845" t="s">
        <v>1294</v>
      </c>
      <c r="B94" s="853"/>
      <c r="C94" s="665" t="s">
        <v>174</v>
      </c>
    </row>
    <row r="95" spans="1:3" ht="15">
      <c r="A95" s="845" t="s">
        <v>1295</v>
      </c>
      <c r="B95" s="853"/>
      <c r="C95" s="665" t="s">
        <v>181</v>
      </c>
    </row>
    <row r="96" spans="1:3" ht="15">
      <c r="A96" s="845" t="s">
        <v>1296</v>
      </c>
      <c r="B96" s="853"/>
      <c r="C96" s="665" t="s">
        <v>1297</v>
      </c>
    </row>
    <row r="97" spans="1:3" ht="15">
      <c r="A97" s="845" t="s">
        <v>1298</v>
      </c>
      <c r="B97" s="853"/>
      <c r="C97" s="665" t="s">
        <v>621</v>
      </c>
    </row>
    <row r="98" spans="1:3" ht="15">
      <c r="A98" s="845" t="s">
        <v>1299</v>
      </c>
      <c r="B98" s="853"/>
      <c r="C98" s="665" t="s">
        <v>195</v>
      </c>
    </row>
    <row r="99" spans="1:3" ht="15">
      <c r="A99" s="845" t="s">
        <v>1300</v>
      </c>
      <c r="B99" s="853"/>
      <c r="C99" s="665" t="s">
        <v>622</v>
      </c>
    </row>
    <row r="100" spans="1:3" ht="15">
      <c r="A100" s="845" t="s">
        <v>1301</v>
      </c>
      <c r="B100" s="853"/>
      <c r="C100" s="665" t="s">
        <v>196</v>
      </c>
    </row>
    <row r="101" spans="1:3" ht="15">
      <c r="A101" s="845" t="s">
        <v>1302</v>
      </c>
      <c r="B101" s="853"/>
      <c r="C101" s="665" t="s">
        <v>197</v>
      </c>
    </row>
    <row r="102" spans="1:3" ht="15">
      <c r="A102" s="845" t="s">
        <v>1303</v>
      </c>
      <c r="B102" s="853"/>
      <c r="C102" s="665" t="s">
        <v>198</v>
      </c>
    </row>
    <row r="103" spans="1:3" ht="15">
      <c r="A103" s="845" t="s">
        <v>1304</v>
      </c>
      <c r="B103" s="853"/>
      <c r="C103" s="665" t="s">
        <v>199</v>
      </c>
    </row>
    <row r="104" spans="1:3" ht="15">
      <c r="A104" s="845" t="s">
        <v>1305</v>
      </c>
      <c r="B104" s="853"/>
      <c r="C104" s="665" t="s">
        <v>200</v>
      </c>
    </row>
    <row r="105" spans="1:3" ht="15">
      <c r="A105" s="845" t="s">
        <v>1306</v>
      </c>
      <c r="B105" s="853"/>
      <c r="C105" s="665" t="s">
        <v>623</v>
      </c>
    </row>
    <row r="106" spans="1:3" ht="15">
      <c r="A106" s="845"/>
      <c r="B106" s="853"/>
      <c r="C106" s="665" t="s">
        <v>1307</v>
      </c>
    </row>
    <row r="107" spans="1:3" ht="15">
      <c r="A107" s="845" t="s">
        <v>1308</v>
      </c>
      <c r="B107" s="853"/>
      <c r="C107" s="665" t="s">
        <v>624</v>
      </c>
    </row>
    <row r="108" spans="1:3" ht="15">
      <c r="A108" s="845" t="s">
        <v>1309</v>
      </c>
      <c r="B108" s="853"/>
      <c r="C108" s="665" t="s">
        <v>625</v>
      </c>
    </row>
    <row r="109" spans="1:3" ht="15">
      <c r="A109" s="845" t="s">
        <v>3368</v>
      </c>
      <c r="B109" s="853"/>
      <c r="C109" s="665" t="s">
        <v>172</v>
      </c>
    </row>
    <row r="110" spans="1:3" ht="15">
      <c r="A110" s="845" t="s">
        <v>1310</v>
      </c>
      <c r="B110" s="853"/>
      <c r="C110" s="665" t="s">
        <v>182</v>
      </c>
    </row>
    <row r="111" spans="1:3" ht="15">
      <c r="A111" s="845" t="s">
        <v>1311</v>
      </c>
      <c r="B111" s="853"/>
      <c r="C111" s="665" t="s">
        <v>626</v>
      </c>
    </row>
    <row r="112" spans="1:3" ht="15">
      <c r="A112" s="845" t="s">
        <v>1312</v>
      </c>
      <c r="B112" s="853"/>
      <c r="C112" s="665" t="s">
        <v>627</v>
      </c>
    </row>
    <row r="113" spans="1:3" ht="15">
      <c r="A113" s="845" t="s">
        <v>1313</v>
      </c>
      <c r="B113" s="853"/>
      <c r="C113" s="665" t="s">
        <v>628</v>
      </c>
    </row>
    <row r="114" spans="1:3" ht="15">
      <c r="A114" s="845" t="s">
        <v>1314</v>
      </c>
      <c r="B114" s="853"/>
      <c r="C114" s="665" t="s">
        <v>629</v>
      </c>
    </row>
    <row r="115" spans="1:3" ht="15">
      <c r="A115" s="845" t="s">
        <v>1315</v>
      </c>
      <c r="B115" s="853"/>
      <c r="C115" s="665" t="s">
        <v>630</v>
      </c>
    </row>
    <row r="116" spans="1:3" ht="15">
      <c r="A116" s="845" t="s">
        <v>1316</v>
      </c>
      <c r="B116" s="853"/>
      <c r="C116" s="665" t="s">
        <v>631</v>
      </c>
    </row>
    <row r="117" spans="1:3" ht="15">
      <c r="A117" s="845" t="s">
        <v>1317</v>
      </c>
      <c r="B117" s="853"/>
      <c r="C117" s="665" t="s">
        <v>632</v>
      </c>
    </row>
    <row r="118" spans="1:3" ht="15">
      <c r="A118" s="845" t="s">
        <v>1318</v>
      </c>
      <c r="B118" s="853"/>
      <c r="C118" s="665" t="s">
        <v>1319</v>
      </c>
    </row>
    <row r="119" spans="1:3" ht="15">
      <c r="A119" s="845"/>
      <c r="B119" s="853"/>
      <c r="C119" s="665" t="s">
        <v>1320</v>
      </c>
    </row>
    <row r="120" spans="1:3" ht="15">
      <c r="A120" s="845" t="s">
        <v>1321</v>
      </c>
      <c r="B120" s="853"/>
      <c r="C120" s="665" t="s">
        <v>241</v>
      </c>
    </row>
    <row r="121" spans="1:3" ht="15">
      <c r="A121" s="845" t="s">
        <v>1322</v>
      </c>
      <c r="B121" s="853"/>
      <c r="C121" s="665" t="s">
        <v>633</v>
      </c>
    </row>
    <row r="122" spans="1:3" ht="15">
      <c r="A122" s="845" t="s">
        <v>1323</v>
      </c>
      <c r="B122" s="853"/>
      <c r="C122" s="665" t="s">
        <v>634</v>
      </c>
    </row>
    <row r="123" spans="1:3" ht="15">
      <c r="A123" s="845" t="s">
        <v>1324</v>
      </c>
      <c r="B123" s="853"/>
      <c r="C123" s="665" t="s">
        <v>635</v>
      </c>
    </row>
    <row r="124" spans="1:3" ht="15">
      <c r="A124" s="845" t="s">
        <v>1325</v>
      </c>
      <c r="B124" s="853"/>
      <c r="C124" s="665" t="s">
        <v>636</v>
      </c>
    </row>
    <row r="125" spans="1:3" ht="15">
      <c r="A125" s="845" t="s">
        <v>1326</v>
      </c>
      <c r="B125" s="853"/>
      <c r="C125" s="665" t="s">
        <v>637</v>
      </c>
    </row>
    <row r="126" spans="1:3" ht="15">
      <c r="A126" s="845" t="s">
        <v>1327</v>
      </c>
      <c r="B126" s="853"/>
      <c r="C126" s="665" t="s">
        <v>638</v>
      </c>
    </row>
    <row r="127" spans="1:3" ht="15">
      <c r="A127" s="845" t="s">
        <v>1328</v>
      </c>
      <c r="B127" s="853"/>
      <c r="C127" s="665" t="s">
        <v>639</v>
      </c>
    </row>
    <row r="128" spans="1:3" ht="15">
      <c r="A128" s="845" t="s">
        <v>1329</v>
      </c>
      <c r="B128" s="853"/>
      <c r="C128" s="665" t="s">
        <v>640</v>
      </c>
    </row>
    <row r="129" spans="1:3" ht="15">
      <c r="A129" s="845" t="s">
        <v>1330</v>
      </c>
      <c r="B129" s="853"/>
      <c r="C129" s="665" t="s">
        <v>641</v>
      </c>
    </row>
    <row r="130" spans="1:3" ht="15">
      <c r="A130" s="845"/>
      <c r="B130" s="853"/>
      <c r="C130" s="665" t="s">
        <v>1331</v>
      </c>
    </row>
    <row r="131" spans="1:3" ht="15">
      <c r="A131" s="845" t="s">
        <v>1332</v>
      </c>
      <c r="B131" s="853"/>
      <c r="C131" s="665" t="s">
        <v>642</v>
      </c>
    </row>
    <row r="132" spans="1:3" ht="15">
      <c r="A132" s="845" t="s">
        <v>1333</v>
      </c>
      <c r="B132" s="853"/>
      <c r="C132" s="665" t="s">
        <v>643</v>
      </c>
    </row>
    <row r="133" spans="1:3" ht="15">
      <c r="A133" s="845" t="s">
        <v>1334</v>
      </c>
      <c r="B133" s="853"/>
      <c r="C133" s="665" t="s">
        <v>644</v>
      </c>
    </row>
    <row r="134" spans="1:3" ht="15">
      <c r="A134" s="845" t="s">
        <v>1335</v>
      </c>
      <c r="B134" s="853"/>
      <c r="C134" s="665" t="s">
        <v>645</v>
      </c>
    </row>
    <row r="135" spans="1:3" ht="15">
      <c r="A135" s="845" t="s">
        <v>1336</v>
      </c>
      <c r="B135" s="853"/>
      <c r="C135" s="665" t="s">
        <v>646</v>
      </c>
    </row>
    <row r="136" spans="1:3" ht="15">
      <c r="A136" s="845" t="s">
        <v>1337</v>
      </c>
      <c r="B136" s="853"/>
      <c r="C136" s="665" t="s">
        <v>354</v>
      </c>
    </row>
    <row r="137" spans="1:3" ht="15">
      <c r="A137" s="845" t="s">
        <v>1338</v>
      </c>
      <c r="B137" s="853"/>
      <c r="C137" s="665" t="s">
        <v>647</v>
      </c>
    </row>
    <row r="138" spans="1:3" ht="15">
      <c r="A138" s="845" t="s">
        <v>1339</v>
      </c>
      <c r="B138" s="853"/>
      <c r="C138" s="665" t="s">
        <v>648</v>
      </c>
    </row>
    <row r="139" spans="1:3" ht="15">
      <c r="A139" s="845"/>
      <c r="B139" s="853"/>
      <c r="C139" s="665" t="s">
        <v>1340</v>
      </c>
    </row>
    <row r="140" spans="1:3" ht="15">
      <c r="A140" s="845" t="s">
        <v>1341</v>
      </c>
      <c r="B140" s="853"/>
      <c r="C140" s="665" t="s">
        <v>175</v>
      </c>
    </row>
    <row r="141" spans="1:3" ht="15">
      <c r="A141" s="845" t="s">
        <v>1342</v>
      </c>
      <c r="B141" s="853"/>
      <c r="C141" s="665" t="s">
        <v>176</v>
      </c>
    </row>
    <row r="142" spans="1:3" ht="15">
      <c r="A142" s="845" t="s">
        <v>1343</v>
      </c>
      <c r="B142" s="853"/>
      <c r="C142" s="665" t="s">
        <v>177</v>
      </c>
    </row>
    <row r="143" spans="1:3" ht="15">
      <c r="A143" s="845" t="s">
        <v>1344</v>
      </c>
      <c r="B143" s="853"/>
      <c r="C143" s="665" t="s">
        <v>178</v>
      </c>
    </row>
    <row r="144" spans="1:3" ht="15">
      <c r="A144" s="845" t="s">
        <v>1345</v>
      </c>
      <c r="B144" s="853"/>
      <c r="C144" s="665" t="s">
        <v>179</v>
      </c>
    </row>
    <row r="145" spans="1:3" ht="15">
      <c r="A145" s="845" t="s">
        <v>1346</v>
      </c>
      <c r="B145" s="853"/>
      <c r="C145" s="665" t="s">
        <v>180</v>
      </c>
    </row>
    <row r="146" spans="1:3" ht="15">
      <c r="A146" s="845" t="s">
        <v>1347</v>
      </c>
      <c r="B146" s="853"/>
      <c r="C146" s="665" t="s">
        <v>183</v>
      </c>
    </row>
    <row r="147" spans="1:3" ht="15">
      <c r="A147" s="845" t="s">
        <v>1348</v>
      </c>
      <c r="B147" s="853"/>
      <c r="C147" s="665" t="s">
        <v>184</v>
      </c>
    </row>
    <row r="148" spans="1:3" ht="15">
      <c r="A148" s="845" t="s">
        <v>1349</v>
      </c>
      <c r="B148" s="853"/>
      <c r="C148" s="665" t="s">
        <v>185</v>
      </c>
    </row>
    <row r="149" spans="1:3" ht="15">
      <c r="A149" s="845" t="s">
        <v>1350</v>
      </c>
      <c r="B149" s="853"/>
      <c r="C149" s="665" t="s">
        <v>186</v>
      </c>
    </row>
    <row r="150" spans="1:3" ht="15">
      <c r="A150" s="845" t="s">
        <v>1351</v>
      </c>
      <c r="B150" s="853"/>
      <c r="C150" s="665" t="s">
        <v>187</v>
      </c>
    </row>
    <row r="151" spans="1:3" ht="15">
      <c r="A151" s="845" t="s">
        <v>1352</v>
      </c>
      <c r="B151" s="853"/>
      <c r="C151" s="665" t="s">
        <v>188</v>
      </c>
    </row>
    <row r="152" spans="1:3" ht="15">
      <c r="A152" s="845" t="s">
        <v>1353</v>
      </c>
      <c r="B152" s="853"/>
      <c r="C152" s="665" t="s">
        <v>189</v>
      </c>
    </row>
    <row r="153" spans="1:3" ht="15">
      <c r="A153" s="845" t="s">
        <v>1354</v>
      </c>
      <c r="B153" s="853"/>
      <c r="C153" s="665" t="s">
        <v>190</v>
      </c>
    </row>
    <row r="154" spans="1:3" ht="15">
      <c r="A154" s="845" t="s">
        <v>1355</v>
      </c>
      <c r="B154" s="853"/>
      <c r="C154" s="665" t="s">
        <v>191</v>
      </c>
    </row>
    <row r="155" spans="1:3" ht="15">
      <c r="A155" s="845" t="s">
        <v>1356</v>
      </c>
      <c r="B155" s="853"/>
      <c r="C155" s="665" t="s">
        <v>192</v>
      </c>
    </row>
    <row r="156" spans="1:3" ht="15">
      <c r="A156" s="845" t="s">
        <v>1357</v>
      </c>
      <c r="B156" s="853"/>
      <c r="C156" s="665" t="s">
        <v>649</v>
      </c>
    </row>
    <row r="157" spans="1:3" ht="15">
      <c r="A157" s="845" t="s">
        <v>1358</v>
      </c>
      <c r="B157" s="853"/>
      <c r="C157" s="665" t="s">
        <v>193</v>
      </c>
    </row>
    <row r="158" spans="1:3" ht="15">
      <c r="A158" s="845" t="s">
        <v>1359</v>
      </c>
      <c r="B158" s="853"/>
      <c r="C158" s="665" t="s">
        <v>194</v>
      </c>
    </row>
    <row r="159" spans="1:3" ht="15">
      <c r="A159" s="845"/>
      <c r="B159" s="853"/>
      <c r="C159" s="665" t="s">
        <v>1360</v>
      </c>
    </row>
    <row r="160" spans="1:3" ht="15">
      <c r="A160" s="845"/>
      <c r="B160" s="853"/>
      <c r="C160" s="665" t="s">
        <v>1361</v>
      </c>
    </row>
    <row r="161" spans="1:3" ht="15">
      <c r="A161" s="845" t="s">
        <v>1362</v>
      </c>
      <c r="B161" s="853"/>
      <c r="C161" s="665" t="s">
        <v>201</v>
      </c>
    </row>
    <row r="162" spans="1:3" ht="15">
      <c r="A162" s="845" t="s">
        <v>1363</v>
      </c>
      <c r="B162" s="853"/>
      <c r="C162" s="665" t="s">
        <v>202</v>
      </c>
    </row>
    <row r="163" spans="1:3" ht="15">
      <c r="A163" s="845" t="s">
        <v>1364</v>
      </c>
      <c r="B163" s="853"/>
      <c r="C163" s="665" t="s">
        <v>203</v>
      </c>
    </row>
    <row r="164" spans="1:3" ht="15">
      <c r="A164" s="845" t="s">
        <v>1365</v>
      </c>
      <c r="B164" s="853"/>
      <c r="C164" s="665" t="s">
        <v>204</v>
      </c>
    </row>
    <row r="165" spans="1:3" ht="15">
      <c r="A165" s="845" t="s">
        <v>1366</v>
      </c>
      <c r="B165" s="853"/>
      <c r="C165" s="665" t="s">
        <v>815</v>
      </c>
    </row>
    <row r="166" spans="1:3" ht="15">
      <c r="A166" s="845" t="s">
        <v>1367</v>
      </c>
      <c r="B166" s="853"/>
      <c r="C166" s="665" t="s">
        <v>650</v>
      </c>
    </row>
    <row r="167" spans="1:3" ht="15">
      <c r="A167" s="845" t="s">
        <v>1368</v>
      </c>
      <c r="B167" s="853"/>
      <c r="C167" s="665" t="s">
        <v>166</v>
      </c>
    </row>
    <row r="168" spans="1:3" ht="15">
      <c r="A168" s="845" t="s">
        <v>1369</v>
      </c>
      <c r="B168" s="853"/>
      <c r="C168" s="665" t="s">
        <v>651</v>
      </c>
    </row>
    <row r="169" spans="1:3" ht="15">
      <c r="A169" s="845" t="s">
        <v>1370</v>
      </c>
      <c r="B169" s="853"/>
      <c r="C169" s="665" t="s">
        <v>206</v>
      </c>
    </row>
    <row r="170" spans="1:3" ht="15">
      <c r="A170" s="845" t="s">
        <v>1371</v>
      </c>
      <c r="B170" s="853"/>
      <c r="C170" s="665" t="s">
        <v>207</v>
      </c>
    </row>
    <row r="171" spans="1:3" ht="15">
      <c r="A171" s="845" t="s">
        <v>1372</v>
      </c>
      <c r="B171" s="853"/>
      <c r="C171" s="665" t="s">
        <v>208</v>
      </c>
    </row>
    <row r="172" spans="1:3" ht="15">
      <c r="A172" s="845" t="s">
        <v>1373</v>
      </c>
      <c r="B172" s="853"/>
      <c r="C172" s="665" t="s">
        <v>652</v>
      </c>
    </row>
    <row r="173" spans="1:3" ht="15">
      <c r="A173" s="845" t="s">
        <v>1374</v>
      </c>
      <c r="B173" s="853"/>
      <c r="C173" s="665" t="s">
        <v>209</v>
      </c>
    </row>
    <row r="174" spans="1:3" ht="15">
      <c r="A174" s="845" t="s">
        <v>1375</v>
      </c>
      <c r="B174" s="853"/>
      <c r="C174" s="665" t="s">
        <v>210</v>
      </c>
    </row>
    <row r="175" spans="1:3" ht="15">
      <c r="A175" s="845" t="s">
        <v>1376</v>
      </c>
      <c r="B175" s="853"/>
      <c r="C175" s="665" t="s">
        <v>653</v>
      </c>
    </row>
    <row r="176" spans="1:3" ht="15">
      <c r="A176" s="845"/>
      <c r="B176" s="853"/>
      <c r="C176" s="665" t="s">
        <v>1377</v>
      </c>
    </row>
    <row r="177" spans="1:3" ht="15">
      <c r="A177" s="845"/>
      <c r="B177" s="853"/>
      <c r="C177" s="665" t="s">
        <v>1378</v>
      </c>
    </row>
    <row r="178" spans="1:3" ht="15">
      <c r="A178" s="845" t="s">
        <v>1379</v>
      </c>
      <c r="B178" s="853"/>
      <c r="C178" s="665" t="s">
        <v>654</v>
      </c>
    </row>
    <row r="179" spans="1:3" ht="15">
      <c r="A179" s="845" t="s">
        <v>1380</v>
      </c>
      <c r="B179" s="853"/>
      <c r="C179" s="665" t="s">
        <v>655</v>
      </c>
    </row>
    <row r="180" spans="1:3" ht="15">
      <c r="A180" s="845" t="s">
        <v>1381</v>
      </c>
      <c r="B180" s="853"/>
      <c r="C180" s="665" t="s">
        <v>656</v>
      </c>
    </row>
    <row r="181" spans="1:3" ht="15">
      <c r="A181" s="845" t="s">
        <v>1382</v>
      </c>
      <c r="B181" s="853"/>
      <c r="C181" s="665" t="s">
        <v>657</v>
      </c>
    </row>
    <row r="182" spans="1:3" ht="15">
      <c r="A182" s="845" t="s">
        <v>1383</v>
      </c>
      <c r="B182" s="853"/>
      <c r="C182" s="665" t="s">
        <v>658</v>
      </c>
    </row>
    <row r="183" spans="1:3" ht="15">
      <c r="A183" s="845" t="s">
        <v>1384</v>
      </c>
      <c r="B183" s="853"/>
      <c r="C183" s="665" t="s">
        <v>659</v>
      </c>
    </row>
    <row r="184" spans="1:3" ht="15">
      <c r="A184" s="845" t="s">
        <v>1385</v>
      </c>
      <c r="B184" s="853"/>
      <c r="C184" s="665" t="s">
        <v>660</v>
      </c>
    </row>
    <row r="185" spans="1:3" ht="15">
      <c r="A185" s="845" t="s">
        <v>1386</v>
      </c>
      <c r="B185" s="853"/>
      <c r="C185" s="665" t="s">
        <v>661</v>
      </c>
    </row>
    <row r="186" spans="1:3" ht="15">
      <c r="A186" s="845" t="s">
        <v>1387</v>
      </c>
      <c r="B186" s="853"/>
      <c r="C186" s="665" t="s">
        <v>662</v>
      </c>
    </row>
    <row r="187" spans="1:3" ht="15">
      <c r="A187" s="845" t="s">
        <v>1388</v>
      </c>
      <c r="B187" s="853"/>
      <c r="C187" s="665" t="s">
        <v>663</v>
      </c>
    </row>
    <row r="188" spans="1:3" ht="15">
      <c r="A188" s="845" t="s">
        <v>1389</v>
      </c>
      <c r="B188" s="853"/>
      <c r="C188" s="665" t="s">
        <v>816</v>
      </c>
    </row>
    <row r="189" spans="1:3" ht="15">
      <c r="A189" s="845" t="s">
        <v>1390</v>
      </c>
      <c r="B189" s="853"/>
      <c r="C189" s="665" t="s">
        <v>664</v>
      </c>
    </row>
    <row r="190" spans="1:3" ht="15">
      <c r="A190" s="845" t="s">
        <v>1391</v>
      </c>
      <c r="B190" s="853"/>
      <c r="C190" s="665" t="s">
        <v>665</v>
      </c>
    </row>
    <row r="191" spans="1:3" ht="15">
      <c r="A191" s="845" t="s">
        <v>1392</v>
      </c>
      <c r="B191" s="853"/>
      <c r="C191" s="665" t="s">
        <v>666</v>
      </c>
    </row>
    <row r="192" spans="1:3" ht="15">
      <c r="A192" s="845" t="s">
        <v>1393</v>
      </c>
      <c r="B192" s="853"/>
      <c r="C192" s="665" t="s">
        <v>667</v>
      </c>
    </row>
    <row r="193" spans="1:3" ht="15">
      <c r="A193" s="845" t="s">
        <v>1394</v>
      </c>
      <c r="B193" s="853"/>
      <c r="C193" s="665" t="s">
        <v>668</v>
      </c>
    </row>
    <row r="194" spans="1:3" ht="15">
      <c r="A194" s="845" t="s">
        <v>1395</v>
      </c>
      <c r="B194" s="853"/>
      <c r="C194" s="665" t="s">
        <v>669</v>
      </c>
    </row>
    <row r="195" spans="1:3" ht="15">
      <c r="A195" s="845" t="s">
        <v>1180</v>
      </c>
      <c r="B195" s="853"/>
      <c r="C195" s="665" t="s">
        <v>281</v>
      </c>
    </row>
    <row r="196" spans="1:3" ht="15">
      <c r="A196" s="845" t="s">
        <v>1181</v>
      </c>
      <c r="B196" s="853"/>
      <c r="C196" s="665" t="s">
        <v>294</v>
      </c>
    </row>
    <row r="197" spans="1:3" ht="15">
      <c r="A197" s="845"/>
      <c r="B197" s="853"/>
      <c r="C197" s="665" t="s">
        <v>1396</v>
      </c>
    </row>
    <row r="198" spans="1:3" ht="15">
      <c r="A198" s="845" t="s">
        <v>1397</v>
      </c>
      <c r="B198" s="853"/>
      <c r="C198" s="665" t="s">
        <v>257</v>
      </c>
    </row>
    <row r="199" spans="1:3" ht="15">
      <c r="A199" s="845" t="s">
        <v>1398</v>
      </c>
      <c r="B199" s="853"/>
      <c r="C199" s="665" t="s">
        <v>670</v>
      </c>
    </row>
    <row r="200" spans="1:3" ht="15">
      <c r="A200" s="845" t="s">
        <v>1399</v>
      </c>
      <c r="B200" s="853"/>
      <c r="C200" s="665" t="s">
        <v>671</v>
      </c>
    </row>
    <row r="201" spans="1:3" ht="15">
      <c r="A201" s="845" t="s">
        <v>1400</v>
      </c>
      <c r="B201" s="853"/>
      <c r="C201" s="665" t="s">
        <v>672</v>
      </c>
    </row>
    <row r="202" spans="1:3" ht="15">
      <c r="A202" s="845" t="s">
        <v>1401</v>
      </c>
      <c r="B202" s="853"/>
      <c r="C202" s="665" t="s">
        <v>673</v>
      </c>
    </row>
    <row r="203" spans="1:3" ht="15">
      <c r="A203" s="845" t="s">
        <v>1402</v>
      </c>
      <c r="B203" s="853"/>
      <c r="C203" s="665" t="s">
        <v>674</v>
      </c>
    </row>
    <row r="204" spans="1:3" ht="15">
      <c r="A204" s="845" t="s">
        <v>1403</v>
      </c>
      <c r="B204" s="853"/>
      <c r="C204" s="665" t="s">
        <v>675</v>
      </c>
    </row>
    <row r="205" spans="1:3" ht="15">
      <c r="A205" s="845" t="s">
        <v>1404</v>
      </c>
      <c r="B205" s="853"/>
      <c r="C205" s="665" t="s">
        <v>676</v>
      </c>
    </row>
    <row r="206" spans="1:3" ht="15">
      <c r="A206" s="845" t="s">
        <v>1405</v>
      </c>
      <c r="B206" s="853"/>
      <c r="C206" s="665" t="s">
        <v>677</v>
      </c>
    </row>
    <row r="207" spans="1:3" ht="15">
      <c r="A207" s="845" t="s">
        <v>1406</v>
      </c>
      <c r="B207" s="853"/>
      <c r="C207" s="665" t="s">
        <v>678</v>
      </c>
    </row>
    <row r="208" spans="1:3" ht="15">
      <c r="A208" s="845" t="s">
        <v>1407</v>
      </c>
      <c r="B208" s="853"/>
      <c r="C208" s="665" t="s">
        <v>679</v>
      </c>
    </row>
    <row r="209" spans="1:5" ht="15">
      <c r="A209" s="845" t="s">
        <v>1408</v>
      </c>
      <c r="B209" s="853"/>
      <c r="C209" s="665" t="s">
        <v>680</v>
      </c>
    </row>
    <row r="210" spans="1:5" ht="15">
      <c r="A210" s="845"/>
      <c r="B210" s="853"/>
      <c r="C210" s="665" t="s">
        <v>1409</v>
      </c>
    </row>
    <row r="211" spans="1:5" ht="15">
      <c r="A211" s="845" t="s">
        <v>1410</v>
      </c>
      <c r="B211" s="853"/>
      <c r="C211" s="665" t="s">
        <v>1182</v>
      </c>
    </row>
    <row r="212" spans="1:5" ht="15">
      <c r="A212" s="845" t="s">
        <v>1411</v>
      </c>
      <c r="B212" s="853"/>
      <c r="C212" s="665" t="s">
        <v>681</v>
      </c>
    </row>
    <row r="213" spans="1:5" ht="15">
      <c r="A213" s="845" t="s">
        <v>1412</v>
      </c>
      <c r="B213" s="853"/>
      <c r="C213" s="665" t="s">
        <v>1413</v>
      </c>
    </row>
    <row r="214" spans="1:5" ht="15">
      <c r="A214" s="845" t="s">
        <v>1414</v>
      </c>
      <c r="B214" s="853"/>
      <c r="C214" s="665" t="s">
        <v>682</v>
      </c>
    </row>
    <row r="215" spans="1:5" ht="15">
      <c r="A215" s="845"/>
      <c r="B215" s="853"/>
      <c r="C215" s="665" t="s">
        <v>1415</v>
      </c>
    </row>
    <row r="216" spans="1:5" ht="15">
      <c r="A216" s="845"/>
      <c r="B216" s="853"/>
      <c r="C216" s="665" t="s">
        <v>1416</v>
      </c>
    </row>
    <row r="217" spans="1:5" s="15" customFormat="1" ht="15">
      <c r="A217" s="845" t="s">
        <v>1417</v>
      </c>
      <c r="B217" s="853"/>
      <c r="C217" s="665" t="s">
        <v>683</v>
      </c>
      <c r="D217" s="832"/>
      <c r="E217" s="843"/>
    </row>
    <row r="218" spans="1:5" s="15" customFormat="1" ht="15">
      <c r="A218" s="845" t="s">
        <v>1418</v>
      </c>
      <c r="B218" s="853"/>
      <c r="C218" s="665" t="s">
        <v>258</v>
      </c>
      <c r="D218" s="832"/>
      <c r="E218" s="843"/>
    </row>
    <row r="219" spans="1:5" s="15" customFormat="1" ht="15">
      <c r="A219" s="845" t="s">
        <v>1419</v>
      </c>
      <c r="B219" s="853"/>
      <c r="C219" s="665" t="s">
        <v>259</v>
      </c>
      <c r="D219" s="832"/>
      <c r="E219" s="843"/>
    </row>
    <row r="220" spans="1:5" s="15" customFormat="1" ht="15">
      <c r="A220" s="845" t="s">
        <v>1420</v>
      </c>
      <c r="B220" s="853"/>
      <c r="C220" s="665" t="s">
        <v>260</v>
      </c>
      <c r="D220" s="832"/>
      <c r="E220" s="843"/>
    </row>
    <row r="221" spans="1:5" s="15" customFormat="1" ht="15">
      <c r="A221" s="845" t="s">
        <v>1421</v>
      </c>
      <c r="B221" s="853"/>
      <c r="C221" s="665" t="s">
        <v>261</v>
      </c>
      <c r="D221" s="832"/>
      <c r="E221" s="843"/>
    </row>
    <row r="222" spans="1:5" ht="15">
      <c r="A222" s="845" t="s">
        <v>1422</v>
      </c>
      <c r="B222" s="853"/>
      <c r="C222" s="665" t="s">
        <v>262</v>
      </c>
    </row>
    <row r="223" spans="1:5" ht="15">
      <c r="A223" s="845" t="s">
        <v>1183</v>
      </c>
      <c r="B223" s="853"/>
      <c r="C223" s="665" t="s">
        <v>255</v>
      </c>
    </row>
    <row r="224" spans="1:5" ht="15">
      <c r="A224" s="845" t="s">
        <v>1184</v>
      </c>
      <c r="B224" s="853"/>
      <c r="C224" s="665" t="s">
        <v>684</v>
      </c>
    </row>
    <row r="225" spans="1:3" ht="15">
      <c r="A225" s="845" t="s">
        <v>1423</v>
      </c>
      <c r="B225" s="853"/>
      <c r="C225" s="665" t="s">
        <v>685</v>
      </c>
    </row>
    <row r="226" spans="1:3" ht="15">
      <c r="A226" s="845"/>
      <c r="B226" s="853"/>
      <c r="C226" s="665" t="s">
        <v>1424</v>
      </c>
    </row>
    <row r="227" spans="1:3" ht="15">
      <c r="A227" s="845" t="s">
        <v>1425</v>
      </c>
      <c r="B227" s="853"/>
      <c r="C227" s="665" t="s">
        <v>227</v>
      </c>
    </row>
    <row r="228" spans="1:3" ht="15">
      <c r="A228" s="845" t="s">
        <v>1426</v>
      </c>
      <c r="B228" s="853"/>
      <c r="C228" s="665" t="s">
        <v>229</v>
      </c>
    </row>
    <row r="229" spans="1:3" ht="15">
      <c r="A229" s="845" t="s">
        <v>1427</v>
      </c>
      <c r="B229" s="853"/>
      <c r="C229" s="665" t="s">
        <v>230</v>
      </c>
    </row>
    <row r="230" spans="1:3" ht="15">
      <c r="A230" s="845" t="s">
        <v>1428</v>
      </c>
      <c r="B230" s="853"/>
      <c r="C230" s="665" t="s">
        <v>686</v>
      </c>
    </row>
    <row r="231" spans="1:3" ht="15">
      <c r="A231" s="845" t="s">
        <v>1429</v>
      </c>
      <c r="B231" s="853"/>
      <c r="C231" s="665" t="s">
        <v>233</v>
      </c>
    </row>
    <row r="232" spans="1:3" ht="15">
      <c r="A232" s="845" t="s">
        <v>1430</v>
      </c>
      <c r="B232" s="853"/>
      <c r="C232" s="665" t="s">
        <v>687</v>
      </c>
    </row>
    <row r="233" spans="1:3" ht="15">
      <c r="A233" s="845" t="s">
        <v>1431</v>
      </c>
      <c r="B233" s="853"/>
      <c r="C233" s="665" t="s">
        <v>247</v>
      </c>
    </row>
    <row r="234" spans="1:3" ht="15">
      <c r="A234" s="845" t="s">
        <v>1432</v>
      </c>
      <c r="B234" s="853"/>
      <c r="C234" s="665" t="s">
        <v>688</v>
      </c>
    </row>
    <row r="235" spans="1:3" ht="15">
      <c r="A235" s="845" t="s">
        <v>1433</v>
      </c>
      <c r="B235" s="853"/>
      <c r="C235" s="665" t="s">
        <v>689</v>
      </c>
    </row>
    <row r="236" spans="1:3" ht="15">
      <c r="A236" s="845" t="s">
        <v>1434</v>
      </c>
      <c r="B236" s="853"/>
      <c r="C236" s="665" t="s">
        <v>690</v>
      </c>
    </row>
    <row r="237" spans="1:3" ht="15">
      <c r="A237" s="845" t="s">
        <v>1435</v>
      </c>
      <c r="B237" s="853"/>
      <c r="C237" s="665" t="s">
        <v>691</v>
      </c>
    </row>
    <row r="238" spans="1:3" ht="15">
      <c r="A238" s="845" t="s">
        <v>1436</v>
      </c>
      <c r="B238" s="853"/>
      <c r="C238" s="665" t="s">
        <v>268</v>
      </c>
    </row>
    <row r="239" spans="1:3" ht="15">
      <c r="A239" s="845" t="s">
        <v>1437</v>
      </c>
      <c r="B239" s="853"/>
      <c r="C239" s="665" t="s">
        <v>269</v>
      </c>
    </row>
    <row r="240" spans="1:3" ht="15">
      <c r="A240" s="845" t="s">
        <v>1438</v>
      </c>
      <c r="B240" s="853"/>
      <c r="C240" s="665" t="s">
        <v>287</v>
      </c>
    </row>
    <row r="241" spans="1:3" ht="15">
      <c r="A241" s="845" t="s">
        <v>1439</v>
      </c>
      <c r="B241" s="853"/>
      <c r="C241" s="665" t="s">
        <v>288</v>
      </c>
    </row>
    <row r="242" spans="1:3" ht="15">
      <c r="A242" s="845" t="s">
        <v>1440</v>
      </c>
      <c r="B242" s="853"/>
      <c r="C242" s="665" t="s">
        <v>289</v>
      </c>
    </row>
    <row r="243" spans="1:3" ht="15">
      <c r="A243" s="845" t="s">
        <v>1441</v>
      </c>
      <c r="B243" s="853"/>
      <c r="C243" s="665" t="s">
        <v>298</v>
      </c>
    </row>
    <row r="244" spans="1:3" ht="15">
      <c r="A244" s="845"/>
      <c r="B244" s="853"/>
      <c r="C244" s="665" t="s">
        <v>1442</v>
      </c>
    </row>
    <row r="245" spans="1:3" ht="15">
      <c r="A245" s="845" t="s">
        <v>1443</v>
      </c>
      <c r="B245" s="853"/>
      <c r="C245" s="665" t="s">
        <v>248</v>
      </c>
    </row>
    <row r="246" spans="1:3" ht="15">
      <c r="A246" s="845" t="s">
        <v>1444</v>
      </c>
      <c r="B246" s="853"/>
      <c r="C246" s="665" t="s">
        <v>249</v>
      </c>
    </row>
    <row r="247" spans="1:3" ht="15">
      <c r="A247" s="845" t="s">
        <v>1445</v>
      </c>
      <c r="B247" s="853"/>
      <c r="C247" s="665" t="s">
        <v>692</v>
      </c>
    </row>
    <row r="248" spans="1:3" ht="15">
      <c r="A248" s="845" t="s">
        <v>1446</v>
      </c>
      <c r="B248" s="853"/>
      <c r="C248" s="665" t="s">
        <v>250</v>
      </c>
    </row>
    <row r="249" spans="1:3" ht="15">
      <c r="A249" s="845" t="s">
        <v>1447</v>
      </c>
      <c r="B249" s="853"/>
      <c r="C249" s="665" t="s">
        <v>251</v>
      </c>
    </row>
    <row r="250" spans="1:3" ht="15">
      <c r="A250" s="845" t="s">
        <v>1448</v>
      </c>
      <c r="B250" s="853"/>
      <c r="C250" s="665" t="s">
        <v>693</v>
      </c>
    </row>
    <row r="251" spans="1:3" ht="15">
      <c r="A251" s="845" t="s">
        <v>1449</v>
      </c>
      <c r="B251" s="853"/>
      <c r="C251" s="665" t="s">
        <v>694</v>
      </c>
    </row>
    <row r="252" spans="1:3" ht="15">
      <c r="A252" s="845" t="s">
        <v>1450</v>
      </c>
      <c r="B252" s="853"/>
      <c r="C252" s="665" t="s">
        <v>252</v>
      </c>
    </row>
    <row r="253" spans="1:3" ht="15">
      <c r="A253" s="845" t="s">
        <v>1451</v>
      </c>
      <c r="B253" s="853"/>
      <c r="C253" s="665" t="s">
        <v>253</v>
      </c>
    </row>
    <row r="254" spans="1:3" ht="15">
      <c r="A254" s="845" t="s">
        <v>1452</v>
      </c>
      <c r="B254" s="853"/>
      <c r="C254" s="665" t="s">
        <v>254</v>
      </c>
    </row>
    <row r="255" spans="1:3" ht="15">
      <c r="A255" s="845" t="s">
        <v>1453</v>
      </c>
      <c r="B255" s="853"/>
      <c r="C255" s="665" t="s">
        <v>695</v>
      </c>
    </row>
    <row r="256" spans="1:3" ht="15">
      <c r="A256" s="845" t="s">
        <v>1454</v>
      </c>
      <c r="B256" s="853"/>
      <c r="C256" s="665" t="s">
        <v>817</v>
      </c>
    </row>
    <row r="257" spans="1:3" ht="15">
      <c r="A257" s="845" t="s">
        <v>1455</v>
      </c>
      <c r="B257" s="853"/>
      <c r="C257" s="665" t="s">
        <v>696</v>
      </c>
    </row>
    <row r="258" spans="1:3" ht="15">
      <c r="A258" s="845" t="s">
        <v>1456</v>
      </c>
      <c r="B258" s="853"/>
      <c r="C258" s="665" t="s">
        <v>697</v>
      </c>
    </row>
    <row r="259" spans="1:3" ht="15">
      <c r="A259" s="845" t="s">
        <v>1457</v>
      </c>
      <c r="B259" s="853"/>
      <c r="C259" s="665" t="s">
        <v>256</v>
      </c>
    </row>
    <row r="260" spans="1:3" ht="15">
      <c r="A260" s="845" t="s">
        <v>1458</v>
      </c>
      <c r="B260" s="853"/>
      <c r="C260" s="665" t="s">
        <v>698</v>
      </c>
    </row>
    <row r="261" spans="1:3" ht="15">
      <c r="A261" s="845" t="s">
        <v>1459</v>
      </c>
      <c r="B261" s="853"/>
      <c r="C261" s="665" t="s">
        <v>699</v>
      </c>
    </row>
    <row r="262" spans="1:3" ht="15">
      <c r="A262" s="845" t="s">
        <v>1460</v>
      </c>
      <c r="B262" s="853"/>
      <c r="C262" s="665" t="s">
        <v>1461</v>
      </c>
    </row>
    <row r="263" spans="1:3" ht="15">
      <c r="A263" s="845"/>
      <c r="B263" s="853"/>
      <c r="C263" s="665" t="s">
        <v>1462</v>
      </c>
    </row>
    <row r="264" spans="1:3" ht="15">
      <c r="A264" s="845" t="s">
        <v>1463</v>
      </c>
      <c r="B264" s="853"/>
      <c r="C264" s="665" t="s">
        <v>211</v>
      </c>
    </row>
    <row r="265" spans="1:3" ht="15">
      <c r="A265" s="845" t="s">
        <v>1464</v>
      </c>
      <c r="B265" s="853"/>
      <c r="C265" s="665" t="s">
        <v>212</v>
      </c>
    </row>
    <row r="266" spans="1:3" ht="15">
      <c r="A266" s="845"/>
      <c r="B266" s="853"/>
      <c r="C266" s="665" t="s">
        <v>1465</v>
      </c>
    </row>
    <row r="267" spans="1:3" ht="15">
      <c r="A267" s="845"/>
      <c r="B267" s="853"/>
      <c r="C267" s="665" t="s">
        <v>1466</v>
      </c>
    </row>
    <row r="268" spans="1:3" ht="15">
      <c r="A268" s="845" t="s">
        <v>1467</v>
      </c>
      <c r="B268" s="853"/>
      <c r="C268" s="665" t="s">
        <v>700</v>
      </c>
    </row>
    <row r="269" spans="1:3" ht="15">
      <c r="A269" s="845" t="s">
        <v>1468</v>
      </c>
      <c r="B269" s="853"/>
      <c r="C269" s="665" t="s">
        <v>701</v>
      </c>
    </row>
    <row r="270" spans="1:3" ht="15">
      <c r="A270" s="845" t="s">
        <v>1469</v>
      </c>
      <c r="B270" s="853"/>
      <c r="C270" s="665" t="s">
        <v>702</v>
      </c>
    </row>
    <row r="271" spans="1:3" ht="15">
      <c r="A271" s="845" t="s">
        <v>1470</v>
      </c>
      <c r="B271" s="853"/>
      <c r="C271" s="665" t="s">
        <v>703</v>
      </c>
    </row>
    <row r="272" spans="1:3" ht="15">
      <c r="A272" s="845" t="s">
        <v>1471</v>
      </c>
      <c r="B272" s="853"/>
      <c r="C272" s="665" t="s">
        <v>704</v>
      </c>
    </row>
    <row r="273" spans="1:3" ht="15">
      <c r="A273" s="845" t="s">
        <v>1472</v>
      </c>
      <c r="B273" s="853"/>
      <c r="C273" s="665" t="s">
        <v>705</v>
      </c>
    </row>
    <row r="274" spans="1:3" ht="15">
      <c r="A274" s="845" t="s">
        <v>1473</v>
      </c>
      <c r="B274" s="853"/>
      <c r="C274" s="665" t="s">
        <v>282</v>
      </c>
    </row>
    <row r="275" spans="1:3" ht="15">
      <c r="A275" s="845" t="s">
        <v>1474</v>
      </c>
      <c r="B275" s="853"/>
      <c r="C275" s="665" t="s">
        <v>283</v>
      </c>
    </row>
    <row r="276" spans="1:3" ht="15">
      <c r="A276" s="845" t="s">
        <v>1475</v>
      </c>
      <c r="B276" s="853"/>
      <c r="C276" s="665" t="s">
        <v>290</v>
      </c>
    </row>
    <row r="277" spans="1:3" ht="15">
      <c r="A277" s="845" t="s">
        <v>1476</v>
      </c>
      <c r="B277" s="853"/>
      <c r="C277" s="665" t="s">
        <v>291</v>
      </c>
    </row>
    <row r="278" spans="1:3" ht="15">
      <c r="A278" s="845" t="s">
        <v>1477</v>
      </c>
      <c r="B278" s="853"/>
      <c r="C278" s="665" t="s">
        <v>292</v>
      </c>
    </row>
    <row r="279" spans="1:3" ht="15">
      <c r="A279" s="845"/>
      <c r="B279" s="853"/>
      <c r="C279" s="665" t="s">
        <v>1478</v>
      </c>
    </row>
    <row r="280" spans="1:3" ht="15">
      <c r="A280" s="845" t="s">
        <v>1185</v>
      </c>
      <c r="B280" s="853"/>
      <c r="C280" s="665" t="s">
        <v>226</v>
      </c>
    </row>
    <row r="281" spans="1:3" ht="15">
      <c r="A281" s="845" t="s">
        <v>1479</v>
      </c>
      <c r="B281" s="853"/>
      <c r="C281" s="665" t="s">
        <v>280</v>
      </c>
    </row>
    <row r="282" spans="1:3" ht="15">
      <c r="A282" s="845" t="s">
        <v>1480</v>
      </c>
      <c r="B282" s="853"/>
      <c r="C282" s="665" t="s">
        <v>706</v>
      </c>
    </row>
    <row r="283" spans="1:3" ht="15">
      <c r="A283" s="845" t="s">
        <v>1481</v>
      </c>
      <c r="B283" s="853"/>
      <c r="C283" s="665" t="s">
        <v>707</v>
      </c>
    </row>
    <row r="284" spans="1:3" ht="15">
      <c r="A284" s="845" t="s">
        <v>1482</v>
      </c>
      <c r="B284" s="853"/>
      <c r="C284" s="665" t="s">
        <v>708</v>
      </c>
    </row>
    <row r="285" spans="1:3" ht="15">
      <c r="A285" s="845" t="s">
        <v>1483</v>
      </c>
      <c r="B285" s="853"/>
      <c r="C285" s="665" t="s">
        <v>709</v>
      </c>
    </row>
    <row r="286" spans="1:3" ht="15">
      <c r="A286" s="845" t="s">
        <v>1484</v>
      </c>
      <c r="B286" s="853"/>
      <c r="C286" s="665" t="s">
        <v>296</v>
      </c>
    </row>
    <row r="287" spans="1:3" ht="15">
      <c r="A287" s="845" t="s">
        <v>1485</v>
      </c>
      <c r="B287" s="853"/>
      <c r="C287" s="665" t="s">
        <v>305</v>
      </c>
    </row>
    <row r="288" spans="1:3" ht="15">
      <c r="A288" s="845" t="s">
        <v>1486</v>
      </c>
      <c r="B288" s="853"/>
      <c r="C288" s="665" t="s">
        <v>306</v>
      </c>
    </row>
    <row r="289" spans="1:3" ht="15">
      <c r="A289" s="845" t="s">
        <v>1186</v>
      </c>
      <c r="B289" s="853"/>
      <c r="C289" s="665" t="s">
        <v>228</v>
      </c>
    </row>
    <row r="290" spans="1:3" ht="15">
      <c r="A290" s="845" t="s">
        <v>1487</v>
      </c>
      <c r="B290" s="853"/>
      <c r="C290" s="665" t="s">
        <v>710</v>
      </c>
    </row>
    <row r="291" spans="1:3" ht="15">
      <c r="A291" s="845" t="s">
        <v>1488</v>
      </c>
      <c r="B291" s="853"/>
      <c r="C291" s="665" t="s">
        <v>711</v>
      </c>
    </row>
    <row r="292" spans="1:3" ht="15">
      <c r="A292" s="845" t="s">
        <v>1489</v>
      </c>
      <c r="B292" s="853"/>
      <c r="C292" s="665" t="s">
        <v>818</v>
      </c>
    </row>
    <row r="293" spans="1:3" ht="15">
      <c r="A293" s="845" t="s">
        <v>1490</v>
      </c>
      <c r="B293" s="853"/>
      <c r="C293" s="665" t="s">
        <v>712</v>
      </c>
    </row>
    <row r="294" spans="1:3" ht="15">
      <c r="A294" s="845" t="s">
        <v>1491</v>
      </c>
      <c r="B294" s="853"/>
      <c r="C294" s="665" t="s">
        <v>713</v>
      </c>
    </row>
    <row r="295" spans="1:3" ht="15">
      <c r="A295" s="845" t="s">
        <v>1492</v>
      </c>
      <c r="B295" s="853"/>
      <c r="C295" s="665" t="s">
        <v>714</v>
      </c>
    </row>
    <row r="296" spans="1:3" ht="15">
      <c r="A296" s="845"/>
      <c r="B296" s="853"/>
      <c r="C296" s="665" t="s">
        <v>1493</v>
      </c>
    </row>
    <row r="297" spans="1:3" ht="15">
      <c r="A297" s="845" t="s">
        <v>1494</v>
      </c>
      <c r="B297" s="853"/>
      <c r="C297" s="665" t="s">
        <v>231</v>
      </c>
    </row>
    <row r="298" spans="1:3" ht="15">
      <c r="A298" s="845" t="s">
        <v>1495</v>
      </c>
      <c r="B298" s="853"/>
      <c r="C298" s="665" t="s">
        <v>715</v>
      </c>
    </row>
    <row r="299" spans="1:3" ht="15">
      <c r="A299" s="845" t="s">
        <v>1496</v>
      </c>
      <c r="B299" s="853"/>
      <c r="C299" s="665" t="s">
        <v>293</v>
      </c>
    </row>
    <row r="300" spans="1:3" ht="15">
      <c r="A300" s="845" t="s">
        <v>1497</v>
      </c>
      <c r="B300" s="853"/>
      <c r="C300" s="665" t="s">
        <v>303</v>
      </c>
    </row>
    <row r="301" spans="1:3" ht="15">
      <c r="A301" s="845" t="s">
        <v>1498</v>
      </c>
      <c r="B301" s="853"/>
      <c r="C301" s="665" t="s">
        <v>304</v>
      </c>
    </row>
    <row r="302" spans="1:3" ht="15">
      <c r="A302" s="845"/>
      <c r="B302" s="853"/>
      <c r="C302" s="665" t="s">
        <v>1499</v>
      </c>
    </row>
    <row r="303" spans="1:3" ht="15">
      <c r="A303" s="845" t="s">
        <v>1500</v>
      </c>
      <c r="B303" s="853"/>
      <c r="C303" s="665" t="s">
        <v>285</v>
      </c>
    </row>
    <row r="304" spans="1:3" ht="15">
      <c r="A304" s="845" t="s">
        <v>1501</v>
      </c>
      <c r="B304" s="853"/>
      <c r="C304" s="665" t="s">
        <v>286</v>
      </c>
    </row>
    <row r="305" spans="1:5" ht="15">
      <c r="A305" s="845" t="s">
        <v>1502</v>
      </c>
      <c r="B305" s="853"/>
      <c r="C305" s="665" t="s">
        <v>243</v>
      </c>
    </row>
    <row r="306" spans="1:5" ht="15">
      <c r="A306" s="845" t="s">
        <v>1503</v>
      </c>
      <c r="B306" s="853"/>
      <c r="C306" s="665" t="s">
        <v>244</v>
      </c>
    </row>
    <row r="307" spans="1:5" ht="15">
      <c r="A307" s="845" t="s">
        <v>1504</v>
      </c>
      <c r="B307" s="853"/>
      <c r="C307" s="665" t="s">
        <v>245</v>
      </c>
    </row>
    <row r="308" spans="1:5" ht="15">
      <c r="A308" s="845" t="s">
        <v>1187</v>
      </c>
      <c r="B308" s="853"/>
      <c r="C308" s="665" t="s">
        <v>205</v>
      </c>
    </row>
    <row r="309" spans="1:5" ht="15">
      <c r="A309" s="845" t="s">
        <v>1505</v>
      </c>
      <c r="B309" s="853"/>
      <c r="C309" s="665" t="s">
        <v>234</v>
      </c>
    </row>
    <row r="310" spans="1:5" ht="15">
      <c r="A310" s="845" t="s">
        <v>1506</v>
      </c>
      <c r="B310" s="853"/>
      <c r="C310" s="665" t="s">
        <v>239</v>
      </c>
    </row>
    <row r="311" spans="1:5" ht="15">
      <c r="A311" s="845" t="s">
        <v>1507</v>
      </c>
      <c r="B311" s="853"/>
      <c r="C311" s="665" t="s">
        <v>242</v>
      </c>
    </row>
    <row r="312" spans="1:5" ht="15">
      <c r="A312" s="845" t="s">
        <v>1508</v>
      </c>
      <c r="B312" s="853"/>
      <c r="C312" s="665" t="s">
        <v>246</v>
      </c>
    </row>
    <row r="313" spans="1:5" ht="15">
      <c r="A313" s="845" t="s">
        <v>1188</v>
      </c>
      <c r="B313" s="853"/>
      <c r="C313" s="665" t="s">
        <v>299</v>
      </c>
    </row>
    <row r="314" spans="1:5" ht="15">
      <c r="A314" s="845" t="s">
        <v>1189</v>
      </c>
      <c r="B314" s="853"/>
      <c r="C314" s="665" t="s">
        <v>716</v>
      </c>
    </row>
    <row r="315" spans="1:5" ht="15">
      <c r="A315" s="845"/>
      <c r="B315" s="853"/>
      <c r="C315" s="665" t="s">
        <v>1509</v>
      </c>
    </row>
    <row r="316" spans="1:5" ht="15">
      <c r="A316" s="845" t="s">
        <v>1510</v>
      </c>
      <c r="B316" s="853"/>
      <c r="C316" s="665" t="s">
        <v>717</v>
      </c>
    </row>
    <row r="317" spans="1:5" ht="15">
      <c r="A317" s="845" t="s">
        <v>1511</v>
      </c>
      <c r="B317" s="853"/>
      <c r="C317" s="665" t="s">
        <v>235</v>
      </c>
    </row>
    <row r="318" spans="1:5" ht="15">
      <c r="A318" s="845" t="s">
        <v>1512</v>
      </c>
      <c r="B318" s="853"/>
      <c r="C318" s="665" t="s">
        <v>1190</v>
      </c>
    </row>
    <row r="319" spans="1:5" ht="15">
      <c r="A319" s="845" t="s">
        <v>1513</v>
      </c>
      <c r="B319" s="853"/>
      <c r="C319" s="665" t="s">
        <v>718</v>
      </c>
    </row>
    <row r="320" spans="1:5" ht="15">
      <c r="A320" s="845" t="s">
        <v>1514</v>
      </c>
      <c r="B320" s="853"/>
      <c r="C320" s="665" t="s">
        <v>719</v>
      </c>
      <c r="D320" s="839"/>
      <c r="E320" s="844"/>
    </row>
    <row r="321" spans="1:5" ht="15">
      <c r="A321" s="845" t="s">
        <v>1515</v>
      </c>
      <c r="B321" s="853"/>
      <c r="C321" s="665" t="s">
        <v>236</v>
      </c>
    </row>
    <row r="322" spans="1:5" ht="15">
      <c r="A322" s="845" t="s">
        <v>1516</v>
      </c>
      <c r="B322" s="853"/>
      <c r="C322" s="665" t="s">
        <v>237</v>
      </c>
    </row>
    <row r="323" spans="1:5" ht="15">
      <c r="A323" s="845" t="s">
        <v>1517</v>
      </c>
      <c r="B323" s="853"/>
      <c r="C323" s="665" t="s">
        <v>238</v>
      </c>
    </row>
    <row r="324" spans="1:5" ht="15">
      <c r="A324" s="845" t="s">
        <v>1518</v>
      </c>
      <c r="B324" s="853"/>
      <c r="C324" s="665" t="s">
        <v>240</v>
      </c>
    </row>
    <row r="325" spans="1:5" ht="15">
      <c r="A325" s="845"/>
      <c r="B325" s="853"/>
      <c r="C325" s="665" t="s">
        <v>1519</v>
      </c>
    </row>
    <row r="326" spans="1:5" ht="15">
      <c r="A326" s="845" t="s">
        <v>1520</v>
      </c>
      <c r="B326" s="853"/>
      <c r="C326" s="665" t="s">
        <v>276</v>
      </c>
    </row>
    <row r="327" spans="1:5" ht="15">
      <c r="A327" s="845" t="s">
        <v>1521</v>
      </c>
      <c r="B327" s="853"/>
      <c r="C327" s="665" t="s">
        <v>277</v>
      </c>
    </row>
    <row r="328" spans="1:5" ht="15">
      <c r="A328" s="845" t="s">
        <v>1522</v>
      </c>
      <c r="B328" s="853"/>
      <c r="C328" s="665" t="s">
        <v>720</v>
      </c>
    </row>
    <row r="329" spans="1:5" ht="15">
      <c r="A329" s="845" t="s">
        <v>1523</v>
      </c>
      <c r="B329" s="853"/>
      <c r="C329" s="665" t="s">
        <v>278</v>
      </c>
      <c r="D329" s="839"/>
      <c r="E329" s="844"/>
    </row>
    <row r="330" spans="1:5" ht="15">
      <c r="A330" s="845" t="s">
        <v>1524</v>
      </c>
      <c r="B330" s="853"/>
      <c r="C330" s="665" t="s">
        <v>412</v>
      </c>
    </row>
    <row r="331" spans="1:5" ht="15">
      <c r="A331" s="845" t="s">
        <v>1191</v>
      </c>
      <c r="B331" s="853"/>
      <c r="C331" s="665" t="s">
        <v>295</v>
      </c>
    </row>
    <row r="332" spans="1:5" ht="15">
      <c r="A332" s="845" t="s">
        <v>1192</v>
      </c>
      <c r="B332" s="853"/>
      <c r="C332" s="665" t="s">
        <v>297</v>
      </c>
    </row>
    <row r="333" spans="1:5" ht="15">
      <c r="A333" s="845" t="s">
        <v>1525</v>
      </c>
      <c r="B333" s="853"/>
      <c r="C333" s="665" t="s">
        <v>819</v>
      </c>
    </row>
    <row r="334" spans="1:5" ht="15">
      <c r="A334" s="845"/>
      <c r="B334" s="853"/>
      <c r="C334" s="665" t="s">
        <v>1526</v>
      </c>
    </row>
    <row r="335" spans="1:5" ht="15">
      <c r="A335" s="845" t="s">
        <v>1527</v>
      </c>
      <c r="B335" s="853"/>
      <c r="C335" s="665" t="s">
        <v>350</v>
      </c>
    </row>
    <row r="336" spans="1:5" ht="15">
      <c r="A336" s="845" t="s">
        <v>1528</v>
      </c>
      <c r="B336" s="853"/>
      <c r="C336" s="665" t="s">
        <v>351</v>
      </c>
    </row>
    <row r="337" spans="1:5" ht="15">
      <c r="A337" s="845" t="s">
        <v>1529</v>
      </c>
      <c r="B337" s="853"/>
      <c r="C337" s="665" t="s">
        <v>352</v>
      </c>
      <c r="D337" s="839"/>
      <c r="E337" s="844"/>
    </row>
    <row r="338" spans="1:5" ht="15">
      <c r="A338" s="845" t="s">
        <v>1530</v>
      </c>
      <c r="B338" s="853"/>
      <c r="C338" s="665" t="s">
        <v>353</v>
      </c>
    </row>
    <row r="339" spans="1:5" ht="15">
      <c r="A339" s="845"/>
      <c r="B339" s="853"/>
      <c r="C339" s="665" t="s">
        <v>1531</v>
      </c>
    </row>
    <row r="340" spans="1:5" ht="15">
      <c r="A340" s="845"/>
      <c r="B340" s="853"/>
      <c r="C340" s="665" t="s">
        <v>1532</v>
      </c>
    </row>
    <row r="341" spans="1:5" ht="15">
      <c r="A341" s="845" t="s">
        <v>1533</v>
      </c>
      <c r="B341" s="853"/>
      <c r="C341" s="665" t="s">
        <v>263</v>
      </c>
      <c r="D341" s="839"/>
      <c r="E341" s="844"/>
    </row>
    <row r="342" spans="1:5" ht="15">
      <c r="A342" s="845" t="s">
        <v>1534</v>
      </c>
      <c r="B342" s="853"/>
      <c r="C342" s="665" t="s">
        <v>264</v>
      </c>
    </row>
    <row r="343" spans="1:5" ht="15">
      <c r="A343" s="845" t="s">
        <v>1535</v>
      </c>
      <c r="B343" s="853"/>
      <c r="C343" s="665" t="s">
        <v>265</v>
      </c>
    </row>
    <row r="344" spans="1:5" ht="15">
      <c r="A344" s="845" t="s">
        <v>1536</v>
      </c>
      <c r="B344" s="853"/>
      <c r="C344" s="665" t="s">
        <v>266</v>
      </c>
    </row>
    <row r="345" spans="1:5" ht="15">
      <c r="A345" s="845" t="s">
        <v>1537</v>
      </c>
      <c r="B345" s="853"/>
      <c r="C345" s="665" t="s">
        <v>267</v>
      </c>
    </row>
    <row r="346" spans="1:5" ht="15">
      <c r="A346" s="845" t="s">
        <v>1538</v>
      </c>
      <c r="B346" s="853"/>
      <c r="C346" s="665" t="s">
        <v>271</v>
      </c>
    </row>
    <row r="347" spans="1:5" ht="15">
      <c r="A347" s="845" t="s">
        <v>1539</v>
      </c>
      <c r="B347" s="853"/>
      <c r="C347" s="665" t="s">
        <v>272</v>
      </c>
    </row>
    <row r="348" spans="1:5" ht="15">
      <c r="A348" s="845" t="s">
        <v>1540</v>
      </c>
      <c r="B348" s="853"/>
      <c r="C348" s="665" t="s">
        <v>273</v>
      </c>
    </row>
    <row r="349" spans="1:5" ht="15">
      <c r="A349" s="845" t="s">
        <v>1541</v>
      </c>
      <c r="B349" s="853"/>
      <c r="C349" s="665" t="s">
        <v>721</v>
      </c>
    </row>
    <row r="350" spans="1:5" ht="15">
      <c r="A350" s="845" t="s">
        <v>1542</v>
      </c>
      <c r="B350" s="853"/>
      <c r="C350" s="665" t="s">
        <v>274</v>
      </c>
    </row>
    <row r="351" spans="1:5" ht="15">
      <c r="A351" s="845" t="s">
        <v>1543</v>
      </c>
      <c r="B351" s="853"/>
      <c r="C351" s="665" t="s">
        <v>307</v>
      </c>
    </row>
    <row r="352" spans="1:5" ht="15">
      <c r="A352" s="845" t="s">
        <v>1544</v>
      </c>
      <c r="B352" s="853"/>
      <c r="C352" s="665" t="s">
        <v>310</v>
      </c>
    </row>
    <row r="353" spans="1:5" ht="15">
      <c r="A353" s="845" t="s">
        <v>1545</v>
      </c>
      <c r="B353" s="853"/>
      <c r="C353" s="665" t="s">
        <v>820</v>
      </c>
    </row>
    <row r="354" spans="1:5" ht="15">
      <c r="A354" s="845" t="s">
        <v>1546</v>
      </c>
      <c r="B354" s="853"/>
      <c r="C354" s="665" t="s">
        <v>821</v>
      </c>
    </row>
    <row r="355" spans="1:5" ht="15">
      <c r="A355" s="845"/>
      <c r="B355" s="853"/>
      <c r="C355" s="665" t="s">
        <v>1547</v>
      </c>
      <c r="D355" s="839"/>
      <c r="E355" s="844"/>
    </row>
    <row r="356" spans="1:5" ht="15">
      <c r="A356" s="845" t="s">
        <v>1548</v>
      </c>
      <c r="B356" s="853"/>
      <c r="C356" s="665" t="s">
        <v>308</v>
      </c>
    </row>
    <row r="357" spans="1:5" ht="15">
      <c r="A357" s="845" t="s">
        <v>1549</v>
      </c>
      <c r="B357" s="853"/>
      <c r="C357" s="665" t="s">
        <v>309</v>
      </c>
    </row>
    <row r="358" spans="1:5" ht="15">
      <c r="A358" s="845" t="s">
        <v>1550</v>
      </c>
      <c r="B358" s="853"/>
      <c r="C358" s="665" t="s">
        <v>311</v>
      </c>
    </row>
    <row r="359" spans="1:5" ht="15">
      <c r="A359" s="845" t="s">
        <v>1551</v>
      </c>
      <c r="B359" s="853"/>
      <c r="C359" s="665" t="s">
        <v>312</v>
      </c>
    </row>
    <row r="360" spans="1:5" ht="15">
      <c r="A360" s="845" t="s">
        <v>1552</v>
      </c>
      <c r="B360" s="853"/>
      <c r="C360" s="665" t="s">
        <v>313</v>
      </c>
    </row>
    <row r="361" spans="1:5" ht="15">
      <c r="A361" s="845" t="s">
        <v>1553</v>
      </c>
      <c r="B361" s="853"/>
      <c r="C361" s="665" t="s">
        <v>822</v>
      </c>
    </row>
    <row r="362" spans="1:5" ht="15">
      <c r="A362" s="845" t="s">
        <v>1554</v>
      </c>
      <c r="B362" s="853"/>
      <c r="C362" s="665" t="s">
        <v>314</v>
      </c>
      <c r="D362" s="839"/>
      <c r="E362" s="844"/>
    </row>
    <row r="363" spans="1:5" ht="15">
      <c r="A363" s="845"/>
      <c r="B363" s="853"/>
      <c r="C363" s="665" t="s">
        <v>1555</v>
      </c>
    </row>
    <row r="364" spans="1:5" ht="15">
      <c r="A364" s="845"/>
      <c r="B364" s="853"/>
      <c r="C364" s="665" t="s">
        <v>1556</v>
      </c>
    </row>
    <row r="365" spans="1:5" ht="15">
      <c r="A365" s="845" t="s">
        <v>1557</v>
      </c>
      <c r="B365" s="853"/>
      <c r="C365" s="665" t="s">
        <v>823</v>
      </c>
    </row>
    <row r="366" spans="1:5" ht="15">
      <c r="A366" s="845" t="s">
        <v>1558</v>
      </c>
      <c r="B366" s="853"/>
      <c r="C366" s="665" t="s">
        <v>315</v>
      </c>
    </row>
    <row r="367" spans="1:5" ht="15">
      <c r="A367" s="845" t="s">
        <v>1559</v>
      </c>
      <c r="B367" s="853"/>
      <c r="C367" s="665" t="s">
        <v>316</v>
      </c>
    </row>
    <row r="368" spans="1:5" ht="15">
      <c r="A368" s="845" t="s">
        <v>1560</v>
      </c>
      <c r="B368" s="853"/>
      <c r="C368" s="665" t="s">
        <v>317</v>
      </c>
    </row>
    <row r="369" spans="1:5" ht="15">
      <c r="A369" s="845" t="s">
        <v>1561</v>
      </c>
      <c r="B369" s="853"/>
      <c r="C369" s="665" t="s">
        <v>318</v>
      </c>
    </row>
    <row r="370" spans="1:5" ht="15">
      <c r="A370" s="845" t="s">
        <v>1562</v>
      </c>
      <c r="B370" s="853"/>
      <c r="C370" s="665" t="s">
        <v>319</v>
      </c>
    </row>
    <row r="371" spans="1:5" ht="15">
      <c r="A371" s="845" t="s">
        <v>1563</v>
      </c>
      <c r="B371" s="853"/>
      <c r="C371" s="665" t="s">
        <v>722</v>
      </c>
    </row>
    <row r="372" spans="1:5" ht="15">
      <c r="A372" s="845" t="s">
        <v>1564</v>
      </c>
      <c r="B372" s="853"/>
      <c r="C372" s="665" t="s">
        <v>320</v>
      </c>
    </row>
    <row r="373" spans="1:5" ht="15">
      <c r="A373" s="845" t="s">
        <v>1565</v>
      </c>
      <c r="B373" s="853"/>
      <c r="C373" s="665" t="s">
        <v>321</v>
      </c>
    </row>
    <row r="374" spans="1:5" ht="15">
      <c r="A374" s="845" t="s">
        <v>1566</v>
      </c>
      <c r="B374" s="853"/>
      <c r="C374" s="665" t="s">
        <v>322</v>
      </c>
    </row>
    <row r="375" spans="1:5" ht="15">
      <c r="A375" s="845" t="s">
        <v>1567</v>
      </c>
      <c r="B375" s="853"/>
      <c r="C375" s="665" t="s">
        <v>323</v>
      </c>
    </row>
    <row r="376" spans="1:5" ht="15">
      <c r="A376" s="845" t="s">
        <v>1568</v>
      </c>
      <c r="B376" s="853"/>
      <c r="C376" s="665" t="s">
        <v>324</v>
      </c>
    </row>
    <row r="377" spans="1:5" ht="15">
      <c r="A377" s="845" t="s">
        <v>1569</v>
      </c>
      <c r="B377" s="853"/>
      <c r="C377" s="665" t="s">
        <v>723</v>
      </c>
    </row>
    <row r="378" spans="1:5" ht="15">
      <c r="A378" s="845" t="s">
        <v>1570</v>
      </c>
      <c r="B378" s="853"/>
      <c r="C378" s="665" t="s">
        <v>325</v>
      </c>
    </row>
    <row r="379" spans="1:5" ht="15">
      <c r="A379" s="845" t="s">
        <v>1571</v>
      </c>
      <c r="B379" s="853"/>
      <c r="C379" s="665" t="s">
        <v>326</v>
      </c>
    </row>
    <row r="380" spans="1:5" ht="15">
      <c r="A380" s="845" t="s">
        <v>1572</v>
      </c>
      <c r="B380" s="853"/>
      <c r="C380" s="665" t="s">
        <v>327</v>
      </c>
    </row>
    <row r="381" spans="1:5" ht="15">
      <c r="A381" s="845" t="s">
        <v>1573</v>
      </c>
      <c r="B381" s="853"/>
      <c r="C381" s="665" t="s">
        <v>328</v>
      </c>
    </row>
    <row r="382" spans="1:5" ht="15">
      <c r="A382" s="845" t="s">
        <v>1574</v>
      </c>
      <c r="B382" s="853"/>
      <c r="C382" s="665" t="s">
        <v>329</v>
      </c>
      <c r="D382" s="839"/>
      <c r="E382" s="844"/>
    </row>
    <row r="383" spans="1:5" ht="15">
      <c r="A383" s="845" t="s">
        <v>1575</v>
      </c>
      <c r="B383" s="853"/>
      <c r="C383" s="665" t="s">
        <v>724</v>
      </c>
    </row>
    <row r="384" spans="1:5" ht="15">
      <c r="A384" s="845" t="s">
        <v>1576</v>
      </c>
      <c r="B384" s="853"/>
      <c r="C384" s="665" t="s">
        <v>330</v>
      </c>
    </row>
    <row r="385" spans="1:5" ht="15">
      <c r="A385" s="845"/>
      <c r="B385" s="853"/>
      <c r="C385" s="665" t="s">
        <v>1577</v>
      </c>
    </row>
    <row r="386" spans="1:5" ht="15">
      <c r="A386" s="845" t="s">
        <v>1578</v>
      </c>
      <c r="B386" s="853"/>
      <c r="C386" s="665" t="s">
        <v>725</v>
      </c>
    </row>
    <row r="387" spans="1:5" ht="15">
      <c r="A387" s="845" t="s">
        <v>1579</v>
      </c>
      <c r="B387" s="853"/>
      <c r="C387" s="665" t="s">
        <v>726</v>
      </c>
    </row>
    <row r="388" spans="1:5" ht="15">
      <c r="A388" s="845" t="s">
        <v>1580</v>
      </c>
      <c r="B388" s="853"/>
      <c r="C388" s="665" t="s">
        <v>727</v>
      </c>
    </row>
    <row r="389" spans="1:5" ht="15">
      <c r="A389" s="845" t="s">
        <v>1581</v>
      </c>
      <c r="B389" s="853"/>
      <c r="C389" s="665" t="s">
        <v>728</v>
      </c>
    </row>
    <row r="390" spans="1:5" ht="15">
      <c r="A390" s="845" t="s">
        <v>1582</v>
      </c>
      <c r="B390" s="853"/>
      <c r="C390" s="665" t="s">
        <v>729</v>
      </c>
    </row>
    <row r="391" spans="1:5" ht="15">
      <c r="A391" s="845" t="s">
        <v>1583</v>
      </c>
      <c r="B391" s="853"/>
      <c r="C391" s="665" t="s">
        <v>730</v>
      </c>
    </row>
    <row r="392" spans="1:5" ht="15">
      <c r="A392" s="845" t="s">
        <v>1584</v>
      </c>
      <c r="B392" s="853"/>
      <c r="C392" s="665" t="s">
        <v>331</v>
      </c>
    </row>
    <row r="393" spans="1:5" ht="15">
      <c r="A393" s="845" t="s">
        <v>1585</v>
      </c>
      <c r="B393" s="853"/>
      <c r="C393" s="665" t="s">
        <v>332</v>
      </c>
    </row>
    <row r="394" spans="1:5" ht="15">
      <c r="A394" s="845" t="s">
        <v>1586</v>
      </c>
      <c r="B394" s="853"/>
      <c r="C394" s="665" t="s">
        <v>333</v>
      </c>
      <c r="D394" s="839"/>
      <c r="E394" s="844"/>
    </row>
    <row r="395" spans="1:5" ht="15">
      <c r="A395" s="845" t="s">
        <v>1587</v>
      </c>
      <c r="B395" s="855"/>
      <c r="C395" s="665" t="s">
        <v>334</v>
      </c>
    </row>
    <row r="396" spans="1:5" ht="15">
      <c r="A396" s="845" t="s">
        <v>1588</v>
      </c>
      <c r="B396" s="855"/>
      <c r="C396" s="665" t="s">
        <v>335</v>
      </c>
    </row>
    <row r="397" spans="1:5" ht="15">
      <c r="A397" s="845" t="s">
        <v>1589</v>
      </c>
      <c r="B397" s="855"/>
      <c r="C397" s="665" t="s">
        <v>336</v>
      </c>
    </row>
    <row r="398" spans="1:5" ht="15">
      <c r="A398" s="845"/>
      <c r="B398" s="855"/>
      <c r="C398" s="665" t="s">
        <v>1590</v>
      </c>
    </row>
    <row r="399" spans="1:5" ht="15">
      <c r="A399" s="845" t="s">
        <v>1591</v>
      </c>
      <c r="B399" s="855"/>
      <c r="C399" s="665" t="s">
        <v>275</v>
      </c>
    </row>
    <row r="400" spans="1:5" ht="15">
      <c r="A400" s="845" t="s">
        <v>1592</v>
      </c>
      <c r="B400" s="855"/>
      <c r="C400" s="665" t="s">
        <v>337</v>
      </c>
    </row>
    <row r="401" spans="1:5" ht="15">
      <c r="A401" s="845" t="s">
        <v>1593</v>
      </c>
      <c r="B401" s="855"/>
      <c r="C401" s="665" t="s">
        <v>338</v>
      </c>
    </row>
    <row r="402" spans="1:5" ht="15">
      <c r="A402" s="845" t="s">
        <v>1594</v>
      </c>
      <c r="B402" s="855"/>
      <c r="C402" s="665" t="s">
        <v>339</v>
      </c>
    </row>
    <row r="403" spans="1:5" ht="15">
      <c r="A403" s="845" t="s">
        <v>1595</v>
      </c>
      <c r="B403" s="855"/>
      <c r="C403" s="665" t="s">
        <v>340</v>
      </c>
    </row>
    <row r="404" spans="1:5" ht="15">
      <c r="A404" s="845" t="s">
        <v>1596</v>
      </c>
      <c r="B404" s="855"/>
      <c r="C404" s="665" t="s">
        <v>341</v>
      </c>
      <c r="D404" s="839"/>
      <c r="E404" s="844"/>
    </row>
    <row r="405" spans="1:5" ht="15">
      <c r="A405" s="845" t="s">
        <v>1597</v>
      </c>
      <c r="B405" s="855"/>
      <c r="C405" s="665" t="s">
        <v>342</v>
      </c>
    </row>
    <row r="406" spans="1:5" ht="15">
      <c r="A406" s="845" t="s">
        <v>1598</v>
      </c>
      <c r="B406" s="855"/>
      <c r="C406" s="665" t="s">
        <v>343</v>
      </c>
    </row>
    <row r="407" spans="1:5" ht="15">
      <c r="A407" s="845" t="s">
        <v>1599</v>
      </c>
      <c r="B407" s="855"/>
      <c r="C407" s="665" t="s">
        <v>344</v>
      </c>
    </row>
    <row r="408" spans="1:5" ht="15">
      <c r="A408" s="845" t="s">
        <v>1600</v>
      </c>
      <c r="B408" s="855"/>
      <c r="C408" s="665" t="s">
        <v>824</v>
      </c>
    </row>
    <row r="409" spans="1:5" ht="15">
      <c r="A409" s="845"/>
      <c r="B409" s="855"/>
      <c r="C409" s="665" t="s">
        <v>1601</v>
      </c>
    </row>
    <row r="410" spans="1:5" ht="15">
      <c r="A410" s="845" t="s">
        <v>1602</v>
      </c>
      <c r="B410" s="855"/>
      <c r="C410" s="665" t="s">
        <v>368</v>
      </c>
    </row>
    <row r="411" spans="1:5" ht="15">
      <c r="A411" s="845" t="s">
        <v>1603</v>
      </c>
      <c r="B411" s="855"/>
      <c r="C411" s="665" t="s">
        <v>369</v>
      </c>
    </row>
    <row r="412" spans="1:5" ht="15">
      <c r="A412" s="845" t="s">
        <v>1604</v>
      </c>
      <c r="B412" s="855"/>
      <c r="C412" s="665" t="s">
        <v>370</v>
      </c>
    </row>
    <row r="413" spans="1:5" ht="15">
      <c r="A413" s="845" t="s">
        <v>1605</v>
      </c>
      <c r="B413" s="855"/>
      <c r="C413" s="665" t="s">
        <v>371</v>
      </c>
    </row>
    <row r="414" spans="1:5" ht="15">
      <c r="A414" s="845" t="s">
        <v>1606</v>
      </c>
      <c r="B414" s="855"/>
      <c r="C414" s="665" t="s">
        <v>372</v>
      </c>
    </row>
    <row r="415" spans="1:5" ht="15">
      <c r="A415" s="845" t="s">
        <v>1607</v>
      </c>
      <c r="B415" s="855"/>
      <c r="C415" s="665" t="s">
        <v>373</v>
      </c>
    </row>
    <row r="416" spans="1:5" ht="15">
      <c r="A416" s="845" t="s">
        <v>1608</v>
      </c>
      <c r="B416" s="855"/>
      <c r="C416" s="665" t="s">
        <v>374</v>
      </c>
    </row>
    <row r="417" spans="1:3" ht="15">
      <c r="A417" s="845" t="s">
        <v>1609</v>
      </c>
      <c r="B417" s="855"/>
      <c r="C417" s="665" t="s">
        <v>375</v>
      </c>
    </row>
    <row r="418" spans="1:3" ht="15">
      <c r="A418" s="845" t="s">
        <v>1610</v>
      </c>
      <c r="B418" s="855"/>
      <c r="C418" s="665" t="s">
        <v>376</v>
      </c>
    </row>
    <row r="419" spans="1:3" ht="15">
      <c r="A419" s="845" t="s">
        <v>1611</v>
      </c>
      <c r="B419" s="856"/>
      <c r="C419" s="665" t="s">
        <v>377</v>
      </c>
    </row>
    <row r="420" spans="1:3" ht="15">
      <c r="A420" s="845" t="s">
        <v>1612</v>
      </c>
      <c r="B420" s="855"/>
      <c r="C420" s="665" t="s">
        <v>378</v>
      </c>
    </row>
    <row r="421" spans="1:3" ht="15">
      <c r="A421" s="845" t="s">
        <v>1613</v>
      </c>
      <c r="B421" s="855"/>
      <c r="C421" s="665" t="s">
        <v>379</v>
      </c>
    </row>
    <row r="422" spans="1:3" ht="15">
      <c r="A422" s="845" t="s">
        <v>1614</v>
      </c>
      <c r="B422" s="855"/>
      <c r="C422" s="665" t="s">
        <v>380</v>
      </c>
    </row>
    <row r="423" spans="1:3" ht="15">
      <c r="A423" s="845" t="s">
        <v>1615</v>
      </c>
      <c r="B423" s="855"/>
      <c r="C423" s="665" t="s">
        <v>381</v>
      </c>
    </row>
    <row r="424" spans="1:3" ht="15">
      <c r="A424" s="845" t="s">
        <v>1616</v>
      </c>
      <c r="B424" s="855"/>
      <c r="C424" s="665" t="s">
        <v>382</v>
      </c>
    </row>
    <row r="425" spans="1:3" ht="15">
      <c r="A425" s="845" t="s">
        <v>1617</v>
      </c>
      <c r="B425" s="855"/>
      <c r="C425" s="665" t="s">
        <v>383</v>
      </c>
    </row>
    <row r="426" spans="1:3" ht="15">
      <c r="A426" s="845" t="s">
        <v>1618</v>
      </c>
      <c r="B426" s="855"/>
      <c r="C426" s="665" t="s">
        <v>384</v>
      </c>
    </row>
    <row r="427" spans="1:3" ht="15">
      <c r="A427" s="845" t="s">
        <v>1619</v>
      </c>
      <c r="B427" s="855"/>
      <c r="C427" s="665" t="s">
        <v>385</v>
      </c>
    </row>
    <row r="428" spans="1:3" ht="15">
      <c r="A428" s="845" t="s">
        <v>1620</v>
      </c>
      <c r="B428" s="855"/>
      <c r="C428" s="665" t="s">
        <v>386</v>
      </c>
    </row>
    <row r="429" spans="1:3" ht="15">
      <c r="A429" s="845" t="s">
        <v>1621</v>
      </c>
      <c r="B429" s="855"/>
      <c r="C429" s="665" t="s">
        <v>387</v>
      </c>
    </row>
    <row r="430" spans="1:3" ht="15">
      <c r="A430" s="845" t="s">
        <v>1622</v>
      </c>
      <c r="B430" s="855"/>
      <c r="C430" s="665" t="s">
        <v>388</v>
      </c>
    </row>
    <row r="431" spans="1:3" ht="15">
      <c r="A431" s="845" t="s">
        <v>1623</v>
      </c>
      <c r="B431" s="855"/>
      <c r="C431" s="665" t="s">
        <v>389</v>
      </c>
    </row>
    <row r="432" spans="1:3" ht="15">
      <c r="A432" s="845" t="s">
        <v>1624</v>
      </c>
      <c r="B432" s="855"/>
      <c r="C432" s="665" t="s">
        <v>390</v>
      </c>
    </row>
    <row r="433" spans="1:3" ht="15">
      <c r="A433" s="845" t="s">
        <v>1625</v>
      </c>
      <c r="B433" s="855"/>
      <c r="C433" s="665" t="s">
        <v>391</v>
      </c>
    </row>
    <row r="434" spans="1:3" ht="15">
      <c r="A434" s="845" t="s">
        <v>1626</v>
      </c>
      <c r="B434" s="855"/>
      <c r="C434" s="665" t="s">
        <v>731</v>
      </c>
    </row>
    <row r="435" spans="1:3" ht="15">
      <c r="A435" s="845" t="s">
        <v>1627</v>
      </c>
      <c r="B435" s="855"/>
      <c r="C435" s="665" t="s">
        <v>732</v>
      </c>
    </row>
    <row r="436" spans="1:3" ht="15">
      <c r="A436" s="845" t="s">
        <v>1628</v>
      </c>
      <c r="B436" s="855"/>
      <c r="C436" s="665" t="s">
        <v>733</v>
      </c>
    </row>
    <row r="437" spans="1:3" ht="15">
      <c r="A437" s="845" t="s">
        <v>1629</v>
      </c>
      <c r="B437" s="855"/>
      <c r="C437" s="665" t="s">
        <v>734</v>
      </c>
    </row>
    <row r="438" spans="1:3" ht="15">
      <c r="A438" s="845" t="s">
        <v>1630</v>
      </c>
      <c r="B438" s="855"/>
      <c r="C438" s="665" t="s">
        <v>735</v>
      </c>
    </row>
    <row r="439" spans="1:3" ht="15">
      <c r="A439" s="845" t="s">
        <v>1631</v>
      </c>
      <c r="B439" s="855"/>
      <c r="C439" s="665" t="s">
        <v>736</v>
      </c>
    </row>
    <row r="440" spans="1:3" ht="15">
      <c r="A440" s="845" t="s">
        <v>1632</v>
      </c>
      <c r="B440" s="855"/>
      <c r="C440" s="665" t="s">
        <v>737</v>
      </c>
    </row>
    <row r="441" spans="1:3" ht="15">
      <c r="A441" s="845" t="s">
        <v>1633</v>
      </c>
      <c r="B441" s="855"/>
      <c r="C441" s="665" t="s">
        <v>738</v>
      </c>
    </row>
    <row r="442" spans="1:3" ht="15">
      <c r="A442" s="845" t="s">
        <v>1634</v>
      </c>
      <c r="B442" s="855"/>
      <c r="C442" s="665" t="s">
        <v>739</v>
      </c>
    </row>
    <row r="443" spans="1:3" ht="15">
      <c r="A443" s="845" t="s">
        <v>1635</v>
      </c>
      <c r="B443" s="852"/>
      <c r="C443" s="665" t="s">
        <v>740</v>
      </c>
    </row>
    <row r="444" spans="1:3" ht="15">
      <c r="A444" s="845" t="s">
        <v>1636</v>
      </c>
      <c r="B444" s="852"/>
      <c r="C444" s="665" t="s">
        <v>741</v>
      </c>
    </row>
    <row r="445" spans="1:3" ht="15">
      <c r="A445" s="845" t="s">
        <v>1637</v>
      </c>
      <c r="B445" s="852"/>
      <c r="C445" s="665" t="s">
        <v>742</v>
      </c>
    </row>
    <row r="446" spans="1:3" ht="15">
      <c r="A446" s="845" t="s">
        <v>1638</v>
      </c>
      <c r="B446" s="852"/>
      <c r="C446" s="665" t="s">
        <v>743</v>
      </c>
    </row>
    <row r="447" spans="1:3" ht="15">
      <c r="A447" s="845"/>
      <c r="B447" s="852"/>
      <c r="C447" s="665" t="s">
        <v>1639</v>
      </c>
    </row>
    <row r="448" spans="1:3" ht="15">
      <c r="A448" s="845" t="s">
        <v>1640</v>
      </c>
      <c r="B448" s="852"/>
      <c r="C448" s="665" t="s">
        <v>392</v>
      </c>
    </row>
    <row r="449" spans="1:3" ht="15">
      <c r="A449" s="845" t="s">
        <v>1641</v>
      </c>
      <c r="B449" s="852"/>
      <c r="C449" s="665" t="s">
        <v>393</v>
      </c>
    </row>
    <row r="450" spans="1:3" ht="15">
      <c r="A450" s="845" t="s">
        <v>1642</v>
      </c>
      <c r="B450" s="854"/>
      <c r="C450" s="665" t="s">
        <v>394</v>
      </c>
    </row>
    <row r="451" spans="1:3" ht="15">
      <c r="A451" s="845" t="s">
        <v>1643</v>
      </c>
      <c r="B451" s="854"/>
      <c r="C451" s="665" t="s">
        <v>395</v>
      </c>
    </row>
    <row r="452" spans="1:3" ht="15">
      <c r="A452" s="845" t="s">
        <v>1644</v>
      </c>
      <c r="B452" s="854"/>
      <c r="C452" s="665" t="s">
        <v>396</v>
      </c>
    </row>
    <row r="453" spans="1:3" ht="15">
      <c r="A453" s="845" t="s">
        <v>1645</v>
      </c>
      <c r="B453" s="854"/>
      <c r="C453" s="665" t="s">
        <v>397</v>
      </c>
    </row>
    <row r="454" spans="1:3" ht="15">
      <c r="A454" s="845" t="s">
        <v>1646</v>
      </c>
      <c r="B454" s="854"/>
      <c r="C454" s="665" t="s">
        <v>398</v>
      </c>
    </row>
    <row r="455" spans="1:3" ht="15">
      <c r="A455" s="845" t="s">
        <v>1647</v>
      </c>
      <c r="B455" s="854"/>
      <c r="C455" s="665" t="s">
        <v>399</v>
      </c>
    </row>
    <row r="456" spans="1:3" ht="15">
      <c r="A456" s="845" t="s">
        <v>1648</v>
      </c>
      <c r="B456" s="854"/>
      <c r="C456" s="665" t="s">
        <v>400</v>
      </c>
    </row>
    <row r="457" spans="1:3" ht="15">
      <c r="A457" s="845" t="s">
        <v>1649</v>
      </c>
      <c r="B457" s="854"/>
      <c r="C457" s="665" t="s">
        <v>744</v>
      </c>
    </row>
    <row r="458" spans="1:3" ht="15">
      <c r="A458" s="845" t="s">
        <v>1650</v>
      </c>
      <c r="B458" s="854"/>
      <c r="C458" s="665" t="s">
        <v>745</v>
      </c>
    </row>
    <row r="459" spans="1:3" ht="15">
      <c r="A459" s="845" t="s">
        <v>1651</v>
      </c>
      <c r="B459" s="854"/>
      <c r="C459" s="665" t="s">
        <v>746</v>
      </c>
    </row>
    <row r="460" spans="1:3" ht="15">
      <c r="A460" s="845" t="s">
        <v>1652</v>
      </c>
      <c r="B460" s="854"/>
      <c r="C460" s="665" t="s">
        <v>401</v>
      </c>
    </row>
    <row r="461" spans="1:3" ht="15">
      <c r="A461" s="845" t="s">
        <v>1653</v>
      </c>
      <c r="B461" s="854"/>
      <c r="C461" s="665" t="s">
        <v>402</v>
      </c>
    </row>
    <row r="462" spans="1:3" ht="15">
      <c r="A462" s="845" t="s">
        <v>1654</v>
      </c>
      <c r="B462" s="854"/>
      <c r="C462" s="665" t="s">
        <v>403</v>
      </c>
    </row>
    <row r="463" spans="1:3" ht="15">
      <c r="A463" s="845" t="s">
        <v>1655</v>
      </c>
      <c r="B463" s="854"/>
      <c r="C463" s="665" t="s">
        <v>404</v>
      </c>
    </row>
    <row r="464" spans="1:3" ht="15">
      <c r="A464" s="845" t="s">
        <v>1656</v>
      </c>
      <c r="B464" s="854"/>
      <c r="C464" s="665" t="s">
        <v>405</v>
      </c>
    </row>
    <row r="465" spans="1:3" ht="15">
      <c r="A465" s="845" t="s">
        <v>1657</v>
      </c>
      <c r="B465" s="854"/>
      <c r="C465" s="665" t="s">
        <v>406</v>
      </c>
    </row>
    <row r="466" spans="1:3" ht="15">
      <c r="A466" s="845" t="s">
        <v>1658</v>
      </c>
      <c r="B466" s="854"/>
      <c r="C466" s="665" t="s">
        <v>407</v>
      </c>
    </row>
    <row r="467" spans="1:3" ht="15">
      <c r="A467" s="845" t="s">
        <v>1659</v>
      </c>
      <c r="B467" s="854"/>
      <c r="C467" s="665" t="s">
        <v>747</v>
      </c>
    </row>
    <row r="468" spans="1:3" ht="15">
      <c r="A468" s="845" t="s">
        <v>1660</v>
      </c>
      <c r="B468" s="854"/>
      <c r="C468" s="665" t="s">
        <v>151</v>
      </c>
    </row>
    <row r="469" spans="1:3" ht="15">
      <c r="A469" s="845" t="s">
        <v>1661</v>
      </c>
      <c r="B469" s="854"/>
      <c r="C469" s="665" t="s">
        <v>408</v>
      </c>
    </row>
    <row r="470" spans="1:3" ht="15">
      <c r="A470" s="845" t="s">
        <v>1662</v>
      </c>
      <c r="B470" s="854"/>
      <c r="C470" s="665" t="s">
        <v>409</v>
      </c>
    </row>
    <row r="471" spans="1:3" ht="15">
      <c r="A471" s="845" t="s">
        <v>1663</v>
      </c>
      <c r="B471" s="854"/>
      <c r="C471" s="665" t="s">
        <v>748</v>
      </c>
    </row>
    <row r="472" spans="1:3" ht="15">
      <c r="A472" s="845"/>
      <c r="B472" s="854"/>
      <c r="C472" s="665" t="s">
        <v>1664</v>
      </c>
    </row>
    <row r="473" spans="1:3" ht="15">
      <c r="A473" s="845" t="s">
        <v>1665</v>
      </c>
      <c r="B473" s="854"/>
      <c r="C473" s="665" t="s">
        <v>413</v>
      </c>
    </row>
    <row r="474" spans="1:3" ht="15">
      <c r="A474" s="845" t="s">
        <v>1666</v>
      </c>
      <c r="B474" s="854"/>
      <c r="C474" s="665" t="s">
        <v>414</v>
      </c>
    </row>
    <row r="475" spans="1:3" ht="15">
      <c r="A475" s="845" t="s">
        <v>1667</v>
      </c>
      <c r="B475" s="854"/>
      <c r="C475" s="665" t="s">
        <v>415</v>
      </c>
    </row>
    <row r="476" spans="1:3" ht="15">
      <c r="A476" s="845" t="s">
        <v>1668</v>
      </c>
      <c r="B476" s="854"/>
      <c r="C476" s="665" t="s">
        <v>416</v>
      </c>
    </row>
    <row r="477" spans="1:3" ht="15">
      <c r="A477" s="845" t="s">
        <v>1669</v>
      </c>
      <c r="B477" s="854"/>
      <c r="C477" s="665" t="s">
        <v>417</v>
      </c>
    </row>
    <row r="478" spans="1:3" ht="15">
      <c r="A478" s="845" t="s">
        <v>1670</v>
      </c>
      <c r="B478" s="854"/>
      <c r="C478" s="665" t="s">
        <v>418</v>
      </c>
    </row>
    <row r="479" spans="1:3" ht="15">
      <c r="A479" s="845"/>
      <c r="B479" s="854"/>
      <c r="C479" s="665" t="s">
        <v>1671</v>
      </c>
    </row>
    <row r="480" spans="1:3" ht="15">
      <c r="A480" s="845" t="s">
        <v>1196</v>
      </c>
      <c r="B480" s="854"/>
      <c r="C480" s="665" t="s">
        <v>125</v>
      </c>
    </row>
    <row r="481" spans="1:3" ht="15">
      <c r="A481" s="845" t="s">
        <v>1197</v>
      </c>
      <c r="B481" s="854"/>
      <c r="C481" s="665" t="s">
        <v>749</v>
      </c>
    </row>
    <row r="482" spans="1:3" ht="15">
      <c r="A482" s="845" t="s">
        <v>1198</v>
      </c>
      <c r="B482" s="854"/>
      <c r="C482" s="665" t="s">
        <v>750</v>
      </c>
    </row>
    <row r="483" spans="1:3" ht="15">
      <c r="A483" s="845" t="s">
        <v>1199</v>
      </c>
      <c r="B483" s="854"/>
      <c r="C483" s="665" t="s">
        <v>751</v>
      </c>
    </row>
    <row r="484" spans="1:3" ht="15">
      <c r="A484" s="845" t="s">
        <v>1200</v>
      </c>
      <c r="B484" s="854"/>
      <c r="C484" s="665" t="s">
        <v>752</v>
      </c>
    </row>
    <row r="485" spans="1:3" ht="15">
      <c r="A485" s="845" t="s">
        <v>1201</v>
      </c>
      <c r="B485" s="854"/>
      <c r="C485" s="665" t="s">
        <v>126</v>
      </c>
    </row>
    <row r="486" spans="1:3" ht="15">
      <c r="A486" s="845" t="s">
        <v>1202</v>
      </c>
      <c r="B486" s="854"/>
      <c r="C486" s="665" t="s">
        <v>753</v>
      </c>
    </row>
    <row r="487" spans="1:3" ht="15">
      <c r="A487" s="845" t="s">
        <v>1203</v>
      </c>
      <c r="B487" s="854"/>
      <c r="C487" s="665" t="s">
        <v>127</v>
      </c>
    </row>
    <row r="488" spans="1:3" ht="15">
      <c r="A488" s="845" t="s">
        <v>1204</v>
      </c>
      <c r="B488" s="854"/>
      <c r="C488" s="665" t="s">
        <v>754</v>
      </c>
    </row>
    <row r="489" spans="1:3" ht="15">
      <c r="A489" s="845" t="s">
        <v>1205</v>
      </c>
      <c r="B489" s="854"/>
      <c r="C489" s="665" t="s">
        <v>755</v>
      </c>
    </row>
    <row r="490" spans="1:3" ht="15">
      <c r="A490" s="845" t="s">
        <v>1206</v>
      </c>
      <c r="B490" s="854"/>
      <c r="C490" s="665" t="s">
        <v>756</v>
      </c>
    </row>
    <row r="491" spans="1:3" ht="15">
      <c r="A491" s="845" t="s">
        <v>1207</v>
      </c>
      <c r="B491" s="854"/>
      <c r="C491" s="665" t="s">
        <v>757</v>
      </c>
    </row>
    <row r="492" spans="1:3" ht="15">
      <c r="A492" s="845" t="s">
        <v>1208</v>
      </c>
      <c r="B492" s="854"/>
      <c r="C492" s="665" t="s">
        <v>758</v>
      </c>
    </row>
    <row r="493" spans="1:3" ht="15">
      <c r="A493" s="845" t="s">
        <v>1209</v>
      </c>
      <c r="B493" s="854"/>
      <c r="C493" s="665" t="s">
        <v>759</v>
      </c>
    </row>
    <row r="494" spans="1:3" ht="15">
      <c r="A494" s="845" t="s">
        <v>1193</v>
      </c>
      <c r="B494" s="854"/>
      <c r="C494" s="665" t="s">
        <v>128</v>
      </c>
    </row>
    <row r="495" spans="1:3" ht="15">
      <c r="A495" s="845" t="s">
        <v>1210</v>
      </c>
      <c r="B495" s="854"/>
      <c r="C495" s="665" t="s">
        <v>760</v>
      </c>
    </row>
    <row r="496" spans="1:3" ht="15">
      <c r="A496" s="845" t="s">
        <v>1211</v>
      </c>
      <c r="B496" s="854"/>
      <c r="C496" s="665" t="s">
        <v>761</v>
      </c>
    </row>
    <row r="497" spans="1:3" ht="15">
      <c r="A497" s="845" t="s">
        <v>1212</v>
      </c>
      <c r="B497" s="854"/>
      <c r="C497" s="665" t="s">
        <v>129</v>
      </c>
    </row>
    <row r="498" spans="1:3" ht="15">
      <c r="A498" s="845" t="s">
        <v>1213</v>
      </c>
      <c r="B498" s="854"/>
      <c r="C498" s="665" t="s">
        <v>130</v>
      </c>
    </row>
    <row r="499" spans="1:3" ht="15">
      <c r="A499" s="845" t="s">
        <v>1214</v>
      </c>
      <c r="B499" s="854"/>
      <c r="C499" s="665" t="s">
        <v>131</v>
      </c>
    </row>
    <row r="500" spans="1:3" ht="15">
      <c r="A500" s="845" t="s">
        <v>1215</v>
      </c>
      <c r="B500" s="854"/>
      <c r="C500" s="665" t="s">
        <v>132</v>
      </c>
    </row>
    <row r="501" spans="1:3" ht="15">
      <c r="A501" s="845" t="s">
        <v>1216</v>
      </c>
      <c r="B501" s="854"/>
      <c r="C501" s="665" t="s">
        <v>133</v>
      </c>
    </row>
    <row r="502" spans="1:3" ht="15">
      <c r="A502" s="845" t="s">
        <v>1217</v>
      </c>
      <c r="B502" s="854"/>
      <c r="C502" s="665" t="s">
        <v>134</v>
      </c>
    </row>
    <row r="503" spans="1:3" ht="15">
      <c r="A503" s="845" t="s">
        <v>1218</v>
      </c>
      <c r="B503" s="854"/>
      <c r="C503" s="665" t="s">
        <v>762</v>
      </c>
    </row>
    <row r="504" spans="1:3" ht="15">
      <c r="A504" s="845" t="s">
        <v>1219</v>
      </c>
      <c r="B504" s="854"/>
      <c r="C504" s="665" t="s">
        <v>135</v>
      </c>
    </row>
    <row r="505" spans="1:3" ht="15">
      <c r="A505" s="845" t="s">
        <v>1220</v>
      </c>
      <c r="B505" s="854"/>
      <c r="C505" s="665" t="s">
        <v>136</v>
      </c>
    </row>
    <row r="506" spans="1:3" ht="15">
      <c r="A506" s="845" t="s">
        <v>1221</v>
      </c>
      <c r="B506" s="854"/>
      <c r="C506" s="665" t="s">
        <v>763</v>
      </c>
    </row>
    <row r="507" spans="1:3" ht="15">
      <c r="A507" s="845" t="s">
        <v>1222</v>
      </c>
      <c r="B507" s="854"/>
      <c r="C507" s="665" t="s">
        <v>137</v>
      </c>
    </row>
    <row r="508" spans="1:3" ht="15">
      <c r="A508" s="845" t="s">
        <v>1223</v>
      </c>
      <c r="B508" s="854"/>
      <c r="C508" s="665" t="s">
        <v>138</v>
      </c>
    </row>
    <row r="509" spans="1:3" ht="15">
      <c r="A509" s="845" t="s">
        <v>1195</v>
      </c>
      <c r="B509" s="854"/>
      <c r="C509" s="665" t="s">
        <v>139</v>
      </c>
    </row>
    <row r="510" spans="1:3" ht="15">
      <c r="A510" s="845" t="s">
        <v>1194</v>
      </c>
      <c r="B510" s="854"/>
      <c r="C510" s="665" t="s">
        <v>140</v>
      </c>
    </row>
    <row r="511" spans="1:3" ht="15">
      <c r="A511" s="845"/>
      <c r="B511" s="854"/>
      <c r="C511" s="665" t="s">
        <v>1672</v>
      </c>
    </row>
    <row r="512" spans="1:3" ht="15">
      <c r="A512" s="845" t="s">
        <v>1673</v>
      </c>
      <c r="B512" s="854"/>
      <c r="C512" s="665" t="s">
        <v>825</v>
      </c>
    </row>
    <row r="513" spans="1:3" ht="15">
      <c r="A513" s="845" t="s">
        <v>1674</v>
      </c>
      <c r="B513" s="854"/>
      <c r="C513" s="665" t="s">
        <v>826</v>
      </c>
    </row>
    <row r="514" spans="1:3" ht="15">
      <c r="A514" s="845" t="s">
        <v>810</v>
      </c>
      <c r="B514" s="854"/>
      <c r="C514" s="665" t="s">
        <v>827</v>
      </c>
    </row>
    <row r="515" spans="1:3" ht="15">
      <c r="A515" s="845" t="s">
        <v>1675</v>
      </c>
      <c r="B515" s="854"/>
      <c r="C515" s="665" t="s">
        <v>842</v>
      </c>
    </row>
    <row r="516" spans="1:3" ht="15">
      <c r="A516" s="845" t="s">
        <v>1676</v>
      </c>
      <c r="B516" s="854"/>
      <c r="C516" s="665" t="s">
        <v>843</v>
      </c>
    </row>
    <row r="517" spans="1:3" ht="15">
      <c r="A517" s="845" t="s">
        <v>1677</v>
      </c>
      <c r="B517" s="854"/>
      <c r="C517" s="665" t="s">
        <v>844</v>
      </c>
    </row>
    <row r="518" spans="1:3" ht="15">
      <c r="A518" s="845" t="s">
        <v>1678</v>
      </c>
      <c r="B518" s="854"/>
      <c r="C518" s="665" t="s">
        <v>845</v>
      </c>
    </row>
    <row r="519" spans="1:3" ht="15">
      <c r="A519" s="845" t="s">
        <v>1679</v>
      </c>
      <c r="B519" s="854"/>
      <c r="C519" s="665" t="s">
        <v>846</v>
      </c>
    </row>
    <row r="520" spans="1:3" ht="15">
      <c r="A520" s="845" t="s">
        <v>1010</v>
      </c>
      <c r="B520" s="854"/>
      <c r="C520" s="665" t="s">
        <v>1011</v>
      </c>
    </row>
    <row r="521" spans="1:3" ht="15">
      <c r="A521" s="845" t="s">
        <v>1680</v>
      </c>
      <c r="B521" s="854"/>
      <c r="C521" s="665" t="s">
        <v>1012</v>
      </c>
    </row>
    <row r="522" spans="1:3" ht="15">
      <c r="A522" s="845" t="s">
        <v>1681</v>
      </c>
      <c r="B522" s="854"/>
      <c r="C522" s="665" t="s">
        <v>1013</v>
      </c>
    </row>
    <row r="523" spans="1:3" ht="15">
      <c r="A523" s="845" t="s">
        <v>1682</v>
      </c>
      <c r="B523" s="854"/>
      <c r="C523" s="665" t="s">
        <v>1014</v>
      </c>
    </row>
    <row r="524" spans="1:3" ht="15">
      <c r="A524" s="845" t="s">
        <v>1683</v>
      </c>
      <c r="B524" s="854"/>
      <c r="C524" s="665" t="s">
        <v>1015</v>
      </c>
    </row>
    <row r="525" spans="1:3" ht="15">
      <c r="A525" s="845" t="s">
        <v>1684</v>
      </c>
      <c r="B525" s="854"/>
      <c r="C525" s="665" t="s">
        <v>1016</v>
      </c>
    </row>
    <row r="526" spans="1:3" ht="15">
      <c r="A526" s="845" t="s">
        <v>1685</v>
      </c>
      <c r="B526" s="854"/>
      <c r="C526" s="665" t="s">
        <v>1017</v>
      </c>
    </row>
    <row r="527" spans="1:3" ht="15">
      <c r="A527" s="845" t="s">
        <v>1686</v>
      </c>
      <c r="B527" s="854"/>
      <c r="C527" s="665" t="s">
        <v>1018</v>
      </c>
    </row>
    <row r="528" spans="1:3" ht="15">
      <c r="A528" s="845" t="s">
        <v>1687</v>
      </c>
      <c r="B528" s="854"/>
      <c r="C528" s="665" t="s">
        <v>1019</v>
      </c>
    </row>
    <row r="529" spans="1:3" ht="15">
      <c r="A529" s="845" t="s">
        <v>1688</v>
      </c>
      <c r="B529" s="854"/>
      <c r="C529" s="665" t="s">
        <v>1020</v>
      </c>
    </row>
    <row r="530" spans="1:3" ht="15">
      <c r="A530" s="845" t="s">
        <v>1689</v>
      </c>
      <c r="B530" s="854"/>
      <c r="C530" s="665" t="s">
        <v>1021</v>
      </c>
    </row>
    <row r="531" spans="1:3" ht="15">
      <c r="A531" s="845" t="s">
        <v>1690</v>
      </c>
      <c r="B531" s="854"/>
      <c r="C531" s="665" t="s">
        <v>1022</v>
      </c>
    </row>
    <row r="532" spans="1:3" ht="15">
      <c r="A532" s="845"/>
      <c r="B532" s="854"/>
      <c r="C532" s="665" t="s">
        <v>1691</v>
      </c>
    </row>
    <row r="533" spans="1:3" ht="15">
      <c r="A533" s="845"/>
      <c r="B533" s="854"/>
      <c r="C533" s="665" t="s">
        <v>1692</v>
      </c>
    </row>
    <row r="534" spans="1:3" ht="15">
      <c r="A534" s="845" t="s">
        <v>1693</v>
      </c>
      <c r="B534" s="854"/>
      <c r="C534" s="665" t="s">
        <v>1023</v>
      </c>
    </row>
    <row r="535" spans="1:3" ht="15">
      <c r="A535" s="845" t="s">
        <v>1694</v>
      </c>
      <c r="B535" s="854"/>
      <c r="C535" s="665" t="s">
        <v>1024</v>
      </c>
    </row>
    <row r="536" spans="1:3" ht="15">
      <c r="A536" s="845" t="s">
        <v>1695</v>
      </c>
      <c r="B536" s="854"/>
      <c r="C536" s="665" t="s">
        <v>1025</v>
      </c>
    </row>
    <row r="537" spans="1:3" ht="15">
      <c r="A537" s="845" t="s">
        <v>1696</v>
      </c>
      <c r="B537" s="854"/>
      <c r="C537" s="665" t="s">
        <v>1026</v>
      </c>
    </row>
    <row r="538" spans="1:3" ht="15">
      <c r="A538" s="845" t="s">
        <v>1697</v>
      </c>
      <c r="B538" s="854"/>
      <c r="C538" s="665" t="s">
        <v>1027</v>
      </c>
    </row>
    <row r="539" spans="1:3" ht="15">
      <c r="A539" s="845" t="s">
        <v>1698</v>
      </c>
      <c r="B539" s="854"/>
      <c r="C539" s="665" t="s">
        <v>1028</v>
      </c>
    </row>
    <row r="540" spans="1:3" ht="15">
      <c r="A540" s="845" t="s">
        <v>1699</v>
      </c>
      <c r="B540" s="854"/>
      <c r="C540" s="665" t="s">
        <v>1029</v>
      </c>
    </row>
    <row r="541" spans="1:3" ht="15">
      <c r="A541" s="845" t="s">
        <v>1700</v>
      </c>
      <c r="B541" s="854"/>
      <c r="C541" s="665" t="s">
        <v>1030</v>
      </c>
    </row>
    <row r="542" spans="1:3" ht="15">
      <c r="A542" s="845" t="s">
        <v>1701</v>
      </c>
      <c r="B542" s="854"/>
      <c r="C542" s="665" t="s">
        <v>1031</v>
      </c>
    </row>
    <row r="543" spans="1:3" ht="15">
      <c r="A543" s="845" t="s">
        <v>1702</v>
      </c>
      <c r="B543" s="854"/>
      <c r="C543" s="665" t="s">
        <v>1032</v>
      </c>
    </row>
    <row r="544" spans="1:3" ht="15">
      <c r="A544" s="845" t="s">
        <v>1703</v>
      </c>
      <c r="B544" s="854"/>
      <c r="C544" s="665" t="s">
        <v>1033</v>
      </c>
    </row>
    <row r="545" spans="1:3" ht="15">
      <c r="A545" s="845" t="s">
        <v>1704</v>
      </c>
      <c r="B545" s="854"/>
      <c r="C545" s="665" t="s">
        <v>1034</v>
      </c>
    </row>
    <row r="546" spans="1:3" ht="15">
      <c r="A546" s="845"/>
      <c r="B546" s="854"/>
      <c r="C546" s="665" t="s">
        <v>1705</v>
      </c>
    </row>
    <row r="547" spans="1:3" ht="15">
      <c r="A547" s="845"/>
      <c r="B547" s="854"/>
      <c r="C547" s="665" t="s">
        <v>1706</v>
      </c>
    </row>
    <row r="548" spans="1:3" ht="15">
      <c r="A548" s="845" t="s">
        <v>1707</v>
      </c>
      <c r="B548" s="854"/>
      <c r="C548" s="665" t="s">
        <v>1035</v>
      </c>
    </row>
    <row r="549" spans="1:3" ht="15">
      <c r="A549" s="845" t="s">
        <v>1708</v>
      </c>
      <c r="B549" s="854"/>
      <c r="C549" s="665" t="s">
        <v>1036</v>
      </c>
    </row>
    <row r="550" spans="1:3" ht="15">
      <c r="A550" s="845" t="s">
        <v>1709</v>
      </c>
      <c r="B550" s="854"/>
      <c r="C550" s="665" t="s">
        <v>1037</v>
      </c>
    </row>
    <row r="551" spans="1:3" ht="15">
      <c r="A551" s="845" t="s">
        <v>1710</v>
      </c>
      <c r="B551" s="854"/>
      <c r="C551" s="665" t="s">
        <v>1038</v>
      </c>
    </row>
    <row r="552" spans="1:3" ht="15">
      <c r="A552" s="845" t="s">
        <v>1711</v>
      </c>
      <c r="B552" s="854"/>
      <c r="C552" s="665" t="s">
        <v>1039</v>
      </c>
    </row>
    <row r="553" spans="1:3" ht="15">
      <c r="A553" s="845" t="s">
        <v>1712</v>
      </c>
      <c r="B553" s="854"/>
      <c r="C553" s="665" t="s">
        <v>1040</v>
      </c>
    </row>
    <row r="554" spans="1:3" ht="15">
      <c r="A554" s="845" t="s">
        <v>1713</v>
      </c>
      <c r="B554" s="854"/>
      <c r="C554" s="665" t="s">
        <v>1041</v>
      </c>
    </row>
    <row r="555" spans="1:3" ht="15">
      <c r="A555" s="845" t="s">
        <v>1714</v>
      </c>
      <c r="B555" s="854"/>
      <c r="C555" s="665" t="s">
        <v>1042</v>
      </c>
    </row>
    <row r="556" spans="1:3" ht="15">
      <c r="A556" s="845" t="s">
        <v>1715</v>
      </c>
      <c r="B556" s="854"/>
      <c r="C556" s="665" t="s">
        <v>1043</v>
      </c>
    </row>
    <row r="557" spans="1:3" ht="15">
      <c r="A557" s="845" t="s">
        <v>1716</v>
      </c>
      <c r="B557" s="854"/>
      <c r="C557" s="665" t="s">
        <v>1044</v>
      </c>
    </row>
    <row r="558" spans="1:3" ht="15">
      <c r="A558" s="845" t="s">
        <v>1717</v>
      </c>
      <c r="B558" s="854"/>
      <c r="C558" s="665" t="s">
        <v>1045</v>
      </c>
    </row>
    <row r="559" spans="1:3" ht="15">
      <c r="A559" s="845" t="s">
        <v>1718</v>
      </c>
      <c r="B559" s="854"/>
      <c r="C559" s="665" t="s">
        <v>1046</v>
      </c>
    </row>
    <row r="560" spans="1:3" ht="15">
      <c r="A560" s="845" t="s">
        <v>1719</v>
      </c>
      <c r="B560" s="854"/>
      <c r="C560" s="665" t="s">
        <v>1047</v>
      </c>
    </row>
    <row r="561" spans="1:3" ht="15">
      <c r="A561" s="845" t="s">
        <v>1720</v>
      </c>
      <c r="B561" s="854"/>
      <c r="C561" s="665" t="s">
        <v>1048</v>
      </c>
    </row>
    <row r="562" spans="1:3" ht="15">
      <c r="A562" s="845" t="s">
        <v>1721</v>
      </c>
      <c r="B562" s="854"/>
      <c r="C562" s="665" t="s">
        <v>1049</v>
      </c>
    </row>
    <row r="563" spans="1:3" ht="15">
      <c r="A563" s="845" t="s">
        <v>1722</v>
      </c>
      <c r="B563" s="854"/>
      <c r="C563" s="665" t="s">
        <v>1050</v>
      </c>
    </row>
    <row r="564" spans="1:3" ht="15">
      <c r="A564" s="845" t="s">
        <v>1723</v>
      </c>
      <c r="B564" s="854"/>
      <c r="C564" s="665" t="s">
        <v>1051</v>
      </c>
    </row>
    <row r="565" spans="1:3" ht="15">
      <c r="A565" s="845" t="s">
        <v>1724</v>
      </c>
      <c r="B565" s="854"/>
      <c r="C565" s="665" t="s">
        <v>1052</v>
      </c>
    </row>
    <row r="566" spans="1:3" ht="15">
      <c r="A566" s="845"/>
      <c r="B566" s="854"/>
      <c r="C566" s="665" t="s">
        <v>1725</v>
      </c>
    </row>
    <row r="567" spans="1:3" ht="15">
      <c r="A567" s="845" t="s">
        <v>1726</v>
      </c>
      <c r="B567" s="854"/>
      <c r="C567" s="665" t="s">
        <v>1053</v>
      </c>
    </row>
    <row r="568" spans="1:3" ht="15">
      <c r="A568" s="845" t="s">
        <v>1727</v>
      </c>
      <c r="B568" s="854"/>
      <c r="C568" s="665" t="s">
        <v>1054</v>
      </c>
    </row>
    <row r="569" spans="1:3" ht="15">
      <c r="A569" s="845" t="s">
        <v>1728</v>
      </c>
      <c r="B569" s="854"/>
      <c r="C569" s="665" t="s">
        <v>1729</v>
      </c>
    </row>
    <row r="570" spans="1:3" ht="15">
      <c r="A570" s="845" t="s">
        <v>1730</v>
      </c>
      <c r="B570" s="854"/>
      <c r="C570" s="665" t="s">
        <v>1731</v>
      </c>
    </row>
    <row r="571" spans="1:3" ht="15">
      <c r="A571" s="845"/>
      <c r="B571" s="854"/>
      <c r="C571" s="665"/>
    </row>
    <row r="572" spans="1:3" ht="15">
      <c r="A572" s="845" t="s">
        <v>1732</v>
      </c>
      <c r="B572" s="854"/>
      <c r="C572" s="665" t="s">
        <v>1733</v>
      </c>
    </row>
    <row r="573" spans="1:3" ht="15">
      <c r="A573" s="845" t="s">
        <v>1734</v>
      </c>
      <c r="B573" s="854"/>
      <c r="C573" s="665" t="s">
        <v>1735</v>
      </c>
    </row>
    <row r="574" spans="1:3" ht="15">
      <c r="A574" s="845" t="s">
        <v>1736</v>
      </c>
      <c r="B574" s="854"/>
      <c r="C574" s="665" t="s">
        <v>1737</v>
      </c>
    </row>
    <row r="575" spans="1:3">
      <c r="A575" s="666"/>
    </row>
    <row r="576" spans="1:3">
      <c r="A576" s="666"/>
    </row>
    <row r="577" spans="1:1">
      <c r="A577" s="666"/>
    </row>
    <row r="578" spans="1:1">
      <c r="A578" s="666"/>
    </row>
    <row r="579" spans="1:1">
      <c r="A579" s="666"/>
    </row>
    <row r="580" spans="1:1">
      <c r="A580" s="666"/>
    </row>
    <row r="581" spans="1:1">
      <c r="A581" s="666"/>
    </row>
    <row r="582" spans="1:1">
      <c r="A582" s="666"/>
    </row>
    <row r="583" spans="1:1">
      <c r="A583" s="666"/>
    </row>
    <row r="584" spans="1:1">
      <c r="A584" s="666"/>
    </row>
    <row r="585" spans="1:1">
      <c r="A585" s="666"/>
    </row>
    <row r="586" spans="1:1">
      <c r="A586" s="666"/>
    </row>
    <row r="587" spans="1:1">
      <c r="A587" s="666"/>
    </row>
    <row r="588" spans="1:1">
      <c r="A588" s="666"/>
    </row>
    <row r="589" spans="1:1">
      <c r="A589" s="666"/>
    </row>
    <row r="590" spans="1:1">
      <c r="A590" s="666"/>
    </row>
    <row r="591" spans="1:1">
      <c r="A591" s="666"/>
    </row>
    <row r="592" spans="1:1">
      <c r="A592" s="666"/>
    </row>
    <row r="593" spans="1:1">
      <c r="A593" s="666"/>
    </row>
    <row r="594" spans="1:1">
      <c r="A594" s="666"/>
    </row>
    <row r="595" spans="1:1">
      <c r="A595" s="666"/>
    </row>
    <row r="596" spans="1:1">
      <c r="A596" s="666"/>
    </row>
    <row r="597" spans="1:1">
      <c r="A597" s="666"/>
    </row>
    <row r="598" spans="1:1">
      <c r="A598" s="666"/>
    </row>
    <row r="599" spans="1:1">
      <c r="A599" s="666"/>
    </row>
    <row r="600" spans="1:1">
      <c r="A600" s="666"/>
    </row>
    <row r="601" spans="1:1">
      <c r="A601" s="666"/>
    </row>
    <row r="602" spans="1:1">
      <c r="A602" s="666"/>
    </row>
    <row r="603" spans="1:1">
      <c r="A603" s="666"/>
    </row>
    <row r="604" spans="1:1">
      <c r="A604" s="666"/>
    </row>
    <row r="605" spans="1:1">
      <c r="A605" s="666"/>
    </row>
    <row r="606" spans="1:1">
      <c r="A606" s="666"/>
    </row>
    <row r="607" spans="1:1">
      <c r="A607" s="666"/>
    </row>
    <row r="608" spans="1:1">
      <c r="A608" s="666"/>
    </row>
    <row r="609" spans="1:1">
      <c r="A609" s="666"/>
    </row>
    <row r="610" spans="1:1">
      <c r="A610" s="666"/>
    </row>
    <row r="611" spans="1:1">
      <c r="A611" s="666"/>
    </row>
    <row r="612" spans="1:1">
      <c r="A612" s="666"/>
    </row>
    <row r="613" spans="1:1">
      <c r="A613" s="666"/>
    </row>
    <row r="614" spans="1:1">
      <c r="A614" s="666"/>
    </row>
    <row r="615" spans="1:1">
      <c r="A615" s="666"/>
    </row>
    <row r="616" spans="1:1">
      <c r="A616" s="666"/>
    </row>
    <row r="617" spans="1:1">
      <c r="A617" s="666"/>
    </row>
    <row r="618" spans="1:1">
      <c r="A618" s="666"/>
    </row>
    <row r="619" spans="1:1">
      <c r="A619" s="666"/>
    </row>
    <row r="620" spans="1:1">
      <c r="A620" s="666"/>
    </row>
    <row r="621" spans="1:1">
      <c r="A621" s="666"/>
    </row>
    <row r="622" spans="1:1">
      <c r="A622" s="666"/>
    </row>
    <row r="623" spans="1:1">
      <c r="A623" s="666"/>
    </row>
    <row r="624" spans="1:1">
      <c r="A624" s="666"/>
    </row>
    <row r="625" spans="1:1">
      <c r="A625" s="666"/>
    </row>
    <row r="626" spans="1:1">
      <c r="A626" s="666"/>
    </row>
    <row r="627" spans="1:1">
      <c r="A627" s="666"/>
    </row>
    <row r="628" spans="1:1">
      <c r="A628" s="666"/>
    </row>
    <row r="629" spans="1:1">
      <c r="A629" s="666"/>
    </row>
    <row r="630" spans="1:1">
      <c r="A630" s="666"/>
    </row>
    <row r="631" spans="1:1">
      <c r="A631" s="666"/>
    </row>
    <row r="632" spans="1:1">
      <c r="A632" s="666"/>
    </row>
    <row r="633" spans="1:1">
      <c r="A633" s="666"/>
    </row>
    <row r="634" spans="1:1">
      <c r="A634" s="666"/>
    </row>
  </sheetData>
  <sheetProtection algorithmName="SHA-512" hashValue="2UpBB5YFRJdAb10/83OKQMNB5gsrGSXw8I7EFc0XFQGKcXMQ1RGszf/fqoVFcFrJawI8THpCPpzsrwk94ZFEmA==" saltValue="2ohxs2P7psOas7Ju+iplpg==" spinCount="100000" sheet="1" objects="1" scenarios="1"/>
  <customSheetViews>
    <customSheetView guid="{727552C9-10E3-4948-B2AE-8FE165517887}" state="hidden" topLeftCell="A400">
      <selection activeCell="A410" sqref="A410:E410"/>
      <pageMargins left="0.7" right="0.7" top="0.78740157499999996" bottom="0.78740157499999996" header="0.3" footer="0.3"/>
      <pageSetup paperSize="9" orientation="portrait" r:id="rId1"/>
    </customSheetView>
  </customSheetViews>
  <phoneticPr fontId="198" type="noConversion"/>
  <pageMargins left="0.7" right="0.7" top="0.78740157499999996" bottom="0.78740157499999996" header="0.3" footer="0.3"/>
  <pageSetup paperSize="9"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0"/>
  <sheetViews>
    <sheetView topLeftCell="A232" zoomScaleNormal="100" workbookViewId="0">
      <selection activeCell="C254" sqref="C254"/>
    </sheetView>
  </sheetViews>
  <sheetFormatPr defaultColWidth="10.6640625" defaultRowHeight="14.4"/>
  <cols>
    <col min="1" max="1" width="73.5546875" style="680" customWidth="1"/>
    <col min="2" max="2" width="58.88671875" style="680" customWidth="1"/>
    <col min="3" max="3" width="52.33203125" style="829" customWidth="1"/>
    <col min="4" max="16384" width="10.6640625" style="16"/>
  </cols>
  <sheetData>
    <row r="1" spans="1:3">
      <c r="A1" s="827" t="s">
        <v>7</v>
      </c>
      <c r="B1" s="680" t="s">
        <v>9</v>
      </c>
      <c r="C1" s="828" t="s">
        <v>8</v>
      </c>
    </row>
    <row r="2" spans="1:3">
      <c r="A2" s="680" t="s">
        <v>593</v>
      </c>
      <c r="B2" s="680" t="s">
        <v>594</v>
      </c>
      <c r="C2" s="682" t="s">
        <v>594</v>
      </c>
    </row>
    <row r="3" spans="1:3">
      <c r="A3" s="680" t="s">
        <v>357</v>
      </c>
      <c r="B3" s="680" t="s">
        <v>357</v>
      </c>
      <c r="C3" s="680" t="s">
        <v>357</v>
      </c>
    </row>
    <row r="4" spans="1:3">
      <c r="A4" s="681" t="s">
        <v>482</v>
      </c>
      <c r="B4" s="681" t="s">
        <v>483</v>
      </c>
      <c r="C4" s="681" t="s">
        <v>483</v>
      </c>
    </row>
    <row r="5" spans="1:3">
      <c r="A5" s="680" t="s">
        <v>11</v>
      </c>
      <c r="B5" s="680" t="s">
        <v>10</v>
      </c>
      <c r="C5" s="680" t="s">
        <v>10</v>
      </c>
    </row>
    <row r="6" spans="1:3">
      <c r="A6" s="680" t="s">
        <v>21</v>
      </c>
      <c r="B6" s="680" t="s">
        <v>20</v>
      </c>
      <c r="C6" s="680" t="s">
        <v>20</v>
      </c>
    </row>
    <row r="7" spans="1:3">
      <c r="A7" s="680" t="s">
        <v>903</v>
      </c>
      <c r="B7" s="680" t="s">
        <v>902</v>
      </c>
      <c r="C7" s="680" t="s">
        <v>902</v>
      </c>
    </row>
    <row r="8" spans="1:3">
      <c r="A8" s="680" t="s">
        <v>55</v>
      </c>
      <c r="B8" s="680" t="s">
        <v>904</v>
      </c>
      <c r="C8" s="680" t="s">
        <v>904</v>
      </c>
    </row>
    <row r="9" spans="1:3">
      <c r="A9" s="680" t="s">
        <v>484</v>
      </c>
      <c r="B9" s="680" t="s">
        <v>480</v>
      </c>
      <c r="C9" s="680" t="s">
        <v>480</v>
      </c>
    </row>
    <row r="10" spans="1:3">
      <c r="A10" s="680" t="s">
        <v>485</v>
      </c>
      <c r="B10" s="680" t="s">
        <v>469</v>
      </c>
      <c r="C10" s="680" t="s">
        <v>469</v>
      </c>
    </row>
    <row r="11" spans="1:3">
      <c r="A11" s="680" t="s">
        <v>486</v>
      </c>
      <c r="B11" s="680" t="s">
        <v>470</v>
      </c>
      <c r="C11" s="680" t="s">
        <v>470</v>
      </c>
    </row>
    <row r="12" spans="1:3">
      <c r="A12" s="680" t="s">
        <v>13</v>
      </c>
      <c r="B12" s="680" t="s">
        <v>12</v>
      </c>
      <c r="C12" s="680" t="s">
        <v>12</v>
      </c>
    </row>
    <row r="13" spans="1:3">
      <c r="A13" s="681" t="s">
        <v>490</v>
      </c>
      <c r="B13" s="681" t="s">
        <v>448</v>
      </c>
      <c r="C13" s="681" t="s">
        <v>448</v>
      </c>
    </row>
    <row r="14" spans="1:3">
      <c r="A14" s="682" t="s">
        <v>900</v>
      </c>
      <c r="B14" s="682" t="s">
        <v>900</v>
      </c>
      <c r="C14" s="682" t="s">
        <v>900</v>
      </c>
    </row>
    <row r="15" spans="1:3">
      <c r="A15" s="680" t="s">
        <v>487</v>
      </c>
      <c r="B15" s="680" t="s">
        <v>488</v>
      </c>
      <c r="C15" s="680" t="s">
        <v>488</v>
      </c>
    </row>
    <row r="16" spans="1:3">
      <c r="A16" s="680" t="s">
        <v>468</v>
      </c>
      <c r="B16" s="680" t="s">
        <v>468</v>
      </c>
      <c r="C16" s="680" t="s">
        <v>468</v>
      </c>
    </row>
    <row r="17" spans="1:3">
      <c r="A17" s="680" t="s">
        <v>364</v>
      </c>
      <c r="B17" s="680" t="s">
        <v>364</v>
      </c>
      <c r="C17" s="829" t="s">
        <v>364</v>
      </c>
    </row>
    <row r="18" spans="1:3">
      <c r="A18" s="680" t="s">
        <v>905</v>
      </c>
      <c r="B18" s="680" t="s">
        <v>905</v>
      </c>
      <c r="C18" s="680" t="s">
        <v>114</v>
      </c>
    </row>
    <row r="19" spans="1:3">
      <c r="A19" s="680" t="s">
        <v>18</v>
      </c>
      <c r="B19" s="680" t="s">
        <v>19</v>
      </c>
      <c r="C19" s="680" t="s">
        <v>19</v>
      </c>
    </row>
    <row r="20" spans="1:3">
      <c r="A20" s="680" t="s">
        <v>123</v>
      </c>
      <c r="B20" s="680" t="s">
        <v>124</v>
      </c>
      <c r="C20" s="680" t="s">
        <v>124</v>
      </c>
    </row>
    <row r="21" spans="1:3">
      <c r="A21" s="680" t="s">
        <v>489</v>
      </c>
      <c r="B21" s="680" t="s">
        <v>22</v>
      </c>
      <c r="C21" s="680" t="s">
        <v>22</v>
      </c>
    </row>
    <row r="22" spans="1:3">
      <c r="A22" s="681" t="s">
        <v>1095</v>
      </c>
      <c r="B22" s="681" t="s">
        <v>1095</v>
      </c>
      <c r="C22" s="681" t="s">
        <v>1095</v>
      </c>
    </row>
    <row r="23" spans="1:3">
      <c r="A23" s="680" t="s">
        <v>1008</v>
      </c>
      <c r="B23" s="680" t="s">
        <v>1007</v>
      </c>
      <c r="C23" s="680" t="s">
        <v>1007</v>
      </c>
    </row>
    <row r="24" spans="1:3">
      <c r="A24" s="680" t="s">
        <v>33</v>
      </c>
      <c r="B24" s="680" t="s">
        <v>32</v>
      </c>
      <c r="C24" s="680" t="s">
        <v>32</v>
      </c>
    </row>
    <row r="25" spans="1:3">
      <c r="A25" s="680" t="s">
        <v>3351</v>
      </c>
      <c r="B25" s="680" t="s">
        <v>3350</v>
      </c>
      <c r="C25" s="680" t="s">
        <v>3350</v>
      </c>
    </row>
    <row r="26" spans="1:3">
      <c r="A26" s="829" t="s">
        <v>854</v>
      </c>
      <c r="B26" s="829" t="s">
        <v>854</v>
      </c>
      <c r="C26" s="829" t="s">
        <v>854</v>
      </c>
    </row>
    <row r="27" spans="1:3">
      <c r="A27" s="680" t="s">
        <v>491</v>
      </c>
      <c r="B27" s="680" t="s">
        <v>449</v>
      </c>
      <c r="C27" s="680" t="s">
        <v>449</v>
      </c>
    </row>
    <row r="28" spans="1:3">
      <c r="A28" s="681" t="s">
        <v>1104</v>
      </c>
      <c r="B28" s="681" t="s">
        <v>1096</v>
      </c>
      <c r="C28" s="681" t="s">
        <v>1096</v>
      </c>
    </row>
    <row r="29" spans="1:3">
      <c r="A29" s="680" t="s">
        <v>577</v>
      </c>
      <c r="B29" s="680" t="s">
        <v>30</v>
      </c>
      <c r="C29" s="680" t="s">
        <v>30</v>
      </c>
    </row>
    <row r="30" spans="1:3">
      <c r="A30" s="680" t="s">
        <v>578</v>
      </c>
      <c r="B30" s="680" t="s">
        <v>31</v>
      </c>
      <c r="C30" s="680" t="s">
        <v>31</v>
      </c>
    </row>
    <row r="31" spans="1:3">
      <c r="A31" s="680" t="s">
        <v>14</v>
      </c>
      <c r="B31" s="680" t="s">
        <v>778</v>
      </c>
      <c r="C31" s="680" t="s">
        <v>778</v>
      </c>
    </row>
    <row r="32" spans="1:3">
      <c r="A32" s="680" t="s">
        <v>15</v>
      </c>
      <c r="B32" s="680" t="s">
        <v>16</v>
      </c>
      <c r="C32" s="680" t="s">
        <v>16</v>
      </c>
    </row>
    <row r="33" spans="1:3">
      <c r="A33" s="680" t="s">
        <v>362</v>
      </c>
      <c r="B33" s="680" t="s">
        <v>363</v>
      </c>
      <c r="C33" s="680" t="s">
        <v>363</v>
      </c>
    </row>
    <row r="34" spans="1:3">
      <c r="A34" s="680" t="s">
        <v>29</v>
      </c>
      <c r="B34" s="680" t="s">
        <v>28</v>
      </c>
      <c r="C34" s="680" t="s">
        <v>28</v>
      </c>
    </row>
    <row r="35" spans="1:3">
      <c r="A35" s="829" t="s">
        <v>504</v>
      </c>
      <c r="B35" s="680" t="s">
        <v>507</v>
      </c>
      <c r="C35" s="680" t="s">
        <v>507</v>
      </c>
    </row>
    <row r="36" spans="1:3">
      <c r="A36" s="829" t="s">
        <v>26</v>
      </c>
      <c r="B36" s="680" t="s">
        <v>25</v>
      </c>
      <c r="C36" s="680" t="s">
        <v>25</v>
      </c>
    </row>
    <row r="37" spans="1:3">
      <c r="A37" s="829" t="s">
        <v>906</v>
      </c>
      <c r="B37" s="680" t="s">
        <v>27</v>
      </c>
      <c r="C37" s="680" t="s">
        <v>27</v>
      </c>
    </row>
    <row r="38" spans="1:3">
      <c r="A38" s="829" t="s">
        <v>89</v>
      </c>
      <c r="B38" s="680" t="s">
        <v>89</v>
      </c>
      <c r="C38" s="680" t="s">
        <v>89</v>
      </c>
    </row>
    <row r="39" spans="1:3">
      <c r="A39" s="829" t="s">
        <v>506</v>
      </c>
      <c r="B39" s="680" t="s">
        <v>509</v>
      </c>
      <c r="C39" s="680" t="s">
        <v>509</v>
      </c>
    </row>
    <row r="40" spans="1:3">
      <c r="A40" s="680" t="s">
        <v>934</v>
      </c>
      <c r="B40" s="680" t="s">
        <v>935</v>
      </c>
      <c r="C40" s="680" t="s">
        <v>935</v>
      </c>
    </row>
    <row r="41" spans="1:3">
      <c r="A41" s="680" t="s">
        <v>105</v>
      </c>
      <c r="B41" s="680" t="s">
        <v>100</v>
      </c>
      <c r="C41" s="680" t="s">
        <v>100</v>
      </c>
    </row>
    <row r="42" spans="1:3">
      <c r="A42" s="680" t="s">
        <v>106</v>
      </c>
      <c r="B42" s="680" t="s">
        <v>99</v>
      </c>
      <c r="C42" s="680" t="s">
        <v>99</v>
      </c>
    </row>
    <row r="43" spans="1:3">
      <c r="A43" s="829" t="s">
        <v>873</v>
      </c>
      <c r="B43" s="829" t="s">
        <v>848</v>
      </c>
      <c r="C43" s="829" t="s">
        <v>848</v>
      </c>
    </row>
    <row r="44" spans="1:3">
      <c r="A44" s="829" t="s">
        <v>874</v>
      </c>
      <c r="B44" s="829" t="s">
        <v>849</v>
      </c>
      <c r="C44" s="680" t="s">
        <v>849</v>
      </c>
    </row>
    <row r="45" spans="1:3">
      <c r="A45" s="829" t="s">
        <v>875</v>
      </c>
      <c r="B45" s="829" t="s">
        <v>850</v>
      </c>
      <c r="C45" s="829" t="s">
        <v>850</v>
      </c>
    </row>
    <row r="46" spans="1:3">
      <c r="A46" s="829" t="s">
        <v>876</v>
      </c>
      <c r="B46" s="829" t="s">
        <v>852</v>
      </c>
      <c r="C46" s="829" t="s">
        <v>852</v>
      </c>
    </row>
    <row r="47" spans="1:3">
      <c r="A47" s="829" t="s">
        <v>877</v>
      </c>
      <c r="B47" s="829" t="s">
        <v>851</v>
      </c>
      <c r="C47" s="829" t="s">
        <v>851</v>
      </c>
    </row>
    <row r="48" spans="1:3">
      <c r="A48" s="829" t="s">
        <v>878</v>
      </c>
      <c r="B48" s="829" t="s">
        <v>853</v>
      </c>
      <c r="C48" s="829" t="s">
        <v>853</v>
      </c>
    </row>
    <row r="49" spans="1:3">
      <c r="A49" s="934" t="s">
        <v>879</v>
      </c>
      <c r="B49" s="935" t="s">
        <v>2510</v>
      </c>
      <c r="C49" s="935" t="s">
        <v>2510</v>
      </c>
    </row>
    <row r="50" spans="1:3">
      <c r="A50" s="934" t="s">
        <v>2509</v>
      </c>
      <c r="B50" s="935" t="s">
        <v>2511</v>
      </c>
      <c r="C50" s="935" t="s">
        <v>2511</v>
      </c>
    </row>
    <row r="51" spans="1:3">
      <c r="A51" s="934" t="s">
        <v>2512</v>
      </c>
      <c r="B51" s="935" t="s">
        <v>2513</v>
      </c>
      <c r="C51" s="935" t="s">
        <v>2513</v>
      </c>
    </row>
    <row r="52" spans="1:3">
      <c r="A52" s="934" t="s">
        <v>2514</v>
      </c>
      <c r="B52" s="935" t="s">
        <v>2515</v>
      </c>
      <c r="C52" s="680" t="s">
        <v>2515</v>
      </c>
    </row>
    <row r="53" spans="1:3" ht="27.6">
      <c r="A53" s="934" t="s">
        <v>2516</v>
      </c>
      <c r="B53" s="935" t="s">
        <v>2517</v>
      </c>
      <c r="C53" s="680" t="s">
        <v>2517</v>
      </c>
    </row>
    <row r="54" spans="1:3" ht="27.6">
      <c r="A54" s="934" t="s">
        <v>2518</v>
      </c>
      <c r="B54" s="935" t="s">
        <v>2519</v>
      </c>
      <c r="C54" s="680" t="s">
        <v>2519</v>
      </c>
    </row>
    <row r="55" spans="1:3">
      <c r="A55" s="830" t="s">
        <v>884</v>
      </c>
      <c r="B55" s="829" t="s">
        <v>868</v>
      </c>
      <c r="C55" s="680" t="s">
        <v>2615</v>
      </c>
    </row>
    <row r="56" spans="1:3" ht="27.6">
      <c r="A56" s="934" t="s">
        <v>2520</v>
      </c>
      <c r="B56" s="935" t="s">
        <v>2521</v>
      </c>
      <c r="C56" s="680" t="s">
        <v>2521</v>
      </c>
    </row>
    <row r="57" spans="1:3">
      <c r="A57" s="934" t="s">
        <v>2522</v>
      </c>
      <c r="B57" s="935" t="s">
        <v>2523</v>
      </c>
      <c r="C57" s="680" t="s">
        <v>2523</v>
      </c>
    </row>
    <row r="58" spans="1:3">
      <c r="A58" s="830" t="s">
        <v>893</v>
      </c>
      <c r="B58" s="829" t="s">
        <v>869</v>
      </c>
      <c r="C58" s="680" t="s">
        <v>2524</v>
      </c>
    </row>
    <row r="59" spans="1:3">
      <c r="A59" s="830" t="s">
        <v>887</v>
      </c>
      <c r="B59" s="829" t="s">
        <v>858</v>
      </c>
      <c r="C59" s="680" t="s">
        <v>2525</v>
      </c>
    </row>
    <row r="60" spans="1:3" ht="27.6">
      <c r="A60" s="830" t="s">
        <v>888</v>
      </c>
      <c r="B60" s="829" t="s">
        <v>860</v>
      </c>
      <c r="C60" s="680" t="s">
        <v>2526</v>
      </c>
    </row>
    <row r="61" spans="1:3">
      <c r="A61" s="830" t="s">
        <v>889</v>
      </c>
      <c r="B61" s="829" t="s">
        <v>863</v>
      </c>
      <c r="C61" s="680" t="s">
        <v>2527</v>
      </c>
    </row>
    <row r="62" spans="1:3">
      <c r="A62" s="830" t="s">
        <v>890</v>
      </c>
      <c r="B62" s="829" t="s">
        <v>864</v>
      </c>
      <c r="C62" s="680" t="s">
        <v>2528</v>
      </c>
    </row>
    <row r="63" spans="1:3">
      <c r="A63" s="830" t="s">
        <v>891</v>
      </c>
      <c r="B63" s="829" t="s">
        <v>865</v>
      </c>
      <c r="C63" s="680" t="s">
        <v>2529</v>
      </c>
    </row>
    <row r="64" spans="1:3">
      <c r="A64" s="830" t="s">
        <v>892</v>
      </c>
      <c r="B64" s="829" t="s">
        <v>866</v>
      </c>
      <c r="C64" s="680" t="s">
        <v>2530</v>
      </c>
    </row>
    <row r="65" spans="1:3">
      <c r="A65" s="830" t="s">
        <v>1105</v>
      </c>
      <c r="B65" s="829" t="s">
        <v>932</v>
      </c>
      <c r="C65" s="680" t="s">
        <v>932</v>
      </c>
    </row>
    <row r="66" spans="1:3">
      <c r="A66" s="830" t="s">
        <v>1106</v>
      </c>
      <c r="B66" s="829" t="s">
        <v>933</v>
      </c>
      <c r="C66" s="680" t="s">
        <v>933</v>
      </c>
    </row>
    <row r="67" spans="1:3">
      <c r="A67" s="681" t="s">
        <v>1107</v>
      </c>
      <c r="B67" s="681" t="s">
        <v>1097</v>
      </c>
      <c r="C67" s="681" t="s">
        <v>1097</v>
      </c>
    </row>
    <row r="68" spans="1:3">
      <c r="A68" s="680" t="s">
        <v>453</v>
      </c>
      <c r="B68" s="680" t="s">
        <v>453</v>
      </c>
      <c r="C68" s="680" t="s">
        <v>453</v>
      </c>
    </row>
    <row r="69" spans="1:3">
      <c r="A69" s="829" t="s">
        <v>50</v>
      </c>
      <c r="B69" s="829" t="s">
        <v>49</v>
      </c>
      <c r="C69" s="680" t="s">
        <v>49</v>
      </c>
    </row>
    <row r="70" spans="1:3">
      <c r="A70" s="680" t="s">
        <v>787</v>
      </c>
      <c r="B70" s="829" t="s">
        <v>786</v>
      </c>
      <c r="C70" s="935" t="s">
        <v>2531</v>
      </c>
    </row>
    <row r="71" spans="1:3">
      <c r="A71" s="680" t="s">
        <v>501</v>
      </c>
      <c r="B71" s="680" t="s">
        <v>471</v>
      </c>
      <c r="C71" s="680" t="s">
        <v>471</v>
      </c>
    </row>
    <row r="72" spans="1:3">
      <c r="A72" s="829" t="s">
        <v>834</v>
      </c>
      <c r="B72" s="829" t="s">
        <v>835</v>
      </c>
      <c r="C72" s="680" t="s">
        <v>2532</v>
      </c>
    </row>
    <row r="73" spans="1:3">
      <c r="A73" s="680" t="s">
        <v>836</v>
      </c>
      <c r="B73" s="680" t="s">
        <v>837</v>
      </c>
      <c r="C73" s="680" t="s">
        <v>837</v>
      </c>
    </row>
    <row r="74" spans="1:3">
      <c r="A74" s="680" t="s">
        <v>359</v>
      </c>
      <c r="B74" s="680" t="s">
        <v>361</v>
      </c>
      <c r="C74" s="680" t="s">
        <v>361</v>
      </c>
    </row>
    <row r="75" spans="1:3">
      <c r="A75" s="680" t="s">
        <v>358</v>
      </c>
      <c r="B75" s="680" t="s">
        <v>360</v>
      </c>
      <c r="C75" s="680" t="s">
        <v>360</v>
      </c>
    </row>
    <row r="76" spans="1:3">
      <c r="A76" s="680" t="s">
        <v>502</v>
      </c>
      <c r="B76" s="680" t="s">
        <v>474</v>
      </c>
      <c r="C76" s="680" t="s">
        <v>474</v>
      </c>
    </row>
    <row r="77" spans="1:3">
      <c r="A77" s="680" t="s">
        <v>35</v>
      </c>
      <c r="B77" s="680" t="s">
        <v>34</v>
      </c>
      <c r="C77" s="680" t="s">
        <v>34</v>
      </c>
    </row>
    <row r="78" spans="1:3">
      <c r="A78" s="680" t="s">
        <v>37</v>
      </c>
      <c r="B78" s="680" t="s">
        <v>40</v>
      </c>
      <c r="C78" s="680" t="s">
        <v>40</v>
      </c>
    </row>
    <row r="79" spans="1:3">
      <c r="A79" s="680" t="s">
        <v>39</v>
      </c>
      <c r="B79" s="680" t="s">
        <v>38</v>
      </c>
      <c r="C79" s="680" t="s">
        <v>38</v>
      </c>
    </row>
    <row r="80" spans="1:3">
      <c r="A80" s="680" t="s">
        <v>493</v>
      </c>
      <c r="B80" s="680" t="s">
        <v>797</v>
      </c>
      <c r="C80" s="680" t="s">
        <v>797</v>
      </c>
    </row>
    <row r="81" spans="1:3">
      <c r="A81" s="680" t="s">
        <v>1056</v>
      </c>
      <c r="B81" s="680" t="s">
        <v>942</v>
      </c>
      <c r="C81" s="680" t="s">
        <v>942</v>
      </c>
    </row>
    <row r="82" spans="1:3">
      <c r="A82" s="680" t="s">
        <v>72</v>
      </c>
      <c r="B82" s="680" t="s">
        <v>73</v>
      </c>
      <c r="C82" s="680" t="s">
        <v>73</v>
      </c>
    </row>
    <row r="83" spans="1:3">
      <c r="A83" s="680" t="s">
        <v>36</v>
      </c>
      <c r="B83" s="680" t="s">
        <v>1</v>
      </c>
      <c r="C83" s="680" t="s">
        <v>1</v>
      </c>
    </row>
    <row r="84" spans="1:3">
      <c r="A84" s="829" t="s">
        <v>583</v>
      </c>
      <c r="B84" s="829" t="s">
        <v>582</v>
      </c>
      <c r="C84" s="829" t="s">
        <v>582</v>
      </c>
    </row>
    <row r="85" spans="1:3">
      <c r="A85" s="680" t="s">
        <v>1055</v>
      </c>
      <c r="B85" s="680" t="s">
        <v>450</v>
      </c>
      <c r="C85" s="680" t="s">
        <v>450</v>
      </c>
    </row>
    <row r="86" spans="1:3">
      <c r="A86" s="680" t="s">
        <v>495</v>
      </c>
      <c r="B86" s="680" t="s">
        <v>452</v>
      </c>
      <c r="C86" s="680" t="s">
        <v>452</v>
      </c>
    </row>
    <row r="87" spans="1:3">
      <c r="A87" s="680" t="s">
        <v>496</v>
      </c>
      <c r="B87" s="680" t="s">
        <v>494</v>
      </c>
      <c r="C87" s="680" t="s">
        <v>494</v>
      </c>
    </row>
    <row r="88" spans="1:3">
      <c r="A88" s="680" t="s">
        <v>497</v>
      </c>
      <c r="B88" s="680" t="s">
        <v>451</v>
      </c>
      <c r="C88" s="680" t="s">
        <v>451</v>
      </c>
    </row>
    <row r="89" spans="1:3">
      <c r="A89" s="680" t="s">
        <v>3341</v>
      </c>
      <c r="B89" s="680" t="s">
        <v>3341</v>
      </c>
      <c r="C89" s="680" t="s">
        <v>3341</v>
      </c>
    </row>
    <row r="90" spans="1:3">
      <c r="A90" s="680" t="s">
        <v>498</v>
      </c>
      <c r="B90" s="680" t="s">
        <v>472</v>
      </c>
      <c r="C90" s="680" t="s">
        <v>472</v>
      </c>
    </row>
    <row r="91" spans="1:3">
      <c r="A91" s="680" t="s">
        <v>499</v>
      </c>
      <c r="B91" s="680" t="s">
        <v>473</v>
      </c>
      <c r="C91" s="680" t="s">
        <v>473</v>
      </c>
    </row>
    <row r="92" spans="1:3">
      <c r="A92" s="680" t="s">
        <v>500</v>
      </c>
      <c r="B92" s="680" t="s">
        <v>475</v>
      </c>
      <c r="C92" s="680" t="s">
        <v>475</v>
      </c>
    </row>
    <row r="93" spans="1:3">
      <c r="A93" s="680" t="s">
        <v>503</v>
      </c>
      <c r="B93" s="680" t="s">
        <v>459</v>
      </c>
      <c r="C93" s="680" t="s">
        <v>459</v>
      </c>
    </row>
    <row r="94" spans="1:3">
      <c r="A94" s="680" t="s">
        <v>908</v>
      </c>
      <c r="B94" s="680" t="s">
        <v>907</v>
      </c>
      <c r="C94" s="680" t="s">
        <v>907</v>
      </c>
    </row>
    <row r="95" spans="1:3">
      <c r="A95" s="680" t="s">
        <v>492</v>
      </c>
      <c r="B95" s="680" t="s">
        <v>466</v>
      </c>
      <c r="C95" s="680" t="s">
        <v>466</v>
      </c>
    </row>
    <row r="96" spans="1:3">
      <c r="A96" s="681" t="s">
        <v>927</v>
      </c>
      <c r="B96" s="831" t="s">
        <v>927</v>
      </c>
      <c r="C96" s="831" t="s">
        <v>927</v>
      </c>
    </row>
    <row r="97" spans="1:3">
      <c r="A97" s="829" t="s">
        <v>805</v>
      </c>
      <c r="B97" s="682" t="s">
        <v>806</v>
      </c>
      <c r="C97" s="682" t="s">
        <v>806</v>
      </c>
    </row>
    <row r="98" spans="1:3">
      <c r="A98" s="829" t="s">
        <v>589</v>
      </c>
      <c r="B98" s="680" t="s">
        <v>590</v>
      </c>
      <c r="C98" s="680" t="s">
        <v>590</v>
      </c>
    </row>
    <row r="99" spans="1:3">
      <c r="A99" s="680" t="s">
        <v>792</v>
      </c>
      <c r="B99" s="832" t="s">
        <v>782</v>
      </c>
      <c r="C99" s="832" t="s">
        <v>782</v>
      </c>
    </row>
    <row r="100" spans="1:3">
      <c r="A100" s="680" t="s">
        <v>793</v>
      </c>
      <c r="B100" s="832" t="s">
        <v>783</v>
      </c>
      <c r="C100" s="832" t="s">
        <v>783</v>
      </c>
    </row>
    <row r="101" spans="1:3">
      <c r="A101" s="680" t="s">
        <v>794</v>
      </c>
      <c r="B101" s="832" t="s">
        <v>784</v>
      </c>
      <c r="C101" s="832" t="s">
        <v>784</v>
      </c>
    </row>
    <row r="102" spans="1:3">
      <c r="A102" s="680" t="s">
        <v>781</v>
      </c>
      <c r="B102" s="829" t="s">
        <v>780</v>
      </c>
      <c r="C102" s="829" t="s">
        <v>780</v>
      </c>
    </row>
    <row r="103" spans="1:3">
      <c r="A103" s="829" t="s">
        <v>505</v>
      </c>
      <c r="B103" s="680" t="s">
        <v>508</v>
      </c>
      <c r="C103" s="680" t="s">
        <v>508</v>
      </c>
    </row>
    <row r="104" spans="1:3">
      <c r="A104" s="829" t="s">
        <v>510</v>
      </c>
      <c r="B104" s="680" t="s">
        <v>511</v>
      </c>
      <c r="C104" s="680" t="s">
        <v>511</v>
      </c>
    </row>
    <row r="105" spans="1:3" ht="27.6">
      <c r="A105" s="833" t="s">
        <v>513</v>
      </c>
      <c r="B105" s="682" t="s">
        <v>481</v>
      </c>
      <c r="C105" s="682" t="s">
        <v>2616</v>
      </c>
    </row>
    <row r="106" spans="1:3">
      <c r="A106" s="684" t="s">
        <v>928</v>
      </c>
      <c r="B106" s="684" t="s">
        <v>929</v>
      </c>
      <c r="C106" s="684" t="s">
        <v>929</v>
      </c>
    </row>
    <row r="107" spans="1:3">
      <c r="A107" s="829" t="s">
        <v>516</v>
      </c>
      <c r="B107" s="682" t="s">
        <v>515</v>
      </c>
      <c r="C107" s="682" t="s">
        <v>515</v>
      </c>
    </row>
    <row r="108" spans="1:3">
      <c r="A108" s="680" t="s">
        <v>70</v>
      </c>
      <c r="B108" s="680" t="s">
        <v>71</v>
      </c>
      <c r="C108" s="680" t="s">
        <v>71</v>
      </c>
    </row>
    <row r="109" spans="1:3">
      <c r="A109" s="829" t="s">
        <v>533</v>
      </c>
      <c r="B109" s="680" t="s">
        <v>444</v>
      </c>
      <c r="C109" s="680" t="s">
        <v>2533</v>
      </c>
    </row>
    <row r="110" spans="1:3">
      <c r="A110" s="829" t="s">
        <v>534</v>
      </c>
      <c r="B110" s="680" t="s">
        <v>430</v>
      </c>
      <c r="C110" s="680" t="s">
        <v>2534</v>
      </c>
    </row>
    <row r="111" spans="1:3">
      <c r="A111" s="829" t="s">
        <v>535</v>
      </c>
      <c r="B111" s="680" t="s">
        <v>434</v>
      </c>
      <c r="C111" s="680" t="s">
        <v>2535</v>
      </c>
    </row>
    <row r="112" spans="1:3">
      <c r="A112" s="829" t="s">
        <v>536</v>
      </c>
      <c r="B112" s="680" t="s">
        <v>438</v>
      </c>
      <c r="C112" s="680" t="s">
        <v>2536</v>
      </c>
    </row>
    <row r="113" spans="1:3">
      <c r="A113" s="829" t="s">
        <v>538</v>
      </c>
      <c r="B113" s="680" t="s">
        <v>537</v>
      </c>
      <c r="C113" s="680" t="s">
        <v>2537</v>
      </c>
    </row>
    <row r="114" spans="1:3">
      <c r="A114" s="829" t="s">
        <v>539</v>
      </c>
      <c r="B114" s="680" t="s">
        <v>445</v>
      </c>
      <c r="C114" s="680" t="s">
        <v>2538</v>
      </c>
    </row>
    <row r="115" spans="1:3">
      <c r="A115" s="680" t="s">
        <v>24</v>
      </c>
      <c r="B115" s="680" t="s">
        <v>23</v>
      </c>
      <c r="C115" s="680" t="s">
        <v>23</v>
      </c>
    </row>
    <row r="116" spans="1:3">
      <c r="A116" s="829" t="s">
        <v>517</v>
      </c>
      <c r="B116" s="680" t="s">
        <v>427</v>
      </c>
      <c r="C116" s="680" t="s">
        <v>2539</v>
      </c>
    </row>
    <row r="117" spans="1:3">
      <c r="A117" s="829" t="s">
        <v>518</v>
      </c>
      <c r="B117" s="680" t="s">
        <v>431</v>
      </c>
      <c r="C117" s="680" t="s">
        <v>2540</v>
      </c>
    </row>
    <row r="118" spans="1:3">
      <c r="A118" s="829" t="s">
        <v>519</v>
      </c>
      <c r="B118" s="680" t="s">
        <v>435</v>
      </c>
      <c r="C118" s="680" t="s">
        <v>2541</v>
      </c>
    </row>
    <row r="119" spans="1:3">
      <c r="A119" s="829" t="s">
        <v>520</v>
      </c>
      <c r="B119" s="680" t="s">
        <v>439</v>
      </c>
      <c r="C119" s="680" t="s">
        <v>2542</v>
      </c>
    </row>
    <row r="120" spans="1:3">
      <c r="A120" s="829" t="s">
        <v>521</v>
      </c>
      <c r="B120" s="680" t="s">
        <v>442</v>
      </c>
      <c r="C120" s="680" t="s">
        <v>2543</v>
      </c>
    </row>
    <row r="121" spans="1:3">
      <c r="A121" s="829" t="s">
        <v>522</v>
      </c>
      <c r="B121" s="680" t="s">
        <v>446</v>
      </c>
      <c r="C121" s="680" t="s">
        <v>2544</v>
      </c>
    </row>
    <row r="122" spans="1:3">
      <c r="A122" s="680" t="s">
        <v>74</v>
      </c>
      <c r="B122" s="680" t="s">
        <v>74</v>
      </c>
      <c r="C122" s="680" t="s">
        <v>74</v>
      </c>
    </row>
    <row r="123" spans="1:3">
      <c r="A123" s="829" t="s">
        <v>528</v>
      </c>
      <c r="B123" s="680" t="s">
        <v>447</v>
      </c>
      <c r="C123" s="680" t="s">
        <v>2545</v>
      </c>
    </row>
    <row r="124" spans="1:3">
      <c r="A124" s="829" t="s">
        <v>529</v>
      </c>
      <c r="B124" s="680" t="s">
        <v>429</v>
      </c>
      <c r="C124" s="680" t="s">
        <v>2546</v>
      </c>
    </row>
    <row r="125" spans="1:3">
      <c r="A125" s="829" t="s">
        <v>530</v>
      </c>
      <c r="B125" s="680" t="s">
        <v>433</v>
      </c>
      <c r="C125" s="680" t="s">
        <v>2547</v>
      </c>
    </row>
    <row r="126" spans="1:3">
      <c r="A126" s="829" t="s">
        <v>531</v>
      </c>
      <c r="B126" s="680" t="s">
        <v>437</v>
      </c>
      <c r="C126" s="680" t="s">
        <v>2548</v>
      </c>
    </row>
    <row r="127" spans="1:3">
      <c r="A127" s="829" t="s">
        <v>532</v>
      </c>
      <c r="B127" s="680" t="s">
        <v>441</v>
      </c>
      <c r="C127" s="680" t="s">
        <v>2549</v>
      </c>
    </row>
    <row r="128" spans="1:3">
      <c r="A128" s="680" t="s">
        <v>72</v>
      </c>
      <c r="B128" s="680" t="s">
        <v>73</v>
      </c>
      <c r="C128" s="680" t="s">
        <v>73</v>
      </c>
    </row>
    <row r="129" spans="1:3">
      <c r="A129" s="829" t="s">
        <v>523</v>
      </c>
      <c r="B129" s="680" t="s">
        <v>428</v>
      </c>
      <c r="C129" s="680" t="s">
        <v>2550</v>
      </c>
    </row>
    <row r="130" spans="1:3">
      <c r="A130" s="829" t="s">
        <v>524</v>
      </c>
      <c r="B130" s="680" t="s">
        <v>432</v>
      </c>
      <c r="C130" s="680" t="s">
        <v>2551</v>
      </c>
    </row>
    <row r="131" spans="1:3">
      <c r="A131" s="829" t="s">
        <v>525</v>
      </c>
      <c r="B131" s="680" t="s">
        <v>436</v>
      </c>
      <c r="C131" s="680" t="s">
        <v>2552</v>
      </c>
    </row>
    <row r="132" spans="1:3">
      <c r="A132" s="829" t="s">
        <v>526</v>
      </c>
      <c r="B132" s="680" t="s">
        <v>440</v>
      </c>
      <c r="C132" s="680" t="s">
        <v>2553</v>
      </c>
    </row>
    <row r="133" spans="1:3">
      <c r="A133" s="829" t="s">
        <v>527</v>
      </c>
      <c r="B133" s="680" t="s">
        <v>443</v>
      </c>
      <c r="C133" s="680" t="s">
        <v>2614</v>
      </c>
    </row>
    <row r="134" spans="1:3">
      <c r="A134" s="680" t="s">
        <v>909</v>
      </c>
      <c r="B134" s="680" t="s">
        <v>75</v>
      </c>
      <c r="C134" s="680" t="s">
        <v>75</v>
      </c>
    </row>
    <row r="135" spans="1:3">
      <c r="A135" s="680" t="s">
        <v>514</v>
      </c>
      <c r="B135" s="680" t="s">
        <v>5</v>
      </c>
      <c r="C135" s="680" t="s">
        <v>5</v>
      </c>
    </row>
    <row r="136" spans="1:3">
      <c r="A136" s="681" t="s">
        <v>41</v>
      </c>
      <c r="B136" s="681" t="s">
        <v>46</v>
      </c>
      <c r="C136" s="681" t="s">
        <v>46</v>
      </c>
    </row>
    <row r="137" spans="1:3">
      <c r="A137" s="680" t="s">
        <v>871</v>
      </c>
      <c r="B137" s="680" t="s">
        <v>870</v>
      </c>
      <c r="C137" s="680" t="s">
        <v>870</v>
      </c>
    </row>
    <row r="138" spans="1:3">
      <c r="A138" s="680" t="s">
        <v>872</v>
      </c>
      <c r="B138" s="680" t="s">
        <v>899</v>
      </c>
      <c r="C138" s="680" t="s">
        <v>899</v>
      </c>
    </row>
    <row r="139" spans="1:3">
      <c r="A139" s="680" t="s">
        <v>42</v>
      </c>
      <c r="B139" s="680" t="s">
        <v>47</v>
      </c>
      <c r="C139" s="680" t="s">
        <v>47</v>
      </c>
    </row>
    <row r="140" spans="1:3">
      <c r="A140" s="680" t="s">
        <v>44</v>
      </c>
      <c r="B140" s="680" t="s">
        <v>43</v>
      </c>
      <c r="C140" s="680" t="s">
        <v>43</v>
      </c>
    </row>
    <row r="141" spans="1:3">
      <c r="A141" s="682" t="s">
        <v>896</v>
      </c>
      <c r="B141" s="680" t="s">
        <v>894</v>
      </c>
      <c r="C141" s="680" t="s">
        <v>2554</v>
      </c>
    </row>
    <row r="142" spans="1:3" ht="27.6">
      <c r="A142" s="682" t="s">
        <v>898</v>
      </c>
      <c r="B142" s="682" t="s">
        <v>897</v>
      </c>
      <c r="C142" s="682" t="s">
        <v>2555</v>
      </c>
    </row>
    <row r="143" spans="1:3">
      <c r="A143" s="831" t="s">
        <v>923</v>
      </c>
      <c r="B143" s="681" t="s">
        <v>924</v>
      </c>
      <c r="C143" s="681" t="s">
        <v>924</v>
      </c>
    </row>
    <row r="144" spans="1:3">
      <c r="A144" s="829" t="s">
        <v>911</v>
      </c>
      <c r="B144" s="680" t="s">
        <v>910</v>
      </c>
      <c r="C144" s="680" t="s">
        <v>910</v>
      </c>
    </row>
    <row r="145" spans="1:4">
      <c r="A145" s="681" t="s">
        <v>912</v>
      </c>
      <c r="B145" s="681" t="s">
        <v>913</v>
      </c>
      <c r="C145" s="681" t="s">
        <v>913</v>
      </c>
    </row>
    <row r="146" spans="1:4">
      <c r="A146" s="829" t="s">
        <v>788</v>
      </c>
      <c r="B146" s="829" t="s">
        <v>789</v>
      </c>
      <c r="C146" s="935" t="s">
        <v>2556</v>
      </c>
    </row>
    <row r="147" spans="1:4">
      <c r="A147" s="829" t="s">
        <v>790</v>
      </c>
      <c r="B147" s="829" t="s">
        <v>795</v>
      </c>
      <c r="C147" s="829" t="s">
        <v>795</v>
      </c>
    </row>
    <row r="148" spans="1:4">
      <c r="A148" s="829" t="s">
        <v>791</v>
      </c>
      <c r="B148" s="829" t="s">
        <v>796</v>
      </c>
      <c r="C148" s="829" t="s">
        <v>796</v>
      </c>
    </row>
    <row r="149" spans="1:4">
      <c r="A149" s="829" t="s">
        <v>541</v>
      </c>
      <c r="B149" s="680" t="s">
        <v>419</v>
      </c>
      <c r="C149" s="680" t="s">
        <v>419</v>
      </c>
    </row>
    <row r="150" spans="1:4">
      <c r="A150" s="829" t="s">
        <v>549</v>
      </c>
      <c r="B150" s="680" t="s">
        <v>548</v>
      </c>
      <c r="C150" s="680" t="s">
        <v>548</v>
      </c>
    </row>
    <row r="151" spans="1:4">
      <c r="A151" s="829" t="s">
        <v>580</v>
      </c>
      <c r="B151" s="680" t="s">
        <v>550</v>
      </c>
      <c r="C151" s="680" t="s">
        <v>550</v>
      </c>
    </row>
    <row r="152" spans="1:4">
      <c r="A152" s="829" t="s">
        <v>551</v>
      </c>
      <c r="B152" s="680" t="s">
        <v>421</v>
      </c>
      <c r="C152" s="680" t="s">
        <v>421</v>
      </c>
    </row>
    <row r="153" spans="1:4">
      <c r="A153" s="829" t="s">
        <v>552</v>
      </c>
      <c r="B153" s="680" t="s">
        <v>422</v>
      </c>
      <c r="C153" s="680" t="s">
        <v>422</v>
      </c>
    </row>
    <row r="154" spans="1:4">
      <c r="A154" s="829" t="s">
        <v>543</v>
      </c>
      <c r="B154" s="680" t="s">
        <v>423</v>
      </c>
      <c r="C154" s="680" t="s">
        <v>423</v>
      </c>
    </row>
    <row r="155" spans="1:4">
      <c r="A155" s="829" t="s">
        <v>544</v>
      </c>
      <c r="B155" s="680" t="s">
        <v>424</v>
      </c>
      <c r="C155" s="680" t="s">
        <v>424</v>
      </c>
    </row>
    <row r="156" spans="1:4">
      <c r="A156" s="829" t="s">
        <v>545</v>
      </c>
      <c r="B156" s="680" t="s">
        <v>425</v>
      </c>
      <c r="C156" s="680" t="s">
        <v>425</v>
      </c>
    </row>
    <row r="157" spans="1:4">
      <c r="A157" s="829" t="s">
        <v>994</v>
      </c>
      <c r="B157" s="829" t="s">
        <v>1075</v>
      </c>
      <c r="C157" s="829" t="s">
        <v>1075</v>
      </c>
    </row>
    <row r="158" spans="1:4">
      <c r="A158" s="829" t="s">
        <v>995</v>
      </c>
      <c r="B158" s="829" t="s">
        <v>1076</v>
      </c>
      <c r="C158" s="829" t="s">
        <v>1076</v>
      </c>
    </row>
    <row r="159" spans="1:4">
      <c r="A159" s="829" t="s">
        <v>1124</v>
      </c>
      <c r="B159" s="829" t="s">
        <v>1123</v>
      </c>
      <c r="C159" s="829" t="s">
        <v>1123</v>
      </c>
    </row>
    <row r="160" spans="1:4">
      <c r="A160" s="829" t="s">
        <v>996</v>
      </c>
      <c r="B160" s="829" t="s">
        <v>1077</v>
      </c>
      <c r="C160" s="829" t="s">
        <v>1077</v>
      </c>
      <c r="D160" s="16">
        <v>4</v>
      </c>
    </row>
    <row r="161" spans="1:3">
      <c r="A161" s="831" t="s">
        <v>540</v>
      </c>
      <c r="B161" s="681" t="s">
        <v>1125</v>
      </c>
      <c r="C161" s="681" t="s">
        <v>1125</v>
      </c>
    </row>
    <row r="162" spans="1:3">
      <c r="A162" s="831" t="s">
        <v>914</v>
      </c>
      <c r="B162" s="681" t="s">
        <v>840</v>
      </c>
      <c r="C162" s="681" t="s">
        <v>840</v>
      </c>
    </row>
    <row r="163" spans="1:3">
      <c r="A163" s="829" t="s">
        <v>542</v>
      </c>
      <c r="B163" s="680" t="s">
        <v>420</v>
      </c>
      <c r="C163" s="680" t="s">
        <v>420</v>
      </c>
    </row>
    <row r="164" spans="1:3">
      <c r="A164" s="829" t="s">
        <v>546</v>
      </c>
      <c r="B164" s="680" t="s">
        <v>45</v>
      </c>
      <c r="C164" s="680" t="s">
        <v>45</v>
      </c>
    </row>
    <row r="165" spans="1:3">
      <c r="A165" s="829" t="s">
        <v>547</v>
      </c>
      <c r="B165" s="680" t="s">
        <v>584</v>
      </c>
      <c r="C165" s="680" t="s">
        <v>584</v>
      </c>
    </row>
    <row r="166" spans="1:3">
      <c r="A166" s="829" t="s">
        <v>581</v>
      </c>
      <c r="B166" s="829" t="s">
        <v>48</v>
      </c>
      <c r="C166" s="829" t="s">
        <v>48</v>
      </c>
    </row>
    <row r="167" spans="1:3" ht="27.6">
      <c r="A167" s="834" t="s">
        <v>801</v>
      </c>
      <c r="B167" s="834" t="s">
        <v>802</v>
      </c>
      <c r="C167" s="834" t="s">
        <v>802</v>
      </c>
    </row>
    <row r="168" spans="1:3">
      <c r="A168" s="829" t="s">
        <v>585</v>
      </c>
      <c r="B168" s="829" t="s">
        <v>426</v>
      </c>
      <c r="C168" s="829" t="s">
        <v>426</v>
      </c>
    </row>
    <row r="169" spans="1:3">
      <c r="A169" s="829" t="s">
        <v>764</v>
      </c>
      <c r="B169" s="680" t="s">
        <v>764</v>
      </c>
      <c r="C169" s="829" t="s">
        <v>764</v>
      </c>
    </row>
    <row r="170" spans="1:3">
      <c r="A170" s="829" t="s">
        <v>765</v>
      </c>
      <c r="B170" s="680" t="s">
        <v>766</v>
      </c>
      <c r="C170" s="680" t="s">
        <v>766</v>
      </c>
    </row>
    <row r="171" spans="1:3">
      <c r="A171" s="680" t="s">
        <v>768</v>
      </c>
      <c r="B171" s="829" t="s">
        <v>767</v>
      </c>
      <c r="C171" s="935" t="s">
        <v>2557</v>
      </c>
    </row>
    <row r="172" spans="1:3">
      <c r="A172" s="680" t="s">
        <v>586</v>
      </c>
      <c r="B172" s="680" t="s">
        <v>779</v>
      </c>
      <c r="C172" s="680" t="s">
        <v>2558</v>
      </c>
    </row>
    <row r="173" spans="1:3">
      <c r="A173" s="680" t="s">
        <v>770</v>
      </c>
      <c r="B173" s="829" t="s">
        <v>769</v>
      </c>
      <c r="C173" s="829" t="s">
        <v>769</v>
      </c>
    </row>
    <row r="174" spans="1:3">
      <c r="A174" s="680" t="s">
        <v>592</v>
      </c>
      <c r="B174" s="829" t="s">
        <v>591</v>
      </c>
      <c r="C174" s="935" t="s">
        <v>2559</v>
      </c>
    </row>
    <row r="175" spans="1:3">
      <c r="A175" s="829" t="s">
        <v>1154</v>
      </c>
      <c r="B175" s="680" t="s">
        <v>1058</v>
      </c>
      <c r="C175" s="680" t="s">
        <v>1058</v>
      </c>
    </row>
    <row r="176" spans="1:3">
      <c r="A176" s="829" t="s">
        <v>1155</v>
      </c>
      <c r="B176" s="680" t="s">
        <v>1059</v>
      </c>
      <c r="C176" s="680" t="s">
        <v>1059</v>
      </c>
    </row>
    <row r="177" spans="1:3">
      <c r="A177" s="835"/>
      <c r="B177" s="685"/>
      <c r="C177" s="685"/>
    </row>
    <row r="178" spans="1:3">
      <c r="A178" s="681" t="s">
        <v>923</v>
      </c>
      <c r="B178" s="681" t="s">
        <v>1128</v>
      </c>
      <c r="C178" s="681" t="s">
        <v>1128</v>
      </c>
    </row>
    <row r="179" spans="1:3">
      <c r="A179" s="680" t="s">
        <v>587</v>
      </c>
      <c r="B179" s="682" t="s">
        <v>588</v>
      </c>
      <c r="C179" s="682" t="s">
        <v>588</v>
      </c>
    </row>
    <row r="180" spans="1:3">
      <c r="A180" s="680" t="s">
        <v>553</v>
      </c>
      <c r="B180" s="680" t="s">
        <v>455</v>
      </c>
      <c r="C180" s="680" t="s">
        <v>455</v>
      </c>
    </row>
    <row r="181" spans="1:3">
      <c r="A181" s="680" t="s">
        <v>554</v>
      </c>
      <c r="B181" s="680" t="s">
        <v>456</v>
      </c>
      <c r="C181" s="680" t="s">
        <v>456</v>
      </c>
    </row>
    <row r="182" spans="1:3">
      <c r="A182" s="680" t="s">
        <v>555</v>
      </c>
      <c r="B182" s="680" t="s">
        <v>476</v>
      </c>
      <c r="C182" s="680" t="s">
        <v>476</v>
      </c>
    </row>
    <row r="183" spans="1:3">
      <c r="A183" s="680" t="s">
        <v>556</v>
      </c>
      <c r="B183" s="680" t="s">
        <v>477</v>
      </c>
      <c r="C183" s="680" t="s">
        <v>477</v>
      </c>
    </row>
    <row r="184" spans="1:3">
      <c r="A184" s="680" t="s">
        <v>557</v>
      </c>
      <c r="B184" s="680" t="s">
        <v>478</v>
      </c>
      <c r="C184" s="680" t="s">
        <v>478</v>
      </c>
    </row>
    <row r="185" spans="1:3">
      <c r="A185" s="680" t="s">
        <v>558</v>
      </c>
      <c r="B185" s="680" t="s">
        <v>479</v>
      </c>
      <c r="C185" s="680" t="s">
        <v>479</v>
      </c>
    </row>
    <row r="186" spans="1:3">
      <c r="A186" s="680" t="s">
        <v>915</v>
      </c>
      <c r="B186" s="680" t="s">
        <v>595</v>
      </c>
      <c r="C186" s="680" t="s">
        <v>595</v>
      </c>
    </row>
    <row r="187" spans="1:3">
      <c r="A187" s="680" t="s">
        <v>1746</v>
      </c>
      <c r="B187" s="680" t="s">
        <v>1747</v>
      </c>
      <c r="C187" s="680" t="s">
        <v>1747</v>
      </c>
    </row>
    <row r="188" spans="1:3">
      <c r="A188" s="681" t="s">
        <v>1126</v>
      </c>
      <c r="B188" s="681" t="s">
        <v>1127</v>
      </c>
      <c r="C188" s="681" t="s">
        <v>1127</v>
      </c>
    </row>
    <row r="189" spans="1:3">
      <c r="A189" s="680" t="s">
        <v>916</v>
      </c>
      <c r="B189" s="680" t="s">
        <v>917</v>
      </c>
      <c r="C189" s="680" t="s">
        <v>917</v>
      </c>
    </row>
    <row r="190" spans="1:3">
      <c r="A190" s="680" t="s">
        <v>570</v>
      </c>
      <c r="B190" s="680" t="s">
        <v>596</v>
      </c>
      <c r="C190" s="680" t="s">
        <v>596</v>
      </c>
    </row>
    <row r="191" spans="1:3">
      <c r="A191" s="680" t="s">
        <v>119</v>
      </c>
      <c r="B191" s="680" t="s">
        <v>367</v>
      </c>
      <c r="C191" s="680" t="s">
        <v>367</v>
      </c>
    </row>
    <row r="192" spans="1:3">
      <c r="A192" s="680" t="s">
        <v>1745</v>
      </c>
      <c r="B192" s="680" t="s">
        <v>1744</v>
      </c>
      <c r="C192" s="680" t="s">
        <v>1744</v>
      </c>
    </row>
    <row r="193" spans="1:3">
      <c r="A193" s="681" t="s">
        <v>1108</v>
      </c>
      <c r="B193" s="681" t="s">
        <v>1109</v>
      </c>
      <c r="C193" s="681" t="s">
        <v>1109</v>
      </c>
    </row>
    <row r="194" spans="1:3">
      <c r="A194" s="680" t="s">
        <v>562</v>
      </c>
      <c r="B194" s="680" t="s">
        <v>457</v>
      </c>
      <c r="C194" s="680" t="s">
        <v>457</v>
      </c>
    </row>
    <row r="195" spans="1:3">
      <c r="A195" s="680" t="s">
        <v>563</v>
      </c>
      <c r="B195" s="680" t="s">
        <v>458</v>
      </c>
      <c r="C195" s="680" t="s">
        <v>458</v>
      </c>
    </row>
    <row r="196" spans="1:3">
      <c r="A196" s="680" t="s">
        <v>571</v>
      </c>
      <c r="B196" s="680" t="s">
        <v>2</v>
      </c>
      <c r="C196" s="680" t="s">
        <v>2</v>
      </c>
    </row>
    <row r="197" spans="1:3">
      <c r="A197" s="680" t="s">
        <v>0</v>
      </c>
      <c r="B197" s="680" t="s">
        <v>0</v>
      </c>
      <c r="C197" s="680" t="s">
        <v>0</v>
      </c>
    </row>
    <row r="198" spans="1:3">
      <c r="A198" s="680" t="s">
        <v>52</v>
      </c>
      <c r="B198" s="680" t="s">
        <v>4</v>
      </c>
      <c r="C198" s="680" t="s">
        <v>4</v>
      </c>
    </row>
    <row r="199" spans="1:3">
      <c r="A199" s="680" t="s">
        <v>51</v>
      </c>
      <c r="B199" s="680" t="s">
        <v>3</v>
      </c>
      <c r="C199" s="680" t="s">
        <v>3</v>
      </c>
    </row>
    <row r="200" spans="1:3">
      <c r="A200" s="680" t="s">
        <v>564</v>
      </c>
      <c r="B200" s="680" t="s">
        <v>460</v>
      </c>
      <c r="C200" s="680" t="s">
        <v>460</v>
      </c>
    </row>
    <row r="201" spans="1:3">
      <c r="A201" s="680" t="s">
        <v>565</v>
      </c>
      <c r="B201" s="680" t="s">
        <v>512</v>
      </c>
      <c r="C201" s="680" t="s">
        <v>512</v>
      </c>
    </row>
    <row r="202" spans="1:3">
      <c r="A202" s="680" t="s">
        <v>566</v>
      </c>
      <c r="B202" s="680" t="s">
        <v>463</v>
      </c>
      <c r="C202" s="680" t="s">
        <v>463</v>
      </c>
    </row>
    <row r="203" spans="1:3">
      <c r="A203" s="680" t="s">
        <v>567</v>
      </c>
      <c r="B203" s="680" t="s">
        <v>461</v>
      </c>
      <c r="C203" s="680" t="s">
        <v>461</v>
      </c>
    </row>
    <row r="204" spans="1:3">
      <c r="A204" s="680" t="s">
        <v>572</v>
      </c>
      <c r="B204" s="680" t="s">
        <v>464</v>
      </c>
      <c r="C204" s="680" t="s">
        <v>464</v>
      </c>
    </row>
    <row r="205" spans="1:3">
      <c r="A205" s="680" t="s">
        <v>568</v>
      </c>
      <c r="B205" s="680" t="s">
        <v>462</v>
      </c>
      <c r="C205" s="680" t="s">
        <v>462</v>
      </c>
    </row>
    <row r="206" spans="1:3">
      <c r="A206" s="680" t="s">
        <v>807</v>
      </c>
      <c r="B206" s="680" t="s">
        <v>808</v>
      </c>
      <c r="C206" s="680" t="s">
        <v>808</v>
      </c>
    </row>
    <row r="207" spans="1:3">
      <c r="A207" s="680" t="s">
        <v>918</v>
      </c>
      <c r="B207" s="680" t="s">
        <v>919</v>
      </c>
      <c r="C207" s="680" t="s">
        <v>919</v>
      </c>
    </row>
    <row r="208" spans="1:3">
      <c r="A208" s="680" t="s">
        <v>569</v>
      </c>
      <c r="B208" s="680" t="s">
        <v>560</v>
      </c>
      <c r="C208" s="680" t="s">
        <v>560</v>
      </c>
    </row>
    <row r="209" spans="1:3">
      <c r="A209" s="680" t="s">
        <v>920</v>
      </c>
      <c r="B209" s="680" t="s">
        <v>465</v>
      </c>
      <c r="C209" s="680" t="s">
        <v>921</v>
      </c>
    </row>
    <row r="210" spans="1:3">
      <c r="A210" s="680" t="s">
        <v>559</v>
      </c>
      <c r="B210" s="680" t="s">
        <v>561</v>
      </c>
      <c r="C210" s="680" t="s">
        <v>561</v>
      </c>
    </row>
    <row r="211" spans="1:3">
      <c r="A211" s="680" t="s">
        <v>107</v>
      </c>
      <c r="B211" s="680" t="s">
        <v>798</v>
      </c>
      <c r="C211" s="680" t="s">
        <v>798</v>
      </c>
    </row>
    <row r="212" spans="1:3">
      <c r="A212" s="680" t="s">
        <v>920</v>
      </c>
      <c r="B212" s="680" t="s">
        <v>921</v>
      </c>
      <c r="C212" s="680" t="s">
        <v>921</v>
      </c>
    </row>
    <row r="213" spans="1:3">
      <c r="A213" s="680" t="s">
        <v>559</v>
      </c>
      <c r="B213" s="680" t="s">
        <v>561</v>
      </c>
      <c r="C213" s="680" t="s">
        <v>561</v>
      </c>
    </row>
    <row r="214" spans="1:3">
      <c r="A214" s="681" t="s">
        <v>1110</v>
      </c>
      <c r="B214" s="681" t="s">
        <v>1111</v>
      </c>
      <c r="C214" s="681" t="s">
        <v>1111</v>
      </c>
    </row>
    <row r="215" spans="1:3">
      <c r="A215" s="680" t="s">
        <v>1112</v>
      </c>
      <c r="B215" s="680" t="s">
        <v>1113</v>
      </c>
      <c r="C215" s="680" t="s">
        <v>1113</v>
      </c>
    </row>
    <row r="216" spans="1:3">
      <c r="A216" s="680" t="s">
        <v>830</v>
      </c>
      <c r="B216" s="680" t="s">
        <v>831</v>
      </c>
      <c r="C216" s="680" t="s">
        <v>831</v>
      </c>
    </row>
    <row r="217" spans="1:3">
      <c r="A217" s="680" t="s">
        <v>111</v>
      </c>
      <c r="B217" s="680" t="s">
        <v>112</v>
      </c>
      <c r="C217" s="680" t="s">
        <v>112</v>
      </c>
    </row>
    <row r="218" spans="1:3">
      <c r="A218" s="680" t="s">
        <v>117</v>
      </c>
      <c r="B218" s="680" t="s">
        <v>113</v>
      </c>
      <c r="C218" s="680" t="s">
        <v>113</v>
      </c>
    </row>
    <row r="219" spans="1:3">
      <c r="A219" s="680" t="s">
        <v>803</v>
      </c>
      <c r="B219" s="680" t="s">
        <v>804</v>
      </c>
      <c r="C219" s="680" t="s">
        <v>804</v>
      </c>
    </row>
    <row r="220" spans="1:3">
      <c r="A220" s="680" t="s">
        <v>832</v>
      </c>
      <c r="B220" s="680" t="s">
        <v>833</v>
      </c>
      <c r="C220" s="680" t="s">
        <v>833</v>
      </c>
    </row>
    <row r="221" spans="1:3">
      <c r="A221" s="680" t="s">
        <v>467</v>
      </c>
      <c r="B221" s="680" t="s">
        <v>467</v>
      </c>
      <c r="C221" s="680" t="s">
        <v>467</v>
      </c>
    </row>
    <row r="222" spans="1:3">
      <c r="A222" s="680" t="s">
        <v>3347</v>
      </c>
      <c r="B222" s="680" t="s">
        <v>365</v>
      </c>
      <c r="C222" s="680" t="s">
        <v>365</v>
      </c>
    </row>
    <row r="223" spans="1:3">
      <c r="A223" s="680" t="s">
        <v>53</v>
      </c>
      <c r="B223" s="680" t="s">
        <v>54</v>
      </c>
      <c r="C223" s="680" t="s">
        <v>54</v>
      </c>
    </row>
    <row r="224" spans="1:3">
      <c r="A224" s="680" t="s">
        <v>355</v>
      </c>
      <c r="B224" s="680" t="s">
        <v>356</v>
      </c>
      <c r="C224" s="680" t="s">
        <v>356</v>
      </c>
    </row>
    <row r="225" spans="1:11">
      <c r="A225" s="680" t="s">
        <v>17</v>
      </c>
      <c r="B225" s="680" t="s">
        <v>800</v>
      </c>
      <c r="C225" s="680" t="s">
        <v>800</v>
      </c>
    </row>
    <row r="226" spans="1:11">
      <c r="A226" s="829" t="s">
        <v>799</v>
      </c>
      <c r="B226" s="829" t="s">
        <v>922</v>
      </c>
      <c r="C226" s="829" t="s">
        <v>922</v>
      </c>
    </row>
    <row r="227" spans="1:11">
      <c r="A227" s="680" t="s">
        <v>771</v>
      </c>
      <c r="B227" s="829" t="s">
        <v>776</v>
      </c>
      <c r="C227" s="829" t="s">
        <v>776</v>
      </c>
    </row>
    <row r="228" spans="1:11">
      <c r="A228" s="680" t="s">
        <v>774</v>
      </c>
      <c r="B228" s="829" t="s">
        <v>775</v>
      </c>
      <c r="C228" s="829" t="s">
        <v>775</v>
      </c>
    </row>
    <row r="229" spans="1:11">
      <c r="A229" s="829" t="s">
        <v>772</v>
      </c>
      <c r="B229" s="829" t="s">
        <v>773</v>
      </c>
      <c r="C229" s="829" t="s">
        <v>773</v>
      </c>
    </row>
    <row r="230" spans="1:11" ht="13.5" customHeight="1">
      <c r="A230" s="680" t="s">
        <v>925</v>
      </c>
      <c r="B230" s="680" t="s">
        <v>926</v>
      </c>
      <c r="C230" s="680" t="s">
        <v>926</v>
      </c>
    </row>
    <row r="231" spans="1:11">
      <c r="A231" s="680" t="s">
        <v>829</v>
      </c>
      <c r="B231" s="680" t="s">
        <v>828</v>
      </c>
      <c r="C231" s="680" t="s">
        <v>828</v>
      </c>
    </row>
    <row r="232" spans="1:11">
      <c r="A232" s="680" t="s">
        <v>1114</v>
      </c>
      <c r="B232" s="680" t="s">
        <v>1084</v>
      </c>
      <c r="C232" s="680" t="s">
        <v>1084</v>
      </c>
    </row>
    <row r="233" spans="1:11">
      <c r="A233" s="681" t="s">
        <v>1100</v>
      </c>
      <c r="B233" s="681" t="s">
        <v>1101</v>
      </c>
      <c r="C233" s="681" t="s">
        <v>1101</v>
      </c>
    </row>
    <row r="234" spans="1:11">
      <c r="A234" s="680" t="s">
        <v>1071</v>
      </c>
      <c r="B234" s="680" t="s">
        <v>956</v>
      </c>
      <c r="C234" s="680" t="s">
        <v>956</v>
      </c>
    </row>
    <row r="235" spans="1:11" ht="14.25" customHeight="1">
      <c r="A235" s="680" t="s">
        <v>1070</v>
      </c>
      <c r="B235" s="680" t="s">
        <v>955</v>
      </c>
      <c r="C235" s="680" t="s">
        <v>955</v>
      </c>
    </row>
    <row r="236" spans="1:11" ht="14.25" customHeight="1">
      <c r="A236" s="680" t="s">
        <v>1136</v>
      </c>
      <c r="B236" s="829" t="s">
        <v>1060</v>
      </c>
      <c r="C236" s="829" t="s">
        <v>1085</v>
      </c>
      <c r="D236" s="17"/>
      <c r="E236" s="17"/>
      <c r="F236" s="17"/>
      <c r="G236" s="17"/>
      <c r="H236" s="17"/>
      <c r="I236" s="17"/>
      <c r="J236" s="17"/>
      <c r="K236" s="17"/>
    </row>
    <row r="237" spans="1:11" ht="14.25" customHeight="1">
      <c r="A237" s="680" t="s">
        <v>1137</v>
      </c>
      <c r="B237" s="829" t="s">
        <v>1061</v>
      </c>
      <c r="C237" s="829" t="s">
        <v>1086</v>
      </c>
      <c r="D237" s="17"/>
      <c r="E237" s="17"/>
      <c r="F237" s="17"/>
      <c r="G237" s="17"/>
      <c r="H237" s="17"/>
      <c r="I237" s="17"/>
      <c r="J237" s="17"/>
      <c r="K237" s="17"/>
    </row>
    <row r="238" spans="1:11" ht="14.25" customHeight="1">
      <c r="A238" s="680" t="s">
        <v>1138</v>
      </c>
      <c r="B238" s="829" t="s">
        <v>1062</v>
      </c>
      <c r="C238" s="829" t="s">
        <v>1087</v>
      </c>
      <c r="D238" s="17"/>
      <c r="E238" s="17"/>
      <c r="F238" s="17"/>
      <c r="G238" s="17"/>
      <c r="H238" s="17"/>
      <c r="I238" s="17"/>
      <c r="J238" s="17"/>
      <c r="K238" s="17"/>
    </row>
    <row r="239" spans="1:11" ht="14.25" customHeight="1">
      <c r="A239" s="680" t="s">
        <v>1139</v>
      </c>
      <c r="B239" s="829" t="s">
        <v>1063</v>
      </c>
      <c r="C239" s="829" t="s">
        <v>1088</v>
      </c>
      <c r="D239" s="17"/>
      <c r="E239" s="17"/>
      <c r="F239" s="17"/>
      <c r="G239" s="17"/>
      <c r="H239" s="17"/>
      <c r="I239" s="17"/>
      <c r="J239" s="17"/>
      <c r="K239" s="17"/>
    </row>
    <row r="240" spans="1:11" ht="14.25" customHeight="1">
      <c r="A240" s="680" t="s">
        <v>1140</v>
      </c>
      <c r="B240" s="829" t="s">
        <v>1064</v>
      </c>
      <c r="C240" s="829" t="s">
        <v>1089</v>
      </c>
      <c r="D240" s="17"/>
      <c r="E240" s="17"/>
      <c r="F240" s="17"/>
      <c r="G240" s="17"/>
      <c r="H240" s="17"/>
      <c r="I240" s="17"/>
      <c r="J240" s="17"/>
      <c r="K240" s="17"/>
    </row>
    <row r="241" spans="1:14">
      <c r="A241" s="680" t="s">
        <v>1141</v>
      </c>
      <c r="B241" s="829" t="s">
        <v>1065</v>
      </c>
      <c r="C241" s="829" t="s">
        <v>1091</v>
      </c>
      <c r="D241" s="683"/>
      <c r="E241" s="683"/>
      <c r="F241" s="683"/>
      <c r="G241" s="683"/>
      <c r="H241" s="683"/>
      <c r="I241" s="683"/>
      <c r="J241" s="683"/>
      <c r="K241" s="683"/>
    </row>
    <row r="242" spans="1:14">
      <c r="A242" s="680" t="s">
        <v>1142</v>
      </c>
      <c r="B242" s="829" t="s">
        <v>1066</v>
      </c>
      <c r="C242" s="829" t="s">
        <v>1090</v>
      </c>
      <c r="D242" s="683"/>
      <c r="E242" s="683"/>
      <c r="F242" s="683"/>
      <c r="G242" s="683"/>
      <c r="H242" s="683"/>
      <c r="I242" s="683"/>
      <c r="J242" s="683"/>
      <c r="K242" s="683"/>
    </row>
    <row r="243" spans="1:14">
      <c r="A243" s="680" t="s">
        <v>1143</v>
      </c>
      <c r="B243" s="829" t="s">
        <v>1067</v>
      </c>
      <c r="C243" s="829" t="s">
        <v>1092</v>
      </c>
      <c r="D243" s="683"/>
      <c r="E243" s="683"/>
      <c r="F243" s="683"/>
      <c r="G243" s="683"/>
      <c r="H243" s="683"/>
      <c r="I243" s="683"/>
      <c r="J243" s="683"/>
      <c r="K243" s="683"/>
    </row>
    <row r="244" spans="1:14">
      <c r="A244" s="680" t="s">
        <v>1144</v>
      </c>
      <c r="B244" s="829" t="s">
        <v>1068</v>
      </c>
      <c r="C244" s="829" t="s">
        <v>1093</v>
      </c>
      <c r="D244" s="683"/>
      <c r="E244" s="683"/>
      <c r="F244" s="683"/>
      <c r="G244" s="683"/>
      <c r="H244" s="683"/>
      <c r="I244" s="683"/>
      <c r="J244" s="683"/>
      <c r="K244" s="683"/>
    </row>
    <row r="245" spans="1:14">
      <c r="A245" s="680" t="s">
        <v>1145</v>
      </c>
      <c r="B245" s="829" t="s">
        <v>1069</v>
      </c>
      <c r="C245" s="829" t="s">
        <v>1094</v>
      </c>
      <c r="D245" s="683"/>
      <c r="E245" s="683"/>
      <c r="F245" s="683"/>
      <c r="G245" s="683"/>
      <c r="H245" s="683"/>
      <c r="I245" s="683"/>
      <c r="J245" s="683"/>
      <c r="K245" s="683"/>
    </row>
    <row r="246" spans="1:14">
      <c r="A246" s="680" t="s">
        <v>1115</v>
      </c>
      <c r="B246" s="680" t="s">
        <v>939</v>
      </c>
      <c r="C246" s="680" t="s">
        <v>939</v>
      </c>
    </row>
    <row r="247" spans="1:14">
      <c r="A247" s="680" t="s">
        <v>1116</v>
      </c>
      <c r="B247" s="829" t="s">
        <v>944</v>
      </c>
      <c r="C247" s="829" t="s">
        <v>944</v>
      </c>
      <c r="D247" s="683"/>
      <c r="E247" s="683"/>
    </row>
    <row r="248" spans="1:14">
      <c r="A248" s="680" t="s">
        <v>1117</v>
      </c>
      <c r="B248" s="829" t="s">
        <v>949</v>
      </c>
      <c r="C248" s="829" t="s">
        <v>949</v>
      </c>
      <c r="D248" s="683"/>
      <c r="E248" s="683"/>
    </row>
    <row r="249" spans="1:14">
      <c r="A249" s="680" t="s">
        <v>1118</v>
      </c>
      <c r="B249" s="829" t="s">
        <v>950</v>
      </c>
      <c r="C249" s="829" t="s">
        <v>950</v>
      </c>
      <c r="D249" s="683"/>
      <c r="E249" s="683"/>
    </row>
    <row r="250" spans="1:14">
      <c r="A250" s="680" t="s">
        <v>1119</v>
      </c>
      <c r="B250" s="829" t="s">
        <v>951</v>
      </c>
      <c r="C250" s="829" t="s">
        <v>951</v>
      </c>
      <c r="D250" s="683"/>
      <c r="E250" s="683"/>
    </row>
    <row r="251" spans="1:14">
      <c r="A251" s="680" t="s">
        <v>1146</v>
      </c>
      <c r="B251" s="829" t="s">
        <v>945</v>
      </c>
      <c r="C251" s="1024" t="s">
        <v>945</v>
      </c>
      <c r="D251" s="683"/>
      <c r="E251" s="683"/>
      <c r="F251" s="683"/>
      <c r="G251" s="683"/>
      <c r="H251" s="683"/>
      <c r="I251" s="683"/>
      <c r="J251" s="683"/>
      <c r="K251" s="683"/>
      <c r="L251" s="683"/>
      <c r="M251" s="683"/>
      <c r="N251" s="683"/>
    </row>
    <row r="252" spans="1:14">
      <c r="A252" s="680" t="s">
        <v>1149</v>
      </c>
      <c r="B252" s="829" t="s">
        <v>952</v>
      </c>
      <c r="C252" s="1024" t="s">
        <v>952</v>
      </c>
      <c r="D252" s="683"/>
      <c r="E252" s="683"/>
      <c r="F252" s="683"/>
      <c r="G252" s="683"/>
      <c r="H252" s="683"/>
      <c r="I252" s="683"/>
      <c r="J252" s="683"/>
      <c r="K252" s="683"/>
      <c r="L252" s="683"/>
      <c r="M252" s="683"/>
      <c r="N252" s="683"/>
    </row>
    <row r="253" spans="1:14">
      <c r="A253" s="680" t="s">
        <v>1147</v>
      </c>
      <c r="B253" s="829" t="s">
        <v>953</v>
      </c>
      <c r="C253" s="1024" t="s">
        <v>953</v>
      </c>
      <c r="D253" s="683"/>
      <c r="E253" s="683"/>
      <c r="F253" s="683"/>
      <c r="G253" s="683"/>
      <c r="H253" s="683"/>
      <c r="I253" s="683"/>
      <c r="J253" s="683"/>
      <c r="K253" s="683"/>
      <c r="L253" s="683"/>
      <c r="M253" s="683"/>
      <c r="N253" s="683"/>
    </row>
    <row r="254" spans="1:14">
      <c r="A254" s="680" t="s">
        <v>1148</v>
      </c>
      <c r="B254" s="829" t="s">
        <v>954</v>
      </c>
      <c r="C254" s="1024" t="s">
        <v>954</v>
      </c>
      <c r="D254" s="683"/>
      <c r="E254" s="683"/>
      <c r="F254" s="683"/>
      <c r="G254" s="683"/>
      <c r="H254" s="683"/>
      <c r="I254" s="683"/>
      <c r="J254" s="683"/>
      <c r="K254" s="683"/>
      <c r="L254" s="683"/>
      <c r="M254" s="683"/>
      <c r="N254" s="683"/>
    </row>
    <row r="255" spans="1:14">
      <c r="A255" s="680" t="s">
        <v>940</v>
      </c>
      <c r="B255" s="680" t="s">
        <v>940</v>
      </c>
      <c r="C255" s="680" t="s">
        <v>940</v>
      </c>
    </row>
    <row r="256" spans="1:14">
      <c r="A256" s="680" t="s">
        <v>1120</v>
      </c>
      <c r="B256" s="680" t="s">
        <v>1057</v>
      </c>
      <c r="C256" s="680" t="s">
        <v>1057</v>
      </c>
    </row>
    <row r="257" spans="1:4">
      <c r="A257" s="680" t="s">
        <v>1121</v>
      </c>
      <c r="B257" s="680" t="s">
        <v>1072</v>
      </c>
      <c r="C257" s="680" t="s">
        <v>1072</v>
      </c>
    </row>
    <row r="258" spans="1:4">
      <c r="A258" s="680" t="s">
        <v>1150</v>
      </c>
      <c r="B258" s="680" t="s">
        <v>1073</v>
      </c>
      <c r="C258" s="680" t="s">
        <v>1073</v>
      </c>
    </row>
    <row r="259" spans="1:4">
      <c r="A259" s="680" t="s">
        <v>1129</v>
      </c>
      <c r="B259" s="680" t="s">
        <v>943</v>
      </c>
      <c r="C259" s="680" t="s">
        <v>943</v>
      </c>
    </row>
    <row r="260" spans="1:4">
      <c r="A260" s="680" t="s">
        <v>1122</v>
      </c>
      <c r="B260" s="680" t="s">
        <v>1074</v>
      </c>
      <c r="C260" s="680" t="s">
        <v>1074</v>
      </c>
    </row>
    <row r="261" spans="1:4">
      <c r="A261" s="681"/>
      <c r="B261" s="681"/>
      <c r="C261" s="681"/>
    </row>
    <row r="262" spans="1:4">
      <c r="A262" s="680" t="s">
        <v>1151</v>
      </c>
      <c r="B262" s="680" t="s">
        <v>1130</v>
      </c>
      <c r="C262" s="680" t="s">
        <v>1130</v>
      </c>
    </row>
    <row r="263" spans="1:4">
      <c r="A263" s="680" t="s">
        <v>1153</v>
      </c>
      <c r="B263" s="680" t="s">
        <v>1131</v>
      </c>
      <c r="C263" s="680" t="s">
        <v>1131</v>
      </c>
    </row>
    <row r="264" spans="1:4">
      <c r="A264" s="680" t="s">
        <v>1152</v>
      </c>
      <c r="B264" s="680" t="s">
        <v>1132</v>
      </c>
      <c r="C264" s="680" t="s">
        <v>1132</v>
      </c>
    </row>
    <row r="265" spans="1:4">
      <c r="A265" s="680" t="s">
        <v>1759</v>
      </c>
      <c r="B265" s="680" t="s">
        <v>1758</v>
      </c>
      <c r="C265" s="680" t="s">
        <v>1758</v>
      </c>
    </row>
    <row r="266" spans="1:4">
      <c r="A266" s="680" t="s">
        <v>1764</v>
      </c>
      <c r="B266" s="680" t="s">
        <v>1760</v>
      </c>
      <c r="C266" s="680" t="s">
        <v>1760</v>
      </c>
    </row>
    <row r="267" spans="1:4">
      <c r="A267" s="680" t="s">
        <v>1765</v>
      </c>
      <c r="B267" s="680" t="s">
        <v>1761</v>
      </c>
      <c r="C267" s="680" t="s">
        <v>1761</v>
      </c>
      <c r="D267" s="795"/>
    </row>
    <row r="268" spans="1:4">
      <c r="A268" s="680" t="s">
        <v>1762</v>
      </c>
      <c r="B268" s="680" t="s">
        <v>1763</v>
      </c>
      <c r="C268" s="680" t="s">
        <v>1763</v>
      </c>
    </row>
    <row r="269" spans="1:4">
      <c r="A269" s="680" t="s">
        <v>2507</v>
      </c>
      <c r="B269" s="680" t="s">
        <v>2508</v>
      </c>
      <c r="C269" s="680" t="s">
        <v>2508</v>
      </c>
    </row>
    <row r="270" spans="1:4">
      <c r="A270" s="985" t="s">
        <v>3348</v>
      </c>
      <c r="B270" s="985" t="s">
        <v>3349</v>
      </c>
      <c r="C270" s="985" t="s">
        <v>3349</v>
      </c>
    </row>
    <row r="271" spans="1:4">
      <c r="A271" s="985" t="s">
        <v>3346</v>
      </c>
      <c r="B271" s="985" t="s">
        <v>3346</v>
      </c>
      <c r="C271" s="985" t="s">
        <v>3346</v>
      </c>
    </row>
    <row r="272" spans="1:4">
      <c r="A272" s="829"/>
      <c r="C272" s="680"/>
    </row>
    <row r="273" spans="1:3">
      <c r="A273" s="829"/>
      <c r="C273" s="680"/>
    </row>
    <row r="274" spans="1:3">
      <c r="A274" s="829"/>
      <c r="C274" s="680"/>
    </row>
    <row r="275" spans="1:3">
      <c r="A275" s="829"/>
      <c r="C275" s="680"/>
    </row>
    <row r="276" spans="1:3">
      <c r="A276" s="829"/>
      <c r="C276" s="680"/>
    </row>
    <row r="277" spans="1:3">
      <c r="A277" s="829"/>
      <c r="C277" s="680"/>
    </row>
    <row r="278" spans="1:3">
      <c r="A278" s="829"/>
      <c r="C278" s="680"/>
    </row>
    <row r="279" spans="1:3">
      <c r="A279" s="829"/>
      <c r="C279" s="680"/>
    </row>
    <row r="280" spans="1:3">
      <c r="A280" s="829"/>
      <c r="C280" s="680"/>
    </row>
    <row r="281" spans="1:3" ht="15" customHeight="1">
      <c r="A281" s="829"/>
      <c r="C281" s="680"/>
    </row>
    <row r="282" spans="1:3">
      <c r="A282" s="829"/>
      <c r="C282" s="680"/>
    </row>
    <row r="283" spans="1:3">
      <c r="A283" s="829"/>
      <c r="C283" s="680"/>
    </row>
    <row r="284" spans="1:3">
      <c r="A284" s="829"/>
      <c r="C284" s="680"/>
    </row>
    <row r="285" spans="1:3">
      <c r="C285" s="680"/>
    </row>
    <row r="286" spans="1:3">
      <c r="B286" s="829"/>
    </row>
    <row r="287" spans="1:3">
      <c r="C287" s="680"/>
    </row>
    <row r="288" spans="1:3">
      <c r="B288" s="829"/>
    </row>
    <row r="289" spans="1:3">
      <c r="C289" s="680"/>
    </row>
    <row r="290" spans="1:3">
      <c r="B290" s="829"/>
    </row>
    <row r="291" spans="1:3">
      <c r="B291" s="829"/>
    </row>
    <row r="292" spans="1:3">
      <c r="B292" s="829"/>
    </row>
    <row r="293" spans="1:3">
      <c r="B293" s="829"/>
    </row>
    <row r="294" spans="1:3">
      <c r="B294" s="829"/>
    </row>
    <row r="295" spans="1:3">
      <c r="B295" s="829"/>
    </row>
    <row r="296" spans="1:3">
      <c r="B296" s="829"/>
    </row>
    <row r="297" spans="1:3">
      <c r="B297" s="829"/>
    </row>
    <row r="298" spans="1:3">
      <c r="A298" s="829"/>
      <c r="B298" s="829"/>
    </row>
    <row r="299" spans="1:3">
      <c r="B299" s="829"/>
    </row>
    <row r="300" spans="1:3">
      <c r="A300" s="829"/>
      <c r="B300" s="829"/>
    </row>
    <row r="301" spans="1:3">
      <c r="A301" s="829"/>
      <c r="B301" s="829"/>
    </row>
    <row r="302" spans="1:3">
      <c r="B302" s="829"/>
    </row>
    <row r="303" spans="1:3">
      <c r="B303" s="829"/>
    </row>
    <row r="304" spans="1:3">
      <c r="B304" s="829"/>
    </row>
    <row r="305" spans="1:3">
      <c r="A305" s="829"/>
      <c r="B305" s="829"/>
    </row>
    <row r="306" spans="1:3">
      <c r="A306" s="829"/>
      <c r="B306" s="829"/>
    </row>
    <row r="307" spans="1:3">
      <c r="A307" s="829"/>
      <c r="B307" s="829"/>
    </row>
    <row r="308" spans="1:3">
      <c r="A308" s="829"/>
      <c r="B308" s="829"/>
    </row>
    <row r="309" spans="1:3">
      <c r="A309" s="829"/>
      <c r="B309" s="829"/>
      <c r="C309" s="680"/>
    </row>
    <row r="310" spans="1:3">
      <c r="A310" s="829"/>
      <c r="B310" s="829"/>
      <c r="C310" s="680"/>
    </row>
    <row r="311" spans="1:3">
      <c r="A311" s="829"/>
      <c r="B311" s="829"/>
      <c r="C311" s="680"/>
    </row>
    <row r="312" spans="1:3">
      <c r="A312" s="829"/>
      <c r="B312" s="829"/>
      <c r="C312" s="680"/>
    </row>
    <row r="313" spans="1:3">
      <c r="A313" s="829"/>
      <c r="B313" s="829"/>
      <c r="C313" s="680"/>
    </row>
    <row r="314" spans="1:3">
      <c r="A314" s="829"/>
      <c r="B314" s="829"/>
      <c r="C314" s="680"/>
    </row>
    <row r="315" spans="1:3">
      <c r="A315" s="829"/>
      <c r="B315" s="829"/>
      <c r="C315" s="680"/>
    </row>
    <row r="316" spans="1:3">
      <c r="A316" s="829"/>
      <c r="B316" s="829"/>
      <c r="C316" s="680"/>
    </row>
    <row r="317" spans="1:3">
      <c r="A317" s="829"/>
      <c r="B317" s="829"/>
      <c r="C317" s="680"/>
    </row>
    <row r="318" spans="1:3">
      <c r="A318" s="829"/>
      <c r="B318" s="829"/>
      <c r="C318" s="680"/>
    </row>
    <row r="319" spans="1:3">
      <c r="A319" s="829"/>
      <c r="B319" s="829"/>
      <c r="C319" s="680"/>
    </row>
    <row r="320" spans="1:3">
      <c r="A320" s="829"/>
      <c r="B320" s="829"/>
      <c r="C320" s="680"/>
    </row>
    <row r="321" spans="1:3">
      <c r="A321" s="829"/>
      <c r="B321" s="829"/>
      <c r="C321" s="680"/>
    </row>
    <row r="322" spans="1:3">
      <c r="A322" s="829"/>
      <c r="B322" s="829"/>
      <c r="C322" s="680"/>
    </row>
    <row r="323" spans="1:3">
      <c r="A323" s="829"/>
      <c r="B323" s="829"/>
      <c r="C323" s="680"/>
    </row>
    <row r="324" spans="1:3">
      <c r="A324" s="829"/>
      <c r="B324" s="829"/>
      <c r="C324" s="680"/>
    </row>
    <row r="325" spans="1:3">
      <c r="A325" s="829"/>
      <c r="B325" s="829"/>
      <c r="C325" s="680"/>
    </row>
    <row r="326" spans="1:3">
      <c r="A326" s="829"/>
      <c r="B326" s="829"/>
      <c r="C326" s="680"/>
    </row>
    <row r="327" spans="1:3">
      <c r="A327" s="829"/>
      <c r="B327" s="829"/>
      <c r="C327" s="680"/>
    </row>
    <row r="328" spans="1:3">
      <c r="A328" s="829"/>
      <c r="B328" s="829"/>
      <c r="C328" s="680"/>
    </row>
    <row r="329" spans="1:3">
      <c r="A329" s="829"/>
      <c r="B329" s="829"/>
      <c r="C329" s="680"/>
    </row>
    <row r="330" spans="1:3">
      <c r="A330" s="829"/>
      <c r="B330" s="829"/>
      <c r="C330" s="680"/>
    </row>
    <row r="331" spans="1:3">
      <c r="A331" s="829"/>
      <c r="B331" s="829"/>
      <c r="C331" s="680"/>
    </row>
    <row r="332" spans="1:3">
      <c r="A332" s="829"/>
      <c r="B332" s="829"/>
      <c r="C332" s="680"/>
    </row>
    <row r="333" spans="1:3">
      <c r="A333" s="829"/>
      <c r="B333" s="829"/>
      <c r="C333" s="680"/>
    </row>
    <row r="334" spans="1:3">
      <c r="C334" s="680"/>
    </row>
    <row r="335" spans="1:3">
      <c r="C335" s="680"/>
    </row>
    <row r="336" spans="1:3">
      <c r="C336" s="680"/>
    </row>
    <row r="337" spans="1:3">
      <c r="C337" s="680"/>
    </row>
    <row r="338" spans="1:3">
      <c r="C338" s="680"/>
    </row>
    <row r="339" spans="1:3">
      <c r="A339" s="667"/>
      <c r="B339" s="667"/>
      <c r="C339" s="667"/>
    </row>
    <row r="340" spans="1:3">
      <c r="C340" s="680"/>
    </row>
    <row r="341" spans="1:3">
      <c r="C341" s="680"/>
    </row>
    <row r="342" spans="1:3">
      <c r="C342" s="680"/>
    </row>
    <row r="343" spans="1:3">
      <c r="C343" s="680"/>
    </row>
    <row r="344" spans="1:3">
      <c r="C344" s="680"/>
    </row>
    <row r="345" spans="1:3">
      <c r="C345" s="680"/>
    </row>
    <row r="346" spans="1:3">
      <c r="C346" s="680"/>
    </row>
    <row r="347" spans="1:3">
      <c r="C347" s="680"/>
    </row>
    <row r="348" spans="1:3">
      <c r="A348" s="682"/>
      <c r="C348" s="682"/>
    </row>
    <row r="349" spans="1:3">
      <c r="C349" s="680"/>
    </row>
    <row r="350" spans="1:3">
      <c r="C350" s="680"/>
    </row>
    <row r="351" spans="1:3">
      <c r="C351" s="680"/>
    </row>
    <row r="352" spans="1:3">
      <c r="C352" s="680"/>
    </row>
    <row r="353" spans="1:3">
      <c r="C353" s="680"/>
    </row>
    <row r="354" spans="1:3">
      <c r="C354" s="680"/>
    </row>
    <row r="355" spans="1:3">
      <c r="C355" s="680"/>
    </row>
    <row r="356" spans="1:3">
      <c r="C356" s="680"/>
    </row>
    <row r="357" spans="1:3">
      <c r="C357" s="680"/>
    </row>
    <row r="358" spans="1:3">
      <c r="A358" s="836"/>
      <c r="C358" s="836"/>
    </row>
    <row r="359" spans="1:3">
      <c r="C359" s="680"/>
    </row>
    <row r="360" spans="1:3">
      <c r="C360" s="680"/>
    </row>
    <row r="361" spans="1:3">
      <c r="C361" s="680"/>
    </row>
    <row r="362" spans="1:3">
      <c r="C362" s="680"/>
    </row>
    <row r="363" spans="1:3">
      <c r="C363" s="680"/>
    </row>
    <row r="364" spans="1:3">
      <c r="C364" s="680"/>
    </row>
    <row r="365" spans="1:3">
      <c r="C365" s="680"/>
    </row>
    <row r="366" spans="1:3">
      <c r="A366" s="829"/>
      <c r="B366" s="829"/>
      <c r="C366" s="680"/>
    </row>
    <row r="367" spans="1:3">
      <c r="A367" s="829"/>
      <c r="B367" s="829"/>
      <c r="C367" s="680"/>
    </row>
    <row r="368" spans="1:3">
      <c r="A368" s="829"/>
      <c r="B368" s="829"/>
      <c r="C368" s="680"/>
    </row>
    <row r="369" spans="1:3">
      <c r="A369" s="829"/>
      <c r="B369" s="829"/>
      <c r="C369" s="680"/>
    </row>
    <row r="370" spans="1:3">
      <c r="A370" s="829"/>
      <c r="B370" s="829"/>
      <c r="C370" s="680"/>
    </row>
    <row r="371" spans="1:3">
      <c r="A371" s="829"/>
      <c r="B371" s="829"/>
      <c r="C371" s="680"/>
    </row>
    <row r="372" spans="1:3">
      <c r="A372" s="829"/>
      <c r="B372" s="829"/>
      <c r="C372" s="680"/>
    </row>
    <row r="373" spans="1:3">
      <c r="A373" s="829"/>
      <c r="B373" s="829"/>
      <c r="C373" s="680"/>
    </row>
    <row r="374" spans="1:3">
      <c r="A374" s="829"/>
      <c r="B374" s="829"/>
      <c r="C374" s="680"/>
    </row>
    <row r="375" spans="1:3">
      <c r="A375" s="829"/>
      <c r="B375" s="829"/>
      <c r="C375" s="680"/>
    </row>
    <row r="376" spans="1:3">
      <c r="A376" s="829"/>
      <c r="B376" s="829"/>
      <c r="C376" s="680"/>
    </row>
    <row r="377" spans="1:3">
      <c r="A377" s="829"/>
      <c r="B377" s="829"/>
      <c r="C377" s="680"/>
    </row>
    <row r="378" spans="1:3">
      <c r="A378" s="829"/>
      <c r="B378" s="829"/>
      <c r="C378" s="680"/>
    </row>
    <row r="379" spans="1:3" ht="13.5" customHeight="1">
      <c r="A379" s="829"/>
      <c r="B379" s="829"/>
      <c r="C379" s="680"/>
    </row>
    <row r="380" spans="1:3">
      <c r="A380" s="829"/>
      <c r="B380" s="829"/>
      <c r="C380" s="680"/>
    </row>
  </sheetData>
  <sheetProtection algorithmName="SHA-512" hashValue="9pMMMqaHBAzfDHxIN5SMnT+S5l1Y1VNbCSrYr4wprodIm5aaGo9VGXwtsQccN0/3zfkQffANOLtaLfie9YLCjg==" saltValue="/4KZgWwEasoTwSaRf6P5/w==" spinCount="100000" sheet="1" objects="1" scenarios="1"/>
  <phoneticPr fontId="198" type="noConversion"/>
  <conditionalFormatting sqref="A309:A1048576 A284 A274:B283 B262:B263 A259:A264 A268 A1 A6:A8 A17:A18 A134 A233:A254 A266 A271:A273">
    <cfRule type="duplicateValues" dxfId="1819" priority="154"/>
  </conditionalFormatting>
  <conditionalFormatting sqref="C272:C283">
    <cfRule type="duplicateValues" dxfId="1818" priority="153"/>
  </conditionalFormatting>
  <conditionalFormatting sqref="A298">
    <cfRule type="duplicateValues" dxfId="1817" priority="151"/>
  </conditionalFormatting>
  <conditionalFormatting sqref="A300">
    <cfRule type="duplicateValues" dxfId="1816" priority="150"/>
  </conditionalFormatting>
  <conditionalFormatting sqref="A301">
    <cfRule type="duplicateValues" dxfId="1815" priority="149"/>
  </conditionalFormatting>
  <conditionalFormatting sqref="A305:A306">
    <cfRule type="duplicateValues" dxfId="1814" priority="148"/>
  </conditionalFormatting>
  <conditionalFormatting sqref="A307">
    <cfRule type="duplicateValues" dxfId="1813" priority="147"/>
  </conditionalFormatting>
  <conditionalFormatting sqref="A267">
    <cfRule type="duplicateValues" dxfId="1812" priority="146"/>
  </conditionalFormatting>
  <conditionalFormatting sqref="A308">
    <cfRule type="duplicateValues" dxfId="1811" priority="145"/>
  </conditionalFormatting>
  <conditionalFormatting sqref="A2">
    <cfRule type="duplicateValues" dxfId="1810" priority="141"/>
  </conditionalFormatting>
  <conditionalFormatting sqref="A4:A5">
    <cfRule type="duplicateValues" dxfId="1809" priority="140"/>
  </conditionalFormatting>
  <conditionalFormatting sqref="A9">
    <cfRule type="duplicateValues" dxfId="1808" priority="139"/>
  </conditionalFormatting>
  <conditionalFormatting sqref="A10:A11">
    <cfRule type="duplicateValues" dxfId="1807" priority="138"/>
  </conditionalFormatting>
  <conditionalFormatting sqref="A12">
    <cfRule type="duplicateValues" dxfId="1806" priority="137"/>
  </conditionalFormatting>
  <conditionalFormatting sqref="A13">
    <cfRule type="duplicateValues" dxfId="1805" priority="136"/>
  </conditionalFormatting>
  <conditionalFormatting sqref="A14:A16">
    <cfRule type="duplicateValues" dxfId="1804" priority="135"/>
  </conditionalFormatting>
  <conditionalFormatting sqref="A19:A20">
    <cfRule type="duplicateValues" dxfId="1803" priority="134"/>
  </conditionalFormatting>
  <conditionalFormatting sqref="A21">
    <cfRule type="duplicateValues" dxfId="1802" priority="133"/>
  </conditionalFormatting>
  <conditionalFormatting sqref="A22">
    <cfRule type="duplicateValues" dxfId="1801" priority="132"/>
  </conditionalFormatting>
  <conditionalFormatting sqref="A27">
    <cfRule type="duplicateValues" dxfId="1800" priority="131"/>
  </conditionalFormatting>
  <conditionalFormatting sqref="A24:A25">
    <cfRule type="duplicateValues" dxfId="1799" priority="129"/>
  </conditionalFormatting>
  <conditionalFormatting sqref="A26">
    <cfRule type="duplicateValues" dxfId="1798" priority="128"/>
  </conditionalFormatting>
  <conditionalFormatting sqref="A28">
    <cfRule type="duplicateValues" dxfId="1797" priority="127"/>
  </conditionalFormatting>
  <conditionalFormatting sqref="A29:A30">
    <cfRule type="duplicateValues" dxfId="1796" priority="126"/>
  </conditionalFormatting>
  <conditionalFormatting sqref="A31">
    <cfRule type="duplicateValues" dxfId="1795" priority="125"/>
  </conditionalFormatting>
  <conditionalFormatting sqref="A32">
    <cfRule type="duplicateValues" dxfId="1794" priority="124"/>
  </conditionalFormatting>
  <conditionalFormatting sqref="A33">
    <cfRule type="duplicateValues" dxfId="1793" priority="123"/>
  </conditionalFormatting>
  <conditionalFormatting sqref="A35:A38">
    <cfRule type="duplicateValues" dxfId="1792" priority="122"/>
  </conditionalFormatting>
  <conditionalFormatting sqref="A34">
    <cfRule type="duplicateValues" dxfId="1791" priority="121"/>
  </conditionalFormatting>
  <conditionalFormatting sqref="A39">
    <cfRule type="duplicateValues" dxfId="1790" priority="120"/>
  </conditionalFormatting>
  <conditionalFormatting sqref="A41:A42">
    <cfRule type="duplicateValues" dxfId="1789" priority="119"/>
  </conditionalFormatting>
  <conditionalFormatting sqref="A43:A44 A69">
    <cfRule type="duplicateValues" dxfId="1788" priority="118"/>
  </conditionalFormatting>
  <conditionalFormatting sqref="A45:A48">
    <cfRule type="duplicateValues" dxfId="1787" priority="117"/>
  </conditionalFormatting>
  <conditionalFormatting sqref="B49:B51">
    <cfRule type="duplicateValues" dxfId="1786" priority="116"/>
  </conditionalFormatting>
  <conditionalFormatting sqref="C49">
    <cfRule type="duplicateValues" dxfId="1785" priority="115"/>
  </conditionalFormatting>
  <conditionalFormatting sqref="C50">
    <cfRule type="duplicateValues" dxfId="1784" priority="114"/>
  </conditionalFormatting>
  <conditionalFormatting sqref="C51">
    <cfRule type="duplicateValues" dxfId="1783" priority="113"/>
  </conditionalFormatting>
  <conditionalFormatting sqref="A49:A51">
    <cfRule type="duplicateValues" dxfId="1782" priority="112"/>
  </conditionalFormatting>
  <conditionalFormatting sqref="A67">
    <cfRule type="duplicateValues" dxfId="1781" priority="111"/>
  </conditionalFormatting>
  <conditionalFormatting sqref="A68">
    <cfRule type="duplicateValues" dxfId="1780" priority="110"/>
  </conditionalFormatting>
  <conditionalFormatting sqref="A71">
    <cfRule type="duplicateValues" dxfId="1779" priority="109"/>
  </conditionalFormatting>
  <conditionalFormatting sqref="A72">
    <cfRule type="duplicateValues" dxfId="1778" priority="107"/>
  </conditionalFormatting>
  <conditionalFormatting sqref="A74:A75">
    <cfRule type="duplicateValues" dxfId="1777" priority="106"/>
  </conditionalFormatting>
  <conditionalFormatting sqref="A73">
    <cfRule type="duplicateValues" dxfId="1776" priority="105"/>
  </conditionalFormatting>
  <conditionalFormatting sqref="A76">
    <cfRule type="duplicateValues" dxfId="1775" priority="104"/>
  </conditionalFormatting>
  <conditionalFormatting sqref="A77">
    <cfRule type="duplicateValues" dxfId="1774" priority="103"/>
  </conditionalFormatting>
  <conditionalFormatting sqref="A78:A79">
    <cfRule type="duplicateValues" dxfId="1773" priority="102"/>
  </conditionalFormatting>
  <conditionalFormatting sqref="A83">
    <cfRule type="duplicateValues" dxfId="1772" priority="101"/>
  </conditionalFormatting>
  <conditionalFormatting sqref="A84">
    <cfRule type="duplicateValues" dxfId="1771" priority="100"/>
  </conditionalFormatting>
  <conditionalFormatting sqref="A80:A82">
    <cfRule type="duplicateValues" dxfId="1770" priority="99"/>
  </conditionalFormatting>
  <conditionalFormatting sqref="A85:A88">
    <cfRule type="duplicateValues" dxfId="1769" priority="97"/>
  </conditionalFormatting>
  <conditionalFormatting sqref="A89">
    <cfRule type="duplicateValues" dxfId="1768" priority="96"/>
  </conditionalFormatting>
  <conditionalFormatting sqref="A90">
    <cfRule type="duplicateValues" dxfId="1767" priority="95"/>
  </conditionalFormatting>
  <conditionalFormatting sqref="A91:A92">
    <cfRule type="duplicateValues" dxfId="1766" priority="94"/>
  </conditionalFormatting>
  <conditionalFormatting sqref="A93:A94">
    <cfRule type="duplicateValues" dxfId="1765" priority="93"/>
  </conditionalFormatting>
  <conditionalFormatting sqref="A95">
    <cfRule type="duplicateValues" dxfId="1764" priority="92"/>
  </conditionalFormatting>
  <conditionalFormatting sqref="A97">
    <cfRule type="duplicateValues" dxfId="1763" priority="91"/>
  </conditionalFormatting>
  <conditionalFormatting sqref="A98">
    <cfRule type="duplicateValues" dxfId="1762" priority="90"/>
  </conditionalFormatting>
  <conditionalFormatting sqref="A103">
    <cfRule type="duplicateValues" dxfId="1761" priority="89"/>
  </conditionalFormatting>
  <conditionalFormatting sqref="A104">
    <cfRule type="duplicateValues" dxfId="1760" priority="88"/>
  </conditionalFormatting>
  <conditionalFormatting sqref="A105">
    <cfRule type="duplicateValues" dxfId="1759" priority="86"/>
  </conditionalFormatting>
  <conditionalFormatting sqref="A106">
    <cfRule type="duplicateValues" dxfId="1758" priority="85"/>
  </conditionalFormatting>
  <conditionalFormatting sqref="A107">
    <cfRule type="duplicateValues" dxfId="1757" priority="84"/>
  </conditionalFormatting>
  <conditionalFormatting sqref="A116:A121">
    <cfRule type="duplicateValues" dxfId="1756" priority="82"/>
  </conditionalFormatting>
  <conditionalFormatting sqref="A123:A127">
    <cfRule type="duplicateValues" dxfId="1755" priority="80"/>
  </conditionalFormatting>
  <conditionalFormatting sqref="A129:A133">
    <cfRule type="duplicateValues" dxfId="1754" priority="239"/>
  </conditionalFormatting>
  <conditionalFormatting sqref="A109:A114">
    <cfRule type="duplicateValues" dxfId="1753" priority="79"/>
  </conditionalFormatting>
  <conditionalFormatting sqref="A108">
    <cfRule type="duplicateValues" dxfId="1752" priority="78"/>
  </conditionalFormatting>
  <conditionalFormatting sqref="A122">
    <cfRule type="duplicateValues" dxfId="1751" priority="77"/>
  </conditionalFormatting>
  <conditionalFormatting sqref="A128">
    <cfRule type="duplicateValues" dxfId="1750" priority="76"/>
  </conditionalFormatting>
  <conditionalFormatting sqref="A135">
    <cfRule type="duplicateValues" dxfId="1749" priority="75"/>
  </conditionalFormatting>
  <conditionalFormatting sqref="A136">
    <cfRule type="duplicateValues" dxfId="1748" priority="74"/>
  </conditionalFormatting>
  <conditionalFormatting sqref="A139:A140">
    <cfRule type="duplicateValues" dxfId="1747" priority="73"/>
  </conditionalFormatting>
  <conditionalFormatting sqref="A137:A138">
    <cfRule type="duplicateValues" dxfId="1746" priority="72"/>
  </conditionalFormatting>
  <conditionalFormatting sqref="A141">
    <cfRule type="duplicateValues" dxfId="1745" priority="71"/>
  </conditionalFormatting>
  <conditionalFormatting sqref="B142">
    <cfRule type="duplicateValues" dxfId="1744" priority="69"/>
  </conditionalFormatting>
  <conditionalFormatting sqref="C142">
    <cfRule type="duplicateValues" dxfId="1743" priority="68"/>
  </conditionalFormatting>
  <conditionalFormatting sqref="A142">
    <cfRule type="duplicateValues" dxfId="1742" priority="67"/>
  </conditionalFormatting>
  <conditionalFormatting sqref="A144">
    <cfRule type="duplicateValues" dxfId="1741" priority="66"/>
  </conditionalFormatting>
  <conditionalFormatting sqref="A143">
    <cfRule type="duplicateValues" dxfId="1740" priority="65"/>
  </conditionalFormatting>
  <conditionalFormatting sqref="A145">
    <cfRule type="duplicateValues" dxfId="1739" priority="64"/>
  </conditionalFormatting>
  <conditionalFormatting sqref="A146">
    <cfRule type="duplicateValues" dxfId="1738" priority="63"/>
  </conditionalFormatting>
  <conditionalFormatting sqref="A147:A148">
    <cfRule type="duplicateValues" dxfId="1737" priority="62"/>
  </conditionalFormatting>
  <conditionalFormatting sqref="A149:A150">
    <cfRule type="duplicateValues" dxfId="1736" priority="61"/>
  </conditionalFormatting>
  <conditionalFormatting sqref="A151">
    <cfRule type="duplicateValues" dxfId="1735" priority="60"/>
  </conditionalFormatting>
  <conditionalFormatting sqref="A152:A160">
    <cfRule type="duplicateValues" dxfId="1734" priority="59"/>
  </conditionalFormatting>
  <conditionalFormatting sqref="A161">
    <cfRule type="duplicateValues" dxfId="1733" priority="58"/>
  </conditionalFormatting>
  <conditionalFormatting sqref="A162">
    <cfRule type="duplicateValues" dxfId="1732" priority="57"/>
  </conditionalFormatting>
  <conditionalFormatting sqref="A163">
    <cfRule type="duplicateValues" dxfId="1731" priority="56"/>
  </conditionalFormatting>
  <conditionalFormatting sqref="A164:A166">
    <cfRule type="duplicateValues" dxfId="1730" priority="55"/>
  </conditionalFormatting>
  <conditionalFormatting sqref="A167">
    <cfRule type="duplicateValues" dxfId="1729" priority="54"/>
  </conditionalFormatting>
  <conditionalFormatting sqref="A168">
    <cfRule type="duplicateValues" dxfId="1728" priority="53"/>
  </conditionalFormatting>
  <conditionalFormatting sqref="A170">
    <cfRule type="duplicateValues" dxfId="1727" priority="52"/>
  </conditionalFormatting>
  <conditionalFormatting sqref="A175:A176">
    <cfRule type="duplicateValues" dxfId="1726" priority="51"/>
  </conditionalFormatting>
  <conditionalFormatting sqref="A177">
    <cfRule type="duplicateValues" dxfId="1725" priority="50"/>
  </conditionalFormatting>
  <conditionalFormatting sqref="A179">
    <cfRule type="duplicateValues" dxfId="1724" priority="49"/>
  </conditionalFormatting>
  <conditionalFormatting sqref="A180:A187">
    <cfRule type="duplicateValues" dxfId="1723" priority="48"/>
  </conditionalFormatting>
  <conditionalFormatting sqref="A189">
    <cfRule type="duplicateValues" dxfId="1722" priority="47"/>
  </conditionalFormatting>
  <conditionalFormatting sqref="A188">
    <cfRule type="duplicateValues" dxfId="1721" priority="46"/>
  </conditionalFormatting>
  <conditionalFormatting sqref="A190">
    <cfRule type="duplicateValues" dxfId="1720" priority="45"/>
  </conditionalFormatting>
  <conditionalFormatting sqref="A191">
    <cfRule type="duplicateValues" dxfId="1719" priority="44"/>
  </conditionalFormatting>
  <conditionalFormatting sqref="A192">
    <cfRule type="duplicateValues" dxfId="1718" priority="43"/>
  </conditionalFormatting>
  <conditionalFormatting sqref="A193">
    <cfRule type="duplicateValues" dxfId="1717" priority="42"/>
  </conditionalFormatting>
  <conditionalFormatting sqref="A194">
    <cfRule type="duplicateValues" dxfId="1716" priority="41"/>
  </conditionalFormatting>
  <conditionalFormatting sqref="A195">
    <cfRule type="duplicateValues" dxfId="1715" priority="40"/>
  </conditionalFormatting>
  <conditionalFormatting sqref="A196">
    <cfRule type="duplicateValues" dxfId="1714" priority="38"/>
  </conditionalFormatting>
  <conditionalFormatting sqref="A197">
    <cfRule type="duplicateValues" dxfId="1713" priority="37"/>
  </conditionalFormatting>
  <conditionalFormatting sqref="A198">
    <cfRule type="duplicateValues" dxfId="1712" priority="36"/>
  </conditionalFormatting>
  <conditionalFormatting sqref="A199">
    <cfRule type="duplicateValues" dxfId="1711" priority="35"/>
  </conditionalFormatting>
  <conditionalFormatting sqref="A200">
    <cfRule type="duplicateValues" dxfId="1710" priority="34"/>
  </conditionalFormatting>
  <conditionalFormatting sqref="A201">
    <cfRule type="duplicateValues" dxfId="1709" priority="33"/>
  </conditionalFormatting>
  <conditionalFormatting sqref="A202">
    <cfRule type="duplicateValues" dxfId="1708" priority="32"/>
  </conditionalFormatting>
  <conditionalFormatting sqref="A203">
    <cfRule type="duplicateValues" dxfId="1707" priority="31"/>
  </conditionalFormatting>
  <conditionalFormatting sqref="A204:A205">
    <cfRule type="duplicateValues" dxfId="1706" priority="30"/>
  </conditionalFormatting>
  <conditionalFormatting sqref="A207:A210">
    <cfRule type="duplicateValues" dxfId="1705" priority="29"/>
  </conditionalFormatting>
  <conditionalFormatting sqref="A211">
    <cfRule type="duplicateValues" dxfId="1704" priority="28"/>
  </conditionalFormatting>
  <conditionalFormatting sqref="A212:A213">
    <cfRule type="duplicateValues" dxfId="1703" priority="27"/>
  </conditionalFormatting>
  <conditionalFormatting sqref="A214:A215">
    <cfRule type="duplicateValues" dxfId="1702" priority="26"/>
  </conditionalFormatting>
  <conditionalFormatting sqref="A221:A222">
    <cfRule type="duplicateValues" dxfId="1701" priority="25"/>
  </conditionalFormatting>
  <conditionalFormatting sqref="A216">
    <cfRule type="duplicateValues" dxfId="1700" priority="24"/>
  </conditionalFormatting>
  <conditionalFormatting sqref="A217">
    <cfRule type="duplicateValues" dxfId="1699" priority="23"/>
  </conditionalFormatting>
  <conditionalFormatting sqref="A218:A220">
    <cfRule type="duplicateValues" dxfId="1698" priority="250"/>
  </conditionalFormatting>
  <conditionalFormatting sqref="A223 A225">
    <cfRule type="duplicateValues" dxfId="1697" priority="21"/>
  </conditionalFormatting>
  <conditionalFormatting sqref="A224">
    <cfRule type="duplicateValues" dxfId="1696" priority="20"/>
  </conditionalFormatting>
  <conditionalFormatting sqref="A226">
    <cfRule type="duplicateValues" dxfId="1695" priority="19"/>
  </conditionalFormatting>
  <conditionalFormatting sqref="A229">
    <cfRule type="duplicateValues" dxfId="1694" priority="18"/>
  </conditionalFormatting>
  <conditionalFormatting sqref="A230">
    <cfRule type="duplicateValues" dxfId="1693" priority="17"/>
  </conditionalFormatting>
  <conditionalFormatting sqref="A40">
    <cfRule type="duplicateValues" dxfId="1692" priority="16"/>
  </conditionalFormatting>
  <conditionalFormatting sqref="A23">
    <cfRule type="duplicateValues" dxfId="1691" priority="15"/>
  </conditionalFormatting>
  <conditionalFormatting sqref="A232">
    <cfRule type="duplicateValues" dxfId="1690" priority="14"/>
  </conditionalFormatting>
  <conditionalFormatting sqref="B233:B234">
    <cfRule type="duplicateValues" dxfId="1689" priority="13"/>
  </conditionalFormatting>
  <conditionalFormatting sqref="C234">
    <cfRule type="duplicateValues" dxfId="1688" priority="10"/>
  </conditionalFormatting>
  <conditionalFormatting sqref="C157:C160">
    <cfRule type="duplicateValues" dxfId="1687" priority="9"/>
  </conditionalFormatting>
  <conditionalFormatting sqref="B157:B160">
    <cfRule type="duplicateValues" dxfId="1686" priority="8"/>
  </conditionalFormatting>
  <conditionalFormatting sqref="C268">
    <cfRule type="duplicateValues" dxfId="1685" priority="7"/>
  </conditionalFormatting>
  <conditionalFormatting sqref="C267">
    <cfRule type="duplicateValues" dxfId="1684" priority="6"/>
  </conditionalFormatting>
  <conditionalFormatting sqref="C262:C263">
    <cfRule type="duplicateValues" dxfId="1683" priority="5"/>
  </conditionalFormatting>
  <conditionalFormatting sqref="B267">
    <cfRule type="duplicateValues" dxfId="1682" priority="4"/>
  </conditionalFormatting>
  <conditionalFormatting sqref="A269">
    <cfRule type="duplicateValues" dxfId="1681" priority="3"/>
  </conditionalFormatting>
  <conditionalFormatting sqref="B271">
    <cfRule type="duplicateValues" dxfId="1680" priority="2"/>
  </conditionalFormatting>
  <conditionalFormatting sqref="C271">
    <cfRule type="duplicateValues" dxfId="1679" priority="1"/>
  </conditionalFormatting>
  <pageMargins left="0.7" right="0.7" top="0.78740157499999996" bottom="0.78740157499999996" header="0.3" footer="0.3"/>
  <pageSetup paperSize="9" scale="2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14"/>
  <sheetViews>
    <sheetView topLeftCell="A267" zoomScaleNormal="100" workbookViewId="0">
      <selection activeCell="A270" sqref="A270:C270"/>
    </sheetView>
  </sheetViews>
  <sheetFormatPr defaultColWidth="10.6640625" defaultRowHeight="14.4"/>
  <cols>
    <col min="1" max="1" width="56.44140625" style="680" customWidth="1"/>
    <col min="2" max="2" width="58.88671875" style="680" customWidth="1"/>
    <col min="3" max="3" width="88.33203125" style="829" customWidth="1"/>
    <col min="4" max="16384" width="10.6640625" style="4"/>
  </cols>
  <sheetData>
    <row r="1" spans="1:4">
      <c r="A1" s="827" t="s">
        <v>7</v>
      </c>
      <c r="B1" s="680" t="s">
        <v>9</v>
      </c>
      <c r="C1" s="828" t="s">
        <v>8</v>
      </c>
      <c r="D1" s="16"/>
    </row>
    <row r="2" spans="1:4" s="14" customFormat="1">
      <c r="A2" s="680" t="s">
        <v>593</v>
      </c>
      <c r="B2" s="680" t="s">
        <v>594</v>
      </c>
      <c r="C2" s="680" t="s">
        <v>593</v>
      </c>
      <c r="D2" s="16"/>
    </row>
    <row r="3" spans="1:4" s="14" customFormat="1">
      <c r="A3" s="680" t="s">
        <v>357</v>
      </c>
      <c r="B3" s="680" t="s">
        <v>357</v>
      </c>
      <c r="C3" s="680" t="s">
        <v>357</v>
      </c>
      <c r="D3" s="16"/>
    </row>
    <row r="4" spans="1:4" s="14" customFormat="1">
      <c r="A4" s="681" t="s">
        <v>482</v>
      </c>
      <c r="B4" s="681" t="s">
        <v>483</v>
      </c>
      <c r="C4" s="681" t="s">
        <v>482</v>
      </c>
      <c r="D4" s="16"/>
    </row>
    <row r="5" spans="1:4" s="14" customFormat="1">
      <c r="A5" s="680" t="s">
        <v>11</v>
      </c>
      <c r="B5" s="680" t="s">
        <v>10</v>
      </c>
      <c r="C5" s="680" t="s">
        <v>11</v>
      </c>
      <c r="D5" s="16"/>
    </row>
    <row r="6" spans="1:4" s="14" customFormat="1">
      <c r="A6" s="680" t="s">
        <v>21</v>
      </c>
      <c r="B6" s="680" t="s">
        <v>20</v>
      </c>
      <c r="C6" s="680" t="s">
        <v>21</v>
      </c>
      <c r="D6" s="16"/>
    </row>
    <row r="7" spans="1:4" s="14" customFormat="1">
      <c r="A7" s="680" t="s">
        <v>903</v>
      </c>
      <c r="B7" s="680" t="s">
        <v>902</v>
      </c>
      <c r="C7" s="680" t="s">
        <v>903</v>
      </c>
      <c r="D7" s="16"/>
    </row>
    <row r="8" spans="1:4" s="14" customFormat="1">
      <c r="A8" s="680" t="s">
        <v>55</v>
      </c>
      <c r="B8" s="680" t="s">
        <v>904</v>
      </c>
      <c r="C8" s="680" t="s">
        <v>55</v>
      </c>
      <c r="D8" s="16"/>
    </row>
    <row r="9" spans="1:4" s="14" customFormat="1">
      <c r="A9" s="680" t="s">
        <v>484</v>
      </c>
      <c r="B9" s="680" t="s">
        <v>480</v>
      </c>
      <c r="C9" s="680" t="s">
        <v>484</v>
      </c>
      <c r="D9" s="16"/>
    </row>
    <row r="10" spans="1:4" s="14" customFormat="1">
      <c r="A10" s="680" t="s">
        <v>485</v>
      </c>
      <c r="B10" s="680" t="s">
        <v>469</v>
      </c>
      <c r="C10" s="680" t="s">
        <v>485</v>
      </c>
      <c r="D10" s="16"/>
    </row>
    <row r="11" spans="1:4" s="14" customFormat="1">
      <c r="A11" s="680" t="s">
        <v>486</v>
      </c>
      <c r="B11" s="680" t="s">
        <v>470</v>
      </c>
      <c r="C11" s="680" t="s">
        <v>486</v>
      </c>
      <c r="D11" s="16"/>
    </row>
    <row r="12" spans="1:4" s="14" customFormat="1">
      <c r="A12" s="680" t="s">
        <v>13</v>
      </c>
      <c r="B12" s="680" t="s">
        <v>12</v>
      </c>
      <c r="C12" s="680" t="s">
        <v>13</v>
      </c>
      <c r="D12" s="16"/>
    </row>
    <row r="13" spans="1:4" s="14" customFormat="1">
      <c r="A13" s="681" t="s">
        <v>490</v>
      </c>
      <c r="B13" s="681" t="s">
        <v>448</v>
      </c>
      <c r="C13" s="681" t="s">
        <v>490</v>
      </c>
      <c r="D13" s="16"/>
    </row>
    <row r="14" spans="1:4" s="14" customFormat="1">
      <c r="A14" s="682" t="s">
        <v>900</v>
      </c>
      <c r="B14" s="682" t="s">
        <v>900</v>
      </c>
      <c r="C14" s="682" t="s">
        <v>900</v>
      </c>
      <c r="D14" s="16"/>
    </row>
    <row r="15" spans="1:4" s="14" customFormat="1">
      <c r="A15" s="680" t="s">
        <v>487</v>
      </c>
      <c r="B15" s="680" t="s">
        <v>488</v>
      </c>
      <c r="C15" s="680" t="s">
        <v>487</v>
      </c>
      <c r="D15" s="16"/>
    </row>
    <row r="16" spans="1:4" s="14" customFormat="1">
      <c r="A16" s="680" t="s">
        <v>468</v>
      </c>
      <c r="B16" s="680" t="s">
        <v>468</v>
      </c>
      <c r="C16" s="680" t="s">
        <v>468</v>
      </c>
      <c r="D16" s="16"/>
    </row>
    <row r="17" spans="1:4" s="14" customFormat="1">
      <c r="A17" s="680" t="s">
        <v>364</v>
      </c>
      <c r="B17" s="680" t="s">
        <v>364</v>
      </c>
      <c r="C17" s="680" t="s">
        <v>364</v>
      </c>
      <c r="D17" s="16"/>
    </row>
    <row r="18" spans="1:4" s="14" customFormat="1">
      <c r="A18" s="680" t="s">
        <v>905</v>
      </c>
      <c r="B18" s="680" t="s">
        <v>905</v>
      </c>
      <c r="C18" s="680" t="s">
        <v>905</v>
      </c>
      <c r="D18" s="16"/>
    </row>
    <row r="19" spans="1:4" s="14" customFormat="1">
      <c r="A19" s="680" t="s">
        <v>18</v>
      </c>
      <c r="B19" s="680" t="s">
        <v>19</v>
      </c>
      <c r="C19" s="680" t="s">
        <v>18</v>
      </c>
      <c r="D19" s="16"/>
    </row>
    <row r="20" spans="1:4" s="14" customFormat="1">
      <c r="A20" s="680" t="s">
        <v>123</v>
      </c>
      <c r="B20" s="680" t="s">
        <v>124</v>
      </c>
      <c r="C20" s="680" t="s">
        <v>123</v>
      </c>
      <c r="D20" s="16"/>
    </row>
    <row r="21" spans="1:4" s="14" customFormat="1">
      <c r="A21" s="680" t="s">
        <v>489</v>
      </c>
      <c r="B21" s="680" t="s">
        <v>22</v>
      </c>
      <c r="C21" s="680" t="s">
        <v>489</v>
      </c>
      <c r="D21" s="16"/>
    </row>
    <row r="22" spans="1:4" s="14" customFormat="1">
      <c r="A22" s="681" t="s">
        <v>1095</v>
      </c>
      <c r="B22" s="681" t="s">
        <v>1095</v>
      </c>
      <c r="C22" s="681" t="s">
        <v>1095</v>
      </c>
      <c r="D22" s="16"/>
    </row>
    <row r="23" spans="1:4" s="14" customFormat="1">
      <c r="A23" s="680" t="s">
        <v>1008</v>
      </c>
      <c r="B23" s="680" t="s">
        <v>1007</v>
      </c>
      <c r="C23" s="680" t="s">
        <v>1008</v>
      </c>
      <c r="D23" s="16"/>
    </row>
    <row r="24" spans="1:4" s="14" customFormat="1">
      <c r="A24" s="680" t="s">
        <v>33</v>
      </c>
      <c r="B24" s="680" t="s">
        <v>32</v>
      </c>
      <c r="C24" s="680" t="s">
        <v>33</v>
      </c>
      <c r="D24" s="16"/>
    </row>
    <row r="25" spans="1:4" s="14" customFormat="1">
      <c r="A25" s="680" t="s">
        <v>3351</v>
      </c>
      <c r="B25" s="680" t="s">
        <v>3350</v>
      </c>
      <c r="C25" s="680" t="s">
        <v>3351</v>
      </c>
      <c r="D25" s="16"/>
    </row>
    <row r="26" spans="1:4" s="14" customFormat="1">
      <c r="A26" s="829" t="s">
        <v>854</v>
      </c>
      <c r="B26" s="829" t="s">
        <v>854</v>
      </c>
      <c r="C26" s="829" t="s">
        <v>854</v>
      </c>
      <c r="D26" s="16"/>
    </row>
    <row r="27" spans="1:4" s="16" customFormat="1">
      <c r="A27" s="680" t="s">
        <v>491</v>
      </c>
      <c r="B27" s="680" t="s">
        <v>449</v>
      </c>
      <c r="C27" s="680" t="s">
        <v>491</v>
      </c>
    </row>
    <row r="28" spans="1:4" s="14" customFormat="1">
      <c r="A28" s="681" t="s">
        <v>1104</v>
      </c>
      <c r="B28" s="681" t="s">
        <v>1096</v>
      </c>
      <c r="C28" s="681" t="s">
        <v>1104</v>
      </c>
      <c r="D28" s="16"/>
    </row>
    <row r="29" spans="1:4" s="14" customFormat="1">
      <c r="A29" s="680" t="s">
        <v>577</v>
      </c>
      <c r="B29" s="680" t="s">
        <v>30</v>
      </c>
      <c r="C29" s="680" t="s">
        <v>577</v>
      </c>
      <c r="D29" s="16"/>
    </row>
    <row r="30" spans="1:4" s="14" customFormat="1">
      <c r="A30" s="680" t="s">
        <v>578</v>
      </c>
      <c r="B30" s="680" t="s">
        <v>31</v>
      </c>
      <c r="C30" s="680" t="s">
        <v>578</v>
      </c>
      <c r="D30" s="16"/>
    </row>
    <row r="31" spans="1:4" s="14" customFormat="1">
      <c r="A31" s="680" t="s">
        <v>14</v>
      </c>
      <c r="B31" s="680" t="s">
        <v>778</v>
      </c>
      <c r="C31" s="680" t="s">
        <v>14</v>
      </c>
      <c r="D31" s="16"/>
    </row>
    <row r="32" spans="1:4" s="14" customFormat="1">
      <c r="A32" s="680" t="s">
        <v>15</v>
      </c>
      <c r="B32" s="680" t="s">
        <v>16</v>
      </c>
      <c r="C32" s="680" t="s">
        <v>15</v>
      </c>
      <c r="D32" s="16"/>
    </row>
    <row r="33" spans="1:4" s="14" customFormat="1">
      <c r="A33" s="680" t="s">
        <v>362</v>
      </c>
      <c r="B33" s="680" t="s">
        <v>363</v>
      </c>
      <c r="C33" s="680" t="s">
        <v>362</v>
      </c>
      <c r="D33" s="16"/>
    </row>
    <row r="34" spans="1:4" s="14" customFormat="1">
      <c r="A34" s="680" t="s">
        <v>29</v>
      </c>
      <c r="B34" s="680" t="s">
        <v>28</v>
      </c>
      <c r="C34" s="680" t="s">
        <v>29</v>
      </c>
      <c r="D34" s="16"/>
    </row>
    <row r="35" spans="1:4" s="14" customFormat="1">
      <c r="A35" s="829" t="s">
        <v>504</v>
      </c>
      <c r="B35" s="680" t="s">
        <v>507</v>
      </c>
      <c r="C35" s="829" t="s">
        <v>504</v>
      </c>
      <c r="D35" s="16"/>
    </row>
    <row r="36" spans="1:4" s="14" customFormat="1">
      <c r="A36" s="829" t="s">
        <v>26</v>
      </c>
      <c r="B36" s="680" t="s">
        <v>25</v>
      </c>
      <c r="C36" s="829" t="s">
        <v>26</v>
      </c>
      <c r="D36" s="16"/>
    </row>
    <row r="37" spans="1:4" s="14" customFormat="1">
      <c r="A37" s="829" t="s">
        <v>906</v>
      </c>
      <c r="B37" s="680" t="s">
        <v>27</v>
      </c>
      <c r="C37" s="829" t="s">
        <v>906</v>
      </c>
      <c r="D37" s="16"/>
    </row>
    <row r="38" spans="1:4" s="14" customFormat="1">
      <c r="A38" s="829" t="s">
        <v>89</v>
      </c>
      <c r="B38" s="680" t="s">
        <v>89</v>
      </c>
      <c r="C38" s="829" t="s">
        <v>89</v>
      </c>
      <c r="D38" s="16"/>
    </row>
    <row r="39" spans="1:4" s="14" customFormat="1">
      <c r="A39" s="829" t="s">
        <v>506</v>
      </c>
      <c r="B39" s="680" t="s">
        <v>509</v>
      </c>
      <c r="C39" s="829" t="s">
        <v>506</v>
      </c>
      <c r="D39" s="16"/>
    </row>
    <row r="40" spans="1:4" s="14" customFormat="1">
      <c r="A40" s="680" t="s">
        <v>934</v>
      </c>
      <c r="B40" s="680" t="s">
        <v>935</v>
      </c>
      <c r="C40" s="680" t="s">
        <v>934</v>
      </c>
      <c r="D40" s="16"/>
    </row>
    <row r="41" spans="1:4" s="14" customFormat="1">
      <c r="A41" s="680" t="s">
        <v>105</v>
      </c>
      <c r="B41" s="680" t="s">
        <v>100</v>
      </c>
      <c r="C41" s="680" t="s">
        <v>105</v>
      </c>
      <c r="D41" s="16"/>
    </row>
    <row r="42" spans="1:4" s="14" customFormat="1">
      <c r="A42" s="680" t="s">
        <v>106</v>
      </c>
      <c r="B42" s="680" t="s">
        <v>99</v>
      </c>
      <c r="C42" s="680" t="s">
        <v>106</v>
      </c>
      <c r="D42" s="16"/>
    </row>
    <row r="43" spans="1:4" s="14" customFormat="1">
      <c r="A43" s="829" t="s">
        <v>873</v>
      </c>
      <c r="B43" s="829" t="s">
        <v>848</v>
      </c>
      <c r="C43" s="829" t="s">
        <v>873</v>
      </c>
      <c r="D43" s="16"/>
    </row>
    <row r="44" spans="1:4" s="14" customFormat="1">
      <c r="A44" s="829" t="s">
        <v>874</v>
      </c>
      <c r="B44" s="829" t="s">
        <v>849</v>
      </c>
      <c r="C44" s="829" t="s">
        <v>874</v>
      </c>
      <c r="D44" s="16"/>
    </row>
    <row r="45" spans="1:4" s="14" customFormat="1">
      <c r="A45" s="829" t="s">
        <v>875</v>
      </c>
      <c r="B45" s="829" t="s">
        <v>850</v>
      </c>
      <c r="C45" s="829" t="s">
        <v>875</v>
      </c>
      <c r="D45" s="16"/>
    </row>
    <row r="46" spans="1:4" s="14" customFormat="1">
      <c r="A46" s="829" t="s">
        <v>876</v>
      </c>
      <c r="B46" s="829" t="s">
        <v>852</v>
      </c>
      <c r="C46" s="829" t="s">
        <v>876</v>
      </c>
      <c r="D46" s="16"/>
    </row>
    <row r="47" spans="1:4" s="14" customFormat="1">
      <c r="A47" s="829" t="s">
        <v>877</v>
      </c>
      <c r="B47" s="829" t="s">
        <v>851</v>
      </c>
      <c r="C47" s="829" t="s">
        <v>877</v>
      </c>
      <c r="D47" s="16"/>
    </row>
    <row r="48" spans="1:4" s="14" customFormat="1">
      <c r="A48" s="829" t="s">
        <v>878</v>
      </c>
      <c r="B48" s="829" t="s">
        <v>853</v>
      </c>
      <c r="C48" s="829" t="s">
        <v>878</v>
      </c>
      <c r="D48" s="16"/>
    </row>
    <row r="49" spans="1:4" s="14" customFormat="1">
      <c r="A49" s="830" t="s">
        <v>879</v>
      </c>
      <c r="B49" s="829" t="s">
        <v>855</v>
      </c>
      <c r="C49" s="830" t="s">
        <v>879</v>
      </c>
      <c r="D49" s="16"/>
    </row>
    <row r="50" spans="1:4" s="14" customFormat="1">
      <c r="A50" s="830" t="s">
        <v>880</v>
      </c>
      <c r="B50" s="829" t="s">
        <v>857</v>
      </c>
      <c r="C50" s="934" t="s">
        <v>2509</v>
      </c>
      <c r="D50" s="16"/>
    </row>
    <row r="51" spans="1:4" s="14" customFormat="1" ht="27.6">
      <c r="A51" s="830" t="s">
        <v>881</v>
      </c>
      <c r="B51" s="829" t="s">
        <v>867</v>
      </c>
      <c r="C51" s="934" t="s">
        <v>2512</v>
      </c>
      <c r="D51" s="16"/>
    </row>
    <row r="52" spans="1:4" s="14" customFormat="1">
      <c r="A52" s="830" t="s">
        <v>882</v>
      </c>
      <c r="B52" s="829" t="s">
        <v>859</v>
      </c>
      <c r="C52" s="934" t="s">
        <v>2514</v>
      </c>
      <c r="D52" s="16"/>
    </row>
    <row r="53" spans="1:4" s="14" customFormat="1" ht="27.6">
      <c r="A53" s="830" t="s">
        <v>1083</v>
      </c>
      <c r="B53" s="829" t="s">
        <v>1082</v>
      </c>
      <c r="C53" s="934" t="s">
        <v>2516</v>
      </c>
      <c r="D53" s="16"/>
    </row>
    <row r="54" spans="1:4" s="14" customFormat="1" ht="27.6">
      <c r="A54" s="830" t="s">
        <v>883</v>
      </c>
      <c r="B54" s="829" t="s">
        <v>861</v>
      </c>
      <c r="C54" s="934" t="s">
        <v>2518</v>
      </c>
      <c r="D54" s="16"/>
    </row>
    <row r="55" spans="1:4" s="14" customFormat="1">
      <c r="A55" s="830" t="s">
        <v>884</v>
      </c>
      <c r="B55" s="829" t="s">
        <v>868</v>
      </c>
      <c r="C55" s="934" t="s">
        <v>2613</v>
      </c>
      <c r="D55" s="16"/>
    </row>
    <row r="56" spans="1:4" s="14" customFormat="1" ht="41.4">
      <c r="A56" s="830" t="s">
        <v>885</v>
      </c>
      <c r="B56" s="829" t="s">
        <v>862</v>
      </c>
      <c r="C56" s="934" t="s">
        <v>2520</v>
      </c>
      <c r="D56" s="16"/>
    </row>
    <row r="57" spans="1:4" s="14" customFormat="1" ht="27.6">
      <c r="A57" s="830" t="s">
        <v>886</v>
      </c>
      <c r="B57" s="829" t="s">
        <v>856</v>
      </c>
      <c r="C57" s="934" t="s">
        <v>2522</v>
      </c>
      <c r="D57" s="16"/>
    </row>
    <row r="58" spans="1:4" s="14" customFormat="1" ht="27.6">
      <c r="A58" s="830" t="s">
        <v>893</v>
      </c>
      <c r="B58" s="829" t="s">
        <v>869</v>
      </c>
      <c r="C58" s="934" t="s">
        <v>2576</v>
      </c>
      <c r="D58" s="16"/>
    </row>
    <row r="59" spans="1:4" s="14" customFormat="1">
      <c r="A59" s="830" t="s">
        <v>887</v>
      </c>
      <c r="B59" s="829" t="s">
        <v>858</v>
      </c>
      <c r="C59" s="934" t="s">
        <v>2577</v>
      </c>
      <c r="D59" s="16"/>
    </row>
    <row r="60" spans="1:4" s="14" customFormat="1" ht="27.6">
      <c r="A60" s="830" t="s">
        <v>888</v>
      </c>
      <c r="B60" s="829" t="s">
        <v>860</v>
      </c>
      <c r="C60" s="934" t="s">
        <v>2578</v>
      </c>
      <c r="D60" s="16"/>
    </row>
    <row r="61" spans="1:4" s="14" customFormat="1" ht="27.6">
      <c r="A61" s="830" t="s">
        <v>889</v>
      </c>
      <c r="B61" s="829" t="s">
        <v>863</v>
      </c>
      <c r="C61" s="934" t="s">
        <v>2579</v>
      </c>
      <c r="D61" s="16"/>
    </row>
    <row r="62" spans="1:4" s="14" customFormat="1" ht="27.6">
      <c r="A62" s="830" t="s">
        <v>890</v>
      </c>
      <c r="B62" s="829" t="s">
        <v>864</v>
      </c>
      <c r="C62" s="934" t="s">
        <v>2580</v>
      </c>
      <c r="D62" s="16"/>
    </row>
    <row r="63" spans="1:4" s="14" customFormat="1">
      <c r="A63" s="830" t="s">
        <v>891</v>
      </c>
      <c r="B63" s="829" t="s">
        <v>865</v>
      </c>
      <c r="C63" s="934" t="s">
        <v>2581</v>
      </c>
      <c r="D63" s="16"/>
    </row>
    <row r="64" spans="1:4" s="14" customFormat="1">
      <c r="A64" s="830" t="s">
        <v>892</v>
      </c>
      <c r="B64" s="829" t="s">
        <v>866</v>
      </c>
      <c r="C64" s="934" t="s">
        <v>2582</v>
      </c>
      <c r="D64" s="16"/>
    </row>
    <row r="65" spans="1:4" s="14" customFormat="1">
      <c r="A65" s="830" t="s">
        <v>1105</v>
      </c>
      <c r="B65" s="829" t="s">
        <v>932</v>
      </c>
      <c r="C65" s="830" t="s">
        <v>1105</v>
      </c>
      <c r="D65" s="16"/>
    </row>
    <row r="66" spans="1:4" s="14" customFormat="1">
      <c r="A66" s="830" t="s">
        <v>1106</v>
      </c>
      <c r="B66" s="829" t="s">
        <v>933</v>
      </c>
      <c r="C66" s="830" t="s">
        <v>1106</v>
      </c>
      <c r="D66" s="16"/>
    </row>
    <row r="67" spans="1:4" s="14" customFormat="1">
      <c r="A67" s="681" t="s">
        <v>1107</v>
      </c>
      <c r="B67" s="681" t="s">
        <v>1097</v>
      </c>
      <c r="C67" s="681" t="s">
        <v>1107</v>
      </c>
      <c r="D67" s="16"/>
    </row>
    <row r="68" spans="1:4" s="14" customFormat="1">
      <c r="A68" s="680" t="s">
        <v>453</v>
      </c>
      <c r="B68" s="680" t="s">
        <v>453</v>
      </c>
      <c r="C68" s="680" t="s">
        <v>453</v>
      </c>
      <c r="D68" s="16"/>
    </row>
    <row r="69" spans="1:4" s="14" customFormat="1">
      <c r="A69" s="829" t="s">
        <v>50</v>
      </c>
      <c r="B69" s="829" t="s">
        <v>49</v>
      </c>
      <c r="C69" s="829" t="s">
        <v>50</v>
      </c>
      <c r="D69" s="16"/>
    </row>
    <row r="70" spans="1:4" s="14" customFormat="1">
      <c r="A70" s="680" t="s">
        <v>787</v>
      </c>
      <c r="B70" s="829" t="s">
        <v>786</v>
      </c>
      <c r="C70" s="680" t="s">
        <v>2583</v>
      </c>
      <c r="D70" s="16"/>
    </row>
    <row r="71" spans="1:4" s="14" customFormat="1">
      <c r="A71" s="680" t="s">
        <v>501</v>
      </c>
      <c r="B71" s="680" t="s">
        <v>471</v>
      </c>
      <c r="C71" s="680" t="s">
        <v>501</v>
      </c>
      <c r="D71" s="16"/>
    </row>
    <row r="72" spans="1:4" s="14" customFormat="1">
      <c r="A72" s="829" t="s">
        <v>834</v>
      </c>
      <c r="B72" s="829" t="s">
        <v>835</v>
      </c>
      <c r="C72" s="935" t="s">
        <v>2584</v>
      </c>
      <c r="D72" s="16"/>
    </row>
    <row r="73" spans="1:4" s="14" customFormat="1">
      <c r="A73" s="680" t="s">
        <v>836</v>
      </c>
      <c r="B73" s="680" t="s">
        <v>837</v>
      </c>
      <c r="C73" s="680" t="s">
        <v>836</v>
      </c>
      <c r="D73" s="16"/>
    </row>
    <row r="74" spans="1:4" s="14" customFormat="1">
      <c r="A74" s="680" t="s">
        <v>359</v>
      </c>
      <c r="B74" s="680" t="s">
        <v>361</v>
      </c>
      <c r="C74" s="680" t="s">
        <v>359</v>
      </c>
      <c r="D74" s="16"/>
    </row>
    <row r="75" spans="1:4" s="14" customFormat="1">
      <c r="A75" s="680" t="s">
        <v>358</v>
      </c>
      <c r="B75" s="680" t="s">
        <v>360</v>
      </c>
      <c r="C75" s="680" t="s">
        <v>358</v>
      </c>
      <c r="D75" s="16"/>
    </row>
    <row r="76" spans="1:4" s="14" customFormat="1">
      <c r="A76" s="680" t="s">
        <v>502</v>
      </c>
      <c r="B76" s="680" t="s">
        <v>474</v>
      </c>
      <c r="C76" s="680" t="s">
        <v>502</v>
      </c>
      <c r="D76" s="16"/>
    </row>
    <row r="77" spans="1:4" s="14" customFormat="1">
      <c r="A77" s="680" t="s">
        <v>35</v>
      </c>
      <c r="B77" s="680" t="s">
        <v>34</v>
      </c>
      <c r="C77" s="680" t="s">
        <v>35</v>
      </c>
      <c r="D77" s="16"/>
    </row>
    <row r="78" spans="1:4" s="14" customFormat="1">
      <c r="A78" s="680" t="s">
        <v>37</v>
      </c>
      <c r="B78" s="680" t="s">
        <v>40</v>
      </c>
      <c r="C78" s="680" t="s">
        <v>37</v>
      </c>
      <c r="D78" s="16"/>
    </row>
    <row r="79" spans="1:4" s="14" customFormat="1">
      <c r="A79" s="680" t="s">
        <v>39</v>
      </c>
      <c r="B79" s="680" t="s">
        <v>38</v>
      </c>
      <c r="C79" s="680" t="s">
        <v>39</v>
      </c>
      <c r="D79" s="16"/>
    </row>
    <row r="80" spans="1:4" s="14" customFormat="1">
      <c r="A80" s="680" t="s">
        <v>493</v>
      </c>
      <c r="B80" s="680" t="s">
        <v>797</v>
      </c>
      <c r="C80" s="680" t="s">
        <v>493</v>
      </c>
      <c r="D80" s="16"/>
    </row>
    <row r="81" spans="1:4" s="14" customFormat="1">
      <c r="A81" s="680" t="s">
        <v>1056</v>
      </c>
      <c r="B81" s="680" t="s">
        <v>942</v>
      </c>
      <c r="C81" s="680" t="s">
        <v>1056</v>
      </c>
      <c r="D81" s="16"/>
    </row>
    <row r="82" spans="1:4" s="14" customFormat="1">
      <c r="A82" s="680" t="s">
        <v>72</v>
      </c>
      <c r="B82" s="680" t="s">
        <v>73</v>
      </c>
      <c r="C82" s="680" t="s">
        <v>72</v>
      </c>
      <c r="D82" s="16"/>
    </row>
    <row r="83" spans="1:4" s="14" customFormat="1">
      <c r="A83" s="680" t="s">
        <v>36</v>
      </c>
      <c r="B83" s="680" t="s">
        <v>1</v>
      </c>
      <c r="C83" s="680" t="s">
        <v>36</v>
      </c>
      <c r="D83" s="16"/>
    </row>
    <row r="84" spans="1:4" s="14" customFormat="1">
      <c r="A84" s="829" t="s">
        <v>583</v>
      </c>
      <c r="B84" s="829" t="s">
        <v>582</v>
      </c>
      <c r="C84" s="829" t="s">
        <v>583</v>
      </c>
      <c r="D84" s="16"/>
    </row>
    <row r="85" spans="1:4" s="14" customFormat="1">
      <c r="A85" s="680" t="s">
        <v>1055</v>
      </c>
      <c r="B85" s="680" t="s">
        <v>450</v>
      </c>
      <c r="C85" s="680" t="s">
        <v>1055</v>
      </c>
      <c r="D85" s="16"/>
    </row>
    <row r="86" spans="1:4" s="14" customFormat="1">
      <c r="A86" s="680" t="s">
        <v>495</v>
      </c>
      <c r="B86" s="680" t="s">
        <v>452</v>
      </c>
      <c r="C86" s="680" t="s">
        <v>495</v>
      </c>
      <c r="D86" s="16"/>
    </row>
    <row r="87" spans="1:4" s="14" customFormat="1">
      <c r="A87" s="680" t="s">
        <v>496</v>
      </c>
      <c r="B87" s="680" t="s">
        <v>494</v>
      </c>
      <c r="C87" s="680" t="s">
        <v>496</v>
      </c>
      <c r="D87" s="16"/>
    </row>
    <row r="88" spans="1:4" s="14" customFormat="1">
      <c r="A88" s="680" t="s">
        <v>497</v>
      </c>
      <c r="B88" s="680" t="s">
        <v>451</v>
      </c>
      <c r="C88" s="680" t="s">
        <v>497</v>
      </c>
      <c r="D88" s="16"/>
    </row>
    <row r="89" spans="1:4" s="14" customFormat="1">
      <c r="A89" s="680" t="s">
        <v>785</v>
      </c>
      <c r="B89" s="680" t="s">
        <v>3341</v>
      </c>
      <c r="C89" s="680" t="s">
        <v>3341</v>
      </c>
      <c r="D89" s="16"/>
    </row>
    <row r="90" spans="1:4" s="14" customFormat="1">
      <c r="A90" s="680" t="s">
        <v>498</v>
      </c>
      <c r="B90" s="680" t="s">
        <v>472</v>
      </c>
      <c r="C90" s="680" t="s">
        <v>498</v>
      </c>
      <c r="D90" s="16"/>
    </row>
    <row r="91" spans="1:4" s="14" customFormat="1">
      <c r="A91" s="680" t="s">
        <v>499</v>
      </c>
      <c r="B91" s="680" t="s">
        <v>473</v>
      </c>
      <c r="C91" s="680" t="s">
        <v>499</v>
      </c>
      <c r="D91" s="16"/>
    </row>
    <row r="92" spans="1:4" s="14" customFormat="1">
      <c r="A92" s="680" t="s">
        <v>500</v>
      </c>
      <c r="B92" s="680" t="s">
        <v>475</v>
      </c>
      <c r="C92" s="680" t="s">
        <v>500</v>
      </c>
      <c r="D92" s="16"/>
    </row>
    <row r="93" spans="1:4" s="14" customFormat="1">
      <c r="A93" s="680" t="s">
        <v>503</v>
      </c>
      <c r="B93" s="680" t="s">
        <v>459</v>
      </c>
      <c r="C93" s="680" t="s">
        <v>503</v>
      </c>
      <c r="D93" s="16"/>
    </row>
    <row r="94" spans="1:4" s="14" customFormat="1">
      <c r="A94" s="680" t="s">
        <v>908</v>
      </c>
      <c r="B94" s="680" t="s">
        <v>907</v>
      </c>
      <c r="C94" s="680" t="s">
        <v>908</v>
      </c>
      <c r="D94" s="16"/>
    </row>
    <row r="95" spans="1:4" s="14" customFormat="1">
      <c r="A95" s="680" t="s">
        <v>492</v>
      </c>
      <c r="B95" s="680" t="s">
        <v>466</v>
      </c>
      <c r="C95" s="680" t="s">
        <v>492</v>
      </c>
      <c r="D95" s="16"/>
    </row>
    <row r="96" spans="1:4" s="14" customFormat="1">
      <c r="A96" s="681" t="s">
        <v>927</v>
      </c>
      <c r="B96" s="831" t="s">
        <v>927</v>
      </c>
      <c r="C96" s="681" t="s">
        <v>927</v>
      </c>
      <c r="D96" s="16"/>
    </row>
    <row r="97" spans="1:4" s="14" customFormat="1">
      <c r="A97" s="829" t="s">
        <v>805</v>
      </c>
      <c r="B97" s="682" t="s">
        <v>806</v>
      </c>
      <c r="C97" s="829" t="s">
        <v>805</v>
      </c>
      <c r="D97" s="16"/>
    </row>
    <row r="98" spans="1:4" s="14" customFormat="1">
      <c r="A98" s="829" t="s">
        <v>589</v>
      </c>
      <c r="B98" s="680" t="s">
        <v>590</v>
      </c>
      <c r="C98" s="829" t="s">
        <v>589</v>
      </c>
      <c r="D98" s="16"/>
    </row>
    <row r="99" spans="1:4" s="14" customFormat="1">
      <c r="A99" s="680" t="s">
        <v>792</v>
      </c>
      <c r="B99" s="832" t="s">
        <v>782</v>
      </c>
      <c r="C99" s="680" t="s">
        <v>792</v>
      </c>
      <c r="D99" s="16"/>
    </row>
    <row r="100" spans="1:4" s="14" customFormat="1">
      <c r="A100" s="680" t="s">
        <v>793</v>
      </c>
      <c r="B100" s="832" t="s">
        <v>783</v>
      </c>
      <c r="C100" s="680" t="s">
        <v>793</v>
      </c>
      <c r="D100" s="16"/>
    </row>
    <row r="101" spans="1:4" s="14" customFormat="1">
      <c r="A101" s="680" t="s">
        <v>794</v>
      </c>
      <c r="B101" s="832" t="s">
        <v>784</v>
      </c>
      <c r="C101" s="680" t="s">
        <v>794</v>
      </c>
      <c r="D101" s="16"/>
    </row>
    <row r="102" spans="1:4" s="14" customFormat="1">
      <c r="A102" s="680" t="s">
        <v>781</v>
      </c>
      <c r="B102" s="829" t="s">
        <v>780</v>
      </c>
      <c r="C102" s="680" t="s">
        <v>781</v>
      </c>
      <c r="D102" s="16"/>
    </row>
    <row r="103" spans="1:4" s="14" customFormat="1">
      <c r="A103" s="829" t="s">
        <v>505</v>
      </c>
      <c r="B103" s="680" t="s">
        <v>508</v>
      </c>
      <c r="C103" s="829" t="s">
        <v>505</v>
      </c>
      <c r="D103" s="16"/>
    </row>
    <row r="104" spans="1:4" s="14" customFormat="1">
      <c r="A104" s="829" t="s">
        <v>510</v>
      </c>
      <c r="B104" s="680" t="s">
        <v>511</v>
      </c>
      <c r="C104" s="829" t="s">
        <v>510</v>
      </c>
      <c r="D104" s="16"/>
    </row>
    <row r="105" spans="1:4" s="14" customFormat="1" ht="27.6">
      <c r="A105" s="833" t="s">
        <v>513</v>
      </c>
      <c r="B105" s="682" t="s">
        <v>481</v>
      </c>
      <c r="C105" s="833" t="s">
        <v>513</v>
      </c>
      <c r="D105" s="16"/>
    </row>
    <row r="106" spans="1:4" s="14" customFormat="1">
      <c r="A106" s="684" t="s">
        <v>928</v>
      </c>
      <c r="B106" s="684" t="s">
        <v>929</v>
      </c>
      <c r="C106" s="684" t="s">
        <v>928</v>
      </c>
      <c r="D106" s="16"/>
    </row>
    <row r="107" spans="1:4" s="14" customFormat="1">
      <c r="A107" s="829" t="s">
        <v>516</v>
      </c>
      <c r="B107" s="682" t="s">
        <v>515</v>
      </c>
      <c r="C107" s="829" t="s">
        <v>516</v>
      </c>
      <c r="D107" s="16"/>
    </row>
    <row r="108" spans="1:4" s="14" customFormat="1">
      <c r="A108" s="680" t="s">
        <v>70</v>
      </c>
      <c r="B108" s="680" t="s">
        <v>71</v>
      </c>
      <c r="C108" s="680" t="s">
        <v>70</v>
      </c>
      <c r="D108" s="16"/>
    </row>
    <row r="109" spans="1:4" s="14" customFormat="1">
      <c r="A109" s="829" t="s">
        <v>533</v>
      </c>
      <c r="B109" s="680" t="s">
        <v>444</v>
      </c>
      <c r="C109" s="935" t="s">
        <v>2585</v>
      </c>
      <c r="D109" s="16"/>
    </row>
    <row r="110" spans="1:4" s="14" customFormat="1">
      <c r="A110" s="829" t="s">
        <v>534</v>
      </c>
      <c r="B110" s="680" t="s">
        <v>430</v>
      </c>
      <c r="C110" s="935" t="s">
        <v>2586</v>
      </c>
      <c r="D110" s="16"/>
    </row>
    <row r="111" spans="1:4" s="14" customFormat="1">
      <c r="A111" s="829" t="s">
        <v>535</v>
      </c>
      <c r="B111" s="680" t="s">
        <v>434</v>
      </c>
      <c r="C111" s="935" t="s">
        <v>2587</v>
      </c>
      <c r="D111" s="16"/>
    </row>
    <row r="112" spans="1:4" s="14" customFormat="1">
      <c r="A112" s="829" t="s">
        <v>536</v>
      </c>
      <c r="B112" s="680" t="s">
        <v>438</v>
      </c>
      <c r="C112" s="935" t="s">
        <v>2588</v>
      </c>
      <c r="D112" s="16"/>
    </row>
    <row r="113" spans="1:4" s="14" customFormat="1">
      <c r="A113" s="829" t="s">
        <v>538</v>
      </c>
      <c r="B113" s="680" t="s">
        <v>537</v>
      </c>
      <c r="C113" s="935" t="s">
        <v>2589</v>
      </c>
      <c r="D113" s="16"/>
    </row>
    <row r="114" spans="1:4" s="14" customFormat="1">
      <c r="A114" s="829" t="s">
        <v>539</v>
      </c>
      <c r="B114" s="680" t="s">
        <v>445</v>
      </c>
      <c r="C114" s="935" t="s">
        <v>2590</v>
      </c>
      <c r="D114" s="16"/>
    </row>
    <row r="115" spans="1:4" s="14" customFormat="1">
      <c r="A115" s="680" t="s">
        <v>24</v>
      </c>
      <c r="B115" s="680" t="s">
        <v>23</v>
      </c>
      <c r="C115" s="680" t="s">
        <v>24</v>
      </c>
      <c r="D115" s="16"/>
    </row>
    <row r="116" spans="1:4" s="14" customFormat="1">
      <c r="A116" s="829" t="s">
        <v>517</v>
      </c>
      <c r="B116" s="680" t="s">
        <v>427</v>
      </c>
      <c r="C116" s="935" t="s">
        <v>2591</v>
      </c>
      <c r="D116" s="16"/>
    </row>
    <row r="117" spans="1:4" s="14" customFormat="1">
      <c r="A117" s="829" t="s">
        <v>518</v>
      </c>
      <c r="B117" s="680" t="s">
        <v>431</v>
      </c>
      <c r="C117" s="935" t="s">
        <v>2592</v>
      </c>
      <c r="D117" s="16"/>
    </row>
    <row r="118" spans="1:4" s="14" customFormat="1">
      <c r="A118" s="829" t="s">
        <v>519</v>
      </c>
      <c r="B118" s="680" t="s">
        <v>435</v>
      </c>
      <c r="C118" s="935" t="s">
        <v>2593</v>
      </c>
      <c r="D118" s="16"/>
    </row>
    <row r="119" spans="1:4" s="14" customFormat="1">
      <c r="A119" s="829" t="s">
        <v>520</v>
      </c>
      <c r="B119" s="680" t="s">
        <v>439</v>
      </c>
      <c r="C119" s="935" t="s">
        <v>2594</v>
      </c>
      <c r="D119" s="16"/>
    </row>
    <row r="120" spans="1:4" s="14" customFormat="1">
      <c r="A120" s="829" t="s">
        <v>521</v>
      </c>
      <c r="B120" s="680" t="s">
        <v>442</v>
      </c>
      <c r="C120" s="935" t="s">
        <v>2595</v>
      </c>
      <c r="D120" s="16"/>
    </row>
    <row r="121" spans="1:4" s="14" customFormat="1">
      <c r="A121" s="829" t="s">
        <v>522</v>
      </c>
      <c r="B121" s="680" t="s">
        <v>446</v>
      </c>
      <c r="C121" s="935" t="s">
        <v>2596</v>
      </c>
      <c r="D121" s="16"/>
    </row>
    <row r="122" spans="1:4" s="14" customFormat="1">
      <c r="A122" s="680" t="s">
        <v>74</v>
      </c>
      <c r="B122" s="680" t="s">
        <v>74</v>
      </c>
      <c r="C122" s="680" t="s">
        <v>74</v>
      </c>
      <c r="D122" s="16"/>
    </row>
    <row r="123" spans="1:4" s="14" customFormat="1">
      <c r="A123" s="829" t="s">
        <v>528</v>
      </c>
      <c r="B123" s="680" t="s">
        <v>447</v>
      </c>
      <c r="C123" s="935" t="s">
        <v>2597</v>
      </c>
      <c r="D123" s="16"/>
    </row>
    <row r="124" spans="1:4" s="14" customFormat="1">
      <c r="A124" s="829" t="s">
        <v>529</v>
      </c>
      <c r="B124" s="680" t="s">
        <v>429</v>
      </c>
      <c r="C124" s="935" t="s">
        <v>2598</v>
      </c>
      <c r="D124" s="16"/>
    </row>
    <row r="125" spans="1:4" s="14" customFormat="1">
      <c r="A125" s="829" t="s">
        <v>530</v>
      </c>
      <c r="B125" s="680" t="s">
        <v>433</v>
      </c>
      <c r="C125" s="935" t="s">
        <v>2599</v>
      </c>
      <c r="D125" s="16"/>
    </row>
    <row r="126" spans="1:4" s="14" customFormat="1">
      <c r="A126" s="829" t="s">
        <v>531</v>
      </c>
      <c r="B126" s="680" t="s">
        <v>437</v>
      </c>
      <c r="C126" s="935" t="s">
        <v>2600</v>
      </c>
      <c r="D126" s="16"/>
    </row>
    <row r="127" spans="1:4" s="14" customFormat="1">
      <c r="A127" s="829" t="s">
        <v>532</v>
      </c>
      <c r="B127" s="680" t="s">
        <v>441</v>
      </c>
      <c r="C127" s="935" t="s">
        <v>2601</v>
      </c>
      <c r="D127" s="16"/>
    </row>
    <row r="128" spans="1:4" s="14" customFormat="1">
      <c r="A128" s="680" t="s">
        <v>72</v>
      </c>
      <c r="B128" s="680" t="s">
        <v>73</v>
      </c>
      <c r="C128" s="680" t="s">
        <v>72</v>
      </c>
      <c r="D128" s="16"/>
    </row>
    <row r="129" spans="1:4" s="14" customFormat="1">
      <c r="A129" s="829" t="s">
        <v>523</v>
      </c>
      <c r="B129" s="680" t="s">
        <v>428</v>
      </c>
      <c r="C129" s="935" t="s">
        <v>2602</v>
      </c>
      <c r="D129" s="16"/>
    </row>
    <row r="130" spans="1:4" s="14" customFormat="1">
      <c r="A130" s="829" t="s">
        <v>524</v>
      </c>
      <c r="B130" s="680" t="s">
        <v>432</v>
      </c>
      <c r="C130" s="935" t="s">
        <v>2603</v>
      </c>
      <c r="D130" s="16"/>
    </row>
    <row r="131" spans="1:4" s="14" customFormat="1">
      <c r="A131" s="829" t="s">
        <v>525</v>
      </c>
      <c r="B131" s="680" t="s">
        <v>436</v>
      </c>
      <c r="C131" s="935" t="s">
        <v>2604</v>
      </c>
      <c r="D131" s="16"/>
    </row>
    <row r="132" spans="1:4" s="14" customFormat="1">
      <c r="A132" s="829" t="s">
        <v>526</v>
      </c>
      <c r="B132" s="680" t="s">
        <v>440</v>
      </c>
      <c r="C132" s="935" t="s">
        <v>2605</v>
      </c>
      <c r="D132" s="16"/>
    </row>
    <row r="133" spans="1:4" s="14" customFormat="1">
      <c r="A133" s="829" t="s">
        <v>527</v>
      </c>
      <c r="B133" s="680" t="s">
        <v>443</v>
      </c>
      <c r="C133" s="935" t="s">
        <v>2606</v>
      </c>
      <c r="D133" s="16"/>
    </row>
    <row r="134" spans="1:4" s="14" customFormat="1">
      <c r="A134" s="680" t="s">
        <v>909</v>
      </c>
      <c r="B134" s="680" t="s">
        <v>75</v>
      </c>
      <c r="C134" s="680" t="s">
        <v>909</v>
      </c>
      <c r="D134" s="16"/>
    </row>
    <row r="135" spans="1:4" s="14" customFormat="1">
      <c r="A135" s="680" t="s">
        <v>514</v>
      </c>
      <c r="B135" s="680" t="s">
        <v>5</v>
      </c>
      <c r="C135" s="680" t="s">
        <v>514</v>
      </c>
      <c r="D135" s="16"/>
    </row>
    <row r="136" spans="1:4" s="14" customFormat="1">
      <c r="A136" s="681" t="s">
        <v>41</v>
      </c>
      <c r="B136" s="681" t="s">
        <v>46</v>
      </c>
      <c r="C136" s="681" t="s">
        <v>41</v>
      </c>
      <c r="D136" s="16"/>
    </row>
    <row r="137" spans="1:4" s="14" customFormat="1">
      <c r="A137" s="680" t="s">
        <v>871</v>
      </c>
      <c r="B137" s="680" t="s">
        <v>870</v>
      </c>
      <c r="C137" s="680" t="s">
        <v>871</v>
      </c>
      <c r="D137" s="16"/>
    </row>
    <row r="138" spans="1:4" s="14" customFormat="1">
      <c r="A138" s="680" t="s">
        <v>872</v>
      </c>
      <c r="B138" s="680" t="s">
        <v>899</v>
      </c>
      <c r="C138" s="680" t="s">
        <v>872</v>
      </c>
      <c r="D138" s="16"/>
    </row>
    <row r="139" spans="1:4" s="14" customFormat="1">
      <c r="A139" s="680" t="s">
        <v>42</v>
      </c>
      <c r="B139" s="680" t="s">
        <v>47</v>
      </c>
      <c r="C139" s="680" t="s">
        <v>42</v>
      </c>
      <c r="D139" s="16"/>
    </row>
    <row r="140" spans="1:4" s="14" customFormat="1">
      <c r="A140" s="680" t="s">
        <v>44</v>
      </c>
      <c r="B140" s="680" t="s">
        <v>43</v>
      </c>
      <c r="C140" s="680" t="s">
        <v>44</v>
      </c>
      <c r="D140" s="16"/>
    </row>
    <row r="141" spans="1:4" s="14" customFormat="1">
      <c r="A141" s="682" t="s">
        <v>896</v>
      </c>
      <c r="B141" s="680" t="s">
        <v>894</v>
      </c>
      <c r="C141" s="682" t="s">
        <v>2607</v>
      </c>
      <c r="D141" s="16"/>
    </row>
    <row r="142" spans="1:4" s="14" customFormat="1" ht="27.6">
      <c r="A142" s="682" t="s">
        <v>898</v>
      </c>
      <c r="B142" s="682" t="s">
        <v>897</v>
      </c>
      <c r="C142" s="682" t="s">
        <v>2608</v>
      </c>
      <c r="D142" s="16"/>
    </row>
    <row r="143" spans="1:4" s="14" customFormat="1">
      <c r="A143" s="831" t="s">
        <v>923</v>
      </c>
      <c r="B143" s="681" t="s">
        <v>924</v>
      </c>
      <c r="C143" s="831" t="s">
        <v>923</v>
      </c>
      <c r="D143" s="16"/>
    </row>
    <row r="144" spans="1:4" s="14" customFormat="1">
      <c r="A144" s="829" t="s">
        <v>911</v>
      </c>
      <c r="B144" s="680" t="s">
        <v>910</v>
      </c>
      <c r="C144" s="829" t="s">
        <v>911</v>
      </c>
      <c r="D144" s="16"/>
    </row>
    <row r="145" spans="1:4" s="14" customFormat="1">
      <c r="A145" s="681" t="s">
        <v>912</v>
      </c>
      <c r="B145" s="681" t="s">
        <v>913</v>
      </c>
      <c r="C145" s="681" t="s">
        <v>912</v>
      </c>
      <c r="D145" s="16"/>
    </row>
    <row r="146" spans="1:4" s="14" customFormat="1">
      <c r="A146" s="829" t="s">
        <v>788</v>
      </c>
      <c r="B146" s="829" t="s">
        <v>789</v>
      </c>
      <c r="C146" s="935" t="s">
        <v>2609</v>
      </c>
      <c r="D146" s="16"/>
    </row>
    <row r="147" spans="1:4" s="14" customFormat="1">
      <c r="A147" s="829" t="s">
        <v>790</v>
      </c>
      <c r="B147" s="829" t="s">
        <v>795</v>
      </c>
      <c r="C147" s="829" t="s">
        <v>790</v>
      </c>
      <c r="D147" s="16"/>
    </row>
    <row r="148" spans="1:4" s="14" customFormat="1">
      <c r="A148" s="829" t="s">
        <v>791</v>
      </c>
      <c r="B148" s="829" t="s">
        <v>796</v>
      </c>
      <c r="C148" s="829" t="s">
        <v>791</v>
      </c>
      <c r="D148" s="16"/>
    </row>
    <row r="149" spans="1:4" s="14" customFormat="1">
      <c r="A149" s="829" t="s">
        <v>541</v>
      </c>
      <c r="B149" s="680" t="s">
        <v>419</v>
      </c>
      <c r="C149" s="829" t="s">
        <v>541</v>
      </c>
      <c r="D149" s="16"/>
    </row>
    <row r="150" spans="1:4" s="14" customFormat="1">
      <c r="A150" s="829" t="s">
        <v>549</v>
      </c>
      <c r="B150" s="680" t="s">
        <v>548</v>
      </c>
      <c r="C150" s="829" t="s">
        <v>549</v>
      </c>
      <c r="D150" s="16"/>
    </row>
    <row r="151" spans="1:4" s="14" customFormat="1">
      <c r="A151" s="829" t="s">
        <v>580</v>
      </c>
      <c r="B151" s="680" t="s">
        <v>550</v>
      </c>
      <c r="C151" s="829" t="s">
        <v>580</v>
      </c>
      <c r="D151" s="16"/>
    </row>
    <row r="152" spans="1:4" s="14" customFormat="1">
      <c r="A152" s="829" t="s">
        <v>551</v>
      </c>
      <c r="B152" s="680" t="s">
        <v>421</v>
      </c>
      <c r="C152" s="829" t="s">
        <v>551</v>
      </c>
      <c r="D152" s="16"/>
    </row>
    <row r="153" spans="1:4" s="14" customFormat="1">
      <c r="A153" s="829" t="s">
        <v>552</v>
      </c>
      <c r="B153" s="680" t="s">
        <v>422</v>
      </c>
      <c r="C153" s="829" t="s">
        <v>552</v>
      </c>
      <c r="D153" s="16"/>
    </row>
    <row r="154" spans="1:4" s="14" customFormat="1">
      <c r="A154" s="829" t="s">
        <v>543</v>
      </c>
      <c r="B154" s="680" t="s">
        <v>423</v>
      </c>
      <c r="C154" s="829" t="s">
        <v>543</v>
      </c>
      <c r="D154" s="16"/>
    </row>
    <row r="155" spans="1:4" s="14" customFormat="1">
      <c r="A155" s="829" t="s">
        <v>544</v>
      </c>
      <c r="B155" s="680" t="s">
        <v>424</v>
      </c>
      <c r="C155" s="829" t="s">
        <v>544</v>
      </c>
      <c r="D155" s="16"/>
    </row>
    <row r="156" spans="1:4" s="14" customFormat="1">
      <c r="A156" s="829" t="s">
        <v>545</v>
      </c>
      <c r="B156" s="680" t="s">
        <v>425</v>
      </c>
      <c r="C156" s="829" t="s">
        <v>545</v>
      </c>
      <c r="D156" s="16"/>
    </row>
    <row r="157" spans="1:4" s="14" customFormat="1">
      <c r="A157" s="829" t="s">
        <v>994</v>
      </c>
      <c r="B157" s="829" t="s">
        <v>1075</v>
      </c>
      <c r="C157" s="829" t="s">
        <v>994</v>
      </c>
      <c r="D157" s="16"/>
    </row>
    <row r="158" spans="1:4" s="14" customFormat="1">
      <c r="A158" s="829" t="s">
        <v>995</v>
      </c>
      <c r="B158" s="829" t="s">
        <v>1076</v>
      </c>
      <c r="C158" s="829" t="s">
        <v>995</v>
      </c>
      <c r="D158" s="16"/>
    </row>
    <row r="159" spans="1:4" s="14" customFormat="1">
      <c r="A159" s="829" t="s">
        <v>1124</v>
      </c>
      <c r="B159" s="829" t="s">
        <v>1123</v>
      </c>
      <c r="C159" s="829" t="s">
        <v>1124</v>
      </c>
      <c r="D159" s="16"/>
    </row>
    <row r="160" spans="1:4" s="13" customFormat="1">
      <c r="A160" s="829" t="s">
        <v>996</v>
      </c>
      <c r="B160" s="829" t="s">
        <v>1077</v>
      </c>
      <c r="C160" s="829" t="s">
        <v>996</v>
      </c>
      <c r="D160" s="16">
        <v>4</v>
      </c>
    </row>
    <row r="161" spans="1:4" s="16" customFormat="1">
      <c r="A161" s="831" t="s">
        <v>540</v>
      </c>
      <c r="B161" s="681" t="s">
        <v>1125</v>
      </c>
      <c r="C161" s="831" t="s">
        <v>540</v>
      </c>
    </row>
    <row r="162" spans="1:4">
      <c r="A162" s="831" t="s">
        <v>914</v>
      </c>
      <c r="B162" s="681" t="s">
        <v>840</v>
      </c>
      <c r="C162" s="831" t="s">
        <v>914</v>
      </c>
      <c r="D162" s="16"/>
    </row>
    <row r="163" spans="1:4">
      <c r="A163" s="829" t="s">
        <v>542</v>
      </c>
      <c r="B163" s="680" t="s">
        <v>420</v>
      </c>
      <c r="C163" s="829" t="s">
        <v>542</v>
      </c>
      <c r="D163" s="16"/>
    </row>
    <row r="164" spans="1:4">
      <c r="A164" s="829" t="s">
        <v>546</v>
      </c>
      <c r="B164" s="680" t="s">
        <v>45</v>
      </c>
      <c r="C164" s="829" t="s">
        <v>546</v>
      </c>
      <c r="D164" s="16"/>
    </row>
    <row r="165" spans="1:4">
      <c r="A165" s="829" t="s">
        <v>547</v>
      </c>
      <c r="B165" s="680" t="s">
        <v>584</v>
      </c>
      <c r="C165" s="829" t="s">
        <v>547</v>
      </c>
      <c r="D165" s="16"/>
    </row>
    <row r="166" spans="1:4">
      <c r="A166" s="829" t="s">
        <v>581</v>
      </c>
      <c r="B166" s="829" t="s">
        <v>48</v>
      </c>
      <c r="C166" s="829" t="s">
        <v>581</v>
      </c>
      <c r="D166" s="16"/>
    </row>
    <row r="167" spans="1:4" ht="27.6">
      <c r="A167" s="834" t="s">
        <v>801</v>
      </c>
      <c r="B167" s="834" t="s">
        <v>802</v>
      </c>
      <c r="C167" s="834" t="s">
        <v>801</v>
      </c>
      <c r="D167" s="16"/>
    </row>
    <row r="168" spans="1:4">
      <c r="A168" s="829" t="s">
        <v>585</v>
      </c>
      <c r="B168" s="829" t="s">
        <v>426</v>
      </c>
      <c r="C168" s="829" t="s">
        <v>585</v>
      </c>
      <c r="D168" s="16"/>
    </row>
    <row r="169" spans="1:4">
      <c r="A169" s="829" t="s">
        <v>764</v>
      </c>
      <c r="B169" s="680" t="s">
        <v>764</v>
      </c>
      <c r="C169" s="829" t="s">
        <v>764</v>
      </c>
      <c r="D169" s="16"/>
    </row>
    <row r="170" spans="1:4">
      <c r="A170" s="829" t="s">
        <v>765</v>
      </c>
      <c r="B170" s="680" t="s">
        <v>766</v>
      </c>
      <c r="C170" s="829" t="s">
        <v>765</v>
      </c>
      <c r="D170" s="16"/>
    </row>
    <row r="171" spans="1:4">
      <c r="A171" s="680" t="s">
        <v>768</v>
      </c>
      <c r="B171" s="829" t="s">
        <v>767</v>
      </c>
      <c r="C171" s="680" t="s">
        <v>2610</v>
      </c>
      <c r="D171" s="16"/>
    </row>
    <row r="172" spans="1:4">
      <c r="A172" s="680" t="s">
        <v>586</v>
      </c>
      <c r="B172" s="680" t="s">
        <v>779</v>
      </c>
      <c r="C172" s="680" t="s">
        <v>2611</v>
      </c>
      <c r="D172" s="16"/>
    </row>
    <row r="173" spans="1:4">
      <c r="A173" s="680" t="s">
        <v>770</v>
      </c>
      <c r="B173" s="829" t="s">
        <v>769</v>
      </c>
      <c r="C173" s="680" t="s">
        <v>770</v>
      </c>
      <c r="D173" s="16"/>
    </row>
    <row r="174" spans="1:4">
      <c r="A174" s="680" t="s">
        <v>592</v>
      </c>
      <c r="B174" s="829" t="s">
        <v>591</v>
      </c>
      <c r="C174" s="680" t="s">
        <v>2612</v>
      </c>
      <c r="D174" s="16"/>
    </row>
    <row r="175" spans="1:4">
      <c r="A175" s="829" t="s">
        <v>1154</v>
      </c>
      <c r="B175" s="680" t="s">
        <v>1058</v>
      </c>
      <c r="C175" s="829" t="s">
        <v>1154</v>
      </c>
      <c r="D175" s="16"/>
    </row>
    <row r="176" spans="1:4">
      <c r="A176" s="829" t="s">
        <v>1155</v>
      </c>
      <c r="B176" s="680" t="s">
        <v>1059</v>
      </c>
      <c r="C176" s="829" t="s">
        <v>1155</v>
      </c>
      <c r="D176" s="16"/>
    </row>
    <row r="177" spans="1:4">
      <c r="A177" s="835"/>
      <c r="B177" s="685"/>
      <c r="C177" s="835"/>
      <c r="D177" s="16"/>
    </row>
    <row r="178" spans="1:4">
      <c r="A178" s="681" t="s">
        <v>923</v>
      </c>
      <c r="B178" s="681" t="s">
        <v>1128</v>
      </c>
      <c r="C178" s="681" t="s">
        <v>923</v>
      </c>
      <c r="D178" s="16"/>
    </row>
    <row r="179" spans="1:4">
      <c r="A179" s="680" t="s">
        <v>587</v>
      </c>
      <c r="B179" s="682" t="s">
        <v>588</v>
      </c>
      <c r="C179" s="680" t="s">
        <v>587</v>
      </c>
      <c r="D179" s="16"/>
    </row>
    <row r="180" spans="1:4">
      <c r="A180" s="680" t="s">
        <v>553</v>
      </c>
      <c r="B180" s="680" t="s">
        <v>455</v>
      </c>
      <c r="C180" s="680" t="s">
        <v>553</v>
      </c>
      <c r="D180" s="16"/>
    </row>
    <row r="181" spans="1:4">
      <c r="A181" s="680" t="s">
        <v>554</v>
      </c>
      <c r="B181" s="680" t="s">
        <v>456</v>
      </c>
      <c r="C181" s="680" t="s">
        <v>554</v>
      </c>
      <c r="D181" s="16"/>
    </row>
    <row r="182" spans="1:4">
      <c r="A182" s="680" t="s">
        <v>555</v>
      </c>
      <c r="B182" s="680" t="s">
        <v>476</v>
      </c>
      <c r="C182" s="680" t="s">
        <v>555</v>
      </c>
      <c r="D182" s="16"/>
    </row>
    <row r="183" spans="1:4">
      <c r="A183" s="680" t="s">
        <v>556</v>
      </c>
      <c r="B183" s="680" t="s">
        <v>477</v>
      </c>
      <c r="C183" s="680" t="s">
        <v>556</v>
      </c>
      <c r="D183" s="16"/>
    </row>
    <row r="184" spans="1:4">
      <c r="A184" s="680" t="s">
        <v>557</v>
      </c>
      <c r="B184" s="680" t="s">
        <v>478</v>
      </c>
      <c r="C184" s="680" t="s">
        <v>557</v>
      </c>
      <c r="D184" s="16"/>
    </row>
    <row r="185" spans="1:4">
      <c r="A185" s="680" t="s">
        <v>558</v>
      </c>
      <c r="B185" s="680" t="s">
        <v>479</v>
      </c>
      <c r="C185" s="680" t="s">
        <v>558</v>
      </c>
      <c r="D185" s="16"/>
    </row>
    <row r="186" spans="1:4">
      <c r="A186" s="680" t="s">
        <v>915</v>
      </c>
      <c r="B186" s="680" t="s">
        <v>595</v>
      </c>
      <c r="C186" s="680" t="s">
        <v>915</v>
      </c>
      <c r="D186" s="16"/>
    </row>
    <row r="187" spans="1:4">
      <c r="A187" s="680" t="s">
        <v>1746</v>
      </c>
      <c r="B187" s="680" t="s">
        <v>1747</v>
      </c>
      <c r="C187" s="680" t="s">
        <v>1746</v>
      </c>
      <c r="D187" s="16"/>
    </row>
    <row r="188" spans="1:4">
      <c r="A188" s="681" t="s">
        <v>1126</v>
      </c>
      <c r="B188" s="681" t="s">
        <v>1127</v>
      </c>
      <c r="C188" s="681" t="s">
        <v>1126</v>
      </c>
      <c r="D188" s="16"/>
    </row>
    <row r="189" spans="1:4">
      <c r="A189" s="680" t="s">
        <v>916</v>
      </c>
      <c r="B189" s="680" t="s">
        <v>917</v>
      </c>
      <c r="C189" s="680" t="s">
        <v>916</v>
      </c>
      <c r="D189" s="16"/>
    </row>
    <row r="190" spans="1:4">
      <c r="A190" s="680" t="s">
        <v>570</v>
      </c>
      <c r="B190" s="680" t="s">
        <v>596</v>
      </c>
      <c r="C190" s="680" t="s">
        <v>570</v>
      </c>
      <c r="D190" s="16"/>
    </row>
    <row r="191" spans="1:4">
      <c r="A191" s="680" t="s">
        <v>119</v>
      </c>
      <c r="B191" s="680" t="s">
        <v>367</v>
      </c>
      <c r="C191" s="680" t="s">
        <v>119</v>
      </c>
      <c r="D191" s="16"/>
    </row>
    <row r="192" spans="1:4">
      <c r="A192" s="680" t="s">
        <v>1745</v>
      </c>
      <c r="B192" s="680" t="s">
        <v>1744</v>
      </c>
      <c r="C192" s="680" t="s">
        <v>1745</v>
      </c>
      <c r="D192" s="16"/>
    </row>
    <row r="193" spans="1:4">
      <c r="A193" s="681" t="s">
        <v>1108</v>
      </c>
      <c r="B193" s="681" t="s">
        <v>1109</v>
      </c>
      <c r="C193" s="681" t="s">
        <v>1108</v>
      </c>
      <c r="D193" s="16"/>
    </row>
    <row r="194" spans="1:4">
      <c r="A194" s="680" t="s">
        <v>562</v>
      </c>
      <c r="B194" s="680" t="s">
        <v>457</v>
      </c>
      <c r="C194" s="680" t="s">
        <v>562</v>
      </c>
      <c r="D194" s="16"/>
    </row>
    <row r="195" spans="1:4">
      <c r="A195" s="680" t="s">
        <v>563</v>
      </c>
      <c r="B195" s="680" t="s">
        <v>458</v>
      </c>
      <c r="C195" s="680" t="s">
        <v>563</v>
      </c>
      <c r="D195" s="16"/>
    </row>
    <row r="196" spans="1:4">
      <c r="A196" s="680" t="s">
        <v>571</v>
      </c>
      <c r="B196" s="680" t="s">
        <v>2</v>
      </c>
      <c r="C196" s="680" t="s">
        <v>571</v>
      </c>
      <c r="D196" s="16"/>
    </row>
    <row r="197" spans="1:4" s="16" customFormat="1">
      <c r="A197" s="680" t="s">
        <v>0</v>
      </c>
      <c r="B197" s="680" t="s">
        <v>0</v>
      </c>
      <c r="C197" s="680" t="s">
        <v>0</v>
      </c>
    </row>
    <row r="198" spans="1:4">
      <c r="A198" s="680" t="s">
        <v>52</v>
      </c>
      <c r="B198" s="680" t="s">
        <v>4</v>
      </c>
      <c r="C198" s="680" t="s">
        <v>52</v>
      </c>
      <c r="D198" s="16"/>
    </row>
    <row r="199" spans="1:4">
      <c r="A199" s="680" t="s">
        <v>51</v>
      </c>
      <c r="B199" s="680" t="s">
        <v>3</v>
      </c>
      <c r="C199" s="680" t="s">
        <v>51</v>
      </c>
      <c r="D199" s="16"/>
    </row>
    <row r="200" spans="1:4">
      <c r="A200" s="680" t="s">
        <v>564</v>
      </c>
      <c r="B200" s="680" t="s">
        <v>460</v>
      </c>
      <c r="C200" s="680" t="s">
        <v>564</v>
      </c>
      <c r="D200" s="16"/>
    </row>
    <row r="201" spans="1:4">
      <c r="A201" s="680" t="s">
        <v>565</v>
      </c>
      <c r="B201" s="680" t="s">
        <v>512</v>
      </c>
      <c r="C201" s="680" t="s">
        <v>565</v>
      </c>
      <c r="D201" s="16"/>
    </row>
    <row r="202" spans="1:4">
      <c r="A202" s="680" t="s">
        <v>566</v>
      </c>
      <c r="B202" s="680" t="s">
        <v>463</v>
      </c>
      <c r="C202" s="680" t="s">
        <v>566</v>
      </c>
      <c r="D202" s="16"/>
    </row>
    <row r="203" spans="1:4">
      <c r="A203" s="680" t="s">
        <v>567</v>
      </c>
      <c r="B203" s="680" t="s">
        <v>461</v>
      </c>
      <c r="C203" s="680" t="s">
        <v>567</v>
      </c>
      <c r="D203" s="16"/>
    </row>
    <row r="204" spans="1:4">
      <c r="A204" s="680" t="s">
        <v>572</v>
      </c>
      <c r="B204" s="680" t="s">
        <v>464</v>
      </c>
      <c r="C204" s="680" t="s">
        <v>572</v>
      </c>
      <c r="D204" s="16"/>
    </row>
    <row r="205" spans="1:4">
      <c r="A205" s="680" t="s">
        <v>568</v>
      </c>
      <c r="B205" s="680" t="s">
        <v>462</v>
      </c>
      <c r="C205" s="680" t="s">
        <v>568</v>
      </c>
      <c r="D205" s="16"/>
    </row>
    <row r="206" spans="1:4">
      <c r="A206" s="680" t="s">
        <v>807</v>
      </c>
      <c r="B206" s="680" t="s">
        <v>808</v>
      </c>
      <c r="C206" s="680" t="s">
        <v>807</v>
      </c>
      <c r="D206" s="16"/>
    </row>
    <row r="207" spans="1:4">
      <c r="A207" s="680" t="s">
        <v>918</v>
      </c>
      <c r="B207" s="680" t="s">
        <v>919</v>
      </c>
      <c r="C207" s="680" t="s">
        <v>918</v>
      </c>
      <c r="D207" s="16"/>
    </row>
    <row r="208" spans="1:4">
      <c r="A208" s="680" t="s">
        <v>569</v>
      </c>
      <c r="B208" s="680" t="s">
        <v>560</v>
      </c>
      <c r="C208" s="680" t="s">
        <v>569</v>
      </c>
      <c r="D208" s="16"/>
    </row>
    <row r="209" spans="1:4">
      <c r="A209" s="680" t="s">
        <v>920</v>
      </c>
      <c r="B209" s="680" t="s">
        <v>465</v>
      </c>
      <c r="C209" s="680" t="s">
        <v>920</v>
      </c>
      <c r="D209" s="16"/>
    </row>
    <row r="210" spans="1:4" s="16" customFormat="1">
      <c r="A210" s="680" t="s">
        <v>559</v>
      </c>
      <c r="B210" s="680" t="s">
        <v>561</v>
      </c>
      <c r="C210" s="680" t="s">
        <v>559</v>
      </c>
    </row>
    <row r="211" spans="1:4">
      <c r="A211" s="680" t="s">
        <v>107</v>
      </c>
      <c r="B211" s="680" t="s">
        <v>798</v>
      </c>
      <c r="C211" s="680" t="s">
        <v>107</v>
      </c>
      <c r="D211" s="16"/>
    </row>
    <row r="212" spans="1:4">
      <c r="A212" s="680" t="s">
        <v>920</v>
      </c>
      <c r="B212" s="680" t="s">
        <v>921</v>
      </c>
      <c r="C212" s="680" t="s">
        <v>920</v>
      </c>
      <c r="D212" s="16"/>
    </row>
    <row r="213" spans="1:4">
      <c r="A213" s="680" t="s">
        <v>559</v>
      </c>
      <c r="B213" s="680" t="s">
        <v>561</v>
      </c>
      <c r="C213" s="680" t="s">
        <v>559</v>
      </c>
      <c r="D213" s="16"/>
    </row>
    <row r="214" spans="1:4">
      <c r="A214" s="681" t="s">
        <v>1110</v>
      </c>
      <c r="B214" s="681" t="s">
        <v>1111</v>
      </c>
      <c r="C214" s="681" t="s">
        <v>1110</v>
      </c>
      <c r="D214" s="16"/>
    </row>
    <row r="215" spans="1:4">
      <c r="A215" s="680" t="s">
        <v>1112</v>
      </c>
      <c r="B215" s="680" t="s">
        <v>1113</v>
      </c>
      <c r="C215" s="680" t="s">
        <v>1112</v>
      </c>
      <c r="D215" s="16"/>
    </row>
    <row r="216" spans="1:4">
      <c r="A216" s="680" t="s">
        <v>830</v>
      </c>
      <c r="B216" s="680" t="s">
        <v>831</v>
      </c>
      <c r="C216" s="680" t="s">
        <v>830</v>
      </c>
      <c r="D216" s="16"/>
    </row>
    <row r="217" spans="1:4">
      <c r="A217" s="680" t="s">
        <v>111</v>
      </c>
      <c r="B217" s="680" t="s">
        <v>112</v>
      </c>
      <c r="C217" s="680" t="s">
        <v>111</v>
      </c>
      <c r="D217" s="16"/>
    </row>
    <row r="218" spans="1:4">
      <c r="A218" s="680" t="s">
        <v>117</v>
      </c>
      <c r="B218" s="680" t="s">
        <v>113</v>
      </c>
      <c r="C218" s="680" t="s">
        <v>117</v>
      </c>
      <c r="D218" s="16"/>
    </row>
    <row r="219" spans="1:4">
      <c r="A219" s="680" t="s">
        <v>803</v>
      </c>
      <c r="B219" s="680" t="s">
        <v>804</v>
      </c>
      <c r="C219" s="680" t="s">
        <v>803</v>
      </c>
      <c r="D219" s="16"/>
    </row>
    <row r="220" spans="1:4">
      <c r="A220" s="680" t="s">
        <v>832</v>
      </c>
      <c r="B220" s="680" t="s">
        <v>833</v>
      </c>
      <c r="C220" s="680" t="s">
        <v>832</v>
      </c>
      <c r="D220" s="16"/>
    </row>
    <row r="221" spans="1:4">
      <c r="A221" s="680" t="s">
        <v>467</v>
      </c>
      <c r="B221" s="680" t="s">
        <v>467</v>
      </c>
      <c r="C221" s="680" t="s">
        <v>467</v>
      </c>
      <c r="D221" s="16"/>
    </row>
    <row r="222" spans="1:4">
      <c r="A222" s="680" t="s">
        <v>365</v>
      </c>
      <c r="B222" s="680" t="s">
        <v>365</v>
      </c>
      <c r="C222" s="680" t="s">
        <v>3347</v>
      </c>
      <c r="D222" s="16"/>
    </row>
    <row r="223" spans="1:4">
      <c r="A223" s="680" t="s">
        <v>53</v>
      </c>
      <c r="B223" s="680" t="s">
        <v>54</v>
      </c>
      <c r="C223" s="680" t="s">
        <v>53</v>
      </c>
      <c r="D223" s="16"/>
    </row>
    <row r="224" spans="1:4">
      <c r="A224" s="680" t="s">
        <v>355</v>
      </c>
      <c r="B224" s="680" t="s">
        <v>356</v>
      </c>
      <c r="C224" s="680" t="s">
        <v>355</v>
      </c>
      <c r="D224" s="16"/>
    </row>
    <row r="225" spans="1:4">
      <c r="A225" s="680" t="s">
        <v>17</v>
      </c>
      <c r="B225" s="680" t="s">
        <v>800</v>
      </c>
      <c r="C225" s="680" t="s">
        <v>17</v>
      </c>
      <c r="D225" s="16"/>
    </row>
    <row r="226" spans="1:4">
      <c r="A226" s="829" t="s">
        <v>799</v>
      </c>
      <c r="B226" s="829" t="s">
        <v>922</v>
      </c>
      <c r="C226" s="829" t="s">
        <v>799</v>
      </c>
      <c r="D226" s="16"/>
    </row>
    <row r="227" spans="1:4">
      <c r="A227" s="680" t="s">
        <v>771</v>
      </c>
      <c r="B227" s="829" t="s">
        <v>776</v>
      </c>
      <c r="C227" s="680" t="s">
        <v>771</v>
      </c>
      <c r="D227" s="16"/>
    </row>
    <row r="228" spans="1:4">
      <c r="A228" s="680" t="s">
        <v>774</v>
      </c>
      <c r="B228" s="829" t="s">
        <v>775</v>
      </c>
      <c r="C228" s="680" t="s">
        <v>774</v>
      </c>
      <c r="D228" s="16"/>
    </row>
    <row r="229" spans="1:4">
      <c r="A229" s="829" t="s">
        <v>772</v>
      </c>
      <c r="B229" s="829" t="s">
        <v>773</v>
      </c>
      <c r="C229" s="829" t="s">
        <v>772</v>
      </c>
      <c r="D229" s="16"/>
    </row>
    <row r="230" spans="1:4">
      <c r="A230" s="680" t="s">
        <v>3122</v>
      </c>
      <c r="B230" s="680" t="s">
        <v>926</v>
      </c>
      <c r="C230" s="680" t="s">
        <v>3122</v>
      </c>
      <c r="D230" s="16"/>
    </row>
    <row r="231" spans="1:4">
      <c r="A231" s="680" t="s">
        <v>829</v>
      </c>
      <c r="B231" s="680" t="s">
        <v>828</v>
      </c>
      <c r="C231" s="680" t="s">
        <v>829</v>
      </c>
      <c r="D231" s="16"/>
    </row>
    <row r="232" spans="1:4">
      <c r="A232" s="680" t="s">
        <v>1114</v>
      </c>
      <c r="B232" s="680" t="s">
        <v>1084</v>
      </c>
      <c r="C232" s="680" t="s">
        <v>1114</v>
      </c>
      <c r="D232" s="16"/>
    </row>
    <row r="233" spans="1:4">
      <c r="A233" s="681" t="s">
        <v>1100</v>
      </c>
      <c r="B233" s="681" t="s">
        <v>1101</v>
      </c>
      <c r="C233" s="681" t="s">
        <v>1100</v>
      </c>
      <c r="D233" s="16"/>
    </row>
    <row r="234" spans="1:4">
      <c r="A234" s="680" t="s">
        <v>1071</v>
      </c>
      <c r="B234" s="680" t="s">
        <v>956</v>
      </c>
      <c r="C234" s="680" t="s">
        <v>1071</v>
      </c>
      <c r="D234" s="16"/>
    </row>
    <row r="235" spans="1:4">
      <c r="A235" s="680" t="s">
        <v>1070</v>
      </c>
      <c r="B235" s="680" t="s">
        <v>955</v>
      </c>
      <c r="C235" s="680" t="s">
        <v>1070</v>
      </c>
      <c r="D235" s="16"/>
    </row>
    <row r="236" spans="1:4">
      <c r="A236" s="680" t="s">
        <v>1136</v>
      </c>
      <c r="B236" s="829" t="s">
        <v>1060</v>
      </c>
      <c r="C236" s="680" t="s">
        <v>1136</v>
      </c>
      <c r="D236" s="17"/>
    </row>
    <row r="237" spans="1:4">
      <c r="A237" s="680" t="s">
        <v>1137</v>
      </c>
      <c r="B237" s="829" t="s">
        <v>1061</v>
      </c>
      <c r="C237" s="680" t="s">
        <v>1137</v>
      </c>
      <c r="D237" s="17"/>
    </row>
    <row r="238" spans="1:4">
      <c r="A238" s="680" t="s">
        <v>1138</v>
      </c>
      <c r="B238" s="829" t="s">
        <v>1062</v>
      </c>
      <c r="C238" s="680" t="s">
        <v>1138</v>
      </c>
      <c r="D238" s="17"/>
    </row>
    <row r="239" spans="1:4">
      <c r="A239" s="680" t="s">
        <v>1139</v>
      </c>
      <c r="B239" s="829" t="s">
        <v>1063</v>
      </c>
      <c r="C239" s="680" t="s">
        <v>1139</v>
      </c>
      <c r="D239" s="17"/>
    </row>
    <row r="240" spans="1:4">
      <c r="A240" s="680" t="s">
        <v>1140</v>
      </c>
      <c r="B240" s="829" t="s">
        <v>1064</v>
      </c>
      <c r="C240" s="680" t="s">
        <v>1140</v>
      </c>
      <c r="D240" s="17"/>
    </row>
    <row r="241" spans="1:4">
      <c r="A241" s="680" t="s">
        <v>1141</v>
      </c>
      <c r="B241" s="829" t="s">
        <v>1065</v>
      </c>
      <c r="C241" s="680" t="s">
        <v>1141</v>
      </c>
      <c r="D241" s="683"/>
    </row>
    <row r="242" spans="1:4">
      <c r="A242" s="680" t="s">
        <v>1142</v>
      </c>
      <c r="B242" s="829" t="s">
        <v>1066</v>
      </c>
      <c r="C242" s="680" t="s">
        <v>1142</v>
      </c>
      <c r="D242" s="683"/>
    </row>
    <row r="243" spans="1:4">
      <c r="A243" s="680" t="s">
        <v>1143</v>
      </c>
      <c r="B243" s="829" t="s">
        <v>1067</v>
      </c>
      <c r="C243" s="680" t="s">
        <v>1143</v>
      </c>
      <c r="D243" s="683"/>
    </row>
    <row r="244" spans="1:4">
      <c r="A244" s="680" t="s">
        <v>1144</v>
      </c>
      <c r="B244" s="829" t="s">
        <v>1068</v>
      </c>
      <c r="C244" s="680" t="s">
        <v>1144</v>
      </c>
      <c r="D244" s="683"/>
    </row>
    <row r="245" spans="1:4">
      <c r="A245" s="680" t="s">
        <v>1145</v>
      </c>
      <c r="B245" s="829" t="s">
        <v>1069</v>
      </c>
      <c r="C245" s="680" t="s">
        <v>1145</v>
      </c>
      <c r="D245" s="683"/>
    </row>
    <row r="246" spans="1:4">
      <c r="A246" s="680" t="s">
        <v>1115</v>
      </c>
      <c r="B246" s="680" t="s">
        <v>939</v>
      </c>
      <c r="C246" s="680" t="s">
        <v>1115</v>
      </c>
      <c r="D246" s="16"/>
    </row>
    <row r="247" spans="1:4">
      <c r="A247" s="680" t="s">
        <v>1116</v>
      </c>
      <c r="B247" s="829" t="s">
        <v>944</v>
      </c>
      <c r="C247" s="680" t="s">
        <v>1116</v>
      </c>
      <c r="D247" s="683"/>
    </row>
    <row r="248" spans="1:4">
      <c r="A248" s="680" t="s">
        <v>1117</v>
      </c>
      <c r="B248" s="829" t="s">
        <v>949</v>
      </c>
      <c r="C248" s="680" t="s">
        <v>1117</v>
      </c>
      <c r="D248" s="683"/>
    </row>
    <row r="249" spans="1:4">
      <c r="A249" s="680" t="s">
        <v>1118</v>
      </c>
      <c r="B249" s="829" t="s">
        <v>950</v>
      </c>
      <c r="C249" s="680" t="s">
        <v>1118</v>
      </c>
      <c r="D249" s="683"/>
    </row>
    <row r="250" spans="1:4">
      <c r="A250" s="680" t="s">
        <v>1119</v>
      </c>
      <c r="B250" s="829" t="s">
        <v>951</v>
      </c>
      <c r="C250" s="680" t="s">
        <v>1119</v>
      </c>
      <c r="D250" s="683"/>
    </row>
    <row r="251" spans="1:4">
      <c r="A251" s="680" t="s">
        <v>1146</v>
      </c>
      <c r="B251" s="829" t="s">
        <v>945</v>
      </c>
      <c r="C251" s="680" t="s">
        <v>1146</v>
      </c>
      <c r="D251" s="683"/>
    </row>
    <row r="252" spans="1:4">
      <c r="A252" s="680" t="s">
        <v>1149</v>
      </c>
      <c r="B252" s="829" t="s">
        <v>952</v>
      </c>
      <c r="C252" s="680" t="s">
        <v>1149</v>
      </c>
      <c r="D252" s="683"/>
    </row>
    <row r="253" spans="1:4">
      <c r="A253" s="680" t="s">
        <v>1147</v>
      </c>
      <c r="B253" s="829" t="s">
        <v>953</v>
      </c>
      <c r="C253" s="680" t="s">
        <v>1147</v>
      </c>
      <c r="D253" s="683"/>
    </row>
    <row r="254" spans="1:4">
      <c r="A254" s="680" t="s">
        <v>1148</v>
      </c>
      <c r="B254" s="829" t="s">
        <v>954</v>
      </c>
      <c r="C254" s="680" t="s">
        <v>1148</v>
      </c>
      <c r="D254" s="683"/>
    </row>
    <row r="255" spans="1:4">
      <c r="A255" s="680" t="s">
        <v>940</v>
      </c>
      <c r="B255" s="680" t="s">
        <v>940</v>
      </c>
      <c r="C255" s="680" t="s">
        <v>940</v>
      </c>
      <c r="D255" s="16"/>
    </row>
    <row r="256" spans="1:4">
      <c r="A256" s="680" t="s">
        <v>1120</v>
      </c>
      <c r="B256" s="680" t="s">
        <v>1057</v>
      </c>
      <c r="C256" s="680" t="s">
        <v>1120</v>
      </c>
      <c r="D256" s="16"/>
    </row>
    <row r="257" spans="1:4">
      <c r="A257" s="680" t="s">
        <v>1121</v>
      </c>
      <c r="B257" s="680" t="s">
        <v>1072</v>
      </c>
      <c r="C257" s="680" t="s">
        <v>1121</v>
      </c>
      <c r="D257" s="16"/>
    </row>
    <row r="258" spans="1:4">
      <c r="A258" s="680" t="s">
        <v>1150</v>
      </c>
      <c r="B258" s="680" t="s">
        <v>1073</v>
      </c>
      <c r="C258" s="680" t="s">
        <v>1150</v>
      </c>
      <c r="D258" s="16"/>
    </row>
    <row r="259" spans="1:4">
      <c r="A259" s="680" t="s">
        <v>1129</v>
      </c>
      <c r="B259" s="680" t="s">
        <v>943</v>
      </c>
      <c r="C259" s="680" t="s">
        <v>1129</v>
      </c>
      <c r="D259" s="16"/>
    </row>
    <row r="260" spans="1:4">
      <c r="A260" s="680" t="s">
        <v>1122</v>
      </c>
      <c r="B260" s="680" t="s">
        <v>1074</v>
      </c>
      <c r="C260" s="680" t="s">
        <v>1122</v>
      </c>
      <c r="D260" s="16"/>
    </row>
    <row r="261" spans="1:4">
      <c r="A261" s="681"/>
      <c r="B261" s="681"/>
      <c r="C261" s="681"/>
      <c r="D261" s="16"/>
    </row>
    <row r="262" spans="1:4">
      <c r="A262" s="680" t="s">
        <v>1151</v>
      </c>
      <c r="B262" s="680" t="s">
        <v>1130</v>
      </c>
      <c r="C262" s="680" t="s">
        <v>1151</v>
      </c>
      <c r="D262" s="16"/>
    </row>
    <row r="263" spans="1:4">
      <c r="A263" s="680" t="s">
        <v>1153</v>
      </c>
      <c r="B263" s="680" t="s">
        <v>1131</v>
      </c>
      <c r="C263" s="680" t="s">
        <v>1153</v>
      </c>
      <c r="D263" s="16"/>
    </row>
    <row r="264" spans="1:4">
      <c r="A264" s="680" t="s">
        <v>1152</v>
      </c>
      <c r="B264" s="680" t="s">
        <v>1132</v>
      </c>
      <c r="C264" s="680" t="s">
        <v>1152</v>
      </c>
      <c r="D264" s="16"/>
    </row>
    <row r="265" spans="1:4">
      <c r="A265" s="680" t="s">
        <v>1759</v>
      </c>
      <c r="B265" s="680" t="s">
        <v>1758</v>
      </c>
      <c r="C265" s="680" t="s">
        <v>1759</v>
      </c>
      <c r="D265" s="16"/>
    </row>
    <row r="266" spans="1:4" ht="13.5" customHeight="1">
      <c r="A266" s="680" t="s">
        <v>1764</v>
      </c>
      <c r="B266" s="680" t="s">
        <v>1760</v>
      </c>
      <c r="C266" s="680" t="s">
        <v>1764</v>
      </c>
      <c r="D266" s="16"/>
    </row>
    <row r="267" spans="1:4">
      <c r="A267" s="680" t="s">
        <v>1765</v>
      </c>
      <c r="B267" s="680" t="s">
        <v>1761</v>
      </c>
      <c r="C267" s="680" t="s">
        <v>1765</v>
      </c>
      <c r="D267" s="795"/>
    </row>
    <row r="268" spans="1:4">
      <c r="A268" s="680" t="s">
        <v>1762</v>
      </c>
      <c r="B268" s="680" t="s">
        <v>1763</v>
      </c>
      <c r="C268" s="680" t="s">
        <v>1762</v>
      </c>
      <c r="D268" s="16"/>
    </row>
    <row r="269" spans="1:4">
      <c r="A269" s="680" t="s">
        <v>2507</v>
      </c>
      <c r="B269" s="680" t="s">
        <v>2508</v>
      </c>
      <c r="C269" s="680" t="s">
        <v>2507</v>
      </c>
      <c r="D269" s="16"/>
    </row>
    <row r="270" spans="1:4">
      <c r="A270" s="985" t="s">
        <v>3348</v>
      </c>
      <c r="B270" s="985" t="s">
        <v>3349</v>
      </c>
      <c r="C270" s="985" t="s">
        <v>3348</v>
      </c>
      <c r="D270" s="16"/>
    </row>
    <row r="271" spans="1:4">
      <c r="A271" s="985" t="s">
        <v>3346</v>
      </c>
      <c r="B271" s="985" t="s">
        <v>3346</v>
      </c>
      <c r="C271" s="985" t="s">
        <v>3346</v>
      </c>
      <c r="D271" s="16"/>
    </row>
    <row r="272" spans="1:4">
      <c r="C272" s="680"/>
    </row>
    <row r="273" spans="3:3">
      <c r="C273" s="680"/>
    </row>
    <row r="274" spans="3:3">
      <c r="C274" s="680"/>
    </row>
    <row r="275" spans="3:3">
      <c r="C275" s="680"/>
    </row>
    <row r="276" spans="3:3">
      <c r="C276" s="680"/>
    </row>
    <row r="277" spans="3:3">
      <c r="C277" s="680"/>
    </row>
    <row r="278" spans="3:3">
      <c r="C278" s="680"/>
    </row>
    <row r="279" spans="3:3">
      <c r="C279" s="680"/>
    </row>
    <row r="280" spans="3:3">
      <c r="C280" s="680"/>
    </row>
    <row r="281" spans="3:3">
      <c r="C281" s="680"/>
    </row>
    <row r="282" spans="3:3">
      <c r="C282" s="680"/>
    </row>
    <row r="283" spans="3:3">
      <c r="C283" s="680"/>
    </row>
    <row r="284" spans="3:3">
      <c r="C284" s="680"/>
    </row>
    <row r="285" spans="3:3">
      <c r="C285" s="680"/>
    </row>
    <row r="286" spans="3:3">
      <c r="C286" s="680"/>
    </row>
    <row r="287" spans="3:3">
      <c r="C287" s="680"/>
    </row>
    <row r="288" spans="3:3">
      <c r="C288" s="680"/>
    </row>
    <row r="289" spans="3:3">
      <c r="C289" s="680"/>
    </row>
    <row r="290" spans="3:3">
      <c r="C290" s="680"/>
    </row>
    <row r="291" spans="3:3">
      <c r="C291" s="680"/>
    </row>
    <row r="292" spans="3:3">
      <c r="C292" s="680"/>
    </row>
    <row r="293" spans="3:3">
      <c r="C293" s="680"/>
    </row>
    <row r="294" spans="3:3">
      <c r="C294" s="680"/>
    </row>
    <row r="295" spans="3:3">
      <c r="C295" s="680"/>
    </row>
    <row r="296" spans="3:3">
      <c r="C296" s="680"/>
    </row>
    <row r="297" spans="3:3">
      <c r="C297" s="680"/>
    </row>
    <row r="298" spans="3:3">
      <c r="C298" s="680"/>
    </row>
    <row r="299" spans="3:3">
      <c r="C299" s="680"/>
    </row>
    <row r="300" spans="3:3">
      <c r="C300" s="680"/>
    </row>
    <row r="301" spans="3:3">
      <c r="C301" s="680"/>
    </row>
    <row r="302" spans="3:3">
      <c r="C302" s="680"/>
    </row>
    <row r="303" spans="3:3">
      <c r="C303" s="680"/>
    </row>
    <row r="304" spans="3:3">
      <c r="C304" s="680"/>
    </row>
    <row r="305" spans="1:3">
      <c r="C305" s="680"/>
    </row>
    <row r="306" spans="1:3">
      <c r="A306" s="829"/>
    </row>
    <row r="307" spans="1:3">
      <c r="A307" s="829"/>
    </row>
    <row r="308" spans="1:3">
      <c r="A308" s="829"/>
    </row>
    <row r="309" spans="1:3">
      <c r="A309" s="829"/>
    </row>
    <row r="310" spans="1:3">
      <c r="A310" s="829"/>
    </row>
    <row r="311" spans="1:3">
      <c r="A311" s="829"/>
    </row>
    <row r="312" spans="1:3">
      <c r="A312" s="829"/>
    </row>
    <row r="313" spans="1:3">
      <c r="A313" s="829"/>
    </row>
    <row r="314" spans="1:3">
      <c r="A314" s="829"/>
    </row>
    <row r="315" spans="1:3">
      <c r="A315" s="829"/>
    </row>
    <row r="316" spans="1:3" ht="15" customHeight="1">
      <c r="A316" s="829"/>
    </row>
    <row r="317" spans="1:3">
      <c r="A317" s="829"/>
    </row>
    <row r="318" spans="1:3">
      <c r="A318" s="829"/>
    </row>
    <row r="319" spans="1:3">
      <c r="C319" s="680"/>
    </row>
    <row r="320" spans="1:3">
      <c r="B320" s="829"/>
      <c r="C320" s="680"/>
    </row>
    <row r="321" spans="1:3">
      <c r="C321" s="680"/>
    </row>
    <row r="322" spans="1:3">
      <c r="B322" s="829"/>
      <c r="C322" s="680"/>
    </row>
    <row r="323" spans="1:3">
      <c r="C323" s="680"/>
    </row>
    <row r="324" spans="1:3">
      <c r="B324" s="829"/>
      <c r="C324" s="680"/>
    </row>
    <row r="325" spans="1:3">
      <c r="B325" s="829"/>
      <c r="C325" s="680"/>
    </row>
    <row r="326" spans="1:3">
      <c r="B326" s="829"/>
      <c r="C326" s="680"/>
    </row>
    <row r="327" spans="1:3">
      <c r="B327" s="829"/>
      <c r="C327" s="680"/>
    </row>
    <row r="328" spans="1:3">
      <c r="B328" s="829"/>
      <c r="C328" s="680"/>
    </row>
    <row r="329" spans="1:3">
      <c r="B329" s="829"/>
      <c r="C329" s="680"/>
    </row>
    <row r="330" spans="1:3">
      <c r="B330" s="829"/>
      <c r="C330" s="680"/>
    </row>
    <row r="331" spans="1:3" s="16" customFormat="1">
      <c r="A331" s="680"/>
      <c r="B331" s="829"/>
      <c r="C331" s="680"/>
    </row>
    <row r="332" spans="1:3">
      <c r="A332" s="829"/>
      <c r="B332" s="829"/>
    </row>
    <row r="333" spans="1:3">
      <c r="B333" s="829"/>
      <c r="C333" s="680"/>
    </row>
    <row r="334" spans="1:3">
      <c r="A334" s="829"/>
      <c r="B334" s="829"/>
    </row>
    <row r="335" spans="1:3">
      <c r="A335" s="829"/>
      <c r="B335" s="829"/>
    </row>
    <row r="336" spans="1:3">
      <c r="B336" s="829"/>
      <c r="C336" s="680"/>
    </row>
    <row r="337" spans="1:3">
      <c r="B337" s="829"/>
      <c r="C337" s="680"/>
    </row>
    <row r="338" spans="1:3">
      <c r="B338" s="829"/>
      <c r="C338" s="680"/>
    </row>
    <row r="339" spans="1:3">
      <c r="A339" s="829"/>
      <c r="B339" s="829"/>
    </row>
    <row r="340" spans="1:3">
      <c r="A340" s="829"/>
      <c r="B340" s="829"/>
    </row>
    <row r="341" spans="1:3">
      <c r="A341" s="829"/>
      <c r="B341" s="829"/>
    </row>
    <row r="342" spans="1:3">
      <c r="A342" s="829"/>
      <c r="B342" s="829"/>
    </row>
    <row r="343" spans="1:3">
      <c r="A343" s="829"/>
      <c r="B343" s="829"/>
    </row>
    <row r="344" spans="1:3">
      <c r="A344" s="829"/>
      <c r="B344" s="829"/>
    </row>
    <row r="345" spans="1:3">
      <c r="A345" s="829"/>
      <c r="B345" s="829"/>
      <c r="C345" s="680"/>
    </row>
    <row r="346" spans="1:3">
      <c r="A346" s="829"/>
      <c r="B346" s="829"/>
      <c r="C346" s="680"/>
    </row>
    <row r="347" spans="1:3">
      <c r="A347" s="829"/>
      <c r="B347" s="829"/>
      <c r="C347" s="680"/>
    </row>
    <row r="348" spans="1:3">
      <c r="A348" s="830"/>
      <c r="B348" s="830"/>
      <c r="C348" s="830"/>
    </row>
    <row r="349" spans="1:3">
      <c r="A349" s="830"/>
      <c r="B349" s="830"/>
      <c r="C349" s="830"/>
    </row>
    <row r="350" spans="1:3">
      <c r="A350" s="830"/>
      <c r="B350" s="830"/>
      <c r="C350" s="830"/>
    </row>
    <row r="351" spans="1:3">
      <c r="A351" s="830"/>
      <c r="B351" s="830"/>
      <c r="C351" s="830"/>
    </row>
    <row r="352" spans="1:3">
      <c r="A352" s="830"/>
      <c r="B352" s="830"/>
      <c r="C352" s="830"/>
    </row>
    <row r="353" spans="1:3">
      <c r="A353" s="830"/>
      <c r="B353" s="830"/>
      <c r="C353" s="830"/>
    </row>
    <row r="354" spans="1:3">
      <c r="A354" s="830"/>
      <c r="B354" s="830"/>
      <c r="C354" s="830"/>
    </row>
    <row r="355" spans="1:3">
      <c r="A355" s="830"/>
      <c r="B355" s="830"/>
      <c r="C355" s="830"/>
    </row>
    <row r="356" spans="1:3">
      <c r="A356" s="830"/>
      <c r="B356" s="830"/>
      <c r="C356" s="830"/>
    </row>
    <row r="357" spans="1:3">
      <c r="A357" s="830"/>
      <c r="B357" s="830"/>
      <c r="C357" s="830"/>
    </row>
    <row r="358" spans="1:3">
      <c r="A358" s="830"/>
      <c r="B358" s="830"/>
      <c r="C358" s="830"/>
    </row>
    <row r="359" spans="1:3" ht="27" customHeight="1">
      <c r="A359" s="830"/>
      <c r="B359" s="830"/>
      <c r="C359" s="830"/>
    </row>
    <row r="360" spans="1:3">
      <c r="A360" s="830"/>
      <c r="B360" s="830"/>
      <c r="C360" s="830"/>
    </row>
    <row r="361" spans="1:3">
      <c r="A361" s="830"/>
      <c r="B361" s="830"/>
      <c r="C361" s="830"/>
    </row>
    <row r="362" spans="1:3">
      <c r="A362" s="830"/>
      <c r="B362" s="830"/>
      <c r="C362" s="830"/>
    </row>
    <row r="363" spans="1:3">
      <c r="A363" s="830"/>
      <c r="B363" s="830"/>
      <c r="C363" s="830"/>
    </row>
    <row r="364" spans="1:3">
      <c r="A364" s="829"/>
      <c r="B364" s="829"/>
    </row>
    <row r="365" spans="1:3">
      <c r="A365" s="829"/>
      <c r="B365" s="829"/>
    </row>
    <row r="366" spans="1:3">
      <c r="A366" s="829"/>
      <c r="B366" s="829"/>
    </row>
    <row r="367" spans="1:3">
      <c r="A367" s="829"/>
      <c r="B367" s="829"/>
    </row>
    <row r="368" spans="1:3">
      <c r="A368" s="829"/>
      <c r="B368" s="829"/>
      <c r="C368" s="680"/>
    </row>
    <row r="369" spans="1:3">
      <c r="A369" s="829"/>
      <c r="B369" s="829"/>
    </row>
    <row r="370" spans="1:3">
      <c r="C370" s="680"/>
    </row>
    <row r="371" spans="1:3">
      <c r="C371" s="680"/>
    </row>
    <row r="372" spans="1:3">
      <c r="C372" s="680"/>
    </row>
    <row r="373" spans="1:3">
      <c r="C373" s="680"/>
    </row>
    <row r="374" spans="1:3">
      <c r="A374" s="682"/>
      <c r="C374" s="680"/>
    </row>
    <row r="375" spans="1:3">
      <c r="A375" s="682"/>
      <c r="C375" s="680"/>
    </row>
    <row r="376" spans="1:3">
      <c r="A376" s="667"/>
      <c r="B376" s="667"/>
      <c r="C376" s="667"/>
    </row>
    <row r="377" spans="1:3">
      <c r="A377" s="829"/>
    </row>
    <row r="378" spans="1:3">
      <c r="C378" s="680"/>
    </row>
    <row r="379" spans="1:3">
      <c r="C379" s="680"/>
    </row>
    <row r="380" spans="1:3">
      <c r="C380" s="680"/>
    </row>
    <row r="381" spans="1:3">
      <c r="C381" s="680"/>
    </row>
    <row r="382" spans="1:3">
      <c r="A382" s="682"/>
      <c r="C382" s="682"/>
    </row>
    <row r="383" spans="1:3">
      <c r="C383" s="680"/>
    </row>
    <row r="384" spans="1:3">
      <c r="C384" s="680"/>
    </row>
    <row r="385" spans="1:3">
      <c r="C385" s="680"/>
    </row>
    <row r="386" spans="1:3">
      <c r="C386" s="680"/>
    </row>
    <row r="387" spans="1:3">
      <c r="C387" s="680"/>
    </row>
    <row r="388" spans="1:3">
      <c r="C388" s="680"/>
    </row>
    <row r="389" spans="1:3">
      <c r="C389" s="680"/>
    </row>
    <row r="390" spans="1:3">
      <c r="C390" s="680"/>
    </row>
    <row r="391" spans="1:3">
      <c r="C391" s="680"/>
    </row>
    <row r="392" spans="1:3">
      <c r="A392" s="836"/>
      <c r="C392" s="836"/>
    </row>
    <row r="393" spans="1:3">
      <c r="C393" s="680"/>
    </row>
    <row r="394" spans="1:3">
      <c r="C394" s="680"/>
    </row>
    <row r="395" spans="1:3">
      <c r="C395" s="680"/>
    </row>
    <row r="396" spans="1:3">
      <c r="C396" s="680"/>
    </row>
    <row r="397" spans="1:3">
      <c r="C397" s="680"/>
    </row>
    <row r="398" spans="1:3">
      <c r="C398" s="680"/>
    </row>
    <row r="399" spans="1:3">
      <c r="C399" s="680"/>
    </row>
    <row r="400" spans="1:3">
      <c r="A400" s="829"/>
      <c r="B400" s="829"/>
      <c r="C400" s="680"/>
    </row>
    <row r="401" spans="1:3">
      <c r="A401" s="829"/>
      <c r="B401" s="829"/>
      <c r="C401" s="680"/>
    </row>
    <row r="402" spans="1:3">
      <c r="A402" s="829"/>
      <c r="B402" s="829"/>
      <c r="C402" s="680"/>
    </row>
    <row r="403" spans="1:3">
      <c r="A403" s="829"/>
      <c r="B403" s="829"/>
      <c r="C403" s="680"/>
    </row>
    <row r="404" spans="1:3">
      <c r="A404" s="829"/>
      <c r="B404" s="829"/>
      <c r="C404" s="680"/>
    </row>
    <row r="405" spans="1:3">
      <c r="A405" s="829"/>
      <c r="B405" s="829"/>
      <c r="C405" s="680"/>
    </row>
    <row r="406" spans="1:3">
      <c r="A406" s="829"/>
      <c r="B406" s="829"/>
      <c r="C406" s="680"/>
    </row>
    <row r="407" spans="1:3">
      <c r="A407" s="829"/>
      <c r="B407" s="829"/>
      <c r="C407" s="680"/>
    </row>
    <row r="408" spans="1:3">
      <c r="A408" s="829"/>
      <c r="B408" s="829"/>
      <c r="C408" s="680"/>
    </row>
    <row r="409" spans="1:3">
      <c r="A409" s="829"/>
      <c r="B409" s="829"/>
      <c r="C409" s="680"/>
    </row>
    <row r="410" spans="1:3">
      <c r="A410" s="829"/>
      <c r="B410" s="829"/>
      <c r="C410" s="680"/>
    </row>
    <row r="411" spans="1:3">
      <c r="A411" s="829"/>
      <c r="B411" s="829"/>
      <c r="C411" s="680"/>
    </row>
    <row r="412" spans="1:3">
      <c r="A412" s="829"/>
      <c r="B412" s="829"/>
      <c r="C412" s="680"/>
    </row>
    <row r="413" spans="1:3" ht="13.5" customHeight="1">
      <c r="A413" s="829"/>
      <c r="B413" s="829"/>
      <c r="C413" s="680"/>
    </row>
    <row r="414" spans="1:3">
      <c r="A414" s="829"/>
      <c r="B414" s="829"/>
      <c r="C414" s="680"/>
    </row>
  </sheetData>
  <sheetProtection algorithmName="SHA-512" hashValue="PWor5+bwbVV/xStTuLJwe0rntwdE0fNUZj08CmTgrb74i0jwtSpL5RmgWIZOoUa4Jk6tGHG+3BhCGyRn8Ctg2w==" saltValue="lfzD+7HcyvlJxs388piyLA==" spinCount="100000" sheet="1" objects="1" scenarios="1"/>
  <customSheetViews>
    <customSheetView guid="{727552C9-10E3-4948-B2AE-8FE165517887}" scale="90" state="hidden" topLeftCell="A148">
      <selection activeCell="A151" sqref="A151:B151"/>
      <pageMargins left="0.7" right="0.7" top="0.78740157499999996" bottom="0.78740157499999996" header="0.3" footer="0.3"/>
      <pageSetup paperSize="9" scale="52" orientation="portrait" r:id="rId1"/>
    </customSheetView>
  </customSheetViews>
  <phoneticPr fontId="198" type="noConversion"/>
  <conditionalFormatting sqref="A378:A1048576 A372:A373 A332 A318 A306:B317 A272:A300 A334:A335 A339:A343 A302:A305 A345:A347 A364:A367">
    <cfRule type="duplicateValues" dxfId="1678" priority="797"/>
  </conditionalFormatting>
  <conditionalFormatting sqref="A301">
    <cfRule type="duplicateValues" dxfId="1677" priority="770"/>
  </conditionalFormatting>
  <conditionalFormatting sqref="A344">
    <cfRule type="duplicateValues" dxfId="1676" priority="767"/>
  </conditionalFormatting>
  <conditionalFormatting sqref="C370:C371">
    <cfRule type="duplicateValues" dxfId="1675" priority="763"/>
  </conditionalFormatting>
  <conditionalFormatting sqref="A368 A370:A371">
    <cfRule type="duplicateValues" dxfId="1674" priority="871"/>
  </conditionalFormatting>
  <conditionalFormatting sqref="A369">
    <cfRule type="duplicateValues" dxfId="1673" priority="762"/>
  </conditionalFormatting>
  <conditionalFormatting sqref="C369">
    <cfRule type="duplicateValues" dxfId="1672" priority="761"/>
  </conditionalFormatting>
  <conditionalFormatting sqref="C372:C373">
    <cfRule type="duplicateValues" dxfId="1671" priority="760"/>
  </conditionalFormatting>
  <conditionalFormatting sqref="B348:B350">
    <cfRule type="duplicateValues" dxfId="1670" priority="759"/>
  </conditionalFormatting>
  <conditionalFormatting sqref="C364:C367">
    <cfRule type="duplicateValues" dxfId="1669" priority="758"/>
  </conditionalFormatting>
  <conditionalFormatting sqref="A348:A350">
    <cfRule type="duplicateValues" dxfId="1668" priority="757"/>
  </conditionalFormatting>
  <conditionalFormatting sqref="C348:C350">
    <cfRule type="duplicateValues" dxfId="1667" priority="756"/>
  </conditionalFormatting>
  <conditionalFormatting sqref="A374">
    <cfRule type="duplicateValues" dxfId="1666" priority="755"/>
  </conditionalFormatting>
  <conditionalFormatting sqref="A375">
    <cfRule type="duplicateValues" dxfId="1665" priority="754"/>
  </conditionalFormatting>
  <conditionalFormatting sqref="A376">
    <cfRule type="duplicateValues" dxfId="1664" priority="753"/>
  </conditionalFormatting>
  <conditionalFormatting sqref="A377">
    <cfRule type="duplicateValues" dxfId="1663" priority="752"/>
  </conditionalFormatting>
  <conditionalFormatting sqref="C377">
    <cfRule type="duplicateValues" dxfId="1662" priority="751"/>
  </conditionalFormatting>
  <conditionalFormatting sqref="C332 C272:C300 C334:C335 C339:C343 C302:C318">
    <cfRule type="duplicateValues" dxfId="1661" priority="629"/>
  </conditionalFormatting>
  <conditionalFormatting sqref="C301">
    <cfRule type="duplicateValues" dxfId="1660" priority="627"/>
  </conditionalFormatting>
  <conditionalFormatting sqref="C344">
    <cfRule type="duplicateValues" dxfId="1659" priority="626"/>
  </conditionalFormatting>
  <conditionalFormatting sqref="B262:B263 A259:A264 A1 A6:A8 A17:A18 A134 A233:A254">
    <cfRule type="duplicateValues" dxfId="1658" priority="254"/>
  </conditionalFormatting>
  <conditionalFormatting sqref="A2">
    <cfRule type="duplicateValues" dxfId="1657" priority="253"/>
  </conditionalFormatting>
  <conditionalFormatting sqref="A4:A5">
    <cfRule type="duplicateValues" dxfId="1656" priority="252"/>
  </conditionalFormatting>
  <conditionalFormatting sqref="A9">
    <cfRule type="duplicateValues" dxfId="1655" priority="251"/>
  </conditionalFormatting>
  <conditionalFormatting sqref="A10:A11">
    <cfRule type="duplicateValues" dxfId="1654" priority="250"/>
  </conditionalFormatting>
  <conditionalFormatting sqref="A12">
    <cfRule type="duplicateValues" dxfId="1653" priority="249"/>
  </conditionalFormatting>
  <conditionalFormatting sqref="A13">
    <cfRule type="duplicateValues" dxfId="1652" priority="248"/>
  </conditionalFormatting>
  <conditionalFormatting sqref="A14:A16">
    <cfRule type="duplicateValues" dxfId="1651" priority="247"/>
  </conditionalFormatting>
  <conditionalFormatting sqref="A19:A20">
    <cfRule type="duplicateValues" dxfId="1650" priority="246"/>
  </conditionalFormatting>
  <conditionalFormatting sqref="A21">
    <cfRule type="duplicateValues" dxfId="1649" priority="245"/>
  </conditionalFormatting>
  <conditionalFormatting sqref="A22">
    <cfRule type="duplicateValues" dxfId="1648" priority="244"/>
  </conditionalFormatting>
  <conditionalFormatting sqref="A27">
    <cfRule type="duplicateValues" dxfId="1647" priority="243"/>
  </conditionalFormatting>
  <conditionalFormatting sqref="A24">
    <cfRule type="duplicateValues" dxfId="1646" priority="242"/>
  </conditionalFormatting>
  <conditionalFormatting sqref="A26">
    <cfRule type="duplicateValues" dxfId="1645" priority="241"/>
  </conditionalFormatting>
  <conditionalFormatting sqref="A28">
    <cfRule type="duplicateValues" dxfId="1644" priority="240"/>
  </conditionalFormatting>
  <conditionalFormatting sqref="A29:A30">
    <cfRule type="duplicateValues" dxfId="1643" priority="239"/>
  </conditionalFormatting>
  <conditionalFormatting sqref="A31">
    <cfRule type="duplicateValues" dxfId="1642" priority="238"/>
  </conditionalFormatting>
  <conditionalFormatting sqref="A32">
    <cfRule type="duplicateValues" dxfId="1641" priority="237"/>
  </conditionalFormatting>
  <conditionalFormatting sqref="A33">
    <cfRule type="duplicateValues" dxfId="1640" priority="236"/>
  </conditionalFormatting>
  <conditionalFormatting sqref="A35:A38">
    <cfRule type="duplicateValues" dxfId="1639" priority="235"/>
  </conditionalFormatting>
  <conditionalFormatting sqref="A34">
    <cfRule type="duplicateValues" dxfId="1638" priority="234"/>
  </conditionalFormatting>
  <conditionalFormatting sqref="A39">
    <cfRule type="duplicateValues" dxfId="1637" priority="233"/>
  </conditionalFormatting>
  <conditionalFormatting sqref="A41:A42">
    <cfRule type="duplicateValues" dxfId="1636" priority="232"/>
  </conditionalFormatting>
  <conditionalFormatting sqref="A43:A44 A69">
    <cfRule type="duplicateValues" dxfId="1635" priority="231"/>
  </conditionalFormatting>
  <conditionalFormatting sqref="A45:A48">
    <cfRule type="duplicateValues" dxfId="1634" priority="230"/>
  </conditionalFormatting>
  <conditionalFormatting sqref="B49:B51">
    <cfRule type="duplicateValues" dxfId="1633" priority="229"/>
  </conditionalFormatting>
  <conditionalFormatting sqref="A49:A51">
    <cfRule type="duplicateValues" dxfId="1632" priority="228"/>
  </conditionalFormatting>
  <conditionalFormatting sqref="A67">
    <cfRule type="duplicateValues" dxfId="1631" priority="227"/>
  </conditionalFormatting>
  <conditionalFormatting sqref="A68">
    <cfRule type="duplicateValues" dxfId="1630" priority="226"/>
  </conditionalFormatting>
  <conditionalFormatting sqref="A71">
    <cfRule type="duplicateValues" dxfId="1629" priority="225"/>
  </conditionalFormatting>
  <conditionalFormatting sqref="A72">
    <cfRule type="duplicateValues" dxfId="1628" priority="224"/>
  </conditionalFormatting>
  <conditionalFormatting sqref="A74:A75">
    <cfRule type="duplicateValues" dxfId="1627" priority="223"/>
  </conditionalFormatting>
  <conditionalFormatting sqref="A73">
    <cfRule type="duplicateValues" dxfId="1626" priority="222"/>
  </conditionalFormatting>
  <conditionalFormatting sqref="A76">
    <cfRule type="duplicateValues" dxfId="1625" priority="221"/>
  </conditionalFormatting>
  <conditionalFormatting sqref="A77">
    <cfRule type="duplicateValues" dxfId="1624" priority="220"/>
  </conditionalFormatting>
  <conditionalFormatting sqref="A78:A79">
    <cfRule type="duplicateValues" dxfId="1623" priority="219"/>
  </conditionalFormatting>
  <conditionalFormatting sqref="A83">
    <cfRule type="duplicateValues" dxfId="1622" priority="218"/>
  </conditionalFormatting>
  <conditionalFormatting sqref="A84">
    <cfRule type="duplicateValues" dxfId="1621" priority="217"/>
  </conditionalFormatting>
  <conditionalFormatting sqref="A80:A82">
    <cfRule type="duplicateValues" dxfId="1620" priority="216"/>
  </conditionalFormatting>
  <conditionalFormatting sqref="A85:A88">
    <cfRule type="duplicateValues" dxfId="1619" priority="215"/>
  </conditionalFormatting>
  <conditionalFormatting sqref="A89">
    <cfRule type="duplicateValues" dxfId="1618" priority="214"/>
  </conditionalFormatting>
  <conditionalFormatting sqref="A90">
    <cfRule type="duplicateValues" dxfId="1617" priority="213"/>
  </conditionalFormatting>
  <conditionalFormatting sqref="A91:A92">
    <cfRule type="duplicateValues" dxfId="1616" priority="212"/>
  </conditionalFormatting>
  <conditionalFormatting sqref="A93:A94">
    <cfRule type="duplicateValues" dxfId="1615" priority="211"/>
  </conditionalFormatting>
  <conditionalFormatting sqref="A95">
    <cfRule type="duplicateValues" dxfId="1614" priority="210"/>
  </conditionalFormatting>
  <conditionalFormatting sqref="A97">
    <cfRule type="duplicateValues" dxfId="1613" priority="209"/>
  </conditionalFormatting>
  <conditionalFormatting sqref="A98">
    <cfRule type="duplicateValues" dxfId="1612" priority="208"/>
  </conditionalFormatting>
  <conditionalFormatting sqref="A103">
    <cfRule type="duplicateValues" dxfId="1611" priority="207"/>
  </conditionalFormatting>
  <conditionalFormatting sqref="A104">
    <cfRule type="duplicateValues" dxfId="1610" priority="206"/>
  </conditionalFormatting>
  <conditionalFormatting sqref="A105">
    <cfRule type="duplicateValues" dxfId="1609" priority="205"/>
  </conditionalFormatting>
  <conditionalFormatting sqref="A106">
    <cfRule type="duplicateValues" dxfId="1608" priority="204"/>
  </conditionalFormatting>
  <conditionalFormatting sqref="A107">
    <cfRule type="duplicateValues" dxfId="1607" priority="203"/>
  </conditionalFormatting>
  <conditionalFormatting sqref="A116:A121">
    <cfRule type="duplicateValues" dxfId="1606" priority="202"/>
  </conditionalFormatting>
  <conditionalFormatting sqref="A123:A127">
    <cfRule type="duplicateValues" dxfId="1605" priority="201"/>
  </conditionalFormatting>
  <conditionalFormatting sqref="A129:A133">
    <cfRule type="duplicateValues" dxfId="1604" priority="255"/>
  </conditionalFormatting>
  <conditionalFormatting sqref="A109:A114">
    <cfRule type="duplicateValues" dxfId="1603" priority="200"/>
  </conditionalFormatting>
  <conditionalFormatting sqref="A108">
    <cfRule type="duplicateValues" dxfId="1602" priority="199"/>
  </conditionalFormatting>
  <conditionalFormatting sqref="A122">
    <cfRule type="duplicateValues" dxfId="1601" priority="198"/>
  </conditionalFormatting>
  <conditionalFormatting sqref="A128">
    <cfRule type="duplicateValues" dxfId="1600" priority="197"/>
  </conditionalFormatting>
  <conditionalFormatting sqref="A135">
    <cfRule type="duplicateValues" dxfId="1599" priority="196"/>
  </conditionalFormatting>
  <conditionalFormatting sqref="A136">
    <cfRule type="duplicateValues" dxfId="1598" priority="195"/>
  </conditionalFormatting>
  <conditionalFormatting sqref="A139:A140">
    <cfRule type="duplicateValues" dxfId="1597" priority="194"/>
  </conditionalFormatting>
  <conditionalFormatting sqref="A137:A138">
    <cfRule type="duplicateValues" dxfId="1596" priority="193"/>
  </conditionalFormatting>
  <conditionalFormatting sqref="A141">
    <cfRule type="duplicateValues" dxfId="1595" priority="192"/>
  </conditionalFormatting>
  <conditionalFormatting sqref="B142">
    <cfRule type="duplicateValues" dxfId="1594" priority="191"/>
  </conditionalFormatting>
  <conditionalFormatting sqref="A142">
    <cfRule type="duplicateValues" dxfId="1593" priority="190"/>
  </conditionalFormatting>
  <conditionalFormatting sqref="A144">
    <cfRule type="duplicateValues" dxfId="1592" priority="189"/>
  </conditionalFormatting>
  <conditionalFormatting sqref="A143">
    <cfRule type="duplicateValues" dxfId="1591" priority="188"/>
  </conditionalFormatting>
  <conditionalFormatting sqref="A145">
    <cfRule type="duplicateValues" dxfId="1590" priority="187"/>
  </conditionalFormatting>
  <conditionalFormatting sqref="A146">
    <cfRule type="duplicateValues" dxfId="1589" priority="186"/>
  </conditionalFormatting>
  <conditionalFormatting sqref="A147:A148">
    <cfRule type="duplicateValues" dxfId="1588" priority="185"/>
  </conditionalFormatting>
  <conditionalFormatting sqref="A149:A150">
    <cfRule type="duplicateValues" dxfId="1587" priority="184"/>
  </conditionalFormatting>
  <conditionalFormatting sqref="A151">
    <cfRule type="duplicateValues" dxfId="1586" priority="183"/>
  </conditionalFormatting>
  <conditionalFormatting sqref="A152:A160">
    <cfRule type="duplicateValues" dxfId="1585" priority="182"/>
  </conditionalFormatting>
  <conditionalFormatting sqref="A161">
    <cfRule type="duplicateValues" dxfId="1584" priority="181"/>
  </conditionalFormatting>
  <conditionalFormatting sqref="A162">
    <cfRule type="duplicateValues" dxfId="1583" priority="180"/>
  </conditionalFormatting>
  <conditionalFormatting sqref="A163">
    <cfRule type="duplicateValues" dxfId="1582" priority="179"/>
  </conditionalFormatting>
  <conditionalFormatting sqref="A164:A166">
    <cfRule type="duplicateValues" dxfId="1581" priority="178"/>
  </conditionalFormatting>
  <conditionalFormatting sqref="A167">
    <cfRule type="duplicateValues" dxfId="1580" priority="177"/>
  </conditionalFormatting>
  <conditionalFormatting sqref="A168">
    <cfRule type="duplicateValues" dxfId="1579" priority="176"/>
  </conditionalFormatting>
  <conditionalFormatting sqref="A170">
    <cfRule type="duplicateValues" dxfId="1578" priority="175"/>
  </conditionalFormatting>
  <conditionalFormatting sqref="A175:A176">
    <cfRule type="duplicateValues" dxfId="1577" priority="174"/>
  </conditionalFormatting>
  <conditionalFormatting sqref="A177">
    <cfRule type="duplicateValues" dxfId="1576" priority="173"/>
  </conditionalFormatting>
  <conditionalFormatting sqref="A179">
    <cfRule type="duplicateValues" dxfId="1575" priority="172"/>
  </conditionalFormatting>
  <conditionalFormatting sqref="A180:A186">
    <cfRule type="duplicateValues" dxfId="1574" priority="171"/>
  </conditionalFormatting>
  <conditionalFormatting sqref="A189">
    <cfRule type="duplicateValues" dxfId="1573" priority="170"/>
  </conditionalFormatting>
  <conditionalFormatting sqref="A188">
    <cfRule type="duplicateValues" dxfId="1572" priority="169"/>
  </conditionalFormatting>
  <conditionalFormatting sqref="A190">
    <cfRule type="duplicateValues" dxfId="1571" priority="168"/>
  </conditionalFormatting>
  <conditionalFormatting sqref="A191">
    <cfRule type="duplicateValues" dxfId="1570" priority="167"/>
  </conditionalFormatting>
  <conditionalFormatting sqref="A193">
    <cfRule type="duplicateValues" dxfId="1569" priority="165"/>
  </conditionalFormatting>
  <conditionalFormatting sqref="A194">
    <cfRule type="duplicateValues" dxfId="1568" priority="164"/>
  </conditionalFormatting>
  <conditionalFormatting sqref="A195">
    <cfRule type="duplicateValues" dxfId="1567" priority="163"/>
  </conditionalFormatting>
  <conditionalFormatting sqref="A196">
    <cfRule type="duplicateValues" dxfId="1566" priority="162"/>
  </conditionalFormatting>
  <conditionalFormatting sqref="A197">
    <cfRule type="duplicateValues" dxfId="1565" priority="161"/>
  </conditionalFormatting>
  <conditionalFormatting sqref="A198">
    <cfRule type="duplicateValues" dxfId="1564" priority="160"/>
  </conditionalFormatting>
  <conditionalFormatting sqref="A199">
    <cfRule type="duplicateValues" dxfId="1563" priority="159"/>
  </conditionalFormatting>
  <conditionalFormatting sqref="A200">
    <cfRule type="duplicateValues" dxfId="1562" priority="158"/>
  </conditionalFormatting>
  <conditionalFormatting sqref="A201">
    <cfRule type="duplicateValues" dxfId="1561" priority="157"/>
  </conditionalFormatting>
  <conditionalFormatting sqref="A202">
    <cfRule type="duplicateValues" dxfId="1560" priority="156"/>
  </conditionalFormatting>
  <conditionalFormatting sqref="A203">
    <cfRule type="duplicateValues" dxfId="1559" priority="155"/>
  </conditionalFormatting>
  <conditionalFormatting sqref="A204:A205">
    <cfRule type="duplicateValues" dxfId="1558" priority="154"/>
  </conditionalFormatting>
  <conditionalFormatting sqref="A207:A210">
    <cfRule type="duplicateValues" dxfId="1557" priority="153"/>
  </conditionalFormatting>
  <conditionalFormatting sqref="A211">
    <cfRule type="duplicateValues" dxfId="1556" priority="152"/>
  </conditionalFormatting>
  <conditionalFormatting sqref="A212:A213">
    <cfRule type="duplicateValues" dxfId="1555" priority="151"/>
  </conditionalFormatting>
  <conditionalFormatting sqref="A214:A215">
    <cfRule type="duplicateValues" dxfId="1554" priority="150"/>
  </conditionalFormatting>
  <conditionalFormatting sqref="A221:A222">
    <cfRule type="duplicateValues" dxfId="1553" priority="149"/>
  </conditionalFormatting>
  <conditionalFormatting sqref="A216">
    <cfRule type="duplicateValues" dxfId="1552" priority="148"/>
  </conditionalFormatting>
  <conditionalFormatting sqref="A217">
    <cfRule type="duplicateValues" dxfId="1551" priority="147"/>
  </conditionalFormatting>
  <conditionalFormatting sqref="A218:A220">
    <cfRule type="duplicateValues" dxfId="1550" priority="256"/>
  </conditionalFormatting>
  <conditionalFormatting sqref="A223 A225">
    <cfRule type="duplicateValues" dxfId="1549" priority="146"/>
  </conditionalFormatting>
  <conditionalFormatting sqref="A224">
    <cfRule type="duplicateValues" dxfId="1548" priority="145"/>
  </conditionalFormatting>
  <conditionalFormatting sqref="A226">
    <cfRule type="duplicateValues" dxfId="1547" priority="144"/>
  </conditionalFormatting>
  <conditionalFormatting sqref="A229">
    <cfRule type="duplicateValues" dxfId="1546" priority="143"/>
  </conditionalFormatting>
  <conditionalFormatting sqref="A230">
    <cfRule type="duplicateValues" dxfId="1545" priority="142"/>
  </conditionalFormatting>
  <conditionalFormatting sqref="A40">
    <cfRule type="duplicateValues" dxfId="1544" priority="141"/>
  </conditionalFormatting>
  <conditionalFormatting sqref="A23">
    <cfRule type="duplicateValues" dxfId="1543" priority="140"/>
  </conditionalFormatting>
  <conditionalFormatting sqref="A232">
    <cfRule type="duplicateValues" dxfId="1542" priority="139"/>
  </conditionalFormatting>
  <conditionalFormatting sqref="B233:B234">
    <cfRule type="duplicateValues" dxfId="1541" priority="138"/>
  </conditionalFormatting>
  <conditionalFormatting sqref="B157:B160">
    <cfRule type="duplicateValues" dxfId="1540" priority="137"/>
  </conditionalFormatting>
  <conditionalFormatting sqref="C259:C264 C6:C8 C17:C18 C134 C233:C254">
    <cfRule type="duplicateValues" dxfId="1539" priority="134"/>
  </conditionalFormatting>
  <conditionalFormatting sqref="C2">
    <cfRule type="duplicateValues" dxfId="1538" priority="133"/>
  </conditionalFormatting>
  <conditionalFormatting sqref="C4:C5">
    <cfRule type="duplicateValues" dxfId="1537" priority="132"/>
  </conditionalFormatting>
  <conditionalFormatting sqref="C9">
    <cfRule type="duplicateValues" dxfId="1536" priority="131"/>
  </conditionalFormatting>
  <conditionalFormatting sqref="C10:C11">
    <cfRule type="duplicateValues" dxfId="1535" priority="130"/>
  </conditionalFormatting>
  <conditionalFormatting sqref="C12">
    <cfRule type="duplicateValues" dxfId="1534" priority="129"/>
  </conditionalFormatting>
  <conditionalFormatting sqref="C13">
    <cfRule type="duplicateValues" dxfId="1533" priority="128"/>
  </conditionalFormatting>
  <conditionalFormatting sqref="C14:C16">
    <cfRule type="duplicateValues" dxfId="1532" priority="127"/>
  </conditionalFormatting>
  <conditionalFormatting sqref="C19:C20">
    <cfRule type="duplicateValues" dxfId="1531" priority="126"/>
  </conditionalFormatting>
  <conditionalFormatting sqref="C21">
    <cfRule type="duplicateValues" dxfId="1530" priority="125"/>
  </conditionalFormatting>
  <conditionalFormatting sqref="C22">
    <cfRule type="duplicateValues" dxfId="1529" priority="124"/>
  </conditionalFormatting>
  <conditionalFormatting sqref="C27">
    <cfRule type="duplicateValues" dxfId="1528" priority="123"/>
  </conditionalFormatting>
  <conditionalFormatting sqref="C24">
    <cfRule type="duplicateValues" dxfId="1527" priority="122"/>
  </conditionalFormatting>
  <conditionalFormatting sqref="C26">
    <cfRule type="duplicateValues" dxfId="1526" priority="121"/>
  </conditionalFormatting>
  <conditionalFormatting sqref="C28">
    <cfRule type="duplicateValues" dxfId="1525" priority="120"/>
  </conditionalFormatting>
  <conditionalFormatting sqref="C29:C30">
    <cfRule type="duplicateValues" dxfId="1524" priority="119"/>
  </conditionalFormatting>
  <conditionalFormatting sqref="C31">
    <cfRule type="duplicateValues" dxfId="1523" priority="118"/>
  </conditionalFormatting>
  <conditionalFormatting sqref="C32">
    <cfRule type="duplicateValues" dxfId="1522" priority="117"/>
  </conditionalFormatting>
  <conditionalFormatting sqref="C33">
    <cfRule type="duplicateValues" dxfId="1521" priority="116"/>
  </conditionalFormatting>
  <conditionalFormatting sqref="C35:C38">
    <cfRule type="duplicateValues" dxfId="1520" priority="115"/>
  </conditionalFormatting>
  <conditionalFormatting sqref="C34">
    <cfRule type="duplicateValues" dxfId="1519" priority="114"/>
  </conditionalFormatting>
  <conditionalFormatting sqref="C39">
    <cfRule type="duplicateValues" dxfId="1518" priority="113"/>
  </conditionalFormatting>
  <conditionalFormatting sqref="C41:C42">
    <cfRule type="duplicateValues" dxfId="1517" priority="112"/>
  </conditionalFormatting>
  <conditionalFormatting sqref="C43:C44 C69">
    <cfRule type="duplicateValues" dxfId="1516" priority="111"/>
  </conditionalFormatting>
  <conditionalFormatting sqref="C45:C48">
    <cfRule type="duplicateValues" dxfId="1515" priority="110"/>
  </conditionalFormatting>
  <conditionalFormatting sqref="C49:C51">
    <cfRule type="duplicateValues" dxfId="1514" priority="109"/>
  </conditionalFormatting>
  <conditionalFormatting sqref="C67">
    <cfRule type="duplicateValues" dxfId="1513" priority="108"/>
  </conditionalFormatting>
  <conditionalFormatting sqref="C68">
    <cfRule type="duplicateValues" dxfId="1512" priority="107"/>
  </conditionalFormatting>
  <conditionalFormatting sqref="C71">
    <cfRule type="duplicateValues" dxfId="1511" priority="106"/>
  </conditionalFormatting>
  <conditionalFormatting sqref="C72">
    <cfRule type="duplicateValues" dxfId="1510" priority="105"/>
  </conditionalFormatting>
  <conditionalFormatting sqref="C74:C75">
    <cfRule type="duplicateValues" dxfId="1509" priority="104"/>
  </conditionalFormatting>
  <conditionalFormatting sqref="C73">
    <cfRule type="duplicateValues" dxfId="1508" priority="103"/>
  </conditionalFormatting>
  <conditionalFormatting sqref="C76">
    <cfRule type="duplicateValues" dxfId="1507" priority="102"/>
  </conditionalFormatting>
  <conditionalFormatting sqref="C77">
    <cfRule type="duplicateValues" dxfId="1506" priority="101"/>
  </conditionalFormatting>
  <conditionalFormatting sqref="C78:C79">
    <cfRule type="duplicateValues" dxfId="1505" priority="100"/>
  </conditionalFormatting>
  <conditionalFormatting sqref="C83">
    <cfRule type="duplicateValues" dxfId="1504" priority="99"/>
  </conditionalFormatting>
  <conditionalFormatting sqref="C84">
    <cfRule type="duplicateValues" dxfId="1503" priority="98"/>
  </conditionalFormatting>
  <conditionalFormatting sqref="C80:C82">
    <cfRule type="duplicateValues" dxfId="1502" priority="97"/>
  </conditionalFormatting>
  <conditionalFormatting sqref="C85:C88">
    <cfRule type="duplicateValues" dxfId="1501" priority="96"/>
  </conditionalFormatting>
  <conditionalFormatting sqref="C89">
    <cfRule type="duplicateValues" dxfId="1500" priority="95"/>
  </conditionalFormatting>
  <conditionalFormatting sqref="C90">
    <cfRule type="duplicateValues" dxfId="1499" priority="94"/>
  </conditionalFormatting>
  <conditionalFormatting sqref="C91:C92">
    <cfRule type="duplicateValues" dxfId="1498" priority="93"/>
  </conditionalFormatting>
  <conditionalFormatting sqref="C93:C94">
    <cfRule type="duplicateValues" dxfId="1497" priority="92"/>
  </conditionalFormatting>
  <conditionalFormatting sqref="C95">
    <cfRule type="duplicateValues" dxfId="1496" priority="91"/>
  </conditionalFormatting>
  <conditionalFormatting sqref="C97">
    <cfRule type="duplicateValues" dxfId="1495" priority="90"/>
  </conditionalFormatting>
  <conditionalFormatting sqref="C98">
    <cfRule type="duplicateValues" dxfId="1494" priority="89"/>
  </conditionalFormatting>
  <conditionalFormatting sqref="C103">
    <cfRule type="duplicateValues" dxfId="1493" priority="88"/>
  </conditionalFormatting>
  <conditionalFormatting sqref="C104">
    <cfRule type="duplicateValues" dxfId="1492" priority="87"/>
  </conditionalFormatting>
  <conditionalFormatting sqref="C105">
    <cfRule type="duplicateValues" dxfId="1491" priority="86"/>
  </conditionalFormatting>
  <conditionalFormatting sqref="C106">
    <cfRule type="duplicateValues" dxfId="1490" priority="85"/>
  </conditionalFormatting>
  <conditionalFormatting sqref="C107">
    <cfRule type="duplicateValues" dxfId="1489" priority="84"/>
  </conditionalFormatting>
  <conditionalFormatting sqref="C116:C121">
    <cfRule type="duplicateValues" dxfId="1488" priority="83"/>
  </conditionalFormatting>
  <conditionalFormatting sqref="C123:C127">
    <cfRule type="duplicateValues" dxfId="1487" priority="82"/>
  </conditionalFormatting>
  <conditionalFormatting sqref="C129:C133">
    <cfRule type="duplicateValues" dxfId="1486" priority="135"/>
  </conditionalFormatting>
  <conditionalFormatting sqref="C109:C114">
    <cfRule type="duplicateValues" dxfId="1485" priority="81"/>
  </conditionalFormatting>
  <conditionalFormatting sqref="C108">
    <cfRule type="duplicateValues" dxfId="1484" priority="80"/>
  </conditionalFormatting>
  <conditionalFormatting sqref="C122">
    <cfRule type="duplicateValues" dxfId="1483" priority="79"/>
  </conditionalFormatting>
  <conditionalFormatting sqref="C128">
    <cfRule type="duplicateValues" dxfId="1482" priority="78"/>
  </conditionalFormatting>
  <conditionalFormatting sqref="C135">
    <cfRule type="duplicateValues" dxfId="1481" priority="77"/>
  </conditionalFormatting>
  <conditionalFormatting sqref="C136">
    <cfRule type="duplicateValues" dxfId="1480" priority="76"/>
  </conditionalFormatting>
  <conditionalFormatting sqref="C139:C140">
    <cfRule type="duplicateValues" dxfId="1479" priority="75"/>
  </conditionalFormatting>
  <conditionalFormatting sqref="C137:C138">
    <cfRule type="duplicateValues" dxfId="1478" priority="74"/>
  </conditionalFormatting>
  <conditionalFormatting sqref="C141">
    <cfRule type="duplicateValues" dxfId="1477" priority="73"/>
  </conditionalFormatting>
  <conditionalFormatting sqref="C142">
    <cfRule type="duplicateValues" dxfId="1476" priority="72"/>
  </conditionalFormatting>
  <conditionalFormatting sqref="C144">
    <cfRule type="duplicateValues" dxfId="1475" priority="71"/>
  </conditionalFormatting>
  <conditionalFormatting sqref="C143">
    <cfRule type="duplicateValues" dxfId="1474" priority="70"/>
  </conditionalFormatting>
  <conditionalFormatting sqref="C145">
    <cfRule type="duplicateValues" dxfId="1473" priority="69"/>
  </conditionalFormatting>
  <conditionalFormatting sqref="C146">
    <cfRule type="duplicateValues" dxfId="1472" priority="68"/>
  </conditionalFormatting>
  <conditionalFormatting sqref="C147:C148">
    <cfRule type="duplicateValues" dxfId="1471" priority="67"/>
  </conditionalFormatting>
  <conditionalFormatting sqref="C149:C150">
    <cfRule type="duplicateValues" dxfId="1470" priority="66"/>
  </conditionalFormatting>
  <conditionalFormatting sqref="C151">
    <cfRule type="duplicateValues" dxfId="1469" priority="65"/>
  </conditionalFormatting>
  <conditionalFormatting sqref="C152:C160">
    <cfRule type="duplicateValues" dxfId="1468" priority="64"/>
  </conditionalFormatting>
  <conditionalFormatting sqref="C161">
    <cfRule type="duplicateValues" dxfId="1467" priority="63"/>
  </conditionalFormatting>
  <conditionalFormatting sqref="C162">
    <cfRule type="duplicateValues" dxfId="1466" priority="62"/>
  </conditionalFormatting>
  <conditionalFormatting sqref="C163">
    <cfRule type="duplicateValues" dxfId="1465" priority="61"/>
  </conditionalFormatting>
  <conditionalFormatting sqref="C164:C166">
    <cfRule type="duplicateValues" dxfId="1464" priority="60"/>
  </conditionalFormatting>
  <conditionalFormatting sqref="C167">
    <cfRule type="duplicateValues" dxfId="1463" priority="59"/>
  </conditionalFormatting>
  <conditionalFormatting sqref="C168">
    <cfRule type="duplicateValues" dxfId="1462" priority="58"/>
  </conditionalFormatting>
  <conditionalFormatting sqref="C170">
    <cfRule type="duplicateValues" dxfId="1461" priority="57"/>
  </conditionalFormatting>
  <conditionalFormatting sqref="C175:C176">
    <cfRule type="duplicateValues" dxfId="1460" priority="56"/>
  </conditionalFormatting>
  <conditionalFormatting sqref="C177">
    <cfRule type="duplicateValues" dxfId="1459" priority="55"/>
  </conditionalFormatting>
  <conditionalFormatting sqref="C179">
    <cfRule type="duplicateValues" dxfId="1458" priority="54"/>
  </conditionalFormatting>
  <conditionalFormatting sqref="C180:C186">
    <cfRule type="duplicateValues" dxfId="1457" priority="53"/>
  </conditionalFormatting>
  <conditionalFormatting sqref="C189">
    <cfRule type="duplicateValues" dxfId="1456" priority="52"/>
  </conditionalFormatting>
  <conditionalFormatting sqref="C188">
    <cfRule type="duplicateValues" dxfId="1455" priority="51"/>
  </conditionalFormatting>
  <conditionalFormatting sqref="C190">
    <cfRule type="duplicateValues" dxfId="1454" priority="50"/>
  </conditionalFormatting>
  <conditionalFormatting sqref="C191">
    <cfRule type="duplicateValues" dxfId="1453" priority="49"/>
  </conditionalFormatting>
  <conditionalFormatting sqref="C193">
    <cfRule type="duplicateValues" dxfId="1452" priority="47"/>
  </conditionalFormatting>
  <conditionalFormatting sqref="C194">
    <cfRule type="duplicateValues" dxfId="1451" priority="46"/>
  </conditionalFormatting>
  <conditionalFormatting sqref="C195">
    <cfRule type="duplicateValues" dxfId="1450" priority="45"/>
  </conditionalFormatting>
  <conditionalFormatting sqref="C196">
    <cfRule type="duplicateValues" dxfId="1449" priority="44"/>
  </conditionalFormatting>
  <conditionalFormatting sqref="C197">
    <cfRule type="duplicateValues" dxfId="1448" priority="43"/>
  </conditionalFormatting>
  <conditionalFormatting sqref="C198">
    <cfRule type="duplicateValues" dxfId="1447" priority="42"/>
  </conditionalFormatting>
  <conditionalFormatting sqref="C199">
    <cfRule type="duplicateValues" dxfId="1446" priority="41"/>
  </conditionalFormatting>
  <conditionalFormatting sqref="C200">
    <cfRule type="duplicateValues" dxfId="1445" priority="40"/>
  </conditionalFormatting>
  <conditionalFormatting sqref="C201">
    <cfRule type="duplicateValues" dxfId="1444" priority="39"/>
  </conditionalFormatting>
  <conditionalFormatting sqref="C202">
    <cfRule type="duplicateValues" dxfId="1443" priority="38"/>
  </conditionalFormatting>
  <conditionalFormatting sqref="C203">
    <cfRule type="duplicateValues" dxfId="1442" priority="37"/>
  </conditionalFormatting>
  <conditionalFormatting sqref="C204:C205">
    <cfRule type="duplicateValues" dxfId="1441" priority="36"/>
  </conditionalFormatting>
  <conditionalFormatting sqref="C207:C210">
    <cfRule type="duplicateValues" dxfId="1440" priority="35"/>
  </conditionalFormatting>
  <conditionalFormatting sqref="C211">
    <cfRule type="duplicateValues" dxfId="1439" priority="34"/>
  </conditionalFormatting>
  <conditionalFormatting sqref="C212:C213">
    <cfRule type="duplicateValues" dxfId="1438" priority="33"/>
  </conditionalFormatting>
  <conditionalFormatting sqref="C214:C215">
    <cfRule type="duplicateValues" dxfId="1437" priority="32"/>
  </conditionalFormatting>
  <conditionalFormatting sqref="C221:C222">
    <cfRule type="duplicateValues" dxfId="1436" priority="31"/>
  </conditionalFormatting>
  <conditionalFormatting sqref="C216">
    <cfRule type="duplicateValues" dxfId="1435" priority="30"/>
  </conditionalFormatting>
  <conditionalFormatting sqref="C217">
    <cfRule type="duplicateValues" dxfId="1434" priority="29"/>
  </conditionalFormatting>
  <conditionalFormatting sqref="C218:C220">
    <cfRule type="duplicateValues" dxfId="1433" priority="136"/>
  </conditionalFormatting>
  <conditionalFormatting sqref="C223 C225">
    <cfRule type="duplicateValues" dxfId="1432" priority="28"/>
  </conditionalFormatting>
  <conditionalFormatting sqref="C224">
    <cfRule type="duplicateValues" dxfId="1431" priority="27"/>
  </conditionalFormatting>
  <conditionalFormatting sqref="C226">
    <cfRule type="duplicateValues" dxfId="1430" priority="26"/>
  </conditionalFormatting>
  <conditionalFormatting sqref="C229">
    <cfRule type="duplicateValues" dxfId="1429" priority="25"/>
  </conditionalFormatting>
  <conditionalFormatting sqref="C230">
    <cfRule type="duplicateValues" dxfId="1428" priority="24"/>
  </conditionalFormatting>
  <conditionalFormatting sqref="C40">
    <cfRule type="duplicateValues" dxfId="1427" priority="23"/>
  </conditionalFormatting>
  <conditionalFormatting sqref="C23">
    <cfRule type="duplicateValues" dxfId="1426" priority="22"/>
  </conditionalFormatting>
  <conditionalFormatting sqref="C232">
    <cfRule type="duplicateValues" dxfId="1425" priority="21"/>
  </conditionalFormatting>
  <conditionalFormatting sqref="A25">
    <cfRule type="duplicateValues" dxfId="1424" priority="20"/>
  </conditionalFormatting>
  <conditionalFormatting sqref="C25">
    <cfRule type="duplicateValues" dxfId="1423" priority="19"/>
  </conditionalFormatting>
  <conditionalFormatting sqref="A192">
    <cfRule type="duplicateValues" dxfId="1422" priority="18"/>
  </conditionalFormatting>
  <conditionalFormatting sqref="C192">
    <cfRule type="duplicateValues" dxfId="1421" priority="17"/>
  </conditionalFormatting>
  <conditionalFormatting sqref="A187">
    <cfRule type="duplicateValues" dxfId="1420" priority="16"/>
  </conditionalFormatting>
  <conditionalFormatting sqref="C187">
    <cfRule type="duplicateValues" dxfId="1419" priority="15"/>
  </conditionalFormatting>
  <conditionalFormatting sqref="A268 A266">
    <cfRule type="duplicateValues" dxfId="1418" priority="14"/>
  </conditionalFormatting>
  <conditionalFormatting sqref="A267">
    <cfRule type="duplicateValues" dxfId="1417" priority="13"/>
  </conditionalFormatting>
  <conditionalFormatting sqref="B267">
    <cfRule type="duplicateValues" dxfId="1416" priority="10"/>
  </conditionalFormatting>
  <conditionalFormatting sqref="A269">
    <cfRule type="duplicateValues" dxfId="1415" priority="9"/>
  </conditionalFormatting>
  <conditionalFormatting sqref="C268 C266">
    <cfRule type="duplicateValues" dxfId="1414" priority="8"/>
  </conditionalFormatting>
  <conditionalFormatting sqref="C267">
    <cfRule type="duplicateValues" dxfId="1413" priority="7"/>
  </conditionalFormatting>
  <conditionalFormatting sqref="C269">
    <cfRule type="duplicateValues" dxfId="1412" priority="6"/>
  </conditionalFormatting>
  <conditionalFormatting sqref="C271">
    <cfRule type="duplicateValues" dxfId="1411" priority="1"/>
  </conditionalFormatting>
  <conditionalFormatting sqref="A271">
    <cfRule type="duplicateValues" dxfId="1410" priority="3"/>
  </conditionalFormatting>
  <conditionalFormatting sqref="B271">
    <cfRule type="duplicateValues" dxfId="1409" priority="2"/>
  </conditionalFormatting>
  <pageMargins left="0.7" right="0.7" top="0.78740157499999996" bottom="0.78740157499999996" header="0.3" footer="0.3"/>
  <pageSetup paperSize="9" scale="52"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dimension ref="A1:C271"/>
  <sheetViews>
    <sheetView topLeftCell="A256" zoomScale="85" zoomScaleNormal="85" workbookViewId="0">
      <selection activeCell="A270" sqref="A270:C271"/>
    </sheetView>
  </sheetViews>
  <sheetFormatPr defaultColWidth="11.44140625" defaultRowHeight="14.4"/>
  <cols>
    <col min="1" max="1" width="48.44140625" style="680" customWidth="1"/>
    <col min="2" max="2" width="42.88671875" style="680" customWidth="1"/>
    <col min="3" max="3" width="42.88671875" style="832" customWidth="1"/>
  </cols>
  <sheetData>
    <row r="1" spans="1:3">
      <c r="A1" s="827" t="s">
        <v>7</v>
      </c>
      <c r="B1" s="827" t="s">
        <v>9</v>
      </c>
      <c r="C1" s="828" t="s">
        <v>8</v>
      </c>
    </row>
    <row r="2" spans="1:3">
      <c r="A2" s="680" t="s">
        <v>593</v>
      </c>
      <c r="B2" s="680" t="s">
        <v>594</v>
      </c>
      <c r="C2" s="847"/>
    </row>
    <row r="3" spans="1:3">
      <c r="A3" s="680" t="s">
        <v>357</v>
      </c>
      <c r="B3" s="680" t="s">
        <v>357</v>
      </c>
      <c r="C3" s="847"/>
    </row>
    <row r="4" spans="1:3">
      <c r="A4" s="681" t="s">
        <v>482</v>
      </c>
      <c r="B4" s="681" t="s">
        <v>483</v>
      </c>
      <c r="C4" s="847"/>
    </row>
    <row r="5" spans="1:3">
      <c r="A5" s="680" t="s">
        <v>11</v>
      </c>
      <c r="B5" s="680" t="s">
        <v>10</v>
      </c>
      <c r="C5" s="847"/>
    </row>
    <row r="6" spans="1:3">
      <c r="A6" s="680" t="s">
        <v>21</v>
      </c>
      <c r="B6" s="680" t="s">
        <v>20</v>
      </c>
      <c r="C6" s="847"/>
    </row>
    <row r="7" spans="1:3">
      <c r="A7" s="680" t="s">
        <v>903</v>
      </c>
      <c r="B7" s="680" t="s">
        <v>902</v>
      </c>
      <c r="C7" s="847"/>
    </row>
    <row r="8" spans="1:3">
      <c r="A8" s="680" t="s">
        <v>55</v>
      </c>
      <c r="B8" s="680" t="s">
        <v>904</v>
      </c>
      <c r="C8" s="847"/>
    </row>
    <row r="9" spans="1:3">
      <c r="A9" s="680" t="s">
        <v>484</v>
      </c>
      <c r="B9" s="680" t="s">
        <v>480</v>
      </c>
      <c r="C9" s="847"/>
    </row>
    <row r="10" spans="1:3">
      <c r="A10" s="680" t="s">
        <v>485</v>
      </c>
      <c r="B10" s="680" t="s">
        <v>469</v>
      </c>
      <c r="C10" s="847"/>
    </row>
    <row r="11" spans="1:3">
      <c r="A11" s="680" t="s">
        <v>486</v>
      </c>
      <c r="B11" s="680" t="s">
        <v>470</v>
      </c>
      <c r="C11" s="847"/>
    </row>
    <row r="12" spans="1:3">
      <c r="A12" s="680" t="s">
        <v>13</v>
      </c>
      <c r="B12" s="680" t="s">
        <v>12</v>
      </c>
      <c r="C12" s="847"/>
    </row>
    <row r="13" spans="1:3">
      <c r="A13" s="681" t="s">
        <v>490</v>
      </c>
      <c r="B13" s="681" t="s">
        <v>448</v>
      </c>
      <c r="C13" s="847"/>
    </row>
    <row r="14" spans="1:3">
      <c r="A14" s="682" t="s">
        <v>900</v>
      </c>
      <c r="B14" s="682" t="s">
        <v>900</v>
      </c>
      <c r="C14" s="847"/>
    </row>
    <row r="15" spans="1:3">
      <c r="A15" s="680" t="s">
        <v>487</v>
      </c>
      <c r="B15" s="680" t="s">
        <v>488</v>
      </c>
      <c r="C15" s="847"/>
    </row>
    <row r="16" spans="1:3">
      <c r="A16" s="680" t="s">
        <v>468</v>
      </c>
      <c r="B16" s="680" t="s">
        <v>468</v>
      </c>
      <c r="C16" s="847"/>
    </row>
    <row r="17" spans="1:3">
      <c r="A17" s="680" t="s">
        <v>364</v>
      </c>
      <c r="B17" s="680" t="s">
        <v>364</v>
      </c>
      <c r="C17" s="847"/>
    </row>
    <row r="18" spans="1:3">
      <c r="A18" s="680" t="s">
        <v>905</v>
      </c>
      <c r="B18" s="680" t="s">
        <v>905</v>
      </c>
      <c r="C18" s="847"/>
    </row>
    <row r="19" spans="1:3">
      <c r="A19" s="680" t="s">
        <v>18</v>
      </c>
      <c r="B19" s="680" t="s">
        <v>19</v>
      </c>
      <c r="C19" s="848"/>
    </row>
    <row r="20" spans="1:3">
      <c r="A20" s="680" t="s">
        <v>123</v>
      </c>
      <c r="B20" s="680" t="s">
        <v>124</v>
      </c>
      <c r="C20" s="847"/>
    </row>
    <row r="21" spans="1:3">
      <c r="A21" s="680" t="s">
        <v>489</v>
      </c>
      <c r="B21" s="680" t="s">
        <v>22</v>
      </c>
      <c r="C21" s="847"/>
    </row>
    <row r="22" spans="1:3">
      <c r="A22" s="681" t="s">
        <v>1095</v>
      </c>
      <c r="B22" s="681" t="s">
        <v>1095</v>
      </c>
      <c r="C22" s="847"/>
    </row>
    <row r="23" spans="1:3">
      <c r="A23" s="680" t="s">
        <v>1008</v>
      </c>
      <c r="B23" s="680" t="s">
        <v>1007</v>
      </c>
      <c r="C23" s="847"/>
    </row>
    <row r="24" spans="1:3">
      <c r="A24" s="680" t="s">
        <v>33</v>
      </c>
      <c r="B24" s="680" t="s">
        <v>32</v>
      </c>
      <c r="C24" s="847"/>
    </row>
    <row r="25" spans="1:3">
      <c r="A25" s="680" t="s">
        <v>1742</v>
      </c>
      <c r="B25" s="680" t="s">
        <v>1741</v>
      </c>
      <c r="C25" s="847"/>
    </row>
    <row r="26" spans="1:3">
      <c r="A26" s="829" t="s">
        <v>854</v>
      </c>
      <c r="B26" s="829" t="s">
        <v>854</v>
      </c>
      <c r="C26" s="847"/>
    </row>
    <row r="27" spans="1:3">
      <c r="A27" s="680" t="s">
        <v>491</v>
      </c>
      <c r="B27" s="680" t="s">
        <v>449</v>
      </c>
      <c r="C27" s="847"/>
    </row>
    <row r="28" spans="1:3">
      <c r="A28" s="681" t="s">
        <v>1104</v>
      </c>
      <c r="B28" s="681" t="s">
        <v>1096</v>
      </c>
      <c r="C28" s="847"/>
    </row>
    <row r="29" spans="1:3">
      <c r="A29" s="680" t="s">
        <v>577</v>
      </c>
      <c r="B29" s="680" t="s">
        <v>30</v>
      </c>
      <c r="C29" s="847"/>
    </row>
    <row r="30" spans="1:3">
      <c r="A30" s="680" t="s">
        <v>578</v>
      </c>
      <c r="B30" s="680" t="s">
        <v>31</v>
      </c>
      <c r="C30" s="847"/>
    </row>
    <row r="31" spans="1:3">
      <c r="A31" s="680" t="s">
        <v>14</v>
      </c>
      <c r="B31" s="680" t="s">
        <v>778</v>
      </c>
      <c r="C31" s="847"/>
    </row>
    <row r="32" spans="1:3">
      <c r="A32" s="680" t="s">
        <v>15</v>
      </c>
      <c r="B32" s="680" t="s">
        <v>16</v>
      </c>
      <c r="C32" s="847"/>
    </row>
    <row r="33" spans="1:3">
      <c r="A33" s="680" t="s">
        <v>362</v>
      </c>
      <c r="B33" s="680" t="s">
        <v>363</v>
      </c>
      <c r="C33" s="847"/>
    </row>
    <row r="34" spans="1:3">
      <c r="A34" s="680" t="s">
        <v>29</v>
      </c>
      <c r="B34" s="680" t="s">
        <v>28</v>
      </c>
      <c r="C34" s="847"/>
    </row>
    <row r="35" spans="1:3">
      <c r="A35" s="829" t="s">
        <v>504</v>
      </c>
      <c r="B35" s="680" t="s">
        <v>507</v>
      </c>
      <c r="C35" s="847"/>
    </row>
    <row r="36" spans="1:3">
      <c r="A36" s="829" t="s">
        <v>26</v>
      </c>
      <c r="B36" s="680" t="s">
        <v>25</v>
      </c>
      <c r="C36" s="847"/>
    </row>
    <row r="37" spans="1:3">
      <c r="A37" s="829" t="s">
        <v>906</v>
      </c>
      <c r="B37" s="680" t="s">
        <v>27</v>
      </c>
      <c r="C37" s="847"/>
    </row>
    <row r="38" spans="1:3">
      <c r="A38" s="829" t="s">
        <v>89</v>
      </c>
      <c r="B38" s="680" t="s">
        <v>89</v>
      </c>
      <c r="C38" s="847"/>
    </row>
    <row r="39" spans="1:3">
      <c r="A39" s="829" t="s">
        <v>506</v>
      </c>
      <c r="B39" s="680" t="s">
        <v>509</v>
      </c>
      <c r="C39" s="847"/>
    </row>
    <row r="40" spans="1:3">
      <c r="A40" s="680" t="s">
        <v>934</v>
      </c>
      <c r="B40" s="680" t="s">
        <v>935</v>
      </c>
      <c r="C40" s="847"/>
    </row>
    <row r="41" spans="1:3">
      <c r="A41" s="680" t="s">
        <v>105</v>
      </c>
      <c r="B41" s="680" t="s">
        <v>100</v>
      </c>
      <c r="C41" s="849"/>
    </row>
    <row r="42" spans="1:3">
      <c r="A42" s="680" t="s">
        <v>106</v>
      </c>
      <c r="B42" s="680" t="s">
        <v>99</v>
      </c>
      <c r="C42" s="847"/>
    </row>
    <row r="43" spans="1:3">
      <c r="A43" s="829" t="s">
        <v>873</v>
      </c>
      <c r="B43" s="829" t="s">
        <v>848</v>
      </c>
      <c r="C43" s="847"/>
    </row>
    <row r="44" spans="1:3">
      <c r="A44" s="829" t="s">
        <v>874</v>
      </c>
      <c r="B44" s="829" t="s">
        <v>849</v>
      </c>
      <c r="C44" s="847"/>
    </row>
    <row r="45" spans="1:3">
      <c r="A45" s="829" t="s">
        <v>875</v>
      </c>
      <c r="B45" s="829" t="s">
        <v>850</v>
      </c>
      <c r="C45" s="847"/>
    </row>
    <row r="46" spans="1:3">
      <c r="A46" s="829" t="s">
        <v>876</v>
      </c>
      <c r="B46" s="829" t="s">
        <v>852</v>
      </c>
      <c r="C46" s="847"/>
    </row>
    <row r="47" spans="1:3">
      <c r="A47" s="829" t="s">
        <v>877</v>
      </c>
      <c r="B47" s="829" t="s">
        <v>851</v>
      </c>
      <c r="C47" s="847"/>
    </row>
    <row r="48" spans="1:3">
      <c r="A48" s="829" t="s">
        <v>878</v>
      </c>
      <c r="B48" s="829" t="s">
        <v>853</v>
      </c>
      <c r="C48" s="847"/>
    </row>
    <row r="49" spans="1:3">
      <c r="A49" s="830" t="s">
        <v>879</v>
      </c>
      <c r="B49" s="829" t="s">
        <v>855</v>
      </c>
      <c r="C49" s="847"/>
    </row>
    <row r="50" spans="1:3">
      <c r="A50" s="830" t="s">
        <v>880</v>
      </c>
      <c r="B50" s="829" t="s">
        <v>857</v>
      </c>
      <c r="C50" s="847"/>
    </row>
    <row r="51" spans="1:3" ht="27.6">
      <c r="A51" s="830" t="s">
        <v>881</v>
      </c>
      <c r="B51" s="830" t="s">
        <v>867</v>
      </c>
      <c r="C51" s="847"/>
    </row>
    <row r="52" spans="1:3">
      <c r="A52" s="830" t="s">
        <v>882</v>
      </c>
      <c r="B52" s="829" t="s">
        <v>859</v>
      </c>
      <c r="C52" s="847"/>
    </row>
    <row r="53" spans="1:3" ht="27.6">
      <c r="A53" s="830" t="s">
        <v>1083</v>
      </c>
      <c r="B53" s="830" t="s">
        <v>1082</v>
      </c>
      <c r="C53" s="847"/>
    </row>
    <row r="54" spans="1:3" ht="41.4">
      <c r="A54" s="830" t="s">
        <v>883</v>
      </c>
      <c r="B54" s="830" t="s">
        <v>861</v>
      </c>
      <c r="C54" s="847"/>
    </row>
    <row r="55" spans="1:3">
      <c r="A55" s="830" t="s">
        <v>884</v>
      </c>
      <c r="B55" s="830" t="s">
        <v>868</v>
      </c>
      <c r="C55" s="847"/>
    </row>
    <row r="56" spans="1:3" ht="41.4">
      <c r="A56" s="830" t="s">
        <v>885</v>
      </c>
      <c r="B56" s="830" t="s">
        <v>862</v>
      </c>
      <c r="C56" s="847"/>
    </row>
    <row r="57" spans="1:3" ht="27.6">
      <c r="A57" s="830" t="s">
        <v>886</v>
      </c>
      <c r="B57" s="830" t="s">
        <v>856</v>
      </c>
      <c r="C57" s="847"/>
    </row>
    <row r="58" spans="1:3" ht="27.6">
      <c r="A58" s="830" t="s">
        <v>893</v>
      </c>
      <c r="B58" s="830" t="s">
        <v>869</v>
      </c>
      <c r="C58" s="847"/>
    </row>
    <row r="59" spans="1:3">
      <c r="A59" s="830" t="s">
        <v>887</v>
      </c>
      <c r="B59" s="829" t="s">
        <v>858</v>
      </c>
      <c r="C59" s="847"/>
    </row>
    <row r="60" spans="1:3" ht="41.4">
      <c r="A60" s="830" t="s">
        <v>888</v>
      </c>
      <c r="B60" s="830" t="s">
        <v>860</v>
      </c>
      <c r="C60" s="847"/>
    </row>
    <row r="61" spans="1:3" ht="27.6">
      <c r="A61" s="830" t="s">
        <v>889</v>
      </c>
      <c r="B61" s="830" t="s">
        <v>863</v>
      </c>
      <c r="C61" s="847"/>
    </row>
    <row r="62" spans="1:3" ht="27.6">
      <c r="A62" s="830" t="s">
        <v>890</v>
      </c>
      <c r="B62" s="830" t="s">
        <v>864</v>
      </c>
      <c r="C62" s="847"/>
    </row>
    <row r="63" spans="1:3" ht="27.6">
      <c r="A63" s="830" t="s">
        <v>891</v>
      </c>
      <c r="B63" s="829" t="s">
        <v>865</v>
      </c>
      <c r="C63" s="847"/>
    </row>
    <row r="64" spans="1:3" ht="27.6">
      <c r="A64" s="830" t="s">
        <v>892</v>
      </c>
      <c r="B64" s="829" t="s">
        <v>866</v>
      </c>
      <c r="C64" s="847"/>
    </row>
    <row r="65" spans="1:3">
      <c r="A65" s="830" t="s">
        <v>1105</v>
      </c>
      <c r="B65" s="829" t="s">
        <v>932</v>
      </c>
      <c r="C65" s="847"/>
    </row>
    <row r="66" spans="1:3">
      <c r="A66" s="830" t="s">
        <v>1106</v>
      </c>
      <c r="B66" s="829" t="s">
        <v>933</v>
      </c>
      <c r="C66" s="847"/>
    </row>
    <row r="67" spans="1:3">
      <c r="A67" s="681" t="s">
        <v>1107</v>
      </c>
      <c r="B67" s="681" t="s">
        <v>1097</v>
      </c>
      <c r="C67" s="847"/>
    </row>
    <row r="68" spans="1:3">
      <c r="A68" s="680" t="s">
        <v>453</v>
      </c>
      <c r="B68" s="680" t="s">
        <v>453</v>
      </c>
      <c r="C68" s="847"/>
    </row>
    <row r="69" spans="1:3">
      <c r="A69" s="829" t="s">
        <v>50</v>
      </c>
      <c r="B69" s="829" t="s">
        <v>49</v>
      </c>
      <c r="C69" s="847"/>
    </row>
    <row r="70" spans="1:3">
      <c r="A70" s="680" t="s">
        <v>787</v>
      </c>
      <c r="B70" s="829" t="s">
        <v>786</v>
      </c>
      <c r="C70" s="847"/>
    </row>
    <row r="71" spans="1:3">
      <c r="A71" s="680" t="s">
        <v>501</v>
      </c>
      <c r="B71" s="680" t="s">
        <v>471</v>
      </c>
      <c r="C71" s="847"/>
    </row>
    <row r="72" spans="1:3">
      <c r="A72" s="829" t="s">
        <v>834</v>
      </c>
      <c r="B72" s="829" t="s">
        <v>835</v>
      </c>
      <c r="C72" s="847"/>
    </row>
    <row r="73" spans="1:3">
      <c r="A73" s="680" t="s">
        <v>836</v>
      </c>
      <c r="B73" s="680" t="s">
        <v>837</v>
      </c>
      <c r="C73" s="847"/>
    </row>
    <row r="74" spans="1:3">
      <c r="A74" s="680" t="s">
        <v>359</v>
      </c>
      <c r="B74" s="680" t="s">
        <v>361</v>
      </c>
      <c r="C74" s="847"/>
    </row>
    <row r="75" spans="1:3">
      <c r="A75" s="680" t="s">
        <v>358</v>
      </c>
      <c r="B75" s="680" t="s">
        <v>360</v>
      </c>
      <c r="C75" s="847"/>
    </row>
    <row r="76" spans="1:3">
      <c r="A76" s="680" t="s">
        <v>502</v>
      </c>
      <c r="B76" s="680" t="s">
        <v>474</v>
      </c>
      <c r="C76" s="847"/>
    </row>
    <row r="77" spans="1:3">
      <c r="A77" s="680" t="s">
        <v>35</v>
      </c>
      <c r="B77" s="680" t="s">
        <v>34</v>
      </c>
      <c r="C77" s="847"/>
    </row>
    <row r="78" spans="1:3">
      <c r="A78" s="680" t="s">
        <v>37</v>
      </c>
      <c r="B78" s="680" t="s">
        <v>40</v>
      </c>
      <c r="C78" s="847"/>
    </row>
    <row r="79" spans="1:3">
      <c r="A79" s="680" t="s">
        <v>39</v>
      </c>
      <c r="B79" s="680" t="s">
        <v>38</v>
      </c>
      <c r="C79" s="847"/>
    </row>
    <row r="80" spans="1:3">
      <c r="A80" s="680" t="s">
        <v>493</v>
      </c>
      <c r="B80" s="680" t="s">
        <v>797</v>
      </c>
      <c r="C80" s="847"/>
    </row>
    <row r="81" spans="1:3">
      <c r="A81" s="680" t="s">
        <v>1056</v>
      </c>
      <c r="B81" s="680" t="s">
        <v>942</v>
      </c>
      <c r="C81" s="847"/>
    </row>
    <row r="82" spans="1:3">
      <c r="A82" s="680" t="s">
        <v>72</v>
      </c>
      <c r="B82" s="680" t="s">
        <v>73</v>
      </c>
      <c r="C82" s="847"/>
    </row>
    <row r="83" spans="1:3">
      <c r="A83" s="680" t="s">
        <v>36</v>
      </c>
      <c r="B83" s="680" t="s">
        <v>1</v>
      </c>
      <c r="C83" s="847"/>
    </row>
    <row r="84" spans="1:3">
      <c r="A84" s="829" t="s">
        <v>583</v>
      </c>
      <c r="B84" s="829" t="s">
        <v>582</v>
      </c>
      <c r="C84" s="847"/>
    </row>
    <row r="85" spans="1:3">
      <c r="A85" s="680" t="s">
        <v>1055</v>
      </c>
      <c r="B85" s="680" t="s">
        <v>450</v>
      </c>
      <c r="C85" s="847"/>
    </row>
    <row r="86" spans="1:3">
      <c r="A86" s="680" t="s">
        <v>495</v>
      </c>
      <c r="B86" s="680" t="s">
        <v>452</v>
      </c>
      <c r="C86" s="847"/>
    </row>
    <row r="87" spans="1:3">
      <c r="A87" s="680" t="s">
        <v>496</v>
      </c>
      <c r="B87" s="680" t="s">
        <v>494</v>
      </c>
      <c r="C87" s="847"/>
    </row>
    <row r="88" spans="1:3">
      <c r="A88" s="680" t="s">
        <v>497</v>
      </c>
      <c r="B88" s="680" t="s">
        <v>451</v>
      </c>
      <c r="C88" s="847"/>
    </row>
    <row r="89" spans="1:3">
      <c r="A89" s="680" t="s">
        <v>3341</v>
      </c>
      <c r="B89" s="680" t="s">
        <v>3341</v>
      </c>
      <c r="C89" s="847"/>
    </row>
    <row r="90" spans="1:3">
      <c r="A90" s="680" t="s">
        <v>498</v>
      </c>
      <c r="B90" s="680" t="s">
        <v>472</v>
      </c>
      <c r="C90" s="847"/>
    </row>
    <row r="91" spans="1:3">
      <c r="A91" s="680" t="s">
        <v>499</v>
      </c>
      <c r="B91" s="680" t="s">
        <v>473</v>
      </c>
      <c r="C91" s="847"/>
    </row>
    <row r="92" spans="1:3">
      <c r="A92" s="680" t="s">
        <v>500</v>
      </c>
      <c r="B92" s="680" t="s">
        <v>475</v>
      </c>
      <c r="C92" s="849"/>
    </row>
    <row r="93" spans="1:3">
      <c r="A93" s="680" t="s">
        <v>503</v>
      </c>
      <c r="B93" s="680" t="s">
        <v>459</v>
      </c>
      <c r="C93" s="849"/>
    </row>
    <row r="94" spans="1:3">
      <c r="A94" s="680" t="s">
        <v>908</v>
      </c>
      <c r="B94" s="680" t="s">
        <v>907</v>
      </c>
      <c r="C94" s="849"/>
    </row>
    <row r="95" spans="1:3">
      <c r="A95" s="680" t="s">
        <v>492</v>
      </c>
      <c r="B95" s="680" t="s">
        <v>466</v>
      </c>
      <c r="C95" s="849"/>
    </row>
    <row r="96" spans="1:3">
      <c r="A96" s="681" t="s">
        <v>927</v>
      </c>
      <c r="B96" s="831" t="s">
        <v>927</v>
      </c>
      <c r="C96" s="847"/>
    </row>
    <row r="97" spans="1:3">
      <c r="A97" s="829" t="s">
        <v>805</v>
      </c>
      <c r="B97" s="682" t="s">
        <v>806</v>
      </c>
      <c r="C97" s="847"/>
    </row>
    <row r="98" spans="1:3">
      <c r="A98" s="829" t="s">
        <v>589</v>
      </c>
      <c r="B98" s="680" t="s">
        <v>590</v>
      </c>
      <c r="C98" s="847"/>
    </row>
    <row r="99" spans="1:3">
      <c r="A99" s="680" t="s">
        <v>792</v>
      </c>
      <c r="B99" s="832" t="s">
        <v>782</v>
      </c>
      <c r="C99" s="847"/>
    </row>
    <row r="100" spans="1:3">
      <c r="A100" s="680" t="s">
        <v>793</v>
      </c>
      <c r="B100" s="832" t="s">
        <v>783</v>
      </c>
      <c r="C100" s="847"/>
    </row>
    <row r="101" spans="1:3">
      <c r="A101" s="680" t="s">
        <v>794</v>
      </c>
      <c r="B101" s="832" t="s">
        <v>784</v>
      </c>
      <c r="C101" s="847"/>
    </row>
    <row r="102" spans="1:3">
      <c r="A102" s="680" t="s">
        <v>781</v>
      </c>
      <c r="B102" s="829" t="s">
        <v>780</v>
      </c>
      <c r="C102" s="847"/>
    </row>
    <row r="103" spans="1:3">
      <c r="A103" s="829" t="s">
        <v>505</v>
      </c>
      <c r="B103" s="680" t="s">
        <v>508</v>
      </c>
      <c r="C103" s="847"/>
    </row>
    <row r="104" spans="1:3">
      <c r="A104" s="829" t="s">
        <v>510</v>
      </c>
      <c r="B104" s="680" t="s">
        <v>511</v>
      </c>
      <c r="C104" s="847"/>
    </row>
    <row r="105" spans="1:3" ht="41.4">
      <c r="A105" s="833" t="s">
        <v>513</v>
      </c>
      <c r="B105" s="682" t="s">
        <v>481</v>
      </c>
      <c r="C105" s="847"/>
    </row>
    <row r="106" spans="1:3">
      <c r="A106" s="684" t="s">
        <v>928</v>
      </c>
      <c r="B106" s="684" t="s">
        <v>929</v>
      </c>
      <c r="C106" s="847"/>
    </row>
    <row r="107" spans="1:3" ht="27.6">
      <c r="A107" s="829" t="s">
        <v>516</v>
      </c>
      <c r="B107" s="682" t="s">
        <v>515</v>
      </c>
      <c r="C107" s="847"/>
    </row>
    <row r="108" spans="1:3">
      <c r="A108" s="680" t="s">
        <v>70</v>
      </c>
      <c r="B108" s="680" t="s">
        <v>71</v>
      </c>
      <c r="C108" s="847"/>
    </row>
    <row r="109" spans="1:3">
      <c r="A109" s="829" t="s">
        <v>533</v>
      </c>
      <c r="B109" s="680" t="s">
        <v>444</v>
      </c>
      <c r="C109" s="847"/>
    </row>
    <row r="110" spans="1:3" ht="27.6">
      <c r="A110" s="830" t="s">
        <v>534</v>
      </c>
      <c r="B110" s="680" t="s">
        <v>430</v>
      </c>
      <c r="C110" s="847"/>
    </row>
    <row r="111" spans="1:3">
      <c r="A111" s="829" t="s">
        <v>535</v>
      </c>
      <c r="B111" s="680" t="s">
        <v>434</v>
      </c>
      <c r="C111" s="847"/>
    </row>
    <row r="112" spans="1:3">
      <c r="A112" s="829" t="s">
        <v>536</v>
      </c>
      <c r="B112" s="680" t="s">
        <v>438</v>
      </c>
      <c r="C112" s="847"/>
    </row>
    <row r="113" spans="1:3">
      <c r="A113" s="829" t="s">
        <v>538</v>
      </c>
      <c r="B113" s="680" t="s">
        <v>537</v>
      </c>
      <c r="C113" s="847"/>
    </row>
    <row r="114" spans="1:3" ht="27.6">
      <c r="A114" s="830" t="s">
        <v>539</v>
      </c>
      <c r="B114" s="680" t="s">
        <v>445</v>
      </c>
      <c r="C114" s="847"/>
    </row>
    <row r="115" spans="1:3">
      <c r="A115" s="680" t="s">
        <v>24</v>
      </c>
      <c r="B115" s="680" t="s">
        <v>23</v>
      </c>
      <c r="C115" s="847"/>
    </row>
    <row r="116" spans="1:3">
      <c r="A116" s="829" t="s">
        <v>517</v>
      </c>
      <c r="B116" s="680" t="s">
        <v>427</v>
      </c>
      <c r="C116" s="847"/>
    </row>
    <row r="117" spans="1:3">
      <c r="A117" s="829" t="s">
        <v>518</v>
      </c>
      <c r="B117" s="680" t="s">
        <v>431</v>
      </c>
      <c r="C117" s="847"/>
    </row>
    <row r="118" spans="1:3">
      <c r="A118" s="829" t="s">
        <v>519</v>
      </c>
      <c r="B118" s="680" t="s">
        <v>435</v>
      </c>
      <c r="C118" s="847"/>
    </row>
    <row r="119" spans="1:3" ht="27.6">
      <c r="A119" s="830" t="s">
        <v>520</v>
      </c>
      <c r="B119" s="830" t="s">
        <v>439</v>
      </c>
      <c r="C119" s="847"/>
    </row>
    <row r="120" spans="1:3">
      <c r="A120" s="829" t="s">
        <v>521</v>
      </c>
      <c r="B120" s="680" t="s">
        <v>442</v>
      </c>
      <c r="C120" s="847"/>
    </row>
    <row r="121" spans="1:3">
      <c r="A121" s="829" t="s">
        <v>522</v>
      </c>
      <c r="B121" s="680" t="s">
        <v>446</v>
      </c>
      <c r="C121" s="847"/>
    </row>
    <row r="122" spans="1:3">
      <c r="A122" s="680" t="s">
        <v>74</v>
      </c>
      <c r="B122" s="680" t="s">
        <v>74</v>
      </c>
      <c r="C122" s="847"/>
    </row>
    <row r="123" spans="1:3" ht="27.6">
      <c r="A123" s="830" t="s">
        <v>528</v>
      </c>
      <c r="B123" s="680" t="s">
        <v>447</v>
      </c>
      <c r="C123" s="847"/>
    </row>
    <row r="124" spans="1:3">
      <c r="A124" s="829" t="s">
        <v>529</v>
      </c>
      <c r="B124" s="680" t="s">
        <v>429</v>
      </c>
      <c r="C124" s="847"/>
    </row>
    <row r="125" spans="1:3">
      <c r="A125" s="829" t="s">
        <v>530</v>
      </c>
      <c r="B125" s="680" t="s">
        <v>433</v>
      </c>
      <c r="C125" s="847"/>
    </row>
    <row r="126" spans="1:3">
      <c r="A126" s="829" t="s">
        <v>531</v>
      </c>
      <c r="B126" s="680" t="s">
        <v>437</v>
      </c>
      <c r="C126" s="849"/>
    </row>
    <row r="127" spans="1:3">
      <c r="A127" s="829" t="s">
        <v>532</v>
      </c>
      <c r="B127" s="680" t="s">
        <v>441</v>
      </c>
      <c r="C127" s="849"/>
    </row>
    <row r="128" spans="1:3">
      <c r="A128" s="680" t="s">
        <v>72</v>
      </c>
      <c r="B128" s="680" t="s">
        <v>73</v>
      </c>
      <c r="C128" s="847"/>
    </row>
    <row r="129" spans="1:3">
      <c r="A129" s="829" t="s">
        <v>523</v>
      </c>
      <c r="B129" s="680" t="s">
        <v>428</v>
      </c>
      <c r="C129" s="847"/>
    </row>
    <row r="130" spans="1:3">
      <c r="A130" s="829" t="s">
        <v>524</v>
      </c>
      <c r="B130" s="680" t="s">
        <v>432</v>
      </c>
      <c r="C130" s="847"/>
    </row>
    <row r="131" spans="1:3">
      <c r="A131" s="829" t="s">
        <v>525</v>
      </c>
      <c r="B131" s="680" t="s">
        <v>436</v>
      </c>
      <c r="C131" s="847"/>
    </row>
    <row r="132" spans="1:3">
      <c r="A132" s="829" t="s">
        <v>526</v>
      </c>
      <c r="B132" s="680" t="s">
        <v>440</v>
      </c>
      <c r="C132" s="847"/>
    </row>
    <row r="133" spans="1:3">
      <c r="A133" s="829" t="s">
        <v>527</v>
      </c>
      <c r="B133" s="680" t="s">
        <v>443</v>
      </c>
      <c r="C133" s="847"/>
    </row>
    <row r="134" spans="1:3">
      <c r="A134" s="680" t="s">
        <v>909</v>
      </c>
      <c r="B134" s="680" t="s">
        <v>75</v>
      </c>
      <c r="C134" s="847"/>
    </row>
    <row r="135" spans="1:3">
      <c r="A135" s="680" t="s">
        <v>514</v>
      </c>
      <c r="B135" s="680" t="s">
        <v>5</v>
      </c>
      <c r="C135" s="847"/>
    </row>
    <row r="136" spans="1:3">
      <c r="A136" s="681" t="s">
        <v>41</v>
      </c>
      <c r="B136" s="681" t="s">
        <v>46</v>
      </c>
      <c r="C136" s="847"/>
    </row>
    <row r="137" spans="1:3">
      <c r="A137" s="680" t="s">
        <v>871</v>
      </c>
      <c r="B137" s="680" t="s">
        <v>870</v>
      </c>
      <c r="C137" s="847"/>
    </row>
    <row r="138" spans="1:3">
      <c r="A138" s="680" t="s">
        <v>872</v>
      </c>
      <c r="B138" s="680" t="s">
        <v>899</v>
      </c>
      <c r="C138" s="847"/>
    </row>
    <row r="139" spans="1:3">
      <c r="A139" s="680" t="s">
        <v>42</v>
      </c>
      <c r="B139" s="680" t="s">
        <v>47</v>
      </c>
      <c r="C139" s="847"/>
    </row>
    <row r="140" spans="1:3">
      <c r="A140" s="680" t="s">
        <v>44</v>
      </c>
      <c r="B140" s="680" t="s">
        <v>43</v>
      </c>
      <c r="C140" s="847"/>
    </row>
    <row r="141" spans="1:3">
      <c r="A141" s="682" t="s">
        <v>896</v>
      </c>
      <c r="B141" s="680" t="s">
        <v>894</v>
      </c>
      <c r="C141" s="848"/>
    </row>
    <row r="142" spans="1:3" ht="27.6">
      <c r="A142" s="682" t="s">
        <v>898</v>
      </c>
      <c r="B142" s="682" t="s">
        <v>897</v>
      </c>
      <c r="C142" s="850"/>
    </row>
    <row r="143" spans="1:3">
      <c r="A143" s="831" t="s">
        <v>923</v>
      </c>
      <c r="B143" s="681" t="s">
        <v>924</v>
      </c>
      <c r="C143" s="847"/>
    </row>
    <row r="144" spans="1:3">
      <c r="A144" s="829" t="s">
        <v>911</v>
      </c>
      <c r="B144" s="680" t="s">
        <v>910</v>
      </c>
      <c r="C144" s="847"/>
    </row>
    <row r="145" spans="1:3">
      <c r="A145" s="681" t="s">
        <v>912</v>
      </c>
      <c r="B145" s="681" t="s">
        <v>913</v>
      </c>
      <c r="C145" s="847"/>
    </row>
    <row r="146" spans="1:3">
      <c r="A146" s="829" t="s">
        <v>788</v>
      </c>
      <c r="B146" s="829" t="s">
        <v>789</v>
      </c>
      <c r="C146" s="851"/>
    </row>
    <row r="147" spans="1:3">
      <c r="A147" s="829" t="s">
        <v>790</v>
      </c>
      <c r="B147" s="829" t="s">
        <v>795</v>
      </c>
      <c r="C147" s="851"/>
    </row>
    <row r="148" spans="1:3">
      <c r="A148" s="829" t="s">
        <v>791</v>
      </c>
      <c r="B148" s="829" t="s">
        <v>796</v>
      </c>
      <c r="C148" s="851"/>
    </row>
    <row r="149" spans="1:3">
      <c r="A149" s="829" t="s">
        <v>541</v>
      </c>
      <c r="B149" s="680" t="s">
        <v>419</v>
      </c>
      <c r="C149" s="851"/>
    </row>
    <row r="150" spans="1:3">
      <c r="A150" s="829" t="s">
        <v>549</v>
      </c>
      <c r="B150" s="680" t="s">
        <v>548</v>
      </c>
      <c r="C150" s="851"/>
    </row>
    <row r="151" spans="1:3">
      <c r="A151" s="829" t="s">
        <v>580</v>
      </c>
      <c r="B151" s="680" t="s">
        <v>550</v>
      </c>
      <c r="C151" s="851"/>
    </row>
    <row r="152" spans="1:3">
      <c r="A152" s="829" t="s">
        <v>551</v>
      </c>
      <c r="B152" s="680" t="s">
        <v>421</v>
      </c>
      <c r="C152" s="851"/>
    </row>
    <row r="153" spans="1:3">
      <c r="A153" s="829" t="s">
        <v>552</v>
      </c>
      <c r="B153" s="680" t="s">
        <v>422</v>
      </c>
      <c r="C153" s="851"/>
    </row>
    <row r="154" spans="1:3">
      <c r="A154" s="829" t="s">
        <v>543</v>
      </c>
      <c r="B154" s="680" t="s">
        <v>423</v>
      </c>
      <c r="C154" s="851"/>
    </row>
    <row r="155" spans="1:3">
      <c r="A155" s="829" t="s">
        <v>544</v>
      </c>
      <c r="B155" s="680" t="s">
        <v>424</v>
      </c>
      <c r="C155" s="851"/>
    </row>
    <row r="156" spans="1:3">
      <c r="A156" s="829" t="s">
        <v>545</v>
      </c>
      <c r="B156" s="680" t="s">
        <v>425</v>
      </c>
      <c r="C156" s="851"/>
    </row>
    <row r="157" spans="1:3">
      <c r="A157" s="829" t="s">
        <v>994</v>
      </c>
      <c r="B157" s="829" t="s">
        <v>1075</v>
      </c>
      <c r="C157" s="851"/>
    </row>
    <row r="158" spans="1:3">
      <c r="A158" s="829" t="s">
        <v>995</v>
      </c>
      <c r="B158" s="829" t="s">
        <v>1076</v>
      </c>
      <c r="C158" s="851"/>
    </row>
    <row r="159" spans="1:3">
      <c r="A159" s="829" t="s">
        <v>1124</v>
      </c>
      <c r="B159" s="829" t="s">
        <v>1123</v>
      </c>
      <c r="C159" s="851"/>
    </row>
    <row r="160" spans="1:3">
      <c r="A160" s="829" t="s">
        <v>996</v>
      </c>
      <c r="B160" s="829" t="s">
        <v>1077</v>
      </c>
      <c r="C160" s="851"/>
    </row>
    <row r="161" spans="1:3">
      <c r="A161" s="831" t="s">
        <v>540</v>
      </c>
      <c r="B161" s="681" t="s">
        <v>1125</v>
      </c>
      <c r="C161" s="851"/>
    </row>
    <row r="162" spans="1:3">
      <c r="A162" s="831" t="s">
        <v>914</v>
      </c>
      <c r="B162" s="681" t="s">
        <v>840</v>
      </c>
      <c r="C162" s="851"/>
    </row>
    <row r="163" spans="1:3">
      <c r="A163" s="829" t="s">
        <v>542</v>
      </c>
      <c r="B163" s="680" t="s">
        <v>420</v>
      </c>
      <c r="C163" s="851"/>
    </row>
    <row r="164" spans="1:3">
      <c r="A164" s="829" t="s">
        <v>546</v>
      </c>
      <c r="B164" s="680" t="s">
        <v>45</v>
      </c>
      <c r="C164" s="851"/>
    </row>
    <row r="165" spans="1:3">
      <c r="A165" s="829" t="s">
        <v>547</v>
      </c>
      <c r="B165" s="680" t="s">
        <v>584</v>
      </c>
      <c r="C165" s="851"/>
    </row>
    <row r="166" spans="1:3">
      <c r="A166" s="829" t="s">
        <v>581</v>
      </c>
      <c r="B166" s="829" t="s">
        <v>48</v>
      </c>
      <c r="C166" s="851"/>
    </row>
    <row r="167" spans="1:3" ht="27.6">
      <c r="A167" s="834" t="s">
        <v>801</v>
      </c>
      <c r="B167" s="834" t="s">
        <v>802</v>
      </c>
      <c r="C167" s="851"/>
    </row>
    <row r="168" spans="1:3">
      <c r="A168" s="829" t="s">
        <v>585</v>
      </c>
      <c r="B168" s="829" t="s">
        <v>426</v>
      </c>
      <c r="C168" s="851"/>
    </row>
    <row r="169" spans="1:3">
      <c r="A169" s="829" t="s">
        <v>764</v>
      </c>
      <c r="B169" s="680" t="s">
        <v>764</v>
      </c>
      <c r="C169" s="851"/>
    </row>
    <row r="170" spans="1:3" ht="41.4">
      <c r="A170" s="830" t="s">
        <v>765</v>
      </c>
      <c r="B170" s="830" t="s">
        <v>766</v>
      </c>
      <c r="C170" s="851"/>
    </row>
    <row r="171" spans="1:3">
      <c r="A171" s="680" t="s">
        <v>768</v>
      </c>
      <c r="B171" s="829" t="s">
        <v>767</v>
      </c>
      <c r="C171" s="851"/>
    </row>
    <row r="172" spans="1:3">
      <c r="A172" s="680" t="s">
        <v>586</v>
      </c>
      <c r="B172" s="680" t="s">
        <v>779</v>
      </c>
      <c r="C172" s="851"/>
    </row>
    <row r="173" spans="1:3">
      <c r="A173" s="680" t="s">
        <v>770</v>
      </c>
      <c r="B173" s="829" t="s">
        <v>769</v>
      </c>
      <c r="C173" s="851"/>
    </row>
    <row r="174" spans="1:3">
      <c r="A174" s="680" t="s">
        <v>592</v>
      </c>
      <c r="B174" s="829" t="s">
        <v>591</v>
      </c>
      <c r="C174" s="851"/>
    </row>
    <row r="175" spans="1:3">
      <c r="A175" s="829" t="s">
        <v>1154</v>
      </c>
      <c r="B175" s="680" t="s">
        <v>1058</v>
      </c>
      <c r="C175" s="851"/>
    </row>
    <row r="176" spans="1:3" ht="27.6">
      <c r="A176" s="830" t="s">
        <v>1155</v>
      </c>
      <c r="B176" s="830" t="s">
        <v>1059</v>
      </c>
      <c r="C176" s="851"/>
    </row>
    <row r="177" spans="1:3">
      <c r="A177" s="835"/>
      <c r="B177" s="685"/>
      <c r="C177" s="851"/>
    </row>
    <row r="178" spans="1:3">
      <c r="A178" s="681" t="s">
        <v>923</v>
      </c>
      <c r="B178" s="681" t="s">
        <v>1128</v>
      </c>
      <c r="C178" s="851"/>
    </row>
    <row r="179" spans="1:3">
      <c r="A179" s="680" t="s">
        <v>587</v>
      </c>
      <c r="B179" s="682" t="s">
        <v>588</v>
      </c>
      <c r="C179" s="851"/>
    </row>
    <row r="180" spans="1:3">
      <c r="A180" s="680" t="s">
        <v>553</v>
      </c>
      <c r="B180" s="680" t="s">
        <v>455</v>
      </c>
      <c r="C180" s="851"/>
    </row>
    <row r="181" spans="1:3">
      <c r="A181" s="680" t="s">
        <v>554</v>
      </c>
      <c r="B181" s="680" t="s">
        <v>456</v>
      </c>
      <c r="C181" s="851"/>
    </row>
    <row r="182" spans="1:3">
      <c r="A182" s="680" t="s">
        <v>555</v>
      </c>
      <c r="B182" s="680" t="s">
        <v>476</v>
      </c>
      <c r="C182" s="851"/>
    </row>
    <row r="183" spans="1:3">
      <c r="A183" s="680" t="s">
        <v>556</v>
      </c>
      <c r="B183" s="680" t="s">
        <v>477</v>
      </c>
      <c r="C183" s="851"/>
    </row>
    <row r="184" spans="1:3">
      <c r="A184" s="680" t="s">
        <v>557</v>
      </c>
      <c r="B184" s="680" t="s">
        <v>478</v>
      </c>
      <c r="C184" s="851"/>
    </row>
    <row r="185" spans="1:3">
      <c r="A185" s="680" t="s">
        <v>558</v>
      </c>
      <c r="B185" s="680" t="s">
        <v>479</v>
      </c>
      <c r="C185" s="851"/>
    </row>
    <row r="186" spans="1:3">
      <c r="A186" s="680" t="s">
        <v>915</v>
      </c>
      <c r="B186" s="680" t="s">
        <v>595</v>
      </c>
      <c r="C186" s="851"/>
    </row>
    <row r="187" spans="1:3">
      <c r="A187" s="680" t="s">
        <v>1746</v>
      </c>
      <c r="B187" s="680" t="s">
        <v>1747</v>
      </c>
      <c r="C187" s="851"/>
    </row>
    <row r="188" spans="1:3">
      <c r="A188" s="681" t="s">
        <v>1126</v>
      </c>
      <c r="B188" s="681" t="s">
        <v>1127</v>
      </c>
      <c r="C188" s="851"/>
    </row>
    <row r="189" spans="1:3">
      <c r="A189" s="680" t="s">
        <v>916</v>
      </c>
      <c r="B189" s="680" t="s">
        <v>917</v>
      </c>
      <c r="C189" s="851"/>
    </row>
    <row r="190" spans="1:3">
      <c r="A190" s="680" t="s">
        <v>570</v>
      </c>
      <c r="B190" s="680" t="s">
        <v>596</v>
      </c>
      <c r="C190" s="851"/>
    </row>
    <row r="191" spans="1:3">
      <c r="A191" s="680" t="s">
        <v>119</v>
      </c>
      <c r="B191" s="680" t="s">
        <v>367</v>
      </c>
      <c r="C191" s="851"/>
    </row>
    <row r="192" spans="1:3">
      <c r="A192" s="680" t="s">
        <v>1745</v>
      </c>
      <c r="B192" s="680" t="s">
        <v>1744</v>
      </c>
      <c r="C192" s="851"/>
    </row>
    <row r="193" spans="1:3">
      <c r="A193" s="681" t="s">
        <v>1108</v>
      </c>
      <c r="B193" s="681" t="s">
        <v>1109</v>
      </c>
      <c r="C193" s="851"/>
    </row>
    <row r="194" spans="1:3">
      <c r="A194" s="680" t="s">
        <v>562</v>
      </c>
      <c r="B194" s="680" t="s">
        <v>457</v>
      </c>
      <c r="C194" s="851"/>
    </row>
    <row r="195" spans="1:3">
      <c r="A195" s="680" t="s">
        <v>563</v>
      </c>
      <c r="B195" s="680" t="s">
        <v>458</v>
      </c>
      <c r="C195" s="851"/>
    </row>
    <row r="196" spans="1:3">
      <c r="A196" s="680" t="s">
        <v>571</v>
      </c>
      <c r="B196" s="680" t="s">
        <v>2</v>
      </c>
      <c r="C196" s="851"/>
    </row>
    <row r="197" spans="1:3">
      <c r="A197" s="680" t="s">
        <v>0</v>
      </c>
      <c r="B197" s="680" t="s">
        <v>0</v>
      </c>
      <c r="C197" s="851"/>
    </row>
    <row r="198" spans="1:3">
      <c r="A198" s="680" t="s">
        <v>52</v>
      </c>
      <c r="B198" s="680" t="s">
        <v>4</v>
      </c>
      <c r="C198" s="851"/>
    </row>
    <row r="199" spans="1:3">
      <c r="A199" s="680" t="s">
        <v>51</v>
      </c>
      <c r="B199" s="680" t="s">
        <v>3</v>
      </c>
      <c r="C199" s="851"/>
    </row>
    <row r="200" spans="1:3">
      <c r="A200" s="680" t="s">
        <v>564</v>
      </c>
      <c r="B200" s="680" t="s">
        <v>460</v>
      </c>
      <c r="C200" s="851"/>
    </row>
    <row r="201" spans="1:3">
      <c r="A201" s="680" t="s">
        <v>565</v>
      </c>
      <c r="B201" s="680" t="s">
        <v>512</v>
      </c>
      <c r="C201" s="851"/>
    </row>
    <row r="202" spans="1:3">
      <c r="A202" s="680" t="s">
        <v>566</v>
      </c>
      <c r="B202" s="680" t="s">
        <v>463</v>
      </c>
      <c r="C202" s="851"/>
    </row>
    <row r="203" spans="1:3">
      <c r="A203" s="680" t="s">
        <v>567</v>
      </c>
      <c r="B203" s="680" t="s">
        <v>461</v>
      </c>
      <c r="C203" s="851"/>
    </row>
    <row r="204" spans="1:3">
      <c r="A204" s="680" t="s">
        <v>572</v>
      </c>
      <c r="B204" s="680" t="s">
        <v>464</v>
      </c>
      <c r="C204" s="851"/>
    </row>
    <row r="205" spans="1:3">
      <c r="A205" s="680" t="s">
        <v>568</v>
      </c>
      <c r="B205" s="680" t="s">
        <v>462</v>
      </c>
      <c r="C205" s="851"/>
    </row>
    <row r="206" spans="1:3">
      <c r="A206" s="680" t="s">
        <v>807</v>
      </c>
      <c r="B206" s="680" t="s">
        <v>808</v>
      </c>
      <c r="C206" s="851"/>
    </row>
    <row r="207" spans="1:3">
      <c r="A207" s="680" t="s">
        <v>918</v>
      </c>
      <c r="B207" s="680" t="s">
        <v>919</v>
      </c>
      <c r="C207" s="851"/>
    </row>
    <row r="208" spans="1:3">
      <c r="A208" s="680" t="s">
        <v>569</v>
      </c>
      <c r="B208" s="680" t="s">
        <v>560</v>
      </c>
      <c r="C208" s="851"/>
    </row>
    <row r="209" spans="1:3">
      <c r="A209" s="680" t="s">
        <v>920</v>
      </c>
      <c r="B209" s="680" t="s">
        <v>465</v>
      </c>
      <c r="C209" s="851"/>
    </row>
    <row r="210" spans="1:3">
      <c r="A210" s="680" t="s">
        <v>559</v>
      </c>
      <c r="B210" s="680" t="s">
        <v>561</v>
      </c>
      <c r="C210" s="851"/>
    </row>
    <row r="211" spans="1:3">
      <c r="A211" s="680" t="s">
        <v>107</v>
      </c>
      <c r="B211" s="680" t="s">
        <v>798</v>
      </c>
      <c r="C211" s="851"/>
    </row>
    <row r="212" spans="1:3">
      <c r="A212" s="680" t="s">
        <v>920</v>
      </c>
      <c r="B212" s="680" t="s">
        <v>921</v>
      </c>
      <c r="C212" s="851"/>
    </row>
    <row r="213" spans="1:3">
      <c r="A213" s="680" t="s">
        <v>559</v>
      </c>
      <c r="B213" s="680" t="s">
        <v>561</v>
      </c>
      <c r="C213" s="851"/>
    </row>
    <row r="214" spans="1:3">
      <c r="A214" s="681" t="s">
        <v>1110</v>
      </c>
      <c r="B214" s="681" t="s">
        <v>1111</v>
      </c>
      <c r="C214" s="851"/>
    </row>
    <row r="215" spans="1:3">
      <c r="A215" s="680" t="s">
        <v>1112</v>
      </c>
      <c r="B215" s="680" t="s">
        <v>1113</v>
      </c>
      <c r="C215" s="851"/>
    </row>
    <row r="216" spans="1:3">
      <c r="A216" s="680" t="s">
        <v>830</v>
      </c>
      <c r="B216" s="680" t="s">
        <v>831</v>
      </c>
      <c r="C216" s="851"/>
    </row>
    <row r="217" spans="1:3">
      <c r="A217" s="680" t="s">
        <v>111</v>
      </c>
      <c r="B217" s="680" t="s">
        <v>112</v>
      </c>
      <c r="C217" s="851"/>
    </row>
    <row r="218" spans="1:3">
      <c r="A218" s="680" t="s">
        <v>117</v>
      </c>
      <c r="B218" s="680" t="s">
        <v>113</v>
      </c>
      <c r="C218" s="851"/>
    </row>
    <row r="219" spans="1:3">
      <c r="A219" s="680" t="s">
        <v>803</v>
      </c>
      <c r="B219" s="680" t="s">
        <v>804</v>
      </c>
      <c r="C219" s="851"/>
    </row>
    <row r="220" spans="1:3">
      <c r="A220" s="680" t="s">
        <v>832</v>
      </c>
      <c r="B220" s="680" t="s">
        <v>833</v>
      </c>
      <c r="C220" s="851"/>
    </row>
    <row r="221" spans="1:3">
      <c r="A221" s="680" t="s">
        <v>467</v>
      </c>
      <c r="B221" s="680" t="s">
        <v>467</v>
      </c>
      <c r="C221" s="851"/>
    </row>
    <row r="222" spans="1:3">
      <c r="A222" s="680" t="s">
        <v>365</v>
      </c>
      <c r="B222" s="680" t="s">
        <v>365</v>
      </c>
      <c r="C222" s="851"/>
    </row>
    <row r="223" spans="1:3">
      <c r="A223" s="680" t="s">
        <v>53</v>
      </c>
      <c r="B223" s="680" t="s">
        <v>54</v>
      </c>
      <c r="C223" s="851"/>
    </row>
    <row r="224" spans="1:3">
      <c r="A224" s="680" t="s">
        <v>355</v>
      </c>
      <c r="B224" s="680" t="s">
        <v>356</v>
      </c>
      <c r="C224" s="851"/>
    </row>
    <row r="225" spans="1:3">
      <c r="A225" s="680" t="s">
        <v>17</v>
      </c>
      <c r="B225" s="680" t="s">
        <v>800</v>
      </c>
      <c r="C225" s="851"/>
    </row>
    <row r="226" spans="1:3">
      <c r="A226" s="829" t="s">
        <v>799</v>
      </c>
      <c r="B226" s="829" t="s">
        <v>922</v>
      </c>
      <c r="C226" s="851"/>
    </row>
    <row r="227" spans="1:3">
      <c r="A227" s="680" t="s">
        <v>771</v>
      </c>
      <c r="B227" s="829" t="s">
        <v>776</v>
      </c>
      <c r="C227" s="851"/>
    </row>
    <row r="228" spans="1:3">
      <c r="A228" s="680" t="s">
        <v>774</v>
      </c>
      <c r="B228" s="829" t="s">
        <v>775</v>
      </c>
      <c r="C228" s="851"/>
    </row>
    <row r="229" spans="1:3">
      <c r="A229" s="829" t="s">
        <v>772</v>
      </c>
      <c r="B229" s="829" t="s">
        <v>773</v>
      </c>
      <c r="C229" s="851"/>
    </row>
    <row r="230" spans="1:3">
      <c r="A230" s="680" t="s">
        <v>925</v>
      </c>
      <c r="B230" s="680" t="s">
        <v>926</v>
      </c>
      <c r="C230" s="851"/>
    </row>
    <row r="231" spans="1:3">
      <c r="A231" s="680" t="s">
        <v>829</v>
      </c>
      <c r="B231" s="680" t="s">
        <v>828</v>
      </c>
      <c r="C231" s="851"/>
    </row>
    <row r="232" spans="1:3">
      <c r="A232" s="680" t="s">
        <v>1114</v>
      </c>
      <c r="B232" s="680" t="s">
        <v>1084</v>
      </c>
      <c r="C232" s="851"/>
    </row>
    <row r="233" spans="1:3">
      <c r="A233" s="681" t="s">
        <v>1100</v>
      </c>
      <c r="B233" s="681" t="s">
        <v>1101</v>
      </c>
      <c r="C233" s="851"/>
    </row>
    <row r="234" spans="1:3">
      <c r="A234" s="680" t="s">
        <v>1071</v>
      </c>
      <c r="B234" s="680" t="s">
        <v>956</v>
      </c>
      <c r="C234" s="851"/>
    </row>
    <row r="235" spans="1:3">
      <c r="A235" s="680" t="s">
        <v>1070</v>
      </c>
      <c r="B235" s="680" t="s">
        <v>955</v>
      </c>
      <c r="C235" s="851"/>
    </row>
    <row r="236" spans="1:3">
      <c r="A236" s="680" t="s">
        <v>1136</v>
      </c>
      <c r="B236" s="829" t="s">
        <v>1060</v>
      </c>
      <c r="C236" s="851"/>
    </row>
    <row r="237" spans="1:3">
      <c r="A237" s="680" t="s">
        <v>1137</v>
      </c>
      <c r="B237" s="829" t="s">
        <v>1061</v>
      </c>
      <c r="C237" s="851"/>
    </row>
    <row r="238" spans="1:3">
      <c r="A238" s="680" t="s">
        <v>1138</v>
      </c>
      <c r="B238" s="829" t="s">
        <v>1062</v>
      </c>
      <c r="C238" s="851"/>
    </row>
    <row r="239" spans="1:3">
      <c r="A239" s="680" t="s">
        <v>1139</v>
      </c>
      <c r="B239" s="829" t="s">
        <v>1063</v>
      </c>
      <c r="C239" s="851"/>
    </row>
    <row r="240" spans="1:3">
      <c r="A240" s="680" t="s">
        <v>1140</v>
      </c>
      <c r="B240" s="829" t="s">
        <v>1064</v>
      </c>
      <c r="C240" s="851"/>
    </row>
    <row r="241" spans="1:3">
      <c r="A241" s="680" t="s">
        <v>1141</v>
      </c>
      <c r="B241" s="829" t="s">
        <v>1065</v>
      </c>
      <c r="C241" s="851"/>
    </row>
    <row r="242" spans="1:3">
      <c r="A242" s="680" t="s">
        <v>1142</v>
      </c>
      <c r="B242" s="829" t="s">
        <v>1066</v>
      </c>
      <c r="C242" s="851"/>
    </row>
    <row r="243" spans="1:3">
      <c r="A243" s="680" t="s">
        <v>1143</v>
      </c>
      <c r="B243" s="829" t="s">
        <v>1067</v>
      </c>
      <c r="C243" s="851"/>
    </row>
    <row r="244" spans="1:3">
      <c r="A244" s="680" t="s">
        <v>1144</v>
      </c>
      <c r="B244" s="829" t="s">
        <v>1068</v>
      </c>
      <c r="C244" s="851"/>
    </row>
    <row r="245" spans="1:3">
      <c r="A245" s="680" t="s">
        <v>1145</v>
      </c>
      <c r="B245" s="829" t="s">
        <v>1069</v>
      </c>
      <c r="C245" s="851"/>
    </row>
    <row r="246" spans="1:3">
      <c r="A246" s="680" t="s">
        <v>1115</v>
      </c>
      <c r="B246" s="680" t="s">
        <v>939</v>
      </c>
      <c r="C246" s="851"/>
    </row>
    <row r="247" spans="1:3">
      <c r="A247" s="680" t="s">
        <v>1116</v>
      </c>
      <c r="B247" s="829" t="s">
        <v>944</v>
      </c>
      <c r="C247" s="851"/>
    </row>
    <row r="248" spans="1:3">
      <c r="A248" s="680" t="s">
        <v>1117</v>
      </c>
      <c r="B248" s="829" t="s">
        <v>949</v>
      </c>
      <c r="C248" s="851"/>
    </row>
    <row r="249" spans="1:3">
      <c r="A249" s="680" t="s">
        <v>1118</v>
      </c>
      <c r="B249" s="829" t="s">
        <v>950</v>
      </c>
      <c r="C249" s="851"/>
    </row>
    <row r="250" spans="1:3">
      <c r="A250" s="680" t="s">
        <v>1119</v>
      </c>
      <c r="B250" s="829" t="s">
        <v>951</v>
      </c>
      <c r="C250" s="851"/>
    </row>
    <row r="251" spans="1:3">
      <c r="A251" s="680" t="s">
        <v>1146</v>
      </c>
      <c r="B251" s="829" t="s">
        <v>945</v>
      </c>
      <c r="C251" s="851"/>
    </row>
    <row r="252" spans="1:3">
      <c r="A252" s="680" t="s">
        <v>1149</v>
      </c>
      <c r="B252" s="829" t="s">
        <v>952</v>
      </c>
      <c r="C252" s="851"/>
    </row>
    <row r="253" spans="1:3">
      <c r="A253" s="680" t="s">
        <v>1147</v>
      </c>
      <c r="B253" s="829" t="s">
        <v>953</v>
      </c>
      <c r="C253" s="851"/>
    </row>
    <row r="254" spans="1:3">
      <c r="A254" s="680" t="s">
        <v>1148</v>
      </c>
      <c r="B254" s="829" t="s">
        <v>954</v>
      </c>
      <c r="C254" s="851"/>
    </row>
    <row r="255" spans="1:3">
      <c r="A255" s="680" t="s">
        <v>940</v>
      </c>
      <c r="B255" s="680" t="s">
        <v>940</v>
      </c>
      <c r="C255" s="851"/>
    </row>
    <row r="256" spans="1:3">
      <c r="A256" s="680" t="s">
        <v>1120</v>
      </c>
      <c r="B256" s="680" t="s">
        <v>1057</v>
      </c>
      <c r="C256" s="851"/>
    </row>
    <row r="257" spans="1:3">
      <c r="A257" s="680" t="s">
        <v>1121</v>
      </c>
      <c r="B257" s="680" t="s">
        <v>1072</v>
      </c>
      <c r="C257" s="851"/>
    </row>
    <row r="258" spans="1:3">
      <c r="A258" s="680" t="s">
        <v>1150</v>
      </c>
      <c r="B258" s="680" t="s">
        <v>1073</v>
      </c>
      <c r="C258" s="851"/>
    </row>
    <row r="259" spans="1:3">
      <c r="A259" s="680" t="s">
        <v>1129</v>
      </c>
      <c r="B259" s="680" t="s">
        <v>943</v>
      </c>
      <c r="C259" s="851"/>
    </row>
    <row r="260" spans="1:3">
      <c r="A260" s="680" t="s">
        <v>1122</v>
      </c>
      <c r="B260" s="680" t="s">
        <v>1074</v>
      </c>
      <c r="C260" s="851"/>
    </row>
    <row r="261" spans="1:3">
      <c r="A261" s="681"/>
      <c r="B261" s="681"/>
      <c r="C261" s="851"/>
    </row>
    <row r="262" spans="1:3">
      <c r="A262" s="680" t="s">
        <v>1151</v>
      </c>
      <c r="B262" s="680" t="s">
        <v>1130</v>
      </c>
      <c r="C262" s="851"/>
    </row>
    <row r="263" spans="1:3">
      <c r="A263" s="680" t="s">
        <v>1153</v>
      </c>
      <c r="B263" s="680" t="s">
        <v>1131</v>
      </c>
      <c r="C263" s="851"/>
    </row>
    <row r="264" spans="1:3">
      <c r="A264" s="680" t="s">
        <v>1152</v>
      </c>
      <c r="B264" s="680" t="s">
        <v>1132</v>
      </c>
      <c r="C264" s="851"/>
    </row>
    <row r="265" spans="1:3">
      <c r="A265" s="680" t="s">
        <v>1759</v>
      </c>
      <c r="B265" s="680" t="s">
        <v>1758</v>
      </c>
    </row>
    <row r="266" spans="1:3">
      <c r="A266" s="680" t="s">
        <v>1764</v>
      </c>
      <c r="B266" s="680" t="s">
        <v>1760</v>
      </c>
    </row>
    <row r="267" spans="1:3">
      <c r="A267" s="680" t="s">
        <v>1765</v>
      </c>
      <c r="B267" s="680" t="s">
        <v>1761</v>
      </c>
    </row>
    <row r="268" spans="1:3">
      <c r="A268" s="680" t="s">
        <v>1762</v>
      </c>
      <c r="B268" s="680" t="s">
        <v>1763</v>
      </c>
    </row>
    <row r="269" spans="1:3">
      <c r="A269" s="680" t="s">
        <v>2507</v>
      </c>
      <c r="B269" s="680" t="s">
        <v>2508</v>
      </c>
    </row>
    <row r="270" spans="1:3">
      <c r="A270" s="985" t="s">
        <v>3348</v>
      </c>
      <c r="B270" s="985" t="s">
        <v>3349</v>
      </c>
      <c r="C270" s="985" t="s">
        <v>3349</v>
      </c>
    </row>
    <row r="271" spans="1:3">
      <c r="A271" s="985" t="s">
        <v>3346</v>
      </c>
      <c r="B271" s="985" t="s">
        <v>3346</v>
      </c>
      <c r="C271" s="985" t="s">
        <v>3346</v>
      </c>
    </row>
  </sheetData>
  <sheetProtection algorithmName="SHA-512" hashValue="cZCQ6bspPgxEDCuCX1iIjtZvPBXc2RWr3uhQdQdRtI2mQakL5x/4rHPuWqmulP8hocEzXJNz05ntsnD2+z2Jaw==" saltValue="o2K3EU+/TYQKeTEJNlxKDA==" spinCount="100000" sheet="1" objects="1" scenarios="1"/>
  <customSheetViews>
    <customSheetView guid="{727552C9-10E3-4948-B2AE-8FE165517887}" scale="85" state="hidden" topLeftCell="A37">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1408" priority="132"/>
  </conditionalFormatting>
  <conditionalFormatting sqref="A2">
    <cfRule type="duplicateValues" dxfId="1407" priority="131"/>
  </conditionalFormatting>
  <conditionalFormatting sqref="A4:A5">
    <cfRule type="duplicateValues" dxfId="1406" priority="130"/>
  </conditionalFormatting>
  <conditionalFormatting sqref="A9">
    <cfRule type="duplicateValues" dxfId="1405" priority="129"/>
  </conditionalFormatting>
  <conditionalFormatting sqref="A10:A11">
    <cfRule type="duplicateValues" dxfId="1404" priority="128"/>
  </conditionalFormatting>
  <conditionalFormatting sqref="A12">
    <cfRule type="duplicateValues" dxfId="1403" priority="127"/>
  </conditionalFormatting>
  <conditionalFormatting sqref="A13">
    <cfRule type="duplicateValues" dxfId="1402" priority="126"/>
  </conditionalFormatting>
  <conditionalFormatting sqref="A14:A16">
    <cfRule type="duplicateValues" dxfId="1401" priority="125"/>
  </conditionalFormatting>
  <conditionalFormatting sqref="A19:A20">
    <cfRule type="duplicateValues" dxfId="1400" priority="124"/>
  </conditionalFormatting>
  <conditionalFormatting sqref="A21">
    <cfRule type="duplicateValues" dxfId="1399" priority="123"/>
  </conditionalFormatting>
  <conditionalFormatting sqref="A22">
    <cfRule type="duplicateValues" dxfId="1398" priority="122"/>
  </conditionalFormatting>
  <conditionalFormatting sqref="A27">
    <cfRule type="duplicateValues" dxfId="1397" priority="121"/>
  </conditionalFormatting>
  <conditionalFormatting sqref="A24">
    <cfRule type="duplicateValues" dxfId="1396" priority="120"/>
  </conditionalFormatting>
  <conditionalFormatting sqref="A26">
    <cfRule type="duplicateValues" dxfId="1395" priority="119"/>
  </conditionalFormatting>
  <conditionalFormatting sqref="A28">
    <cfRule type="duplicateValues" dxfId="1394" priority="118"/>
  </conditionalFormatting>
  <conditionalFormatting sqref="A29:A30">
    <cfRule type="duplicateValues" dxfId="1393" priority="117"/>
  </conditionalFormatting>
  <conditionalFormatting sqref="A31">
    <cfRule type="duplicateValues" dxfId="1392" priority="116"/>
  </conditionalFormatting>
  <conditionalFormatting sqref="A32">
    <cfRule type="duplicateValues" dxfId="1391" priority="115"/>
  </conditionalFormatting>
  <conditionalFormatting sqref="A33">
    <cfRule type="duplicateValues" dxfId="1390" priority="114"/>
  </conditionalFormatting>
  <conditionalFormatting sqref="A35:A38">
    <cfRule type="duplicateValues" dxfId="1389" priority="113"/>
  </conditionalFormatting>
  <conditionalFormatting sqref="A34">
    <cfRule type="duplicateValues" dxfId="1388" priority="112"/>
  </conditionalFormatting>
  <conditionalFormatting sqref="A39">
    <cfRule type="duplicateValues" dxfId="1387" priority="111"/>
  </conditionalFormatting>
  <conditionalFormatting sqref="A41:A42">
    <cfRule type="duplicateValues" dxfId="1386" priority="110"/>
  </conditionalFormatting>
  <conditionalFormatting sqref="A43:A44 A69">
    <cfRule type="duplicateValues" dxfId="1385" priority="109"/>
  </conditionalFormatting>
  <conditionalFormatting sqref="A45:A48">
    <cfRule type="duplicateValues" dxfId="1384" priority="108"/>
  </conditionalFormatting>
  <conditionalFormatting sqref="B49:B50">
    <cfRule type="duplicateValues" dxfId="1383" priority="107"/>
  </conditionalFormatting>
  <conditionalFormatting sqref="A49:A51">
    <cfRule type="duplicateValues" dxfId="1382" priority="106"/>
  </conditionalFormatting>
  <conditionalFormatting sqref="A67">
    <cfRule type="duplicateValues" dxfId="1381" priority="105"/>
  </conditionalFormatting>
  <conditionalFormatting sqref="A68">
    <cfRule type="duplicateValues" dxfId="1380" priority="104"/>
  </conditionalFormatting>
  <conditionalFormatting sqref="A71">
    <cfRule type="duplicateValues" dxfId="1379" priority="103"/>
  </conditionalFormatting>
  <conditionalFormatting sqref="A72">
    <cfRule type="duplicateValues" dxfId="1378" priority="102"/>
  </conditionalFormatting>
  <conditionalFormatting sqref="A74:A75">
    <cfRule type="duplicateValues" dxfId="1377" priority="101"/>
  </conditionalFormatting>
  <conditionalFormatting sqref="A73">
    <cfRule type="duplicateValues" dxfId="1376" priority="100"/>
  </conditionalFormatting>
  <conditionalFormatting sqref="A76">
    <cfRule type="duplicateValues" dxfId="1375" priority="99"/>
  </conditionalFormatting>
  <conditionalFormatting sqref="A77">
    <cfRule type="duplicateValues" dxfId="1374" priority="98"/>
  </conditionalFormatting>
  <conditionalFormatting sqref="A78:A79">
    <cfRule type="duplicateValues" dxfId="1373" priority="97"/>
  </conditionalFormatting>
  <conditionalFormatting sqref="A83">
    <cfRule type="duplicateValues" dxfId="1372" priority="96"/>
  </conditionalFormatting>
  <conditionalFormatting sqref="A84">
    <cfRule type="duplicateValues" dxfId="1371" priority="95"/>
  </conditionalFormatting>
  <conditionalFormatting sqref="A80:A82">
    <cfRule type="duplicateValues" dxfId="1370" priority="94"/>
  </conditionalFormatting>
  <conditionalFormatting sqref="A85:A88">
    <cfRule type="duplicateValues" dxfId="1369" priority="93"/>
  </conditionalFormatting>
  <conditionalFormatting sqref="A89">
    <cfRule type="duplicateValues" dxfId="1368" priority="92"/>
  </conditionalFormatting>
  <conditionalFormatting sqref="A90">
    <cfRule type="duplicateValues" dxfId="1367" priority="91"/>
  </conditionalFormatting>
  <conditionalFormatting sqref="A91:A92">
    <cfRule type="duplicateValues" dxfId="1366" priority="90"/>
  </conditionalFormatting>
  <conditionalFormatting sqref="A93:A94">
    <cfRule type="duplicateValues" dxfId="1365" priority="89"/>
  </conditionalFormatting>
  <conditionalFormatting sqref="A95">
    <cfRule type="duplicateValues" dxfId="1364" priority="88"/>
  </conditionalFormatting>
  <conditionalFormatting sqref="A97">
    <cfRule type="duplicateValues" dxfId="1363" priority="87"/>
  </conditionalFormatting>
  <conditionalFormatting sqref="A98">
    <cfRule type="duplicateValues" dxfId="1362" priority="86"/>
  </conditionalFormatting>
  <conditionalFormatting sqref="A103">
    <cfRule type="duplicateValues" dxfId="1361" priority="85"/>
  </conditionalFormatting>
  <conditionalFormatting sqref="A104">
    <cfRule type="duplicateValues" dxfId="1360" priority="84"/>
  </conditionalFormatting>
  <conditionalFormatting sqref="A105">
    <cfRule type="duplicateValues" dxfId="1359" priority="83"/>
  </conditionalFormatting>
  <conditionalFormatting sqref="A106">
    <cfRule type="duplicateValues" dxfId="1358" priority="82"/>
  </conditionalFormatting>
  <conditionalFormatting sqref="A107">
    <cfRule type="duplicateValues" dxfId="1357" priority="81"/>
  </conditionalFormatting>
  <conditionalFormatting sqref="A116:A118 A120:A121">
    <cfRule type="duplicateValues" dxfId="1356" priority="80"/>
  </conditionalFormatting>
  <conditionalFormatting sqref="A124:A127">
    <cfRule type="duplicateValues" dxfId="1355" priority="79"/>
  </conditionalFormatting>
  <conditionalFormatting sqref="A129:A133">
    <cfRule type="duplicateValues" dxfId="1354" priority="133"/>
  </conditionalFormatting>
  <conditionalFormatting sqref="A109 A111:A113">
    <cfRule type="duplicateValues" dxfId="1353" priority="78"/>
  </conditionalFormatting>
  <conditionalFormatting sqref="A108">
    <cfRule type="duplicateValues" dxfId="1352" priority="77"/>
  </conditionalFormatting>
  <conditionalFormatting sqref="A122">
    <cfRule type="duplicateValues" dxfId="1351" priority="76"/>
  </conditionalFormatting>
  <conditionalFormatting sqref="A128">
    <cfRule type="duplicateValues" dxfId="1350" priority="75"/>
  </conditionalFormatting>
  <conditionalFormatting sqref="A135">
    <cfRule type="duplicateValues" dxfId="1349" priority="74"/>
  </conditionalFormatting>
  <conditionalFormatting sqref="A136">
    <cfRule type="duplicateValues" dxfId="1348" priority="73"/>
  </conditionalFormatting>
  <conditionalFormatting sqref="A139:A140">
    <cfRule type="duplicateValues" dxfId="1347" priority="72"/>
  </conditionalFormatting>
  <conditionalFormatting sqref="A137:A138">
    <cfRule type="duplicateValues" dxfId="1346" priority="71"/>
  </conditionalFormatting>
  <conditionalFormatting sqref="A141">
    <cfRule type="duplicateValues" dxfId="1345" priority="70"/>
  </conditionalFormatting>
  <conditionalFormatting sqref="B142">
    <cfRule type="duplicateValues" dxfId="1344" priority="69"/>
  </conditionalFormatting>
  <conditionalFormatting sqref="A142">
    <cfRule type="duplicateValues" dxfId="1343" priority="68"/>
  </conditionalFormatting>
  <conditionalFormatting sqref="A144">
    <cfRule type="duplicateValues" dxfId="1342" priority="67"/>
  </conditionalFormatting>
  <conditionalFormatting sqref="A143">
    <cfRule type="duplicateValues" dxfId="1341" priority="66"/>
  </conditionalFormatting>
  <conditionalFormatting sqref="A145">
    <cfRule type="duplicateValues" dxfId="1340" priority="65"/>
  </conditionalFormatting>
  <conditionalFormatting sqref="A146">
    <cfRule type="duplicateValues" dxfId="1339" priority="64"/>
  </conditionalFormatting>
  <conditionalFormatting sqref="A147:A148">
    <cfRule type="duplicateValues" dxfId="1338" priority="63"/>
  </conditionalFormatting>
  <conditionalFormatting sqref="A149:A150">
    <cfRule type="duplicateValues" dxfId="1337" priority="62"/>
  </conditionalFormatting>
  <conditionalFormatting sqref="A151">
    <cfRule type="duplicateValues" dxfId="1336" priority="61"/>
  </conditionalFormatting>
  <conditionalFormatting sqref="A152:A160">
    <cfRule type="duplicateValues" dxfId="1335" priority="60"/>
  </conditionalFormatting>
  <conditionalFormatting sqref="A161">
    <cfRule type="duplicateValues" dxfId="1334" priority="59"/>
  </conditionalFormatting>
  <conditionalFormatting sqref="A162">
    <cfRule type="duplicateValues" dxfId="1333" priority="58"/>
  </conditionalFormatting>
  <conditionalFormatting sqref="A163">
    <cfRule type="duplicateValues" dxfId="1332" priority="57"/>
  </conditionalFormatting>
  <conditionalFormatting sqref="A164:A166">
    <cfRule type="duplicateValues" dxfId="1331" priority="56"/>
  </conditionalFormatting>
  <conditionalFormatting sqref="A167">
    <cfRule type="duplicateValues" dxfId="1330" priority="55"/>
  </conditionalFormatting>
  <conditionalFormatting sqref="A168">
    <cfRule type="duplicateValues" dxfId="1329" priority="54"/>
  </conditionalFormatting>
  <conditionalFormatting sqref="A175">
    <cfRule type="duplicateValues" dxfId="1328" priority="53"/>
  </conditionalFormatting>
  <conditionalFormatting sqref="A177">
    <cfRule type="duplicateValues" dxfId="1327" priority="52"/>
  </conditionalFormatting>
  <conditionalFormatting sqref="A179">
    <cfRule type="duplicateValues" dxfId="1326" priority="51"/>
  </conditionalFormatting>
  <conditionalFormatting sqref="A180:A186">
    <cfRule type="duplicateValues" dxfId="1325" priority="50"/>
  </conditionalFormatting>
  <conditionalFormatting sqref="A189">
    <cfRule type="duplicateValues" dxfId="1324" priority="49"/>
  </conditionalFormatting>
  <conditionalFormatting sqref="A188">
    <cfRule type="duplicateValues" dxfId="1323" priority="48"/>
  </conditionalFormatting>
  <conditionalFormatting sqref="A190">
    <cfRule type="duplicateValues" dxfId="1322" priority="47"/>
  </conditionalFormatting>
  <conditionalFormatting sqref="A191">
    <cfRule type="duplicateValues" dxfId="1321" priority="46"/>
  </conditionalFormatting>
  <conditionalFormatting sqref="A193">
    <cfRule type="duplicateValues" dxfId="1320" priority="44"/>
  </conditionalFormatting>
  <conditionalFormatting sqref="A194">
    <cfRule type="duplicateValues" dxfId="1319" priority="43"/>
  </conditionalFormatting>
  <conditionalFormatting sqref="A195">
    <cfRule type="duplicateValues" dxfId="1318" priority="42"/>
  </conditionalFormatting>
  <conditionalFormatting sqref="A196">
    <cfRule type="duplicateValues" dxfId="1317" priority="41"/>
  </conditionalFormatting>
  <conditionalFormatting sqref="A197">
    <cfRule type="duplicateValues" dxfId="1316" priority="40"/>
  </conditionalFormatting>
  <conditionalFormatting sqref="A198">
    <cfRule type="duplicateValues" dxfId="1315" priority="39"/>
  </conditionalFormatting>
  <conditionalFormatting sqref="A199">
    <cfRule type="duplicateValues" dxfId="1314" priority="38"/>
  </conditionalFormatting>
  <conditionalFormatting sqref="A200">
    <cfRule type="duplicateValues" dxfId="1313" priority="37"/>
  </conditionalFormatting>
  <conditionalFormatting sqref="A201">
    <cfRule type="duplicateValues" dxfId="1312" priority="36"/>
  </conditionalFormatting>
  <conditionalFormatting sqref="A202">
    <cfRule type="duplicateValues" dxfId="1311" priority="35"/>
  </conditionalFormatting>
  <conditionalFormatting sqref="A203">
    <cfRule type="duplicateValues" dxfId="1310" priority="34"/>
  </conditionalFormatting>
  <conditionalFormatting sqref="A204:A205">
    <cfRule type="duplicateValues" dxfId="1309" priority="33"/>
  </conditionalFormatting>
  <conditionalFormatting sqref="A207:A210">
    <cfRule type="duplicateValues" dxfId="1308" priority="32"/>
  </conditionalFormatting>
  <conditionalFormatting sqref="A211">
    <cfRule type="duplicateValues" dxfId="1307" priority="31"/>
  </conditionalFormatting>
  <conditionalFormatting sqref="A212:A213">
    <cfRule type="duplicateValues" dxfId="1306" priority="30"/>
  </conditionalFormatting>
  <conditionalFormatting sqref="A214:A215">
    <cfRule type="duplicateValues" dxfId="1305" priority="29"/>
  </conditionalFormatting>
  <conditionalFormatting sqref="A221:A222">
    <cfRule type="duplicateValues" dxfId="1304" priority="28"/>
  </conditionalFormatting>
  <conditionalFormatting sqref="A216">
    <cfRule type="duplicateValues" dxfId="1303" priority="27"/>
  </conditionalFormatting>
  <conditionalFormatting sqref="A217">
    <cfRule type="duplicateValues" dxfId="1302" priority="26"/>
  </conditionalFormatting>
  <conditionalFormatting sqref="A218:A220">
    <cfRule type="duplicateValues" dxfId="1301" priority="134"/>
  </conditionalFormatting>
  <conditionalFormatting sqref="A223 A225">
    <cfRule type="duplicateValues" dxfId="1300" priority="25"/>
  </conditionalFormatting>
  <conditionalFormatting sqref="A224">
    <cfRule type="duplicateValues" dxfId="1299" priority="24"/>
  </conditionalFormatting>
  <conditionalFormatting sqref="A226">
    <cfRule type="duplicateValues" dxfId="1298" priority="23"/>
  </conditionalFormatting>
  <conditionalFormatting sqref="A229">
    <cfRule type="duplicateValues" dxfId="1297" priority="22"/>
  </conditionalFormatting>
  <conditionalFormatting sqref="A230">
    <cfRule type="duplicateValues" dxfId="1296" priority="21"/>
  </conditionalFormatting>
  <conditionalFormatting sqref="A40">
    <cfRule type="duplicateValues" dxfId="1295" priority="20"/>
  </conditionalFormatting>
  <conditionalFormatting sqref="A23">
    <cfRule type="duplicateValues" dxfId="1294" priority="19"/>
  </conditionalFormatting>
  <conditionalFormatting sqref="A232">
    <cfRule type="duplicateValues" dxfId="1293" priority="18"/>
  </conditionalFormatting>
  <conditionalFormatting sqref="B233:B234">
    <cfRule type="duplicateValues" dxfId="1292" priority="17"/>
  </conditionalFormatting>
  <conditionalFormatting sqref="B157:B160">
    <cfRule type="duplicateValues" dxfId="1291" priority="16"/>
  </conditionalFormatting>
  <conditionalFormatting sqref="A25">
    <cfRule type="duplicateValues" dxfId="1290" priority="15"/>
  </conditionalFormatting>
  <conditionalFormatting sqref="A192">
    <cfRule type="duplicateValues" dxfId="1289" priority="14"/>
  </conditionalFormatting>
  <conditionalFormatting sqref="A187">
    <cfRule type="duplicateValues" dxfId="1288" priority="13"/>
  </conditionalFormatting>
  <conditionalFormatting sqref="A268 A266">
    <cfRule type="duplicateValues" dxfId="1287" priority="10"/>
  </conditionalFormatting>
  <conditionalFormatting sqref="A267">
    <cfRule type="duplicateValues" dxfId="1286" priority="9"/>
  </conditionalFormatting>
  <conditionalFormatting sqref="B267">
    <cfRule type="duplicateValues" dxfId="1285" priority="8"/>
  </conditionalFormatting>
  <conditionalFormatting sqref="A269">
    <cfRule type="duplicateValues" dxfId="1284" priority="7"/>
  </conditionalFormatting>
  <conditionalFormatting sqref="A271">
    <cfRule type="duplicateValues" dxfId="1283" priority="3"/>
  </conditionalFormatting>
  <conditionalFormatting sqref="B271">
    <cfRule type="duplicateValues" dxfId="1282" priority="2"/>
  </conditionalFormatting>
  <conditionalFormatting sqref="C271">
    <cfRule type="duplicateValues" dxfId="1281" priority="1"/>
  </conditionalFormatting>
  <pageMargins left="0.7" right="0.7" top="0.78740157499999996" bottom="0.78740157499999996" header="0.3" footer="0.3"/>
  <pageSetup paperSize="9"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dimension ref="A1:XFD271"/>
  <sheetViews>
    <sheetView topLeftCell="A252" workbookViewId="0">
      <selection activeCell="C276" sqref="C276"/>
    </sheetView>
  </sheetViews>
  <sheetFormatPr defaultColWidth="11.44140625" defaultRowHeight="14.4"/>
  <cols>
    <col min="1" max="1" width="68.88671875" style="680" customWidth="1"/>
    <col min="2" max="2" width="60.109375" style="680" customWidth="1"/>
    <col min="3" max="3" width="42.88671875" style="851" customWidth="1"/>
  </cols>
  <sheetData>
    <row r="1" spans="1:4">
      <c r="A1" s="969" t="s">
        <v>7</v>
      </c>
      <c r="B1" s="969" t="s">
        <v>9</v>
      </c>
      <c r="C1" s="982" t="s">
        <v>8</v>
      </c>
    </row>
    <row r="2" spans="1:4">
      <c r="A2" s="970" t="s">
        <v>593</v>
      </c>
      <c r="B2" s="970" t="s">
        <v>594</v>
      </c>
      <c r="C2" s="950" t="s">
        <v>3124</v>
      </c>
    </row>
    <row r="3" spans="1:4">
      <c r="A3" s="970" t="s">
        <v>357</v>
      </c>
      <c r="B3" s="970" t="s">
        <v>357</v>
      </c>
      <c r="C3" s="950" t="s">
        <v>3125</v>
      </c>
    </row>
    <row r="4" spans="1:4">
      <c r="A4" s="971" t="s">
        <v>482</v>
      </c>
      <c r="B4" s="971" t="s">
        <v>483</v>
      </c>
      <c r="C4" s="951" t="s">
        <v>2872</v>
      </c>
    </row>
    <row r="5" spans="1:4">
      <c r="A5" s="970" t="s">
        <v>11</v>
      </c>
      <c r="B5" s="970" t="s">
        <v>10</v>
      </c>
      <c r="C5" s="950" t="s">
        <v>2873</v>
      </c>
    </row>
    <row r="6" spans="1:4">
      <c r="A6" s="970" t="s">
        <v>21</v>
      </c>
      <c r="B6" s="970" t="s">
        <v>20</v>
      </c>
      <c r="C6" s="950" t="s">
        <v>3126</v>
      </c>
    </row>
    <row r="7" spans="1:4">
      <c r="A7" s="970" t="s">
        <v>903</v>
      </c>
      <c r="B7" s="970" t="s">
        <v>902</v>
      </c>
      <c r="C7" s="950" t="s">
        <v>3127</v>
      </c>
    </row>
    <row r="8" spans="1:4">
      <c r="A8" s="970" t="s">
        <v>55</v>
      </c>
      <c r="B8" s="970" t="s">
        <v>904</v>
      </c>
      <c r="C8" s="950" t="s">
        <v>3128</v>
      </c>
    </row>
    <row r="9" spans="1:4">
      <c r="A9" s="970" t="s">
        <v>484</v>
      </c>
      <c r="B9" s="970" t="s">
        <v>480</v>
      </c>
      <c r="C9" s="950" t="s">
        <v>3129</v>
      </c>
    </row>
    <row r="10" spans="1:4">
      <c r="A10" s="970" t="s">
        <v>485</v>
      </c>
      <c r="B10" s="970" t="s">
        <v>469</v>
      </c>
      <c r="C10" s="950" t="s">
        <v>2878</v>
      </c>
    </row>
    <row r="11" spans="1:4">
      <c r="A11" s="970" t="s">
        <v>486</v>
      </c>
      <c r="B11" s="970" t="s">
        <v>470</v>
      </c>
      <c r="C11" s="950" t="s">
        <v>3130</v>
      </c>
    </row>
    <row r="12" spans="1:4">
      <c r="A12" s="970" t="s">
        <v>13</v>
      </c>
      <c r="B12" s="970" t="s">
        <v>12</v>
      </c>
      <c r="C12" s="950" t="s">
        <v>3131</v>
      </c>
    </row>
    <row r="13" spans="1:4">
      <c r="A13" s="971" t="s">
        <v>490</v>
      </c>
      <c r="B13" s="971" t="s">
        <v>448</v>
      </c>
      <c r="C13" s="951" t="s">
        <v>3132</v>
      </c>
    </row>
    <row r="14" spans="1:4">
      <c r="A14" s="972" t="s">
        <v>900</v>
      </c>
      <c r="B14" s="972" t="s">
        <v>900</v>
      </c>
      <c r="C14" s="950" t="s">
        <v>900</v>
      </c>
    </row>
    <row r="15" spans="1:4">
      <c r="A15" s="970" t="s">
        <v>487</v>
      </c>
      <c r="B15" s="970" t="s">
        <v>488</v>
      </c>
      <c r="C15" s="950" t="s">
        <v>2882</v>
      </c>
      <c r="D15" s="4"/>
    </row>
    <row r="16" spans="1:4">
      <c r="A16" s="970" t="s">
        <v>468</v>
      </c>
      <c r="B16" s="970" t="s">
        <v>468</v>
      </c>
      <c r="C16" s="950" t="s">
        <v>3133</v>
      </c>
    </row>
    <row r="17" spans="1:3">
      <c r="A17" s="970" t="s">
        <v>364</v>
      </c>
      <c r="B17" s="970" t="s">
        <v>364</v>
      </c>
      <c r="C17" s="950" t="s">
        <v>2884</v>
      </c>
    </row>
    <row r="18" spans="1:3">
      <c r="A18" s="970" t="s">
        <v>905</v>
      </c>
      <c r="B18" s="970" t="s">
        <v>905</v>
      </c>
      <c r="C18" s="950" t="s">
        <v>3134</v>
      </c>
    </row>
    <row r="19" spans="1:3">
      <c r="A19" s="970" t="s">
        <v>18</v>
      </c>
      <c r="B19" s="970" t="s">
        <v>19</v>
      </c>
      <c r="C19" s="952" t="s">
        <v>3135</v>
      </c>
    </row>
    <row r="20" spans="1:3">
      <c r="A20" s="970" t="s">
        <v>123</v>
      </c>
      <c r="B20" s="970" t="s">
        <v>124</v>
      </c>
      <c r="C20" s="950" t="s">
        <v>3136</v>
      </c>
    </row>
    <row r="21" spans="1:3">
      <c r="A21" s="970" t="s">
        <v>489</v>
      </c>
      <c r="B21" s="970" t="s">
        <v>22</v>
      </c>
      <c r="C21" s="950" t="s">
        <v>3137</v>
      </c>
    </row>
    <row r="22" spans="1:3">
      <c r="A22" s="971" t="s">
        <v>1095</v>
      </c>
      <c r="B22" s="971" t="s">
        <v>1095</v>
      </c>
      <c r="C22" s="951" t="s">
        <v>3138</v>
      </c>
    </row>
    <row r="23" spans="1:3">
      <c r="A23" s="970" t="s">
        <v>1008</v>
      </c>
      <c r="B23" s="970" t="s">
        <v>1007</v>
      </c>
      <c r="C23" s="950" t="s">
        <v>3139</v>
      </c>
    </row>
    <row r="24" spans="1:3">
      <c r="A24" s="970" t="s">
        <v>33</v>
      </c>
      <c r="B24" s="970" t="s">
        <v>32</v>
      </c>
      <c r="C24" s="950" t="s">
        <v>3140</v>
      </c>
    </row>
    <row r="25" spans="1:3">
      <c r="A25" s="970" t="s">
        <v>1742</v>
      </c>
      <c r="B25" s="970" t="s">
        <v>1741</v>
      </c>
      <c r="C25" s="986" t="s">
        <v>3352</v>
      </c>
    </row>
    <row r="26" spans="1:3">
      <c r="A26" s="973" t="s">
        <v>854</v>
      </c>
      <c r="B26" s="973" t="s">
        <v>854</v>
      </c>
      <c r="C26" s="950" t="s">
        <v>2892</v>
      </c>
    </row>
    <row r="27" spans="1:3">
      <c r="A27" s="970" t="s">
        <v>491</v>
      </c>
      <c r="B27" s="970" t="s">
        <v>449</v>
      </c>
      <c r="C27" s="950" t="s">
        <v>3141</v>
      </c>
    </row>
    <row r="28" spans="1:3">
      <c r="A28" s="971" t="s">
        <v>1104</v>
      </c>
      <c r="B28" s="971" t="s">
        <v>1096</v>
      </c>
      <c r="C28" s="951" t="s">
        <v>3142</v>
      </c>
    </row>
    <row r="29" spans="1:3">
      <c r="A29" s="970" t="s">
        <v>577</v>
      </c>
      <c r="B29" s="970" t="s">
        <v>30</v>
      </c>
      <c r="C29" s="950" t="s">
        <v>2895</v>
      </c>
    </row>
    <row r="30" spans="1:3">
      <c r="A30" s="970" t="s">
        <v>578</v>
      </c>
      <c r="B30" s="970" t="s">
        <v>31</v>
      </c>
      <c r="C30" s="950" t="s">
        <v>2896</v>
      </c>
    </row>
    <row r="31" spans="1:3">
      <c r="A31" s="970" t="s">
        <v>14</v>
      </c>
      <c r="B31" s="970" t="s">
        <v>778</v>
      </c>
      <c r="C31" s="950" t="s">
        <v>3143</v>
      </c>
    </row>
    <row r="32" spans="1:3">
      <c r="A32" s="970" t="s">
        <v>15</v>
      </c>
      <c r="B32" s="970" t="s">
        <v>16</v>
      </c>
      <c r="C32" s="950" t="s">
        <v>3144</v>
      </c>
    </row>
    <row r="33" spans="1:16384">
      <c r="A33" s="970" t="s">
        <v>362</v>
      </c>
      <c r="B33" s="970" t="s">
        <v>363</v>
      </c>
      <c r="C33" s="950" t="s">
        <v>3145</v>
      </c>
    </row>
    <row r="34" spans="1:16384">
      <c r="A34" s="970" t="s">
        <v>29</v>
      </c>
      <c r="B34" s="970" t="s">
        <v>28</v>
      </c>
      <c r="C34" s="950" t="s">
        <v>3146</v>
      </c>
    </row>
    <row r="35" spans="1:16384">
      <c r="A35" s="973" t="s">
        <v>504</v>
      </c>
      <c r="B35" s="970" t="s">
        <v>507</v>
      </c>
      <c r="C35" s="950" t="s">
        <v>3147</v>
      </c>
    </row>
    <row r="36" spans="1:16384">
      <c r="A36" s="973" t="s">
        <v>26</v>
      </c>
      <c r="B36" s="970" t="s">
        <v>25</v>
      </c>
      <c r="C36" s="950" t="s">
        <v>3148</v>
      </c>
    </row>
    <row r="37" spans="1:16384">
      <c r="A37" s="973" t="s">
        <v>906</v>
      </c>
      <c r="B37" s="970" t="s">
        <v>27</v>
      </c>
      <c r="C37" s="950" t="s">
        <v>2903</v>
      </c>
    </row>
    <row r="38" spans="1:16384">
      <c r="A38" s="973" t="s">
        <v>89</v>
      </c>
      <c r="B38" s="970" t="s">
        <v>89</v>
      </c>
      <c r="C38" s="950" t="s">
        <v>3149</v>
      </c>
    </row>
    <row r="39" spans="1:16384">
      <c r="A39" s="973" t="s">
        <v>506</v>
      </c>
      <c r="B39" s="970" t="s">
        <v>509</v>
      </c>
      <c r="C39" s="950" t="s">
        <v>3150</v>
      </c>
    </row>
    <row r="40" spans="1:16384">
      <c r="A40" s="970" t="s">
        <v>934</v>
      </c>
      <c r="B40" s="970" t="s">
        <v>935</v>
      </c>
      <c r="C40" s="950" t="s">
        <v>3151</v>
      </c>
    </row>
    <row r="41" spans="1:16384">
      <c r="A41" s="970" t="s">
        <v>105</v>
      </c>
      <c r="B41" s="970" t="s">
        <v>100</v>
      </c>
      <c r="C41" s="849" t="s">
        <v>3152</v>
      </c>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c r="IL41" s="7"/>
      <c r="IM41" s="7"/>
      <c r="IN41" s="7"/>
      <c r="IO41" s="7"/>
      <c r="IP41" s="7"/>
      <c r="IQ41" s="7"/>
      <c r="IR41" s="7"/>
      <c r="IS41" s="7"/>
      <c r="IT41" s="7"/>
      <c r="IU41" s="7"/>
      <c r="IV41" s="7"/>
      <c r="IW41" s="7"/>
      <c r="IX41" s="7"/>
      <c r="IY41" s="7"/>
      <c r="IZ41" s="7"/>
      <c r="JA41" s="7"/>
      <c r="JB41" s="7"/>
      <c r="JC41" s="7"/>
      <c r="JD41" s="7"/>
      <c r="JE41" s="7"/>
      <c r="JF41" s="7"/>
      <c r="JG41" s="7"/>
      <c r="JH41" s="7"/>
      <c r="JI41" s="7"/>
      <c r="JJ41" s="7"/>
      <c r="JK41" s="7"/>
      <c r="JL41" s="7"/>
      <c r="JM41" s="7"/>
      <c r="JN41" s="7"/>
      <c r="JO41" s="7"/>
      <c r="JP41" s="7"/>
      <c r="JQ41" s="7"/>
      <c r="JR41" s="7"/>
      <c r="JS41" s="7"/>
      <c r="JT41" s="7"/>
      <c r="JU41" s="7"/>
      <c r="JV41" s="7"/>
      <c r="JW41" s="7"/>
      <c r="JX41" s="7"/>
      <c r="JY41" s="7"/>
      <c r="JZ41" s="7"/>
      <c r="KA41" s="7"/>
      <c r="KB41" s="7"/>
      <c r="KC41" s="7"/>
      <c r="KD41" s="7"/>
      <c r="KE41" s="7"/>
      <c r="KF41" s="7"/>
      <c r="KG41" s="7"/>
      <c r="KH41" s="7"/>
      <c r="KI41" s="7"/>
      <c r="KJ41" s="7"/>
      <c r="KK41" s="7"/>
      <c r="KL41" s="7"/>
      <c r="KM41" s="7"/>
      <c r="KN41" s="7"/>
      <c r="KO41" s="7"/>
      <c r="KP41" s="7"/>
      <c r="KQ41" s="7"/>
      <c r="KR41" s="7"/>
      <c r="KS41" s="7"/>
      <c r="KT41" s="7"/>
      <c r="KU41" s="7"/>
      <c r="KV41" s="7"/>
      <c r="KW41" s="7"/>
      <c r="KX41" s="7"/>
      <c r="KY41" s="7"/>
      <c r="KZ41" s="7"/>
      <c r="LA41" s="7"/>
      <c r="LB41" s="7"/>
      <c r="LC41" s="7"/>
      <c r="LD41" s="7"/>
      <c r="LE41" s="7"/>
      <c r="LF41" s="7"/>
      <c r="LG41" s="7"/>
      <c r="LH41" s="7"/>
      <c r="LI41" s="7"/>
      <c r="LJ41" s="7"/>
      <c r="LK41" s="7"/>
      <c r="LL41" s="7"/>
      <c r="LM41" s="7"/>
      <c r="LN41" s="7"/>
      <c r="LO41" s="7"/>
      <c r="LP41" s="7"/>
      <c r="LQ41" s="7"/>
      <c r="LR41" s="7"/>
      <c r="LS41" s="7"/>
      <c r="LT41" s="7"/>
      <c r="LU41" s="7"/>
      <c r="LV41" s="7"/>
      <c r="LW41" s="7"/>
      <c r="LX41" s="7"/>
      <c r="LY41" s="7"/>
      <c r="LZ41" s="7"/>
      <c r="MA41" s="7"/>
      <c r="MB41" s="7"/>
      <c r="MC41" s="7"/>
      <c r="MD41" s="7"/>
      <c r="ME41" s="7"/>
      <c r="MF41" s="7"/>
      <c r="MG41" s="7"/>
      <c r="MH41" s="7"/>
      <c r="MI41" s="7"/>
      <c r="MJ41" s="7"/>
      <c r="MK41" s="7"/>
      <c r="ML41" s="7"/>
      <c r="MM41" s="7"/>
      <c r="MN41" s="7"/>
      <c r="MO41" s="7"/>
      <c r="MP41" s="7"/>
      <c r="MQ41" s="7"/>
      <c r="MR41" s="7"/>
      <c r="MS41" s="7"/>
      <c r="MT41" s="7"/>
      <c r="MU41" s="7"/>
      <c r="MV41" s="7"/>
      <c r="MW41" s="7"/>
      <c r="MX41" s="7"/>
      <c r="MY41" s="7"/>
      <c r="MZ41" s="7"/>
      <c r="NA41" s="7"/>
      <c r="NB41" s="7"/>
      <c r="NC41" s="7"/>
      <c r="ND41" s="7"/>
      <c r="NE41" s="7"/>
      <c r="NF41" s="7"/>
      <c r="NG41" s="7"/>
      <c r="NH41" s="7"/>
      <c r="NI41" s="7"/>
      <c r="NJ41" s="7"/>
      <c r="NK41" s="7"/>
      <c r="NL41" s="7"/>
      <c r="NM41" s="7"/>
      <c r="NN41" s="7"/>
      <c r="NO41" s="7"/>
      <c r="NP41" s="7"/>
      <c r="NQ41" s="7"/>
      <c r="NR41" s="7"/>
      <c r="NS41" s="7"/>
      <c r="NT41" s="7"/>
      <c r="NU41" s="7"/>
      <c r="NV41" s="7"/>
      <c r="NW41" s="7"/>
      <c r="NX41" s="7"/>
      <c r="NY41" s="7"/>
      <c r="NZ41" s="7"/>
      <c r="OA41" s="7"/>
      <c r="OB41" s="7"/>
      <c r="OC41" s="7"/>
      <c r="OD41" s="7"/>
      <c r="OE41" s="7"/>
      <c r="OF41" s="7"/>
      <c r="OG41" s="7"/>
      <c r="OH41" s="7"/>
      <c r="OI41" s="7"/>
      <c r="OJ41" s="7"/>
      <c r="OK41" s="7"/>
      <c r="OL41" s="7"/>
      <c r="OM41" s="7"/>
      <c r="ON41" s="7"/>
      <c r="OO41" s="7"/>
      <c r="OP41" s="7"/>
      <c r="OQ41" s="7"/>
      <c r="OR41" s="7"/>
      <c r="OS41" s="7"/>
      <c r="OT41" s="7"/>
      <c r="OU41" s="7"/>
      <c r="OV41" s="7"/>
      <c r="OW41" s="7"/>
      <c r="OX41" s="7"/>
      <c r="OY41" s="7"/>
      <c r="OZ41" s="7"/>
      <c r="PA41" s="7"/>
      <c r="PB41" s="7"/>
      <c r="PC41" s="7"/>
      <c r="PD41" s="7"/>
      <c r="PE41" s="7"/>
      <c r="PF41" s="7"/>
      <c r="PG41" s="7"/>
      <c r="PH41" s="7"/>
      <c r="PI41" s="7"/>
      <c r="PJ41" s="7"/>
      <c r="PK41" s="7"/>
      <c r="PL41" s="7"/>
      <c r="PM41" s="7"/>
      <c r="PN41" s="7"/>
      <c r="PO41" s="7"/>
      <c r="PP41" s="7"/>
      <c r="PQ41" s="7"/>
      <c r="PR41" s="7"/>
      <c r="PS41" s="7"/>
      <c r="PT41" s="7"/>
      <c r="PU41" s="7"/>
      <c r="PV41" s="7"/>
      <c r="PW41" s="7"/>
      <c r="PX41" s="7"/>
      <c r="PY41" s="7"/>
      <c r="PZ41" s="7"/>
      <c r="QA41" s="7"/>
      <c r="QB41" s="7"/>
      <c r="QC41" s="7"/>
      <c r="QD41" s="7"/>
      <c r="QE41" s="7"/>
      <c r="QF41" s="7"/>
      <c r="QG41" s="7"/>
      <c r="QH41" s="7"/>
      <c r="QI41" s="7"/>
      <c r="QJ41" s="7"/>
      <c r="QK41" s="7"/>
      <c r="QL41" s="7"/>
      <c r="QM41" s="7"/>
      <c r="QN41" s="7"/>
      <c r="QO41" s="7"/>
      <c r="QP41" s="7"/>
      <c r="QQ41" s="7"/>
      <c r="QR41" s="7"/>
      <c r="QS41" s="7"/>
      <c r="QT41" s="7"/>
      <c r="QU41" s="7"/>
      <c r="QV41" s="7"/>
      <c r="QW41" s="7"/>
      <c r="QX41" s="7"/>
      <c r="QY41" s="7"/>
      <c r="QZ41" s="7"/>
      <c r="RA41" s="7"/>
      <c r="RB41" s="7"/>
      <c r="RC41" s="7"/>
      <c r="RD41" s="7"/>
      <c r="RE41" s="7"/>
      <c r="RF41" s="7"/>
      <c r="RG41" s="7"/>
      <c r="RH41" s="7"/>
      <c r="RI41" s="7"/>
      <c r="RJ41" s="7"/>
      <c r="RK41" s="7"/>
      <c r="RL41" s="7"/>
      <c r="RM41" s="7"/>
      <c r="RN41" s="7"/>
      <c r="RO41" s="7"/>
      <c r="RP41" s="7"/>
      <c r="RQ41" s="7"/>
      <c r="RR41" s="7"/>
      <c r="RS41" s="7"/>
      <c r="RT41" s="7"/>
      <c r="RU41" s="7"/>
      <c r="RV41" s="7"/>
      <c r="RW41" s="7"/>
      <c r="RX41" s="7"/>
      <c r="RY41" s="7"/>
      <c r="RZ41" s="7"/>
      <c r="SA41" s="7"/>
      <c r="SB41" s="7"/>
      <c r="SC41" s="7"/>
      <c r="SD41" s="7"/>
      <c r="SE41" s="7"/>
      <c r="SF41" s="7"/>
      <c r="SG41" s="7"/>
      <c r="SH41" s="7"/>
      <c r="SI41" s="7"/>
      <c r="SJ41" s="7"/>
      <c r="SK41" s="7"/>
      <c r="SL41" s="7"/>
      <c r="SM41" s="7"/>
      <c r="SN41" s="7"/>
      <c r="SO41" s="7"/>
      <c r="SP41" s="7"/>
      <c r="SQ41" s="7"/>
      <c r="SR41" s="7"/>
      <c r="SS41" s="7"/>
      <c r="ST41" s="7"/>
      <c r="SU41" s="7"/>
      <c r="SV41" s="7"/>
      <c r="SW41" s="7"/>
      <c r="SX41" s="7"/>
      <c r="SY41" s="7"/>
      <c r="SZ41" s="7"/>
      <c r="TA41" s="7"/>
      <c r="TB41" s="7"/>
      <c r="TC41" s="7"/>
      <c r="TD41" s="7"/>
      <c r="TE41" s="7"/>
      <c r="TF41" s="7"/>
      <c r="TG41" s="7"/>
      <c r="TH41" s="7"/>
      <c r="TI41" s="7"/>
      <c r="TJ41" s="7"/>
      <c r="TK41" s="7"/>
      <c r="TL41" s="7"/>
      <c r="TM41" s="7"/>
      <c r="TN41" s="7"/>
      <c r="TO41" s="7"/>
      <c r="TP41" s="7"/>
      <c r="TQ41" s="7"/>
      <c r="TR41" s="7"/>
      <c r="TS41" s="7"/>
      <c r="TT41" s="7"/>
      <c r="TU41" s="7"/>
      <c r="TV41" s="7"/>
      <c r="TW41" s="7"/>
      <c r="TX41" s="7"/>
      <c r="TY41" s="7"/>
      <c r="TZ41" s="7"/>
      <c r="UA41" s="7"/>
      <c r="UB41" s="7"/>
      <c r="UC41" s="7"/>
      <c r="UD41" s="7"/>
      <c r="UE41" s="7"/>
      <c r="UF41" s="7"/>
      <c r="UG41" s="7"/>
      <c r="UH41" s="7"/>
      <c r="UI41" s="7"/>
      <c r="UJ41" s="7"/>
      <c r="UK41" s="7"/>
      <c r="UL41" s="7"/>
      <c r="UM41" s="7"/>
      <c r="UN41" s="7"/>
      <c r="UO41" s="7"/>
      <c r="UP41" s="7"/>
      <c r="UQ41" s="7"/>
      <c r="UR41" s="7"/>
      <c r="US41" s="7"/>
      <c r="UT41" s="7"/>
      <c r="UU41" s="7"/>
      <c r="UV41" s="7"/>
      <c r="UW41" s="7"/>
      <c r="UX41" s="7"/>
      <c r="UY41" s="7"/>
      <c r="UZ41" s="7"/>
      <c r="VA41" s="7"/>
      <c r="VB41" s="7"/>
      <c r="VC41" s="7"/>
      <c r="VD41" s="7"/>
      <c r="VE41" s="7"/>
      <c r="VF41" s="7"/>
      <c r="VG41" s="7"/>
      <c r="VH41" s="7"/>
      <c r="VI41" s="7"/>
      <c r="VJ41" s="7"/>
      <c r="VK41" s="7"/>
      <c r="VL41" s="7"/>
      <c r="VM41" s="7"/>
      <c r="VN41" s="7"/>
      <c r="VO41" s="7"/>
      <c r="VP41" s="7"/>
      <c r="VQ41" s="7"/>
      <c r="VR41" s="7"/>
      <c r="VS41" s="7"/>
      <c r="VT41" s="7"/>
      <c r="VU41" s="7"/>
      <c r="VV41" s="7"/>
      <c r="VW41" s="7"/>
      <c r="VX41" s="7"/>
      <c r="VY41" s="7"/>
      <c r="VZ41" s="7"/>
      <c r="WA41" s="7"/>
      <c r="WB41" s="7"/>
      <c r="WC41" s="7"/>
      <c r="WD41" s="7"/>
      <c r="WE41" s="7"/>
      <c r="WF41" s="7"/>
      <c r="WG41" s="7"/>
      <c r="WH41" s="7"/>
      <c r="WI41" s="7"/>
      <c r="WJ41" s="7"/>
      <c r="WK41" s="7"/>
      <c r="WL41" s="7"/>
      <c r="WM41" s="7"/>
      <c r="WN41" s="7"/>
      <c r="WO41" s="7"/>
      <c r="WP41" s="7"/>
      <c r="WQ41" s="7"/>
      <c r="WR41" s="7"/>
      <c r="WS41" s="7"/>
      <c r="WT41" s="7"/>
      <c r="WU41" s="7"/>
      <c r="WV41" s="7"/>
      <c r="WW41" s="7"/>
      <c r="WX41" s="7"/>
      <c r="WY41" s="7"/>
      <c r="WZ41" s="7"/>
      <c r="XA41" s="7"/>
      <c r="XB41" s="7"/>
      <c r="XC41" s="7"/>
      <c r="XD41" s="7"/>
      <c r="XE41" s="7"/>
      <c r="XF41" s="7"/>
      <c r="XG41" s="7"/>
      <c r="XH41" s="7"/>
      <c r="XI41" s="7"/>
      <c r="XJ41" s="7"/>
      <c r="XK41" s="7"/>
      <c r="XL41" s="7"/>
      <c r="XM41" s="7"/>
      <c r="XN41" s="7"/>
      <c r="XO41" s="7"/>
      <c r="XP41" s="7"/>
      <c r="XQ41" s="7"/>
      <c r="XR41" s="7"/>
      <c r="XS41" s="7"/>
      <c r="XT41" s="7"/>
      <c r="XU41" s="7"/>
      <c r="XV41" s="7"/>
      <c r="XW41" s="7"/>
      <c r="XX41" s="7"/>
      <c r="XY41" s="7"/>
      <c r="XZ41" s="7"/>
      <c r="YA41" s="7"/>
      <c r="YB41" s="7"/>
      <c r="YC41" s="7"/>
      <c r="YD41" s="7"/>
      <c r="YE41" s="7"/>
      <c r="YF41" s="7"/>
      <c r="YG41" s="7"/>
      <c r="YH41" s="7"/>
      <c r="YI41" s="7"/>
      <c r="YJ41" s="7"/>
      <c r="YK41" s="7"/>
      <c r="YL41" s="7"/>
      <c r="YM41" s="7"/>
      <c r="YN41" s="7"/>
      <c r="YO41" s="7"/>
      <c r="YP41" s="7"/>
      <c r="YQ41" s="7"/>
      <c r="YR41" s="7"/>
      <c r="YS41" s="7"/>
      <c r="YT41" s="7"/>
      <c r="YU41" s="7"/>
      <c r="YV41" s="7"/>
      <c r="YW41" s="7"/>
      <c r="YX41" s="7"/>
      <c r="YY41" s="7"/>
      <c r="YZ41" s="7"/>
      <c r="ZA41" s="7"/>
      <c r="ZB41" s="7"/>
      <c r="ZC41" s="7"/>
      <c r="ZD41" s="7"/>
      <c r="ZE41" s="7"/>
      <c r="ZF41" s="7"/>
      <c r="ZG41" s="7"/>
      <c r="ZH41" s="7"/>
      <c r="ZI41" s="7"/>
      <c r="ZJ41" s="7"/>
      <c r="ZK41" s="7"/>
      <c r="ZL41" s="7"/>
      <c r="ZM41" s="7"/>
      <c r="ZN41" s="7"/>
      <c r="ZO41" s="7"/>
      <c r="ZP41" s="7"/>
      <c r="ZQ41" s="7"/>
      <c r="ZR41" s="7"/>
      <c r="ZS41" s="7"/>
      <c r="ZT41" s="7"/>
      <c r="ZU41" s="7"/>
      <c r="ZV41" s="7"/>
      <c r="ZW41" s="7"/>
      <c r="ZX41" s="7"/>
      <c r="ZY41" s="7"/>
      <c r="ZZ41" s="7"/>
      <c r="AAA41" s="7"/>
      <c r="AAB41" s="7"/>
      <c r="AAC41" s="7"/>
      <c r="AAD41" s="7"/>
      <c r="AAE41" s="7"/>
      <c r="AAF41" s="7"/>
      <c r="AAG41" s="7"/>
      <c r="AAH41" s="7"/>
      <c r="AAI41" s="7"/>
      <c r="AAJ41" s="7"/>
      <c r="AAK41" s="7"/>
      <c r="AAL41" s="7"/>
      <c r="AAM41" s="7"/>
      <c r="AAN41" s="7"/>
      <c r="AAO41" s="7"/>
      <c r="AAP41" s="7"/>
      <c r="AAQ41" s="7"/>
      <c r="AAR41" s="7"/>
      <c r="AAS41" s="7"/>
      <c r="AAT41" s="7"/>
      <c r="AAU41" s="7"/>
      <c r="AAV41" s="7"/>
      <c r="AAW41" s="7"/>
      <c r="AAX41" s="7"/>
      <c r="AAY41" s="7"/>
      <c r="AAZ41" s="7"/>
      <c r="ABA41" s="7"/>
      <c r="ABB41" s="7"/>
      <c r="ABC41" s="7"/>
      <c r="ABD41" s="7"/>
      <c r="ABE41" s="7"/>
      <c r="ABF41" s="7"/>
      <c r="ABG41" s="7"/>
      <c r="ABH41" s="7"/>
      <c r="ABI41" s="7"/>
      <c r="ABJ41" s="7"/>
      <c r="ABK41" s="7"/>
      <c r="ABL41" s="7"/>
      <c r="ABM41" s="7"/>
      <c r="ABN41" s="7"/>
      <c r="ABO41" s="7"/>
      <c r="ABP41" s="7"/>
      <c r="ABQ41" s="7"/>
      <c r="ABR41" s="7"/>
      <c r="ABS41" s="7"/>
      <c r="ABT41" s="7"/>
      <c r="ABU41" s="7"/>
      <c r="ABV41" s="7"/>
      <c r="ABW41" s="7"/>
      <c r="ABX41" s="7"/>
      <c r="ABY41" s="7"/>
      <c r="ABZ41" s="7"/>
      <c r="ACA41" s="7"/>
      <c r="ACB41" s="7"/>
      <c r="ACC41" s="7"/>
      <c r="ACD41" s="7"/>
      <c r="ACE41" s="7"/>
      <c r="ACF41" s="7"/>
      <c r="ACG41" s="7"/>
      <c r="ACH41" s="7"/>
      <c r="ACI41" s="7"/>
      <c r="ACJ41" s="7"/>
      <c r="ACK41" s="7"/>
      <c r="ACL41" s="7"/>
      <c r="ACM41" s="7"/>
      <c r="ACN41" s="7"/>
      <c r="ACO41" s="7"/>
      <c r="ACP41" s="7"/>
      <c r="ACQ41" s="7"/>
      <c r="ACR41" s="7"/>
      <c r="ACS41" s="7"/>
      <c r="ACT41" s="7"/>
      <c r="ACU41" s="7"/>
      <c r="ACV41" s="7"/>
      <c r="ACW41" s="7"/>
      <c r="ACX41" s="7"/>
      <c r="ACY41" s="7"/>
      <c r="ACZ41" s="7"/>
      <c r="ADA41" s="7"/>
      <c r="ADB41" s="7"/>
      <c r="ADC41" s="7"/>
      <c r="ADD41" s="7"/>
      <c r="ADE41" s="7"/>
      <c r="ADF41" s="7"/>
      <c r="ADG41" s="7"/>
      <c r="ADH41" s="7"/>
      <c r="ADI41" s="7"/>
      <c r="ADJ41" s="7"/>
      <c r="ADK41" s="7"/>
      <c r="ADL41" s="7"/>
      <c r="ADM41" s="7"/>
      <c r="ADN41" s="7"/>
      <c r="ADO41" s="7"/>
      <c r="ADP41" s="7"/>
      <c r="ADQ41" s="7"/>
      <c r="ADR41" s="7"/>
      <c r="ADS41" s="7"/>
      <c r="ADT41" s="7"/>
      <c r="ADU41" s="7"/>
      <c r="ADV41" s="7"/>
      <c r="ADW41" s="7"/>
      <c r="ADX41" s="7"/>
      <c r="ADY41" s="7"/>
      <c r="ADZ41" s="7"/>
      <c r="AEA41" s="7"/>
      <c r="AEB41" s="7"/>
      <c r="AEC41" s="7"/>
      <c r="AED41" s="7"/>
      <c r="AEE41" s="7"/>
      <c r="AEF41" s="7"/>
      <c r="AEG41" s="7"/>
      <c r="AEH41" s="7"/>
      <c r="AEI41" s="7"/>
      <c r="AEJ41" s="7"/>
      <c r="AEK41" s="7"/>
      <c r="AEL41" s="7"/>
      <c r="AEM41" s="7"/>
      <c r="AEN41" s="7"/>
      <c r="AEO41" s="7"/>
      <c r="AEP41" s="7"/>
      <c r="AEQ41" s="7"/>
      <c r="AER41" s="7"/>
      <c r="AES41" s="7"/>
      <c r="AET41" s="7"/>
      <c r="AEU41" s="7"/>
      <c r="AEV41" s="7"/>
      <c r="AEW41" s="7"/>
      <c r="AEX41" s="7"/>
      <c r="AEY41" s="7"/>
      <c r="AEZ41" s="7"/>
      <c r="AFA41" s="7"/>
      <c r="AFB41" s="7"/>
      <c r="AFC41" s="7"/>
      <c r="AFD41" s="7"/>
      <c r="AFE41" s="7"/>
      <c r="AFF41" s="7"/>
      <c r="AFG41" s="7"/>
      <c r="AFH41" s="7"/>
      <c r="AFI41" s="7"/>
      <c r="AFJ41" s="7"/>
      <c r="AFK41" s="7"/>
      <c r="AFL41" s="7"/>
      <c r="AFM41" s="7"/>
      <c r="AFN41" s="7"/>
      <c r="AFO41" s="7"/>
      <c r="AFP41" s="7"/>
      <c r="AFQ41" s="7"/>
      <c r="AFR41" s="7"/>
      <c r="AFS41" s="7"/>
      <c r="AFT41" s="7"/>
      <c r="AFU41" s="7"/>
      <c r="AFV41" s="7"/>
      <c r="AFW41" s="7"/>
      <c r="AFX41" s="7"/>
      <c r="AFY41" s="7"/>
      <c r="AFZ41" s="7"/>
      <c r="AGA41" s="7"/>
      <c r="AGB41" s="7"/>
      <c r="AGC41" s="7"/>
      <c r="AGD41" s="7"/>
      <c r="AGE41" s="7"/>
      <c r="AGF41" s="7"/>
      <c r="AGG41" s="7"/>
      <c r="AGH41" s="7"/>
      <c r="AGI41" s="7"/>
      <c r="AGJ41" s="7"/>
      <c r="AGK41" s="7"/>
      <c r="AGL41" s="7"/>
      <c r="AGM41" s="7"/>
      <c r="AGN41" s="7"/>
      <c r="AGO41" s="7"/>
      <c r="AGP41" s="7"/>
      <c r="AGQ41" s="7"/>
      <c r="AGR41" s="7"/>
      <c r="AGS41" s="7"/>
      <c r="AGT41" s="7"/>
      <c r="AGU41" s="7"/>
      <c r="AGV41" s="7"/>
      <c r="AGW41" s="7"/>
      <c r="AGX41" s="7"/>
      <c r="AGY41" s="7"/>
      <c r="AGZ41" s="7"/>
      <c r="AHA41" s="7"/>
      <c r="AHB41" s="7"/>
      <c r="AHC41" s="7"/>
      <c r="AHD41" s="7"/>
      <c r="AHE41" s="7"/>
      <c r="AHF41" s="7"/>
      <c r="AHG41" s="7"/>
      <c r="AHH41" s="7"/>
      <c r="AHI41" s="7"/>
      <c r="AHJ41" s="7"/>
      <c r="AHK41" s="7"/>
      <c r="AHL41" s="7"/>
      <c r="AHM41" s="7"/>
      <c r="AHN41" s="7"/>
      <c r="AHO41" s="7"/>
      <c r="AHP41" s="7"/>
      <c r="AHQ41" s="7"/>
      <c r="AHR41" s="7"/>
      <c r="AHS41" s="7"/>
      <c r="AHT41" s="7"/>
      <c r="AHU41" s="7"/>
      <c r="AHV41" s="7"/>
      <c r="AHW41" s="7"/>
      <c r="AHX41" s="7"/>
      <c r="AHY41" s="7"/>
      <c r="AHZ41" s="7"/>
      <c r="AIA41" s="7"/>
      <c r="AIB41" s="7"/>
      <c r="AIC41" s="7"/>
      <c r="AID41" s="7"/>
      <c r="AIE41" s="7"/>
      <c r="AIF41" s="7"/>
      <c r="AIG41" s="7"/>
      <c r="AIH41" s="7"/>
      <c r="AII41" s="7"/>
      <c r="AIJ41" s="7"/>
      <c r="AIK41" s="7"/>
      <c r="AIL41" s="7"/>
      <c r="AIM41" s="7"/>
      <c r="AIN41" s="7"/>
      <c r="AIO41" s="7"/>
      <c r="AIP41" s="7"/>
      <c r="AIQ41" s="7"/>
      <c r="AIR41" s="7"/>
      <c r="AIS41" s="7"/>
      <c r="AIT41" s="7"/>
      <c r="AIU41" s="7"/>
      <c r="AIV41" s="7"/>
      <c r="AIW41" s="7"/>
      <c r="AIX41" s="7"/>
      <c r="AIY41" s="7"/>
      <c r="AIZ41" s="7"/>
      <c r="AJA41" s="7"/>
      <c r="AJB41" s="7"/>
      <c r="AJC41" s="7"/>
      <c r="AJD41" s="7"/>
      <c r="AJE41" s="7"/>
      <c r="AJF41" s="7"/>
      <c r="AJG41" s="7"/>
      <c r="AJH41" s="7"/>
      <c r="AJI41" s="7"/>
      <c r="AJJ41" s="7"/>
      <c r="AJK41" s="7"/>
      <c r="AJL41" s="7"/>
      <c r="AJM41" s="7"/>
      <c r="AJN41" s="7"/>
      <c r="AJO41" s="7"/>
      <c r="AJP41" s="7"/>
      <c r="AJQ41" s="7"/>
      <c r="AJR41" s="7"/>
      <c r="AJS41" s="7"/>
      <c r="AJT41" s="7"/>
      <c r="AJU41" s="7"/>
      <c r="AJV41" s="7"/>
      <c r="AJW41" s="7"/>
      <c r="AJX41" s="7"/>
      <c r="AJY41" s="7"/>
      <c r="AJZ41" s="7"/>
      <c r="AKA41" s="7"/>
      <c r="AKB41" s="7"/>
      <c r="AKC41" s="7"/>
      <c r="AKD41" s="7"/>
      <c r="AKE41" s="7"/>
      <c r="AKF41" s="7"/>
      <c r="AKG41" s="7"/>
      <c r="AKH41" s="7"/>
      <c r="AKI41" s="7"/>
      <c r="AKJ41" s="7"/>
      <c r="AKK41" s="7"/>
      <c r="AKL41" s="7"/>
      <c r="AKM41" s="7"/>
      <c r="AKN41" s="7"/>
      <c r="AKO41" s="7"/>
      <c r="AKP41" s="7"/>
      <c r="AKQ41" s="7"/>
      <c r="AKR41" s="7"/>
      <c r="AKS41" s="7"/>
      <c r="AKT41" s="7"/>
      <c r="AKU41" s="7"/>
      <c r="AKV41" s="7"/>
      <c r="AKW41" s="7"/>
      <c r="AKX41" s="7"/>
      <c r="AKY41" s="7"/>
      <c r="AKZ41" s="7"/>
      <c r="ALA41" s="7"/>
      <c r="ALB41" s="7"/>
      <c r="ALC41" s="7"/>
      <c r="ALD41" s="7"/>
      <c r="ALE41" s="7"/>
      <c r="ALF41" s="7"/>
      <c r="ALG41" s="7"/>
      <c r="ALH41" s="7"/>
      <c r="ALI41" s="7"/>
      <c r="ALJ41" s="7"/>
      <c r="ALK41" s="7"/>
      <c r="ALL41" s="7"/>
      <c r="ALM41" s="7"/>
      <c r="ALN41" s="7"/>
      <c r="ALO41" s="7"/>
      <c r="ALP41" s="7"/>
      <c r="ALQ41" s="7"/>
      <c r="ALR41" s="7"/>
      <c r="ALS41" s="7"/>
      <c r="ALT41" s="7"/>
      <c r="ALU41" s="7"/>
      <c r="ALV41" s="7"/>
      <c r="ALW41" s="7"/>
      <c r="ALX41" s="7"/>
      <c r="ALY41" s="7"/>
      <c r="ALZ41" s="7"/>
      <c r="AMA41" s="7"/>
      <c r="AMB41" s="7"/>
      <c r="AMC41" s="7"/>
      <c r="AMD41" s="7"/>
      <c r="AME41" s="7"/>
      <c r="AMF41" s="7"/>
      <c r="AMG41" s="7"/>
      <c r="AMH41" s="7"/>
      <c r="AMI41" s="7"/>
      <c r="AMJ41" s="7"/>
      <c r="AMK41" s="7"/>
      <c r="AML41" s="7"/>
      <c r="AMM41" s="7"/>
      <c r="AMN41" s="7"/>
      <c r="AMO41" s="7"/>
      <c r="AMP41" s="7"/>
      <c r="AMQ41" s="7"/>
      <c r="AMR41" s="7"/>
      <c r="AMS41" s="7"/>
      <c r="AMT41" s="7"/>
      <c r="AMU41" s="7"/>
      <c r="AMV41" s="7"/>
      <c r="AMW41" s="7"/>
      <c r="AMX41" s="7"/>
      <c r="AMY41" s="7"/>
      <c r="AMZ41" s="7"/>
      <c r="ANA41" s="7"/>
      <c r="ANB41" s="7"/>
      <c r="ANC41" s="7"/>
      <c r="AND41" s="7"/>
      <c r="ANE41" s="7"/>
      <c r="ANF41" s="7"/>
      <c r="ANG41" s="7"/>
      <c r="ANH41" s="7"/>
      <c r="ANI41" s="7"/>
      <c r="ANJ41" s="7"/>
      <c r="ANK41" s="7"/>
      <c r="ANL41" s="7"/>
      <c r="ANM41" s="7"/>
      <c r="ANN41" s="7"/>
      <c r="ANO41" s="7"/>
      <c r="ANP41" s="7"/>
      <c r="ANQ41" s="7"/>
      <c r="ANR41" s="7"/>
      <c r="ANS41" s="7"/>
      <c r="ANT41" s="7"/>
      <c r="ANU41" s="7"/>
      <c r="ANV41" s="7"/>
      <c r="ANW41" s="7"/>
      <c r="ANX41" s="7"/>
      <c r="ANY41" s="7"/>
      <c r="ANZ41" s="7"/>
      <c r="AOA41" s="7"/>
      <c r="AOB41" s="7"/>
      <c r="AOC41" s="7"/>
      <c r="AOD41" s="7"/>
      <c r="AOE41" s="7"/>
      <c r="AOF41" s="7"/>
      <c r="AOG41" s="7"/>
      <c r="AOH41" s="7"/>
      <c r="AOI41" s="7"/>
      <c r="AOJ41" s="7"/>
      <c r="AOK41" s="7"/>
      <c r="AOL41" s="7"/>
      <c r="AOM41" s="7"/>
      <c r="AON41" s="7"/>
      <c r="AOO41" s="7"/>
      <c r="AOP41" s="7"/>
      <c r="AOQ41" s="7"/>
      <c r="AOR41" s="7"/>
      <c r="AOS41" s="7"/>
      <c r="AOT41" s="7"/>
      <c r="AOU41" s="7"/>
      <c r="AOV41" s="7"/>
      <c r="AOW41" s="7"/>
      <c r="AOX41" s="7"/>
      <c r="AOY41" s="7"/>
      <c r="AOZ41" s="7"/>
      <c r="APA41" s="7"/>
      <c r="APB41" s="7"/>
      <c r="APC41" s="7"/>
      <c r="APD41" s="7"/>
      <c r="APE41" s="7"/>
      <c r="APF41" s="7"/>
      <c r="APG41" s="7"/>
      <c r="APH41" s="7"/>
      <c r="API41" s="7"/>
      <c r="APJ41" s="7"/>
      <c r="APK41" s="7"/>
      <c r="APL41" s="7"/>
      <c r="APM41" s="7"/>
      <c r="APN41" s="7"/>
      <c r="APO41" s="7"/>
      <c r="APP41" s="7"/>
      <c r="APQ41" s="7"/>
      <c r="APR41" s="7"/>
      <c r="APS41" s="7"/>
      <c r="APT41" s="7"/>
      <c r="APU41" s="7"/>
      <c r="APV41" s="7"/>
      <c r="APW41" s="7"/>
      <c r="APX41" s="7"/>
      <c r="APY41" s="7"/>
      <c r="APZ41" s="7"/>
      <c r="AQA41" s="7"/>
      <c r="AQB41" s="7"/>
      <c r="AQC41" s="7"/>
      <c r="AQD41" s="7"/>
      <c r="AQE41" s="7"/>
      <c r="AQF41" s="7"/>
      <c r="AQG41" s="7"/>
      <c r="AQH41" s="7"/>
      <c r="AQI41" s="7"/>
      <c r="AQJ41" s="7"/>
      <c r="AQK41" s="7"/>
      <c r="AQL41" s="7"/>
      <c r="AQM41" s="7"/>
      <c r="AQN41" s="7"/>
      <c r="AQO41" s="7"/>
      <c r="AQP41" s="7"/>
      <c r="AQQ41" s="7"/>
      <c r="AQR41" s="7"/>
      <c r="AQS41" s="7"/>
      <c r="AQT41" s="7"/>
      <c r="AQU41" s="7"/>
      <c r="AQV41" s="7"/>
      <c r="AQW41" s="7"/>
      <c r="AQX41" s="7"/>
      <c r="AQY41" s="7"/>
      <c r="AQZ41" s="7"/>
      <c r="ARA41" s="7"/>
      <c r="ARB41" s="7"/>
      <c r="ARC41" s="7"/>
      <c r="ARD41" s="7"/>
      <c r="ARE41" s="7"/>
      <c r="ARF41" s="7"/>
      <c r="ARG41" s="7"/>
      <c r="ARH41" s="7"/>
      <c r="ARI41" s="7"/>
      <c r="ARJ41" s="7"/>
      <c r="ARK41" s="7"/>
      <c r="ARL41" s="7"/>
      <c r="ARM41" s="7"/>
      <c r="ARN41" s="7"/>
      <c r="ARO41" s="7"/>
      <c r="ARP41" s="7"/>
      <c r="ARQ41" s="7"/>
      <c r="ARR41" s="7"/>
      <c r="ARS41" s="7"/>
      <c r="ART41" s="7"/>
      <c r="ARU41" s="7"/>
      <c r="ARV41" s="7"/>
      <c r="ARW41" s="7"/>
      <c r="ARX41" s="7"/>
      <c r="ARY41" s="7"/>
      <c r="ARZ41" s="7"/>
      <c r="ASA41" s="7"/>
      <c r="ASB41" s="7"/>
      <c r="ASC41" s="7"/>
      <c r="ASD41" s="7"/>
      <c r="ASE41" s="7"/>
      <c r="ASF41" s="7"/>
      <c r="ASG41" s="7"/>
      <c r="ASH41" s="7"/>
      <c r="ASI41" s="7"/>
      <c r="ASJ41" s="7"/>
      <c r="ASK41" s="7"/>
      <c r="ASL41" s="7"/>
      <c r="ASM41" s="7"/>
      <c r="ASN41" s="7"/>
      <c r="ASO41" s="7"/>
      <c r="ASP41" s="7"/>
      <c r="ASQ41" s="7"/>
      <c r="ASR41" s="7"/>
      <c r="ASS41" s="7"/>
      <c r="AST41" s="7"/>
      <c r="ASU41" s="7"/>
      <c r="ASV41" s="7"/>
      <c r="ASW41" s="7"/>
      <c r="ASX41" s="7"/>
      <c r="ASY41" s="7"/>
      <c r="ASZ41" s="7"/>
      <c r="ATA41" s="7"/>
      <c r="ATB41" s="7"/>
      <c r="ATC41" s="7"/>
      <c r="ATD41" s="7"/>
      <c r="ATE41" s="7"/>
      <c r="ATF41" s="7"/>
      <c r="ATG41" s="7"/>
      <c r="ATH41" s="7"/>
      <c r="ATI41" s="7"/>
      <c r="ATJ41" s="7"/>
      <c r="ATK41" s="7"/>
      <c r="ATL41" s="7"/>
      <c r="ATM41" s="7"/>
      <c r="ATN41" s="7"/>
      <c r="ATO41" s="7"/>
      <c r="ATP41" s="7"/>
      <c r="ATQ41" s="7"/>
      <c r="ATR41" s="7"/>
      <c r="ATS41" s="7"/>
      <c r="ATT41" s="7"/>
      <c r="ATU41" s="7"/>
      <c r="ATV41" s="7"/>
      <c r="ATW41" s="7"/>
      <c r="ATX41" s="7"/>
      <c r="ATY41" s="7"/>
      <c r="ATZ41" s="7"/>
      <c r="AUA41" s="7"/>
      <c r="AUB41" s="7"/>
      <c r="AUC41" s="7"/>
      <c r="AUD41" s="7"/>
      <c r="AUE41" s="7"/>
      <c r="AUF41" s="7"/>
      <c r="AUG41" s="7"/>
      <c r="AUH41" s="7"/>
      <c r="AUI41" s="7"/>
      <c r="AUJ41" s="7"/>
      <c r="AUK41" s="7"/>
      <c r="AUL41" s="7"/>
      <c r="AUM41" s="7"/>
      <c r="AUN41" s="7"/>
      <c r="AUO41" s="7"/>
      <c r="AUP41" s="7"/>
      <c r="AUQ41" s="7"/>
      <c r="AUR41" s="7"/>
      <c r="AUS41" s="7"/>
      <c r="AUT41" s="7"/>
      <c r="AUU41" s="7"/>
      <c r="AUV41" s="7"/>
      <c r="AUW41" s="7"/>
      <c r="AUX41" s="7"/>
      <c r="AUY41" s="7"/>
      <c r="AUZ41" s="7"/>
      <c r="AVA41" s="7"/>
      <c r="AVB41" s="7"/>
      <c r="AVC41" s="7"/>
      <c r="AVD41" s="7"/>
      <c r="AVE41" s="7"/>
      <c r="AVF41" s="7"/>
      <c r="AVG41" s="7"/>
      <c r="AVH41" s="7"/>
      <c r="AVI41" s="7"/>
      <c r="AVJ41" s="7"/>
      <c r="AVK41" s="7"/>
      <c r="AVL41" s="7"/>
      <c r="AVM41" s="7"/>
      <c r="AVN41" s="7"/>
      <c r="AVO41" s="7"/>
      <c r="AVP41" s="7"/>
      <c r="AVQ41" s="7"/>
      <c r="AVR41" s="7"/>
      <c r="AVS41" s="7"/>
      <c r="AVT41" s="7"/>
      <c r="AVU41" s="7"/>
      <c r="AVV41" s="7"/>
      <c r="AVW41" s="7"/>
      <c r="AVX41" s="7"/>
      <c r="AVY41" s="7"/>
      <c r="AVZ41" s="7"/>
      <c r="AWA41" s="7"/>
      <c r="AWB41" s="7"/>
      <c r="AWC41" s="7"/>
      <c r="AWD41" s="7"/>
      <c r="AWE41" s="7"/>
      <c r="AWF41" s="7"/>
      <c r="AWG41" s="7"/>
      <c r="AWH41" s="7"/>
      <c r="AWI41" s="7"/>
      <c r="AWJ41" s="7"/>
      <c r="AWK41" s="7"/>
      <c r="AWL41" s="7"/>
      <c r="AWM41" s="7"/>
      <c r="AWN41" s="7"/>
      <c r="AWO41" s="7"/>
      <c r="AWP41" s="7"/>
      <c r="AWQ41" s="7"/>
      <c r="AWR41" s="7"/>
      <c r="AWS41" s="7"/>
      <c r="AWT41" s="7"/>
      <c r="AWU41" s="7"/>
      <c r="AWV41" s="7"/>
      <c r="AWW41" s="7"/>
      <c r="AWX41" s="7"/>
      <c r="AWY41" s="7"/>
      <c r="AWZ41" s="7"/>
      <c r="AXA41" s="7"/>
      <c r="AXB41" s="7"/>
      <c r="AXC41" s="7"/>
      <c r="AXD41" s="7"/>
      <c r="AXE41" s="7"/>
      <c r="AXF41" s="7"/>
      <c r="AXG41" s="7"/>
      <c r="AXH41" s="7"/>
      <c r="AXI41" s="7"/>
      <c r="AXJ41" s="7"/>
      <c r="AXK41" s="7"/>
      <c r="AXL41" s="7"/>
      <c r="AXM41" s="7"/>
      <c r="AXN41" s="7"/>
      <c r="AXO41" s="7"/>
      <c r="AXP41" s="7"/>
      <c r="AXQ41" s="7"/>
      <c r="AXR41" s="7"/>
      <c r="AXS41" s="7"/>
      <c r="AXT41" s="7"/>
      <c r="AXU41" s="7"/>
      <c r="AXV41" s="7"/>
      <c r="AXW41" s="7"/>
      <c r="AXX41" s="7"/>
      <c r="AXY41" s="7"/>
      <c r="AXZ41" s="7"/>
      <c r="AYA41" s="7"/>
      <c r="AYB41" s="7"/>
      <c r="AYC41" s="7"/>
      <c r="AYD41" s="7"/>
      <c r="AYE41" s="7"/>
      <c r="AYF41" s="7"/>
      <c r="AYG41" s="7"/>
      <c r="AYH41" s="7"/>
      <c r="AYI41" s="7"/>
      <c r="AYJ41" s="7"/>
      <c r="AYK41" s="7"/>
      <c r="AYL41" s="7"/>
      <c r="AYM41" s="7"/>
      <c r="AYN41" s="7"/>
      <c r="AYO41" s="7"/>
      <c r="AYP41" s="7"/>
      <c r="AYQ41" s="7"/>
      <c r="AYR41" s="7"/>
      <c r="AYS41" s="7"/>
      <c r="AYT41" s="7"/>
      <c r="AYU41" s="7"/>
      <c r="AYV41" s="7"/>
      <c r="AYW41" s="7"/>
      <c r="AYX41" s="7"/>
      <c r="AYY41" s="7"/>
      <c r="AYZ41" s="7"/>
      <c r="AZA41" s="7"/>
      <c r="AZB41" s="7"/>
      <c r="AZC41" s="7"/>
      <c r="AZD41" s="7"/>
      <c r="AZE41" s="7"/>
      <c r="AZF41" s="7"/>
      <c r="AZG41" s="7"/>
      <c r="AZH41" s="7"/>
      <c r="AZI41" s="7"/>
      <c r="AZJ41" s="7"/>
      <c r="AZK41" s="7"/>
      <c r="AZL41" s="7"/>
      <c r="AZM41" s="7"/>
      <c r="AZN41" s="7"/>
      <c r="AZO41" s="7"/>
      <c r="AZP41" s="7"/>
      <c r="AZQ41" s="7"/>
      <c r="AZR41" s="7"/>
      <c r="AZS41" s="7"/>
      <c r="AZT41" s="7"/>
      <c r="AZU41" s="7"/>
      <c r="AZV41" s="7"/>
      <c r="AZW41" s="7"/>
      <c r="AZX41" s="7"/>
      <c r="AZY41" s="7"/>
      <c r="AZZ41" s="7"/>
      <c r="BAA41" s="7"/>
      <c r="BAB41" s="7"/>
      <c r="BAC41" s="7"/>
      <c r="BAD41" s="7"/>
      <c r="BAE41" s="7"/>
      <c r="BAF41" s="7"/>
      <c r="BAG41" s="7"/>
      <c r="BAH41" s="7"/>
      <c r="BAI41" s="7"/>
      <c r="BAJ41" s="7"/>
      <c r="BAK41" s="7"/>
      <c r="BAL41" s="7"/>
      <c r="BAM41" s="7"/>
      <c r="BAN41" s="7"/>
      <c r="BAO41" s="7"/>
      <c r="BAP41" s="7"/>
      <c r="BAQ41" s="7"/>
      <c r="BAR41" s="7"/>
      <c r="BAS41" s="7"/>
      <c r="BAT41" s="7"/>
      <c r="BAU41" s="7"/>
      <c r="BAV41" s="7"/>
      <c r="BAW41" s="7"/>
      <c r="BAX41" s="7"/>
      <c r="BAY41" s="7"/>
      <c r="BAZ41" s="7"/>
      <c r="BBA41" s="7"/>
      <c r="BBB41" s="7"/>
      <c r="BBC41" s="7"/>
      <c r="BBD41" s="7"/>
      <c r="BBE41" s="7"/>
      <c r="BBF41" s="7"/>
      <c r="BBG41" s="7"/>
      <c r="BBH41" s="7"/>
      <c r="BBI41" s="7"/>
      <c r="BBJ41" s="7"/>
      <c r="BBK41" s="7"/>
      <c r="BBL41" s="7"/>
      <c r="BBM41" s="7"/>
      <c r="BBN41" s="7"/>
      <c r="BBO41" s="7"/>
      <c r="BBP41" s="7"/>
      <c r="BBQ41" s="7"/>
      <c r="BBR41" s="7"/>
      <c r="BBS41" s="7"/>
      <c r="BBT41" s="7"/>
      <c r="BBU41" s="7"/>
      <c r="BBV41" s="7"/>
      <c r="BBW41" s="7"/>
      <c r="BBX41" s="7"/>
      <c r="BBY41" s="7"/>
      <c r="BBZ41" s="7"/>
      <c r="BCA41" s="7"/>
      <c r="BCB41" s="7"/>
      <c r="BCC41" s="7"/>
      <c r="BCD41" s="7"/>
      <c r="BCE41" s="7"/>
      <c r="BCF41" s="7"/>
      <c r="BCG41" s="7"/>
      <c r="BCH41" s="7"/>
      <c r="BCI41" s="7"/>
      <c r="BCJ41" s="7"/>
      <c r="BCK41" s="7"/>
      <c r="BCL41" s="7"/>
      <c r="BCM41" s="7"/>
      <c r="BCN41" s="7"/>
      <c r="BCO41" s="7"/>
      <c r="BCP41" s="7"/>
      <c r="BCQ41" s="7"/>
      <c r="BCR41" s="7"/>
      <c r="BCS41" s="7"/>
      <c r="BCT41" s="7"/>
      <c r="BCU41" s="7"/>
      <c r="BCV41" s="7"/>
      <c r="BCW41" s="7"/>
      <c r="BCX41" s="7"/>
      <c r="BCY41" s="7"/>
      <c r="BCZ41" s="7"/>
      <c r="BDA41" s="7"/>
      <c r="BDB41" s="7"/>
      <c r="BDC41" s="7"/>
      <c r="BDD41" s="7"/>
      <c r="BDE41" s="7"/>
      <c r="BDF41" s="7"/>
      <c r="BDG41" s="7"/>
      <c r="BDH41" s="7"/>
      <c r="BDI41" s="7"/>
      <c r="BDJ41" s="7"/>
      <c r="BDK41" s="7"/>
      <c r="BDL41" s="7"/>
      <c r="BDM41" s="7"/>
      <c r="BDN41" s="7"/>
      <c r="BDO41" s="7"/>
      <c r="BDP41" s="7"/>
      <c r="BDQ41" s="7"/>
      <c r="BDR41" s="7"/>
      <c r="BDS41" s="7"/>
      <c r="BDT41" s="7"/>
      <c r="BDU41" s="7"/>
      <c r="BDV41" s="7"/>
      <c r="BDW41" s="7"/>
      <c r="BDX41" s="7"/>
      <c r="BDY41" s="7"/>
      <c r="BDZ41" s="7"/>
      <c r="BEA41" s="7"/>
      <c r="BEB41" s="7"/>
      <c r="BEC41" s="7"/>
      <c r="BED41" s="7"/>
      <c r="BEE41" s="7"/>
      <c r="BEF41" s="7"/>
      <c r="BEG41" s="7"/>
      <c r="BEH41" s="7"/>
      <c r="BEI41" s="7"/>
      <c r="BEJ41" s="7"/>
      <c r="BEK41" s="7"/>
      <c r="BEL41" s="7"/>
      <c r="BEM41" s="7"/>
      <c r="BEN41" s="7"/>
      <c r="BEO41" s="7"/>
      <c r="BEP41" s="7"/>
      <c r="BEQ41" s="7"/>
      <c r="BER41" s="7"/>
      <c r="BES41" s="7"/>
      <c r="BET41" s="7"/>
      <c r="BEU41" s="7"/>
      <c r="BEV41" s="7"/>
      <c r="BEW41" s="7"/>
      <c r="BEX41" s="7"/>
      <c r="BEY41" s="7"/>
      <c r="BEZ41" s="7"/>
      <c r="BFA41" s="7"/>
      <c r="BFB41" s="7"/>
      <c r="BFC41" s="7"/>
      <c r="BFD41" s="7"/>
      <c r="BFE41" s="7"/>
      <c r="BFF41" s="7"/>
      <c r="BFG41" s="7"/>
      <c r="BFH41" s="7"/>
      <c r="BFI41" s="7"/>
      <c r="BFJ41" s="7"/>
      <c r="BFK41" s="7"/>
      <c r="BFL41" s="7"/>
      <c r="BFM41" s="7"/>
      <c r="BFN41" s="7"/>
      <c r="BFO41" s="7"/>
      <c r="BFP41" s="7"/>
      <c r="BFQ41" s="7"/>
      <c r="BFR41" s="7"/>
      <c r="BFS41" s="7"/>
      <c r="BFT41" s="7"/>
      <c r="BFU41" s="7"/>
      <c r="BFV41" s="7"/>
      <c r="BFW41" s="7"/>
      <c r="BFX41" s="7"/>
      <c r="BFY41" s="7"/>
      <c r="BFZ41" s="7"/>
      <c r="BGA41" s="7"/>
      <c r="BGB41" s="7"/>
      <c r="BGC41" s="7"/>
      <c r="BGD41" s="7"/>
      <c r="BGE41" s="7"/>
      <c r="BGF41" s="7"/>
      <c r="BGG41" s="7"/>
      <c r="BGH41" s="7"/>
      <c r="BGI41" s="7"/>
      <c r="BGJ41" s="7"/>
      <c r="BGK41" s="7"/>
      <c r="BGL41" s="7"/>
      <c r="BGM41" s="7"/>
      <c r="BGN41" s="7"/>
      <c r="BGO41" s="7"/>
      <c r="BGP41" s="7"/>
      <c r="BGQ41" s="7"/>
      <c r="BGR41" s="7"/>
      <c r="BGS41" s="7"/>
      <c r="BGT41" s="7"/>
      <c r="BGU41" s="7"/>
      <c r="BGV41" s="7"/>
      <c r="BGW41" s="7"/>
      <c r="BGX41" s="7"/>
      <c r="BGY41" s="7"/>
      <c r="BGZ41" s="7"/>
      <c r="BHA41" s="7"/>
      <c r="BHB41" s="7"/>
      <c r="BHC41" s="7"/>
      <c r="BHD41" s="7"/>
      <c r="BHE41" s="7"/>
      <c r="BHF41" s="7"/>
      <c r="BHG41" s="7"/>
      <c r="BHH41" s="7"/>
      <c r="BHI41" s="7"/>
      <c r="BHJ41" s="7"/>
      <c r="BHK41" s="7"/>
      <c r="BHL41" s="7"/>
      <c r="BHM41" s="7"/>
      <c r="BHN41" s="7"/>
      <c r="BHO41" s="7"/>
      <c r="BHP41" s="7"/>
      <c r="BHQ41" s="7"/>
      <c r="BHR41" s="7"/>
      <c r="BHS41" s="7"/>
      <c r="BHT41" s="7"/>
      <c r="BHU41" s="7"/>
      <c r="BHV41" s="7"/>
      <c r="BHW41" s="7"/>
      <c r="BHX41" s="7"/>
      <c r="BHY41" s="7"/>
      <c r="BHZ41" s="7"/>
      <c r="BIA41" s="7"/>
      <c r="BIB41" s="7"/>
      <c r="BIC41" s="7"/>
      <c r="BID41" s="7"/>
      <c r="BIE41" s="7"/>
      <c r="BIF41" s="7"/>
      <c r="BIG41" s="7"/>
      <c r="BIH41" s="7"/>
      <c r="BII41" s="7"/>
      <c r="BIJ41" s="7"/>
      <c r="BIK41" s="7"/>
      <c r="BIL41" s="7"/>
      <c r="BIM41" s="7"/>
      <c r="BIN41" s="7"/>
      <c r="BIO41" s="7"/>
      <c r="BIP41" s="7"/>
      <c r="BIQ41" s="7"/>
      <c r="BIR41" s="7"/>
      <c r="BIS41" s="7"/>
      <c r="BIT41" s="7"/>
      <c r="BIU41" s="7"/>
      <c r="BIV41" s="7"/>
      <c r="BIW41" s="7"/>
      <c r="BIX41" s="7"/>
      <c r="BIY41" s="7"/>
      <c r="BIZ41" s="7"/>
      <c r="BJA41" s="7"/>
      <c r="BJB41" s="7"/>
      <c r="BJC41" s="7"/>
      <c r="BJD41" s="7"/>
      <c r="BJE41" s="7"/>
      <c r="BJF41" s="7"/>
      <c r="BJG41" s="7"/>
      <c r="BJH41" s="7"/>
      <c r="BJI41" s="7"/>
      <c r="BJJ41" s="7"/>
      <c r="BJK41" s="7"/>
      <c r="BJL41" s="7"/>
      <c r="BJM41" s="7"/>
      <c r="BJN41" s="7"/>
      <c r="BJO41" s="7"/>
      <c r="BJP41" s="7"/>
      <c r="BJQ41" s="7"/>
      <c r="BJR41" s="7"/>
      <c r="BJS41" s="7"/>
      <c r="BJT41" s="7"/>
      <c r="BJU41" s="7"/>
      <c r="BJV41" s="7"/>
      <c r="BJW41" s="7"/>
      <c r="BJX41" s="7"/>
      <c r="BJY41" s="7"/>
      <c r="BJZ41" s="7"/>
      <c r="BKA41" s="7"/>
      <c r="BKB41" s="7"/>
      <c r="BKC41" s="7"/>
      <c r="BKD41" s="7"/>
      <c r="BKE41" s="7"/>
      <c r="BKF41" s="7"/>
      <c r="BKG41" s="7"/>
      <c r="BKH41" s="7"/>
      <c r="BKI41" s="7"/>
      <c r="BKJ41" s="7"/>
      <c r="BKK41" s="7"/>
      <c r="BKL41" s="7"/>
      <c r="BKM41" s="7"/>
      <c r="BKN41" s="7"/>
      <c r="BKO41" s="7"/>
      <c r="BKP41" s="7"/>
      <c r="BKQ41" s="7"/>
      <c r="BKR41" s="7"/>
      <c r="BKS41" s="7"/>
      <c r="BKT41" s="7"/>
      <c r="BKU41" s="7"/>
      <c r="BKV41" s="7"/>
      <c r="BKW41" s="7"/>
      <c r="BKX41" s="7"/>
      <c r="BKY41" s="7"/>
      <c r="BKZ41" s="7"/>
      <c r="BLA41" s="7"/>
      <c r="BLB41" s="7"/>
      <c r="BLC41" s="7"/>
      <c r="BLD41" s="7"/>
      <c r="BLE41" s="7"/>
      <c r="BLF41" s="7"/>
      <c r="BLG41" s="7"/>
      <c r="BLH41" s="7"/>
      <c r="BLI41" s="7"/>
      <c r="BLJ41" s="7"/>
      <c r="BLK41" s="7"/>
      <c r="BLL41" s="7"/>
      <c r="BLM41" s="7"/>
      <c r="BLN41" s="7"/>
      <c r="BLO41" s="7"/>
      <c r="BLP41" s="7"/>
      <c r="BLQ41" s="7"/>
      <c r="BLR41" s="7"/>
      <c r="BLS41" s="7"/>
      <c r="BLT41" s="7"/>
      <c r="BLU41" s="7"/>
      <c r="BLV41" s="7"/>
      <c r="BLW41" s="7"/>
      <c r="BLX41" s="7"/>
      <c r="BLY41" s="7"/>
      <c r="BLZ41" s="7"/>
      <c r="BMA41" s="7"/>
      <c r="BMB41" s="7"/>
      <c r="BMC41" s="7"/>
      <c r="BMD41" s="7"/>
      <c r="BME41" s="7"/>
      <c r="BMF41" s="7"/>
      <c r="BMG41" s="7"/>
      <c r="BMH41" s="7"/>
      <c r="BMI41" s="7"/>
      <c r="BMJ41" s="7"/>
      <c r="BMK41" s="7"/>
      <c r="BML41" s="7"/>
      <c r="BMM41" s="7"/>
      <c r="BMN41" s="7"/>
      <c r="BMO41" s="7"/>
      <c r="BMP41" s="7"/>
      <c r="BMQ41" s="7"/>
      <c r="BMR41" s="7"/>
      <c r="BMS41" s="7"/>
      <c r="BMT41" s="7"/>
      <c r="BMU41" s="7"/>
      <c r="BMV41" s="7"/>
      <c r="BMW41" s="7"/>
      <c r="BMX41" s="7"/>
      <c r="BMY41" s="7"/>
      <c r="BMZ41" s="7"/>
      <c r="BNA41" s="7"/>
      <c r="BNB41" s="7"/>
      <c r="BNC41" s="7"/>
      <c r="BND41" s="7"/>
      <c r="BNE41" s="7"/>
      <c r="BNF41" s="7"/>
      <c r="BNG41" s="7"/>
      <c r="BNH41" s="7"/>
      <c r="BNI41" s="7"/>
      <c r="BNJ41" s="7"/>
      <c r="BNK41" s="7"/>
      <c r="BNL41" s="7"/>
      <c r="BNM41" s="7"/>
      <c r="BNN41" s="7"/>
      <c r="BNO41" s="7"/>
      <c r="BNP41" s="7"/>
      <c r="BNQ41" s="7"/>
      <c r="BNR41" s="7"/>
      <c r="BNS41" s="7"/>
      <c r="BNT41" s="7"/>
      <c r="BNU41" s="7"/>
      <c r="BNV41" s="7"/>
      <c r="BNW41" s="7"/>
      <c r="BNX41" s="7"/>
      <c r="BNY41" s="7"/>
      <c r="BNZ41" s="7"/>
      <c r="BOA41" s="7"/>
      <c r="BOB41" s="7"/>
      <c r="BOC41" s="7"/>
      <c r="BOD41" s="7"/>
      <c r="BOE41" s="7"/>
      <c r="BOF41" s="7"/>
      <c r="BOG41" s="7"/>
      <c r="BOH41" s="7"/>
      <c r="BOI41" s="7"/>
      <c r="BOJ41" s="7"/>
      <c r="BOK41" s="7"/>
      <c r="BOL41" s="7"/>
      <c r="BOM41" s="7"/>
      <c r="BON41" s="7"/>
      <c r="BOO41" s="7"/>
      <c r="BOP41" s="7"/>
      <c r="BOQ41" s="7"/>
      <c r="BOR41" s="7"/>
      <c r="BOS41" s="7"/>
      <c r="BOT41" s="7"/>
      <c r="BOU41" s="7"/>
      <c r="BOV41" s="7"/>
      <c r="BOW41" s="7"/>
      <c r="BOX41" s="7"/>
      <c r="BOY41" s="7"/>
      <c r="BOZ41" s="7"/>
      <c r="BPA41" s="7"/>
      <c r="BPB41" s="7"/>
      <c r="BPC41" s="7"/>
      <c r="BPD41" s="7"/>
      <c r="BPE41" s="7"/>
      <c r="BPF41" s="7"/>
      <c r="BPG41" s="7"/>
      <c r="BPH41" s="7"/>
      <c r="BPI41" s="7"/>
      <c r="BPJ41" s="7"/>
      <c r="BPK41" s="7"/>
      <c r="BPL41" s="7"/>
      <c r="BPM41" s="7"/>
      <c r="BPN41" s="7"/>
      <c r="BPO41" s="7"/>
      <c r="BPP41" s="7"/>
      <c r="BPQ41" s="7"/>
      <c r="BPR41" s="7"/>
      <c r="BPS41" s="7"/>
      <c r="BPT41" s="7"/>
      <c r="BPU41" s="7"/>
      <c r="BPV41" s="7"/>
      <c r="BPW41" s="7"/>
      <c r="BPX41" s="7"/>
      <c r="BPY41" s="7"/>
      <c r="BPZ41" s="7"/>
      <c r="BQA41" s="7"/>
      <c r="BQB41" s="7"/>
      <c r="BQC41" s="7"/>
      <c r="BQD41" s="7"/>
      <c r="BQE41" s="7"/>
      <c r="BQF41" s="7"/>
      <c r="BQG41" s="7"/>
      <c r="BQH41" s="7"/>
      <c r="BQI41" s="7"/>
      <c r="BQJ41" s="7"/>
      <c r="BQK41" s="7"/>
      <c r="BQL41" s="7"/>
      <c r="BQM41" s="7"/>
      <c r="BQN41" s="7"/>
      <c r="BQO41" s="7"/>
      <c r="BQP41" s="7"/>
      <c r="BQQ41" s="7"/>
      <c r="BQR41" s="7"/>
      <c r="BQS41" s="7"/>
      <c r="BQT41" s="7"/>
      <c r="BQU41" s="7"/>
      <c r="BQV41" s="7"/>
      <c r="BQW41" s="7"/>
      <c r="BQX41" s="7"/>
      <c r="BQY41" s="7"/>
      <c r="BQZ41" s="7"/>
      <c r="BRA41" s="7"/>
      <c r="BRB41" s="7"/>
      <c r="BRC41" s="7"/>
      <c r="BRD41" s="7"/>
      <c r="BRE41" s="7"/>
      <c r="BRF41" s="7"/>
      <c r="BRG41" s="7"/>
      <c r="BRH41" s="7"/>
      <c r="BRI41" s="7"/>
      <c r="BRJ41" s="7"/>
      <c r="BRK41" s="7"/>
      <c r="BRL41" s="7"/>
      <c r="BRM41" s="7"/>
      <c r="BRN41" s="7"/>
      <c r="BRO41" s="7"/>
      <c r="BRP41" s="7"/>
      <c r="BRQ41" s="7"/>
      <c r="BRR41" s="7"/>
      <c r="BRS41" s="7"/>
      <c r="BRT41" s="7"/>
      <c r="BRU41" s="7"/>
      <c r="BRV41" s="7"/>
      <c r="BRW41" s="7"/>
      <c r="BRX41" s="7"/>
      <c r="BRY41" s="7"/>
      <c r="BRZ41" s="7"/>
      <c r="BSA41" s="7"/>
      <c r="BSB41" s="7"/>
      <c r="BSC41" s="7"/>
      <c r="BSD41" s="7"/>
      <c r="BSE41" s="7"/>
      <c r="BSF41" s="7"/>
      <c r="BSG41" s="7"/>
      <c r="BSH41" s="7"/>
      <c r="BSI41" s="7"/>
      <c r="BSJ41" s="7"/>
      <c r="BSK41" s="7"/>
      <c r="BSL41" s="7"/>
      <c r="BSM41" s="7"/>
      <c r="BSN41" s="7"/>
      <c r="BSO41" s="7"/>
      <c r="BSP41" s="7"/>
      <c r="BSQ41" s="7"/>
      <c r="BSR41" s="7"/>
      <c r="BSS41" s="7"/>
      <c r="BST41" s="7"/>
      <c r="BSU41" s="7"/>
      <c r="BSV41" s="7"/>
      <c r="BSW41" s="7"/>
      <c r="BSX41" s="7"/>
      <c r="BSY41" s="7"/>
      <c r="BSZ41" s="7"/>
      <c r="BTA41" s="7"/>
      <c r="BTB41" s="7"/>
      <c r="BTC41" s="7"/>
      <c r="BTD41" s="7"/>
      <c r="BTE41" s="7"/>
      <c r="BTF41" s="7"/>
      <c r="BTG41" s="7"/>
      <c r="BTH41" s="7"/>
      <c r="BTI41" s="7"/>
      <c r="BTJ41" s="7"/>
      <c r="BTK41" s="7"/>
      <c r="BTL41" s="7"/>
      <c r="BTM41" s="7"/>
      <c r="BTN41" s="7"/>
      <c r="BTO41" s="7"/>
      <c r="BTP41" s="7"/>
      <c r="BTQ41" s="7"/>
      <c r="BTR41" s="7"/>
      <c r="BTS41" s="7"/>
      <c r="BTT41" s="7"/>
      <c r="BTU41" s="7"/>
      <c r="BTV41" s="7"/>
      <c r="BTW41" s="7"/>
      <c r="BTX41" s="7"/>
      <c r="BTY41" s="7"/>
      <c r="BTZ41" s="7"/>
      <c r="BUA41" s="7"/>
      <c r="BUB41" s="7"/>
      <c r="BUC41" s="7"/>
      <c r="BUD41" s="7"/>
      <c r="BUE41" s="7"/>
      <c r="BUF41" s="7"/>
      <c r="BUG41" s="7"/>
      <c r="BUH41" s="7"/>
      <c r="BUI41" s="7"/>
      <c r="BUJ41" s="7"/>
      <c r="BUK41" s="7"/>
      <c r="BUL41" s="7"/>
      <c r="BUM41" s="7"/>
      <c r="BUN41" s="7"/>
      <c r="BUO41" s="7"/>
      <c r="BUP41" s="7"/>
      <c r="BUQ41" s="7"/>
      <c r="BUR41" s="7"/>
      <c r="BUS41" s="7"/>
      <c r="BUT41" s="7"/>
      <c r="BUU41" s="7"/>
      <c r="BUV41" s="7"/>
      <c r="BUW41" s="7"/>
      <c r="BUX41" s="7"/>
      <c r="BUY41" s="7"/>
      <c r="BUZ41" s="7"/>
      <c r="BVA41" s="7"/>
      <c r="BVB41" s="7"/>
      <c r="BVC41" s="7"/>
      <c r="BVD41" s="7"/>
      <c r="BVE41" s="7"/>
      <c r="BVF41" s="7"/>
      <c r="BVG41" s="7"/>
      <c r="BVH41" s="7"/>
      <c r="BVI41" s="7"/>
      <c r="BVJ41" s="7"/>
      <c r="BVK41" s="7"/>
      <c r="BVL41" s="7"/>
      <c r="BVM41" s="7"/>
      <c r="BVN41" s="7"/>
      <c r="BVO41" s="7"/>
      <c r="BVP41" s="7"/>
      <c r="BVQ41" s="7"/>
      <c r="BVR41" s="7"/>
      <c r="BVS41" s="7"/>
      <c r="BVT41" s="7"/>
      <c r="BVU41" s="7"/>
      <c r="BVV41" s="7"/>
      <c r="BVW41" s="7"/>
      <c r="BVX41" s="7"/>
      <c r="BVY41" s="7"/>
      <c r="BVZ41" s="7"/>
      <c r="BWA41" s="7"/>
      <c r="BWB41" s="7"/>
      <c r="BWC41" s="7"/>
      <c r="BWD41" s="7"/>
      <c r="BWE41" s="7"/>
      <c r="BWF41" s="7"/>
      <c r="BWG41" s="7"/>
      <c r="BWH41" s="7"/>
      <c r="BWI41" s="7"/>
      <c r="BWJ41" s="7"/>
      <c r="BWK41" s="7"/>
      <c r="BWL41" s="7"/>
      <c r="BWM41" s="7"/>
      <c r="BWN41" s="7"/>
      <c r="BWO41" s="7"/>
      <c r="BWP41" s="7"/>
      <c r="BWQ41" s="7"/>
      <c r="BWR41" s="7"/>
      <c r="BWS41" s="7"/>
      <c r="BWT41" s="7"/>
      <c r="BWU41" s="7"/>
      <c r="BWV41" s="7"/>
      <c r="BWW41" s="7"/>
      <c r="BWX41" s="7"/>
      <c r="BWY41" s="7"/>
      <c r="BWZ41" s="7"/>
      <c r="BXA41" s="7"/>
      <c r="BXB41" s="7"/>
      <c r="BXC41" s="7"/>
      <c r="BXD41" s="7"/>
      <c r="BXE41" s="7"/>
      <c r="BXF41" s="7"/>
      <c r="BXG41" s="7"/>
      <c r="BXH41" s="7"/>
      <c r="BXI41" s="7"/>
      <c r="BXJ41" s="7"/>
      <c r="BXK41" s="7"/>
      <c r="BXL41" s="7"/>
      <c r="BXM41" s="7"/>
      <c r="BXN41" s="7"/>
      <c r="BXO41" s="7"/>
      <c r="BXP41" s="7"/>
      <c r="BXQ41" s="7"/>
      <c r="BXR41" s="7"/>
      <c r="BXS41" s="7"/>
      <c r="BXT41" s="7"/>
      <c r="BXU41" s="7"/>
      <c r="BXV41" s="7"/>
      <c r="BXW41" s="7"/>
      <c r="BXX41" s="7"/>
      <c r="BXY41" s="7"/>
      <c r="BXZ41" s="7"/>
      <c r="BYA41" s="7"/>
      <c r="BYB41" s="7"/>
      <c r="BYC41" s="7"/>
      <c r="BYD41" s="7"/>
      <c r="BYE41" s="7"/>
      <c r="BYF41" s="7"/>
      <c r="BYG41" s="7"/>
      <c r="BYH41" s="7"/>
      <c r="BYI41" s="7"/>
      <c r="BYJ41" s="7"/>
      <c r="BYK41" s="7"/>
      <c r="BYL41" s="7"/>
      <c r="BYM41" s="7"/>
      <c r="BYN41" s="7"/>
      <c r="BYO41" s="7"/>
      <c r="BYP41" s="7"/>
      <c r="BYQ41" s="7"/>
      <c r="BYR41" s="7"/>
      <c r="BYS41" s="7"/>
      <c r="BYT41" s="7"/>
      <c r="BYU41" s="7"/>
      <c r="BYV41" s="7"/>
      <c r="BYW41" s="7"/>
      <c r="BYX41" s="7"/>
      <c r="BYY41" s="7"/>
      <c r="BYZ41" s="7"/>
      <c r="BZA41" s="7"/>
      <c r="BZB41" s="7"/>
      <c r="BZC41" s="7"/>
      <c r="BZD41" s="7"/>
      <c r="BZE41" s="7"/>
      <c r="BZF41" s="7"/>
      <c r="BZG41" s="7"/>
      <c r="BZH41" s="7"/>
      <c r="BZI41" s="7"/>
      <c r="BZJ41" s="7"/>
      <c r="BZK41" s="7"/>
      <c r="BZL41" s="7"/>
      <c r="BZM41" s="7"/>
      <c r="BZN41" s="7"/>
      <c r="BZO41" s="7"/>
      <c r="BZP41" s="7"/>
      <c r="BZQ41" s="7"/>
      <c r="BZR41" s="7"/>
      <c r="BZS41" s="7"/>
      <c r="BZT41" s="7"/>
      <c r="BZU41" s="7"/>
      <c r="BZV41" s="7"/>
      <c r="BZW41" s="7"/>
      <c r="BZX41" s="7"/>
      <c r="BZY41" s="7"/>
      <c r="BZZ41" s="7"/>
      <c r="CAA41" s="7"/>
      <c r="CAB41" s="7"/>
      <c r="CAC41" s="7"/>
      <c r="CAD41" s="7"/>
      <c r="CAE41" s="7"/>
      <c r="CAF41" s="7"/>
      <c r="CAG41" s="7"/>
      <c r="CAH41" s="7"/>
      <c r="CAI41" s="7"/>
      <c r="CAJ41" s="7"/>
      <c r="CAK41" s="7"/>
      <c r="CAL41" s="7"/>
      <c r="CAM41" s="7"/>
      <c r="CAN41" s="7"/>
      <c r="CAO41" s="7"/>
      <c r="CAP41" s="7"/>
      <c r="CAQ41" s="7"/>
      <c r="CAR41" s="7"/>
      <c r="CAS41" s="7"/>
      <c r="CAT41" s="7"/>
      <c r="CAU41" s="7"/>
      <c r="CAV41" s="7"/>
      <c r="CAW41" s="7"/>
      <c r="CAX41" s="7"/>
      <c r="CAY41" s="7"/>
      <c r="CAZ41" s="7"/>
      <c r="CBA41" s="7"/>
      <c r="CBB41" s="7"/>
      <c r="CBC41" s="7"/>
      <c r="CBD41" s="7"/>
      <c r="CBE41" s="7"/>
      <c r="CBF41" s="7"/>
      <c r="CBG41" s="7"/>
      <c r="CBH41" s="7"/>
      <c r="CBI41" s="7"/>
      <c r="CBJ41" s="7"/>
      <c r="CBK41" s="7"/>
      <c r="CBL41" s="7"/>
      <c r="CBM41" s="7"/>
      <c r="CBN41" s="7"/>
      <c r="CBO41" s="7"/>
      <c r="CBP41" s="7"/>
      <c r="CBQ41" s="7"/>
      <c r="CBR41" s="7"/>
      <c r="CBS41" s="7"/>
      <c r="CBT41" s="7"/>
      <c r="CBU41" s="7"/>
      <c r="CBV41" s="7"/>
      <c r="CBW41" s="7"/>
      <c r="CBX41" s="7"/>
      <c r="CBY41" s="7"/>
      <c r="CBZ41" s="7"/>
      <c r="CCA41" s="7"/>
      <c r="CCB41" s="7"/>
      <c r="CCC41" s="7"/>
      <c r="CCD41" s="7"/>
      <c r="CCE41" s="7"/>
      <c r="CCF41" s="7"/>
      <c r="CCG41" s="7"/>
      <c r="CCH41" s="7"/>
      <c r="CCI41" s="7"/>
      <c r="CCJ41" s="7"/>
      <c r="CCK41" s="7"/>
      <c r="CCL41" s="7"/>
      <c r="CCM41" s="7"/>
      <c r="CCN41" s="7"/>
      <c r="CCO41" s="7"/>
      <c r="CCP41" s="7"/>
      <c r="CCQ41" s="7"/>
      <c r="CCR41" s="7"/>
      <c r="CCS41" s="7"/>
      <c r="CCT41" s="7"/>
      <c r="CCU41" s="7"/>
      <c r="CCV41" s="7"/>
      <c r="CCW41" s="7"/>
      <c r="CCX41" s="7"/>
      <c r="CCY41" s="7"/>
      <c r="CCZ41" s="7"/>
      <c r="CDA41" s="7"/>
      <c r="CDB41" s="7"/>
      <c r="CDC41" s="7"/>
      <c r="CDD41" s="7"/>
      <c r="CDE41" s="7"/>
      <c r="CDF41" s="7"/>
      <c r="CDG41" s="7"/>
      <c r="CDH41" s="7"/>
      <c r="CDI41" s="7"/>
      <c r="CDJ41" s="7"/>
      <c r="CDK41" s="7"/>
      <c r="CDL41" s="7"/>
      <c r="CDM41" s="7"/>
      <c r="CDN41" s="7"/>
      <c r="CDO41" s="7"/>
      <c r="CDP41" s="7"/>
      <c r="CDQ41" s="7"/>
      <c r="CDR41" s="7"/>
      <c r="CDS41" s="7"/>
      <c r="CDT41" s="7"/>
      <c r="CDU41" s="7"/>
      <c r="CDV41" s="7"/>
      <c r="CDW41" s="7"/>
      <c r="CDX41" s="7"/>
      <c r="CDY41" s="7"/>
      <c r="CDZ41" s="7"/>
      <c r="CEA41" s="7"/>
      <c r="CEB41" s="7"/>
      <c r="CEC41" s="7"/>
      <c r="CED41" s="7"/>
      <c r="CEE41" s="7"/>
      <c r="CEF41" s="7"/>
      <c r="CEG41" s="7"/>
      <c r="CEH41" s="7"/>
      <c r="CEI41" s="7"/>
      <c r="CEJ41" s="7"/>
      <c r="CEK41" s="7"/>
      <c r="CEL41" s="7"/>
      <c r="CEM41" s="7"/>
      <c r="CEN41" s="7"/>
      <c r="CEO41" s="7"/>
      <c r="CEP41" s="7"/>
      <c r="CEQ41" s="7"/>
      <c r="CER41" s="7"/>
      <c r="CES41" s="7"/>
      <c r="CET41" s="7"/>
      <c r="CEU41" s="7"/>
      <c r="CEV41" s="7"/>
      <c r="CEW41" s="7"/>
      <c r="CEX41" s="7"/>
      <c r="CEY41" s="7"/>
      <c r="CEZ41" s="7"/>
      <c r="CFA41" s="7"/>
      <c r="CFB41" s="7"/>
      <c r="CFC41" s="7"/>
      <c r="CFD41" s="7"/>
      <c r="CFE41" s="7"/>
      <c r="CFF41" s="7"/>
      <c r="CFG41" s="7"/>
      <c r="CFH41" s="7"/>
      <c r="CFI41" s="7"/>
      <c r="CFJ41" s="7"/>
      <c r="CFK41" s="7"/>
      <c r="CFL41" s="7"/>
      <c r="CFM41" s="7"/>
      <c r="CFN41" s="7"/>
      <c r="CFO41" s="7"/>
      <c r="CFP41" s="7"/>
      <c r="CFQ41" s="7"/>
      <c r="CFR41" s="7"/>
      <c r="CFS41" s="7"/>
      <c r="CFT41" s="7"/>
      <c r="CFU41" s="7"/>
      <c r="CFV41" s="7"/>
      <c r="CFW41" s="7"/>
      <c r="CFX41" s="7"/>
      <c r="CFY41" s="7"/>
      <c r="CFZ41" s="7"/>
      <c r="CGA41" s="7"/>
      <c r="CGB41" s="7"/>
      <c r="CGC41" s="7"/>
      <c r="CGD41" s="7"/>
      <c r="CGE41" s="7"/>
      <c r="CGF41" s="7"/>
      <c r="CGG41" s="7"/>
      <c r="CGH41" s="7"/>
      <c r="CGI41" s="7"/>
      <c r="CGJ41" s="7"/>
      <c r="CGK41" s="7"/>
      <c r="CGL41" s="7"/>
      <c r="CGM41" s="7"/>
      <c r="CGN41" s="7"/>
      <c r="CGO41" s="7"/>
      <c r="CGP41" s="7"/>
      <c r="CGQ41" s="7"/>
      <c r="CGR41" s="7"/>
      <c r="CGS41" s="7"/>
      <c r="CGT41" s="7"/>
      <c r="CGU41" s="7"/>
      <c r="CGV41" s="7"/>
      <c r="CGW41" s="7"/>
      <c r="CGX41" s="7"/>
      <c r="CGY41" s="7"/>
      <c r="CGZ41" s="7"/>
      <c r="CHA41" s="7"/>
      <c r="CHB41" s="7"/>
      <c r="CHC41" s="7"/>
      <c r="CHD41" s="7"/>
      <c r="CHE41" s="7"/>
      <c r="CHF41" s="7"/>
      <c r="CHG41" s="7"/>
      <c r="CHH41" s="7"/>
      <c r="CHI41" s="7"/>
      <c r="CHJ41" s="7"/>
      <c r="CHK41" s="7"/>
      <c r="CHL41" s="7"/>
      <c r="CHM41" s="7"/>
      <c r="CHN41" s="7"/>
      <c r="CHO41" s="7"/>
      <c r="CHP41" s="7"/>
      <c r="CHQ41" s="7"/>
      <c r="CHR41" s="7"/>
      <c r="CHS41" s="7"/>
      <c r="CHT41" s="7"/>
      <c r="CHU41" s="7"/>
      <c r="CHV41" s="7"/>
      <c r="CHW41" s="7"/>
      <c r="CHX41" s="7"/>
      <c r="CHY41" s="7"/>
      <c r="CHZ41" s="7"/>
      <c r="CIA41" s="7"/>
      <c r="CIB41" s="7"/>
      <c r="CIC41" s="7"/>
      <c r="CID41" s="7"/>
      <c r="CIE41" s="7"/>
      <c r="CIF41" s="7"/>
      <c r="CIG41" s="7"/>
      <c r="CIH41" s="7"/>
      <c r="CII41" s="7"/>
      <c r="CIJ41" s="7"/>
      <c r="CIK41" s="7"/>
      <c r="CIL41" s="7"/>
      <c r="CIM41" s="7"/>
      <c r="CIN41" s="7"/>
      <c r="CIO41" s="7"/>
      <c r="CIP41" s="7"/>
      <c r="CIQ41" s="7"/>
      <c r="CIR41" s="7"/>
      <c r="CIS41" s="7"/>
      <c r="CIT41" s="7"/>
      <c r="CIU41" s="7"/>
      <c r="CIV41" s="7"/>
      <c r="CIW41" s="7"/>
      <c r="CIX41" s="7"/>
      <c r="CIY41" s="7"/>
      <c r="CIZ41" s="7"/>
      <c r="CJA41" s="7"/>
      <c r="CJB41" s="7"/>
      <c r="CJC41" s="7"/>
      <c r="CJD41" s="7"/>
      <c r="CJE41" s="7"/>
      <c r="CJF41" s="7"/>
      <c r="CJG41" s="7"/>
      <c r="CJH41" s="7"/>
      <c r="CJI41" s="7"/>
      <c r="CJJ41" s="7"/>
      <c r="CJK41" s="7"/>
      <c r="CJL41" s="7"/>
      <c r="CJM41" s="7"/>
      <c r="CJN41" s="7"/>
      <c r="CJO41" s="7"/>
      <c r="CJP41" s="7"/>
      <c r="CJQ41" s="7"/>
      <c r="CJR41" s="7"/>
      <c r="CJS41" s="7"/>
      <c r="CJT41" s="7"/>
      <c r="CJU41" s="7"/>
      <c r="CJV41" s="7"/>
      <c r="CJW41" s="7"/>
      <c r="CJX41" s="7"/>
      <c r="CJY41" s="7"/>
      <c r="CJZ41" s="7"/>
      <c r="CKA41" s="7"/>
      <c r="CKB41" s="7"/>
      <c r="CKC41" s="7"/>
      <c r="CKD41" s="7"/>
      <c r="CKE41" s="7"/>
      <c r="CKF41" s="7"/>
      <c r="CKG41" s="7"/>
      <c r="CKH41" s="7"/>
      <c r="CKI41" s="7"/>
      <c r="CKJ41" s="7"/>
      <c r="CKK41" s="7"/>
      <c r="CKL41" s="7"/>
      <c r="CKM41" s="7"/>
      <c r="CKN41" s="7"/>
      <c r="CKO41" s="7"/>
      <c r="CKP41" s="7"/>
      <c r="CKQ41" s="7"/>
      <c r="CKR41" s="7"/>
      <c r="CKS41" s="7"/>
      <c r="CKT41" s="7"/>
      <c r="CKU41" s="7"/>
      <c r="CKV41" s="7"/>
      <c r="CKW41" s="7"/>
      <c r="CKX41" s="7"/>
      <c r="CKY41" s="7"/>
      <c r="CKZ41" s="7"/>
      <c r="CLA41" s="7"/>
      <c r="CLB41" s="7"/>
      <c r="CLC41" s="7"/>
      <c r="CLD41" s="7"/>
      <c r="CLE41" s="7"/>
      <c r="CLF41" s="7"/>
      <c r="CLG41" s="7"/>
      <c r="CLH41" s="7"/>
      <c r="CLI41" s="7"/>
      <c r="CLJ41" s="7"/>
      <c r="CLK41" s="7"/>
      <c r="CLL41" s="7"/>
      <c r="CLM41" s="7"/>
      <c r="CLN41" s="7"/>
      <c r="CLO41" s="7"/>
      <c r="CLP41" s="7"/>
      <c r="CLQ41" s="7"/>
      <c r="CLR41" s="7"/>
      <c r="CLS41" s="7"/>
      <c r="CLT41" s="7"/>
      <c r="CLU41" s="7"/>
      <c r="CLV41" s="7"/>
      <c r="CLW41" s="7"/>
      <c r="CLX41" s="7"/>
      <c r="CLY41" s="7"/>
      <c r="CLZ41" s="7"/>
      <c r="CMA41" s="7"/>
      <c r="CMB41" s="7"/>
      <c r="CMC41" s="7"/>
      <c r="CMD41" s="7"/>
      <c r="CME41" s="7"/>
      <c r="CMF41" s="7"/>
      <c r="CMG41" s="7"/>
      <c r="CMH41" s="7"/>
      <c r="CMI41" s="7"/>
      <c r="CMJ41" s="7"/>
      <c r="CMK41" s="7"/>
      <c r="CML41" s="7"/>
      <c r="CMM41" s="7"/>
      <c r="CMN41" s="7"/>
      <c r="CMO41" s="7"/>
      <c r="CMP41" s="7"/>
      <c r="CMQ41" s="7"/>
      <c r="CMR41" s="7"/>
      <c r="CMS41" s="7"/>
      <c r="CMT41" s="7"/>
      <c r="CMU41" s="7"/>
      <c r="CMV41" s="7"/>
      <c r="CMW41" s="7"/>
      <c r="CMX41" s="7"/>
      <c r="CMY41" s="7"/>
      <c r="CMZ41" s="7"/>
      <c r="CNA41" s="7"/>
      <c r="CNB41" s="7"/>
      <c r="CNC41" s="7"/>
      <c r="CND41" s="7"/>
      <c r="CNE41" s="7"/>
      <c r="CNF41" s="7"/>
      <c r="CNG41" s="7"/>
      <c r="CNH41" s="7"/>
      <c r="CNI41" s="7"/>
      <c r="CNJ41" s="7"/>
      <c r="CNK41" s="7"/>
      <c r="CNL41" s="7"/>
      <c r="CNM41" s="7"/>
      <c r="CNN41" s="7"/>
      <c r="CNO41" s="7"/>
      <c r="CNP41" s="7"/>
      <c r="CNQ41" s="7"/>
      <c r="CNR41" s="7"/>
      <c r="CNS41" s="7"/>
      <c r="CNT41" s="7"/>
      <c r="CNU41" s="7"/>
      <c r="CNV41" s="7"/>
      <c r="CNW41" s="7"/>
      <c r="CNX41" s="7"/>
      <c r="CNY41" s="7"/>
      <c r="CNZ41" s="7"/>
      <c r="COA41" s="7"/>
      <c r="COB41" s="7"/>
      <c r="COC41" s="7"/>
      <c r="COD41" s="7"/>
      <c r="COE41" s="7"/>
      <c r="COF41" s="7"/>
      <c r="COG41" s="7"/>
      <c r="COH41" s="7"/>
      <c r="COI41" s="7"/>
      <c r="COJ41" s="7"/>
      <c r="COK41" s="7"/>
      <c r="COL41" s="7"/>
      <c r="COM41" s="7"/>
      <c r="CON41" s="7"/>
      <c r="COO41" s="7"/>
      <c r="COP41" s="7"/>
      <c r="COQ41" s="7"/>
      <c r="COR41" s="7"/>
      <c r="COS41" s="7"/>
      <c r="COT41" s="7"/>
      <c r="COU41" s="7"/>
      <c r="COV41" s="7"/>
      <c r="COW41" s="7"/>
      <c r="COX41" s="7"/>
      <c r="COY41" s="7"/>
      <c r="COZ41" s="7"/>
      <c r="CPA41" s="7"/>
      <c r="CPB41" s="7"/>
      <c r="CPC41" s="7"/>
      <c r="CPD41" s="7"/>
      <c r="CPE41" s="7"/>
      <c r="CPF41" s="7"/>
      <c r="CPG41" s="7"/>
      <c r="CPH41" s="7"/>
      <c r="CPI41" s="7"/>
      <c r="CPJ41" s="7"/>
      <c r="CPK41" s="7"/>
      <c r="CPL41" s="7"/>
      <c r="CPM41" s="7"/>
      <c r="CPN41" s="7"/>
      <c r="CPO41" s="7"/>
      <c r="CPP41" s="7"/>
      <c r="CPQ41" s="7"/>
      <c r="CPR41" s="7"/>
      <c r="CPS41" s="7"/>
      <c r="CPT41" s="7"/>
      <c r="CPU41" s="7"/>
      <c r="CPV41" s="7"/>
      <c r="CPW41" s="7"/>
      <c r="CPX41" s="7"/>
      <c r="CPY41" s="7"/>
      <c r="CPZ41" s="7"/>
      <c r="CQA41" s="7"/>
      <c r="CQB41" s="7"/>
      <c r="CQC41" s="7"/>
      <c r="CQD41" s="7"/>
      <c r="CQE41" s="7"/>
      <c r="CQF41" s="7"/>
      <c r="CQG41" s="7"/>
      <c r="CQH41" s="7"/>
      <c r="CQI41" s="7"/>
      <c r="CQJ41" s="7"/>
      <c r="CQK41" s="7"/>
      <c r="CQL41" s="7"/>
      <c r="CQM41" s="7"/>
      <c r="CQN41" s="7"/>
      <c r="CQO41" s="7"/>
      <c r="CQP41" s="7"/>
      <c r="CQQ41" s="7"/>
      <c r="CQR41" s="7"/>
      <c r="CQS41" s="7"/>
      <c r="CQT41" s="7"/>
      <c r="CQU41" s="7"/>
      <c r="CQV41" s="7"/>
      <c r="CQW41" s="7"/>
      <c r="CQX41" s="7"/>
      <c r="CQY41" s="7"/>
      <c r="CQZ41" s="7"/>
      <c r="CRA41" s="7"/>
      <c r="CRB41" s="7"/>
      <c r="CRC41" s="7"/>
      <c r="CRD41" s="7"/>
      <c r="CRE41" s="7"/>
      <c r="CRF41" s="7"/>
      <c r="CRG41" s="7"/>
      <c r="CRH41" s="7"/>
      <c r="CRI41" s="7"/>
      <c r="CRJ41" s="7"/>
      <c r="CRK41" s="7"/>
      <c r="CRL41" s="7"/>
      <c r="CRM41" s="7"/>
      <c r="CRN41" s="7"/>
      <c r="CRO41" s="7"/>
      <c r="CRP41" s="7"/>
      <c r="CRQ41" s="7"/>
      <c r="CRR41" s="7"/>
      <c r="CRS41" s="7"/>
      <c r="CRT41" s="7"/>
      <c r="CRU41" s="7"/>
      <c r="CRV41" s="7"/>
      <c r="CRW41" s="7"/>
      <c r="CRX41" s="7"/>
      <c r="CRY41" s="7"/>
      <c r="CRZ41" s="7"/>
      <c r="CSA41" s="7"/>
      <c r="CSB41" s="7"/>
      <c r="CSC41" s="7"/>
      <c r="CSD41" s="7"/>
      <c r="CSE41" s="7"/>
      <c r="CSF41" s="7"/>
      <c r="CSG41" s="7"/>
      <c r="CSH41" s="7"/>
      <c r="CSI41" s="7"/>
      <c r="CSJ41" s="7"/>
      <c r="CSK41" s="7"/>
      <c r="CSL41" s="7"/>
      <c r="CSM41" s="7"/>
      <c r="CSN41" s="7"/>
      <c r="CSO41" s="7"/>
      <c r="CSP41" s="7"/>
      <c r="CSQ41" s="7"/>
      <c r="CSR41" s="7"/>
      <c r="CSS41" s="7"/>
      <c r="CST41" s="7"/>
      <c r="CSU41" s="7"/>
      <c r="CSV41" s="7"/>
      <c r="CSW41" s="7"/>
      <c r="CSX41" s="7"/>
      <c r="CSY41" s="7"/>
      <c r="CSZ41" s="7"/>
      <c r="CTA41" s="7"/>
      <c r="CTB41" s="7"/>
      <c r="CTC41" s="7"/>
      <c r="CTD41" s="7"/>
      <c r="CTE41" s="7"/>
      <c r="CTF41" s="7"/>
      <c r="CTG41" s="7"/>
      <c r="CTH41" s="7"/>
      <c r="CTI41" s="7"/>
      <c r="CTJ41" s="7"/>
      <c r="CTK41" s="7"/>
      <c r="CTL41" s="7"/>
      <c r="CTM41" s="7"/>
      <c r="CTN41" s="7"/>
      <c r="CTO41" s="7"/>
      <c r="CTP41" s="7"/>
      <c r="CTQ41" s="7"/>
      <c r="CTR41" s="7"/>
      <c r="CTS41" s="7"/>
      <c r="CTT41" s="7"/>
      <c r="CTU41" s="7"/>
      <c r="CTV41" s="7"/>
      <c r="CTW41" s="7"/>
      <c r="CTX41" s="7"/>
      <c r="CTY41" s="7"/>
      <c r="CTZ41" s="7"/>
      <c r="CUA41" s="7"/>
      <c r="CUB41" s="7"/>
      <c r="CUC41" s="7"/>
      <c r="CUD41" s="7"/>
      <c r="CUE41" s="7"/>
      <c r="CUF41" s="7"/>
      <c r="CUG41" s="7"/>
      <c r="CUH41" s="7"/>
      <c r="CUI41" s="7"/>
      <c r="CUJ41" s="7"/>
      <c r="CUK41" s="7"/>
      <c r="CUL41" s="7"/>
      <c r="CUM41" s="7"/>
      <c r="CUN41" s="7"/>
      <c r="CUO41" s="7"/>
      <c r="CUP41" s="7"/>
      <c r="CUQ41" s="7"/>
      <c r="CUR41" s="7"/>
      <c r="CUS41" s="7"/>
      <c r="CUT41" s="7"/>
      <c r="CUU41" s="7"/>
      <c r="CUV41" s="7"/>
      <c r="CUW41" s="7"/>
      <c r="CUX41" s="7"/>
      <c r="CUY41" s="7"/>
      <c r="CUZ41" s="7"/>
      <c r="CVA41" s="7"/>
      <c r="CVB41" s="7"/>
      <c r="CVC41" s="7"/>
      <c r="CVD41" s="7"/>
      <c r="CVE41" s="7"/>
      <c r="CVF41" s="7"/>
      <c r="CVG41" s="7"/>
      <c r="CVH41" s="7"/>
      <c r="CVI41" s="7"/>
      <c r="CVJ41" s="7"/>
      <c r="CVK41" s="7"/>
      <c r="CVL41" s="7"/>
      <c r="CVM41" s="7"/>
      <c r="CVN41" s="7"/>
      <c r="CVO41" s="7"/>
      <c r="CVP41" s="7"/>
      <c r="CVQ41" s="7"/>
      <c r="CVR41" s="7"/>
      <c r="CVS41" s="7"/>
      <c r="CVT41" s="7"/>
      <c r="CVU41" s="7"/>
      <c r="CVV41" s="7"/>
      <c r="CVW41" s="7"/>
      <c r="CVX41" s="7"/>
      <c r="CVY41" s="7"/>
      <c r="CVZ41" s="7"/>
      <c r="CWA41" s="7"/>
      <c r="CWB41" s="7"/>
      <c r="CWC41" s="7"/>
      <c r="CWD41" s="7"/>
      <c r="CWE41" s="7"/>
      <c r="CWF41" s="7"/>
      <c r="CWG41" s="7"/>
      <c r="CWH41" s="7"/>
      <c r="CWI41" s="7"/>
      <c r="CWJ41" s="7"/>
      <c r="CWK41" s="7"/>
      <c r="CWL41" s="7"/>
      <c r="CWM41" s="7"/>
      <c r="CWN41" s="7"/>
      <c r="CWO41" s="7"/>
      <c r="CWP41" s="7"/>
      <c r="CWQ41" s="7"/>
      <c r="CWR41" s="7"/>
      <c r="CWS41" s="7"/>
      <c r="CWT41" s="7"/>
      <c r="CWU41" s="7"/>
      <c r="CWV41" s="7"/>
      <c r="CWW41" s="7"/>
      <c r="CWX41" s="7"/>
      <c r="CWY41" s="7"/>
      <c r="CWZ41" s="7"/>
      <c r="CXA41" s="7"/>
      <c r="CXB41" s="7"/>
      <c r="CXC41" s="7"/>
      <c r="CXD41" s="7"/>
      <c r="CXE41" s="7"/>
      <c r="CXF41" s="7"/>
      <c r="CXG41" s="7"/>
      <c r="CXH41" s="7"/>
      <c r="CXI41" s="7"/>
      <c r="CXJ41" s="7"/>
      <c r="CXK41" s="7"/>
      <c r="CXL41" s="7"/>
      <c r="CXM41" s="7"/>
      <c r="CXN41" s="7"/>
      <c r="CXO41" s="7"/>
      <c r="CXP41" s="7"/>
      <c r="CXQ41" s="7"/>
      <c r="CXR41" s="7"/>
      <c r="CXS41" s="7"/>
      <c r="CXT41" s="7"/>
      <c r="CXU41" s="7"/>
      <c r="CXV41" s="7"/>
      <c r="CXW41" s="7"/>
      <c r="CXX41" s="7"/>
      <c r="CXY41" s="7"/>
      <c r="CXZ41" s="7"/>
      <c r="CYA41" s="7"/>
      <c r="CYB41" s="7"/>
      <c r="CYC41" s="7"/>
      <c r="CYD41" s="7"/>
      <c r="CYE41" s="7"/>
      <c r="CYF41" s="7"/>
      <c r="CYG41" s="7"/>
      <c r="CYH41" s="7"/>
      <c r="CYI41" s="7"/>
      <c r="CYJ41" s="7"/>
      <c r="CYK41" s="7"/>
      <c r="CYL41" s="7"/>
      <c r="CYM41" s="7"/>
      <c r="CYN41" s="7"/>
      <c r="CYO41" s="7"/>
      <c r="CYP41" s="7"/>
      <c r="CYQ41" s="7"/>
      <c r="CYR41" s="7"/>
      <c r="CYS41" s="7"/>
      <c r="CYT41" s="7"/>
      <c r="CYU41" s="7"/>
      <c r="CYV41" s="7"/>
      <c r="CYW41" s="7"/>
      <c r="CYX41" s="7"/>
      <c r="CYY41" s="7"/>
      <c r="CYZ41" s="7"/>
      <c r="CZA41" s="7"/>
      <c r="CZB41" s="7"/>
      <c r="CZC41" s="7"/>
      <c r="CZD41" s="7"/>
      <c r="CZE41" s="7"/>
      <c r="CZF41" s="7"/>
      <c r="CZG41" s="7"/>
      <c r="CZH41" s="7"/>
      <c r="CZI41" s="7"/>
      <c r="CZJ41" s="7"/>
      <c r="CZK41" s="7"/>
      <c r="CZL41" s="7"/>
      <c r="CZM41" s="7"/>
      <c r="CZN41" s="7"/>
      <c r="CZO41" s="7"/>
      <c r="CZP41" s="7"/>
      <c r="CZQ41" s="7"/>
      <c r="CZR41" s="7"/>
      <c r="CZS41" s="7"/>
      <c r="CZT41" s="7"/>
      <c r="CZU41" s="7"/>
      <c r="CZV41" s="7"/>
      <c r="CZW41" s="7"/>
      <c r="CZX41" s="7"/>
      <c r="CZY41" s="7"/>
      <c r="CZZ41" s="7"/>
      <c r="DAA41" s="7"/>
      <c r="DAB41" s="7"/>
      <c r="DAC41" s="7"/>
      <c r="DAD41" s="7"/>
      <c r="DAE41" s="7"/>
      <c r="DAF41" s="7"/>
      <c r="DAG41" s="7"/>
      <c r="DAH41" s="7"/>
      <c r="DAI41" s="7"/>
      <c r="DAJ41" s="7"/>
      <c r="DAK41" s="7"/>
      <c r="DAL41" s="7"/>
      <c r="DAM41" s="7"/>
      <c r="DAN41" s="7"/>
      <c r="DAO41" s="7"/>
      <c r="DAP41" s="7"/>
      <c r="DAQ41" s="7"/>
      <c r="DAR41" s="7"/>
      <c r="DAS41" s="7"/>
      <c r="DAT41" s="7"/>
      <c r="DAU41" s="7"/>
      <c r="DAV41" s="7"/>
      <c r="DAW41" s="7"/>
      <c r="DAX41" s="7"/>
      <c r="DAY41" s="7"/>
      <c r="DAZ41" s="7"/>
      <c r="DBA41" s="7"/>
      <c r="DBB41" s="7"/>
      <c r="DBC41" s="7"/>
      <c r="DBD41" s="7"/>
      <c r="DBE41" s="7"/>
      <c r="DBF41" s="7"/>
      <c r="DBG41" s="7"/>
      <c r="DBH41" s="7"/>
      <c r="DBI41" s="7"/>
      <c r="DBJ41" s="7"/>
      <c r="DBK41" s="7"/>
      <c r="DBL41" s="7"/>
      <c r="DBM41" s="7"/>
      <c r="DBN41" s="7"/>
      <c r="DBO41" s="7"/>
      <c r="DBP41" s="7"/>
      <c r="DBQ41" s="7"/>
      <c r="DBR41" s="7"/>
      <c r="DBS41" s="7"/>
      <c r="DBT41" s="7"/>
      <c r="DBU41" s="7"/>
      <c r="DBV41" s="7"/>
      <c r="DBW41" s="7"/>
      <c r="DBX41" s="7"/>
      <c r="DBY41" s="7"/>
      <c r="DBZ41" s="7"/>
      <c r="DCA41" s="7"/>
      <c r="DCB41" s="7"/>
      <c r="DCC41" s="7"/>
      <c r="DCD41" s="7"/>
      <c r="DCE41" s="7"/>
      <c r="DCF41" s="7"/>
      <c r="DCG41" s="7"/>
      <c r="DCH41" s="7"/>
      <c r="DCI41" s="7"/>
      <c r="DCJ41" s="7"/>
      <c r="DCK41" s="7"/>
      <c r="DCL41" s="7"/>
      <c r="DCM41" s="7"/>
      <c r="DCN41" s="7"/>
      <c r="DCO41" s="7"/>
      <c r="DCP41" s="7"/>
      <c r="DCQ41" s="7"/>
      <c r="DCR41" s="7"/>
      <c r="DCS41" s="7"/>
      <c r="DCT41" s="7"/>
      <c r="DCU41" s="7"/>
      <c r="DCV41" s="7"/>
      <c r="DCW41" s="7"/>
      <c r="DCX41" s="7"/>
      <c r="DCY41" s="7"/>
      <c r="DCZ41" s="7"/>
      <c r="DDA41" s="7"/>
      <c r="DDB41" s="7"/>
      <c r="DDC41" s="7"/>
      <c r="DDD41" s="7"/>
      <c r="DDE41" s="7"/>
      <c r="DDF41" s="7"/>
      <c r="DDG41" s="7"/>
      <c r="DDH41" s="7"/>
      <c r="DDI41" s="7"/>
      <c r="DDJ41" s="7"/>
      <c r="DDK41" s="7"/>
      <c r="DDL41" s="7"/>
      <c r="DDM41" s="7"/>
      <c r="DDN41" s="7"/>
      <c r="DDO41" s="7"/>
      <c r="DDP41" s="7"/>
      <c r="DDQ41" s="7"/>
      <c r="DDR41" s="7"/>
      <c r="DDS41" s="7"/>
      <c r="DDT41" s="7"/>
      <c r="DDU41" s="7"/>
      <c r="DDV41" s="7"/>
      <c r="DDW41" s="7"/>
      <c r="DDX41" s="7"/>
      <c r="DDY41" s="7"/>
      <c r="DDZ41" s="7"/>
      <c r="DEA41" s="7"/>
      <c r="DEB41" s="7"/>
      <c r="DEC41" s="7"/>
      <c r="DED41" s="7"/>
      <c r="DEE41" s="7"/>
      <c r="DEF41" s="7"/>
      <c r="DEG41" s="7"/>
      <c r="DEH41" s="7"/>
      <c r="DEI41" s="7"/>
      <c r="DEJ41" s="7"/>
      <c r="DEK41" s="7"/>
      <c r="DEL41" s="7"/>
      <c r="DEM41" s="7"/>
      <c r="DEN41" s="7"/>
      <c r="DEO41" s="7"/>
      <c r="DEP41" s="7"/>
      <c r="DEQ41" s="7"/>
      <c r="DER41" s="7"/>
      <c r="DES41" s="7"/>
      <c r="DET41" s="7"/>
      <c r="DEU41" s="7"/>
      <c r="DEV41" s="7"/>
      <c r="DEW41" s="7"/>
      <c r="DEX41" s="7"/>
      <c r="DEY41" s="7"/>
      <c r="DEZ41" s="7"/>
      <c r="DFA41" s="7"/>
      <c r="DFB41" s="7"/>
      <c r="DFC41" s="7"/>
      <c r="DFD41" s="7"/>
      <c r="DFE41" s="7"/>
      <c r="DFF41" s="7"/>
      <c r="DFG41" s="7"/>
      <c r="DFH41" s="7"/>
      <c r="DFI41" s="7"/>
      <c r="DFJ41" s="7"/>
      <c r="DFK41" s="7"/>
      <c r="DFL41" s="7"/>
      <c r="DFM41" s="7"/>
      <c r="DFN41" s="7"/>
      <c r="DFO41" s="7"/>
      <c r="DFP41" s="7"/>
      <c r="DFQ41" s="7"/>
      <c r="DFR41" s="7"/>
      <c r="DFS41" s="7"/>
      <c r="DFT41" s="7"/>
      <c r="DFU41" s="7"/>
      <c r="DFV41" s="7"/>
      <c r="DFW41" s="7"/>
      <c r="DFX41" s="7"/>
      <c r="DFY41" s="7"/>
      <c r="DFZ41" s="7"/>
      <c r="DGA41" s="7"/>
      <c r="DGB41" s="7"/>
      <c r="DGC41" s="7"/>
      <c r="DGD41" s="7"/>
      <c r="DGE41" s="7"/>
      <c r="DGF41" s="7"/>
      <c r="DGG41" s="7"/>
      <c r="DGH41" s="7"/>
      <c r="DGI41" s="7"/>
      <c r="DGJ41" s="7"/>
      <c r="DGK41" s="7"/>
      <c r="DGL41" s="7"/>
      <c r="DGM41" s="7"/>
      <c r="DGN41" s="7"/>
      <c r="DGO41" s="7"/>
      <c r="DGP41" s="7"/>
      <c r="DGQ41" s="7"/>
      <c r="DGR41" s="7"/>
      <c r="DGS41" s="7"/>
      <c r="DGT41" s="7"/>
      <c r="DGU41" s="7"/>
      <c r="DGV41" s="7"/>
      <c r="DGW41" s="7"/>
      <c r="DGX41" s="7"/>
      <c r="DGY41" s="7"/>
      <c r="DGZ41" s="7"/>
      <c r="DHA41" s="7"/>
      <c r="DHB41" s="7"/>
      <c r="DHC41" s="7"/>
      <c r="DHD41" s="7"/>
      <c r="DHE41" s="7"/>
      <c r="DHF41" s="7"/>
      <c r="DHG41" s="7"/>
      <c r="DHH41" s="7"/>
      <c r="DHI41" s="7"/>
      <c r="DHJ41" s="7"/>
      <c r="DHK41" s="7"/>
      <c r="DHL41" s="7"/>
      <c r="DHM41" s="7"/>
      <c r="DHN41" s="7"/>
      <c r="DHO41" s="7"/>
      <c r="DHP41" s="7"/>
      <c r="DHQ41" s="7"/>
      <c r="DHR41" s="7"/>
      <c r="DHS41" s="7"/>
      <c r="DHT41" s="7"/>
      <c r="DHU41" s="7"/>
      <c r="DHV41" s="7"/>
      <c r="DHW41" s="7"/>
      <c r="DHX41" s="7"/>
      <c r="DHY41" s="7"/>
      <c r="DHZ41" s="7"/>
      <c r="DIA41" s="7"/>
      <c r="DIB41" s="7"/>
      <c r="DIC41" s="7"/>
      <c r="DID41" s="7"/>
      <c r="DIE41" s="7"/>
      <c r="DIF41" s="7"/>
      <c r="DIG41" s="7"/>
      <c r="DIH41" s="7"/>
      <c r="DII41" s="7"/>
      <c r="DIJ41" s="7"/>
      <c r="DIK41" s="7"/>
      <c r="DIL41" s="7"/>
      <c r="DIM41" s="7"/>
      <c r="DIN41" s="7"/>
      <c r="DIO41" s="7"/>
      <c r="DIP41" s="7"/>
      <c r="DIQ41" s="7"/>
      <c r="DIR41" s="7"/>
      <c r="DIS41" s="7"/>
      <c r="DIT41" s="7"/>
      <c r="DIU41" s="7"/>
      <c r="DIV41" s="7"/>
      <c r="DIW41" s="7"/>
      <c r="DIX41" s="7"/>
      <c r="DIY41" s="7"/>
      <c r="DIZ41" s="7"/>
      <c r="DJA41" s="7"/>
      <c r="DJB41" s="7"/>
      <c r="DJC41" s="7"/>
      <c r="DJD41" s="7"/>
      <c r="DJE41" s="7"/>
      <c r="DJF41" s="7"/>
      <c r="DJG41" s="7"/>
      <c r="DJH41" s="7"/>
      <c r="DJI41" s="7"/>
      <c r="DJJ41" s="7"/>
      <c r="DJK41" s="7"/>
      <c r="DJL41" s="7"/>
      <c r="DJM41" s="7"/>
      <c r="DJN41" s="7"/>
      <c r="DJO41" s="7"/>
      <c r="DJP41" s="7"/>
      <c r="DJQ41" s="7"/>
      <c r="DJR41" s="7"/>
      <c r="DJS41" s="7"/>
      <c r="DJT41" s="7"/>
      <c r="DJU41" s="7"/>
      <c r="DJV41" s="7"/>
      <c r="DJW41" s="7"/>
      <c r="DJX41" s="7"/>
      <c r="DJY41" s="7"/>
      <c r="DJZ41" s="7"/>
      <c r="DKA41" s="7"/>
      <c r="DKB41" s="7"/>
      <c r="DKC41" s="7"/>
      <c r="DKD41" s="7"/>
      <c r="DKE41" s="7"/>
      <c r="DKF41" s="7"/>
      <c r="DKG41" s="7"/>
      <c r="DKH41" s="7"/>
      <c r="DKI41" s="7"/>
      <c r="DKJ41" s="7"/>
      <c r="DKK41" s="7"/>
      <c r="DKL41" s="7"/>
      <c r="DKM41" s="7"/>
      <c r="DKN41" s="7"/>
      <c r="DKO41" s="7"/>
      <c r="DKP41" s="7"/>
      <c r="DKQ41" s="7"/>
      <c r="DKR41" s="7"/>
      <c r="DKS41" s="7"/>
      <c r="DKT41" s="7"/>
      <c r="DKU41" s="7"/>
      <c r="DKV41" s="7"/>
      <c r="DKW41" s="7"/>
      <c r="DKX41" s="7"/>
      <c r="DKY41" s="7"/>
      <c r="DKZ41" s="7"/>
      <c r="DLA41" s="7"/>
      <c r="DLB41" s="7"/>
      <c r="DLC41" s="7"/>
      <c r="DLD41" s="7"/>
      <c r="DLE41" s="7"/>
      <c r="DLF41" s="7"/>
      <c r="DLG41" s="7"/>
      <c r="DLH41" s="7"/>
      <c r="DLI41" s="7"/>
      <c r="DLJ41" s="7"/>
      <c r="DLK41" s="7"/>
      <c r="DLL41" s="7"/>
      <c r="DLM41" s="7"/>
      <c r="DLN41" s="7"/>
      <c r="DLO41" s="7"/>
      <c r="DLP41" s="7"/>
      <c r="DLQ41" s="7"/>
      <c r="DLR41" s="7"/>
      <c r="DLS41" s="7"/>
      <c r="DLT41" s="7"/>
      <c r="DLU41" s="7"/>
      <c r="DLV41" s="7"/>
      <c r="DLW41" s="7"/>
      <c r="DLX41" s="7"/>
      <c r="DLY41" s="7"/>
      <c r="DLZ41" s="7"/>
      <c r="DMA41" s="7"/>
      <c r="DMB41" s="7"/>
      <c r="DMC41" s="7"/>
      <c r="DMD41" s="7"/>
      <c r="DME41" s="7"/>
      <c r="DMF41" s="7"/>
      <c r="DMG41" s="7"/>
      <c r="DMH41" s="7"/>
      <c r="DMI41" s="7"/>
      <c r="DMJ41" s="7"/>
      <c r="DMK41" s="7"/>
      <c r="DML41" s="7"/>
      <c r="DMM41" s="7"/>
      <c r="DMN41" s="7"/>
      <c r="DMO41" s="7"/>
      <c r="DMP41" s="7"/>
      <c r="DMQ41" s="7"/>
      <c r="DMR41" s="7"/>
      <c r="DMS41" s="7"/>
      <c r="DMT41" s="7"/>
      <c r="DMU41" s="7"/>
      <c r="DMV41" s="7"/>
      <c r="DMW41" s="7"/>
      <c r="DMX41" s="7"/>
      <c r="DMY41" s="7"/>
      <c r="DMZ41" s="7"/>
      <c r="DNA41" s="7"/>
      <c r="DNB41" s="7"/>
      <c r="DNC41" s="7"/>
      <c r="DND41" s="7"/>
      <c r="DNE41" s="7"/>
      <c r="DNF41" s="7"/>
      <c r="DNG41" s="7"/>
      <c r="DNH41" s="7"/>
      <c r="DNI41" s="7"/>
      <c r="DNJ41" s="7"/>
      <c r="DNK41" s="7"/>
      <c r="DNL41" s="7"/>
      <c r="DNM41" s="7"/>
      <c r="DNN41" s="7"/>
      <c r="DNO41" s="7"/>
      <c r="DNP41" s="7"/>
      <c r="DNQ41" s="7"/>
      <c r="DNR41" s="7"/>
      <c r="DNS41" s="7"/>
      <c r="DNT41" s="7"/>
      <c r="DNU41" s="7"/>
      <c r="DNV41" s="7"/>
      <c r="DNW41" s="7"/>
      <c r="DNX41" s="7"/>
      <c r="DNY41" s="7"/>
      <c r="DNZ41" s="7"/>
      <c r="DOA41" s="7"/>
      <c r="DOB41" s="7"/>
      <c r="DOC41" s="7"/>
      <c r="DOD41" s="7"/>
      <c r="DOE41" s="7"/>
      <c r="DOF41" s="7"/>
      <c r="DOG41" s="7"/>
      <c r="DOH41" s="7"/>
      <c r="DOI41" s="7"/>
      <c r="DOJ41" s="7"/>
      <c r="DOK41" s="7"/>
      <c r="DOL41" s="7"/>
      <c r="DOM41" s="7"/>
      <c r="DON41" s="7"/>
      <c r="DOO41" s="7"/>
      <c r="DOP41" s="7"/>
      <c r="DOQ41" s="7"/>
      <c r="DOR41" s="7"/>
      <c r="DOS41" s="7"/>
      <c r="DOT41" s="7"/>
      <c r="DOU41" s="7"/>
      <c r="DOV41" s="7"/>
      <c r="DOW41" s="7"/>
      <c r="DOX41" s="7"/>
      <c r="DOY41" s="7"/>
      <c r="DOZ41" s="7"/>
      <c r="DPA41" s="7"/>
      <c r="DPB41" s="7"/>
      <c r="DPC41" s="7"/>
      <c r="DPD41" s="7"/>
      <c r="DPE41" s="7"/>
      <c r="DPF41" s="7"/>
      <c r="DPG41" s="7"/>
      <c r="DPH41" s="7"/>
      <c r="DPI41" s="7"/>
      <c r="DPJ41" s="7"/>
      <c r="DPK41" s="7"/>
      <c r="DPL41" s="7"/>
      <c r="DPM41" s="7"/>
      <c r="DPN41" s="7"/>
      <c r="DPO41" s="7"/>
      <c r="DPP41" s="7"/>
      <c r="DPQ41" s="7"/>
      <c r="DPR41" s="7"/>
      <c r="DPS41" s="7"/>
      <c r="DPT41" s="7"/>
      <c r="DPU41" s="7"/>
      <c r="DPV41" s="7"/>
      <c r="DPW41" s="7"/>
      <c r="DPX41" s="7"/>
      <c r="DPY41" s="7"/>
      <c r="DPZ41" s="7"/>
      <c r="DQA41" s="7"/>
      <c r="DQB41" s="7"/>
      <c r="DQC41" s="7"/>
      <c r="DQD41" s="7"/>
      <c r="DQE41" s="7"/>
      <c r="DQF41" s="7"/>
      <c r="DQG41" s="7"/>
      <c r="DQH41" s="7"/>
      <c r="DQI41" s="7"/>
      <c r="DQJ41" s="7"/>
      <c r="DQK41" s="7"/>
      <c r="DQL41" s="7"/>
      <c r="DQM41" s="7"/>
      <c r="DQN41" s="7"/>
      <c r="DQO41" s="7"/>
      <c r="DQP41" s="7"/>
      <c r="DQQ41" s="7"/>
      <c r="DQR41" s="7"/>
      <c r="DQS41" s="7"/>
      <c r="DQT41" s="7"/>
      <c r="DQU41" s="7"/>
      <c r="DQV41" s="7"/>
      <c r="DQW41" s="7"/>
      <c r="DQX41" s="7"/>
      <c r="DQY41" s="7"/>
      <c r="DQZ41" s="7"/>
      <c r="DRA41" s="7"/>
      <c r="DRB41" s="7"/>
      <c r="DRC41" s="7"/>
      <c r="DRD41" s="7"/>
      <c r="DRE41" s="7"/>
      <c r="DRF41" s="7"/>
      <c r="DRG41" s="7"/>
      <c r="DRH41" s="7"/>
      <c r="DRI41" s="7"/>
      <c r="DRJ41" s="7"/>
      <c r="DRK41" s="7"/>
      <c r="DRL41" s="7"/>
      <c r="DRM41" s="7"/>
      <c r="DRN41" s="7"/>
      <c r="DRO41" s="7"/>
      <c r="DRP41" s="7"/>
      <c r="DRQ41" s="7"/>
      <c r="DRR41" s="7"/>
      <c r="DRS41" s="7"/>
      <c r="DRT41" s="7"/>
      <c r="DRU41" s="7"/>
      <c r="DRV41" s="7"/>
      <c r="DRW41" s="7"/>
      <c r="DRX41" s="7"/>
      <c r="DRY41" s="7"/>
      <c r="DRZ41" s="7"/>
      <c r="DSA41" s="7"/>
      <c r="DSB41" s="7"/>
      <c r="DSC41" s="7"/>
      <c r="DSD41" s="7"/>
      <c r="DSE41" s="7"/>
      <c r="DSF41" s="7"/>
      <c r="DSG41" s="7"/>
      <c r="DSH41" s="7"/>
      <c r="DSI41" s="7"/>
      <c r="DSJ41" s="7"/>
      <c r="DSK41" s="7"/>
      <c r="DSL41" s="7"/>
      <c r="DSM41" s="7"/>
      <c r="DSN41" s="7"/>
      <c r="DSO41" s="7"/>
      <c r="DSP41" s="7"/>
      <c r="DSQ41" s="7"/>
      <c r="DSR41" s="7"/>
      <c r="DSS41" s="7"/>
      <c r="DST41" s="7"/>
      <c r="DSU41" s="7"/>
      <c r="DSV41" s="7"/>
      <c r="DSW41" s="7"/>
      <c r="DSX41" s="7"/>
      <c r="DSY41" s="7"/>
      <c r="DSZ41" s="7"/>
      <c r="DTA41" s="7"/>
      <c r="DTB41" s="7"/>
      <c r="DTC41" s="7"/>
      <c r="DTD41" s="7"/>
      <c r="DTE41" s="7"/>
      <c r="DTF41" s="7"/>
      <c r="DTG41" s="7"/>
      <c r="DTH41" s="7"/>
      <c r="DTI41" s="7"/>
      <c r="DTJ41" s="7"/>
      <c r="DTK41" s="7"/>
      <c r="DTL41" s="7"/>
      <c r="DTM41" s="7"/>
      <c r="DTN41" s="7"/>
      <c r="DTO41" s="7"/>
      <c r="DTP41" s="7"/>
      <c r="DTQ41" s="7"/>
      <c r="DTR41" s="7"/>
      <c r="DTS41" s="7"/>
      <c r="DTT41" s="7"/>
      <c r="DTU41" s="7"/>
      <c r="DTV41" s="7"/>
      <c r="DTW41" s="7"/>
      <c r="DTX41" s="7"/>
      <c r="DTY41" s="7"/>
      <c r="DTZ41" s="7"/>
      <c r="DUA41" s="7"/>
      <c r="DUB41" s="7"/>
      <c r="DUC41" s="7"/>
      <c r="DUD41" s="7"/>
      <c r="DUE41" s="7"/>
      <c r="DUF41" s="7"/>
      <c r="DUG41" s="7"/>
      <c r="DUH41" s="7"/>
      <c r="DUI41" s="7"/>
      <c r="DUJ41" s="7"/>
      <c r="DUK41" s="7"/>
      <c r="DUL41" s="7"/>
      <c r="DUM41" s="7"/>
      <c r="DUN41" s="7"/>
      <c r="DUO41" s="7"/>
      <c r="DUP41" s="7"/>
      <c r="DUQ41" s="7"/>
      <c r="DUR41" s="7"/>
      <c r="DUS41" s="7"/>
      <c r="DUT41" s="7"/>
      <c r="DUU41" s="7"/>
      <c r="DUV41" s="7"/>
      <c r="DUW41" s="7"/>
      <c r="DUX41" s="7"/>
      <c r="DUY41" s="7"/>
      <c r="DUZ41" s="7"/>
      <c r="DVA41" s="7"/>
      <c r="DVB41" s="7"/>
      <c r="DVC41" s="7"/>
      <c r="DVD41" s="7"/>
      <c r="DVE41" s="7"/>
      <c r="DVF41" s="7"/>
      <c r="DVG41" s="7"/>
      <c r="DVH41" s="7"/>
      <c r="DVI41" s="7"/>
      <c r="DVJ41" s="7"/>
      <c r="DVK41" s="7"/>
      <c r="DVL41" s="7"/>
      <c r="DVM41" s="7"/>
      <c r="DVN41" s="7"/>
      <c r="DVO41" s="7"/>
      <c r="DVP41" s="7"/>
      <c r="DVQ41" s="7"/>
      <c r="DVR41" s="7"/>
      <c r="DVS41" s="7"/>
      <c r="DVT41" s="7"/>
      <c r="DVU41" s="7"/>
      <c r="DVV41" s="7"/>
      <c r="DVW41" s="7"/>
      <c r="DVX41" s="7"/>
      <c r="DVY41" s="7"/>
      <c r="DVZ41" s="7"/>
      <c r="DWA41" s="7"/>
      <c r="DWB41" s="7"/>
      <c r="DWC41" s="7"/>
      <c r="DWD41" s="7"/>
      <c r="DWE41" s="7"/>
      <c r="DWF41" s="7"/>
      <c r="DWG41" s="7"/>
      <c r="DWH41" s="7"/>
      <c r="DWI41" s="7"/>
      <c r="DWJ41" s="7"/>
      <c r="DWK41" s="7"/>
      <c r="DWL41" s="7"/>
      <c r="DWM41" s="7"/>
      <c r="DWN41" s="7"/>
      <c r="DWO41" s="7"/>
      <c r="DWP41" s="7"/>
      <c r="DWQ41" s="7"/>
      <c r="DWR41" s="7"/>
      <c r="DWS41" s="7"/>
      <c r="DWT41" s="7"/>
      <c r="DWU41" s="7"/>
      <c r="DWV41" s="7"/>
      <c r="DWW41" s="7"/>
      <c r="DWX41" s="7"/>
      <c r="DWY41" s="7"/>
      <c r="DWZ41" s="7"/>
      <c r="DXA41" s="7"/>
      <c r="DXB41" s="7"/>
      <c r="DXC41" s="7"/>
      <c r="DXD41" s="7"/>
      <c r="DXE41" s="7"/>
      <c r="DXF41" s="7"/>
      <c r="DXG41" s="7"/>
      <c r="DXH41" s="7"/>
      <c r="DXI41" s="7"/>
      <c r="DXJ41" s="7"/>
      <c r="DXK41" s="7"/>
      <c r="DXL41" s="7"/>
      <c r="DXM41" s="7"/>
      <c r="DXN41" s="7"/>
      <c r="DXO41" s="7"/>
      <c r="DXP41" s="7"/>
      <c r="DXQ41" s="7"/>
      <c r="DXR41" s="7"/>
      <c r="DXS41" s="7"/>
      <c r="DXT41" s="7"/>
      <c r="DXU41" s="7"/>
      <c r="DXV41" s="7"/>
      <c r="DXW41" s="7"/>
      <c r="DXX41" s="7"/>
      <c r="DXY41" s="7"/>
      <c r="DXZ41" s="7"/>
      <c r="DYA41" s="7"/>
      <c r="DYB41" s="7"/>
      <c r="DYC41" s="7"/>
      <c r="DYD41" s="7"/>
      <c r="DYE41" s="7"/>
      <c r="DYF41" s="7"/>
      <c r="DYG41" s="7"/>
      <c r="DYH41" s="7"/>
      <c r="DYI41" s="7"/>
      <c r="DYJ41" s="7"/>
      <c r="DYK41" s="7"/>
      <c r="DYL41" s="7"/>
      <c r="DYM41" s="7"/>
      <c r="DYN41" s="7"/>
      <c r="DYO41" s="7"/>
      <c r="DYP41" s="7"/>
      <c r="DYQ41" s="7"/>
      <c r="DYR41" s="7"/>
      <c r="DYS41" s="7"/>
      <c r="DYT41" s="7"/>
      <c r="DYU41" s="7"/>
      <c r="DYV41" s="7"/>
      <c r="DYW41" s="7"/>
      <c r="DYX41" s="7"/>
      <c r="DYY41" s="7"/>
      <c r="DYZ41" s="7"/>
      <c r="DZA41" s="7"/>
      <c r="DZB41" s="7"/>
      <c r="DZC41" s="7"/>
      <c r="DZD41" s="7"/>
      <c r="DZE41" s="7"/>
      <c r="DZF41" s="7"/>
      <c r="DZG41" s="7"/>
      <c r="DZH41" s="7"/>
      <c r="DZI41" s="7"/>
      <c r="DZJ41" s="7"/>
      <c r="DZK41" s="7"/>
      <c r="DZL41" s="7"/>
      <c r="DZM41" s="7"/>
      <c r="DZN41" s="7"/>
      <c r="DZO41" s="7"/>
      <c r="DZP41" s="7"/>
      <c r="DZQ41" s="7"/>
      <c r="DZR41" s="7"/>
      <c r="DZS41" s="7"/>
      <c r="DZT41" s="7"/>
      <c r="DZU41" s="7"/>
      <c r="DZV41" s="7"/>
      <c r="DZW41" s="7"/>
      <c r="DZX41" s="7"/>
      <c r="DZY41" s="7"/>
      <c r="DZZ41" s="7"/>
      <c r="EAA41" s="7"/>
      <c r="EAB41" s="7"/>
      <c r="EAC41" s="7"/>
      <c r="EAD41" s="7"/>
      <c r="EAE41" s="7"/>
      <c r="EAF41" s="7"/>
      <c r="EAG41" s="7"/>
      <c r="EAH41" s="7"/>
      <c r="EAI41" s="7"/>
      <c r="EAJ41" s="7"/>
      <c r="EAK41" s="7"/>
      <c r="EAL41" s="7"/>
      <c r="EAM41" s="7"/>
      <c r="EAN41" s="7"/>
      <c r="EAO41" s="7"/>
      <c r="EAP41" s="7"/>
      <c r="EAQ41" s="7"/>
      <c r="EAR41" s="7"/>
      <c r="EAS41" s="7"/>
      <c r="EAT41" s="7"/>
      <c r="EAU41" s="7"/>
      <c r="EAV41" s="7"/>
      <c r="EAW41" s="7"/>
      <c r="EAX41" s="7"/>
      <c r="EAY41" s="7"/>
      <c r="EAZ41" s="7"/>
      <c r="EBA41" s="7"/>
      <c r="EBB41" s="7"/>
      <c r="EBC41" s="7"/>
      <c r="EBD41" s="7"/>
      <c r="EBE41" s="7"/>
      <c r="EBF41" s="7"/>
      <c r="EBG41" s="7"/>
      <c r="EBH41" s="7"/>
      <c r="EBI41" s="7"/>
      <c r="EBJ41" s="7"/>
      <c r="EBK41" s="7"/>
      <c r="EBL41" s="7"/>
      <c r="EBM41" s="7"/>
      <c r="EBN41" s="7"/>
      <c r="EBO41" s="7"/>
      <c r="EBP41" s="7"/>
      <c r="EBQ41" s="7"/>
      <c r="EBR41" s="7"/>
      <c r="EBS41" s="7"/>
      <c r="EBT41" s="7"/>
      <c r="EBU41" s="7"/>
      <c r="EBV41" s="7"/>
      <c r="EBW41" s="7"/>
      <c r="EBX41" s="7"/>
      <c r="EBY41" s="7"/>
      <c r="EBZ41" s="7"/>
      <c r="ECA41" s="7"/>
      <c r="ECB41" s="7"/>
      <c r="ECC41" s="7"/>
      <c r="ECD41" s="7"/>
      <c r="ECE41" s="7"/>
      <c r="ECF41" s="7"/>
      <c r="ECG41" s="7"/>
      <c r="ECH41" s="7"/>
      <c r="ECI41" s="7"/>
      <c r="ECJ41" s="7"/>
      <c r="ECK41" s="7"/>
      <c r="ECL41" s="7"/>
      <c r="ECM41" s="7"/>
      <c r="ECN41" s="7"/>
      <c r="ECO41" s="7"/>
      <c r="ECP41" s="7"/>
      <c r="ECQ41" s="7"/>
      <c r="ECR41" s="7"/>
      <c r="ECS41" s="7"/>
      <c r="ECT41" s="7"/>
      <c r="ECU41" s="7"/>
      <c r="ECV41" s="7"/>
      <c r="ECW41" s="7"/>
      <c r="ECX41" s="7"/>
      <c r="ECY41" s="7"/>
      <c r="ECZ41" s="7"/>
      <c r="EDA41" s="7"/>
      <c r="EDB41" s="7"/>
      <c r="EDC41" s="7"/>
      <c r="EDD41" s="7"/>
      <c r="EDE41" s="7"/>
      <c r="EDF41" s="7"/>
      <c r="EDG41" s="7"/>
      <c r="EDH41" s="7"/>
      <c r="EDI41" s="7"/>
      <c r="EDJ41" s="7"/>
      <c r="EDK41" s="7"/>
      <c r="EDL41" s="7"/>
      <c r="EDM41" s="7"/>
      <c r="EDN41" s="7"/>
      <c r="EDO41" s="7"/>
      <c r="EDP41" s="7"/>
      <c r="EDQ41" s="7"/>
      <c r="EDR41" s="7"/>
      <c r="EDS41" s="7"/>
      <c r="EDT41" s="7"/>
      <c r="EDU41" s="7"/>
      <c r="EDV41" s="7"/>
      <c r="EDW41" s="7"/>
      <c r="EDX41" s="7"/>
      <c r="EDY41" s="7"/>
      <c r="EDZ41" s="7"/>
      <c r="EEA41" s="7"/>
      <c r="EEB41" s="7"/>
      <c r="EEC41" s="7"/>
      <c r="EED41" s="7"/>
      <c r="EEE41" s="7"/>
      <c r="EEF41" s="7"/>
      <c r="EEG41" s="7"/>
      <c r="EEH41" s="7"/>
      <c r="EEI41" s="7"/>
      <c r="EEJ41" s="7"/>
      <c r="EEK41" s="7"/>
      <c r="EEL41" s="7"/>
      <c r="EEM41" s="7"/>
      <c r="EEN41" s="7"/>
      <c r="EEO41" s="7"/>
      <c r="EEP41" s="7"/>
      <c r="EEQ41" s="7"/>
      <c r="EER41" s="7"/>
      <c r="EES41" s="7"/>
      <c r="EET41" s="7"/>
      <c r="EEU41" s="7"/>
      <c r="EEV41" s="7"/>
      <c r="EEW41" s="7"/>
      <c r="EEX41" s="7"/>
      <c r="EEY41" s="7"/>
      <c r="EEZ41" s="7"/>
      <c r="EFA41" s="7"/>
      <c r="EFB41" s="7"/>
      <c r="EFC41" s="7"/>
      <c r="EFD41" s="7"/>
      <c r="EFE41" s="7"/>
      <c r="EFF41" s="7"/>
      <c r="EFG41" s="7"/>
      <c r="EFH41" s="7"/>
      <c r="EFI41" s="7"/>
      <c r="EFJ41" s="7"/>
      <c r="EFK41" s="7"/>
      <c r="EFL41" s="7"/>
      <c r="EFM41" s="7"/>
      <c r="EFN41" s="7"/>
      <c r="EFO41" s="7"/>
      <c r="EFP41" s="7"/>
      <c r="EFQ41" s="7"/>
      <c r="EFR41" s="7"/>
      <c r="EFS41" s="7"/>
      <c r="EFT41" s="7"/>
      <c r="EFU41" s="7"/>
      <c r="EFV41" s="7"/>
      <c r="EFW41" s="7"/>
      <c r="EFX41" s="7"/>
      <c r="EFY41" s="7"/>
      <c r="EFZ41" s="7"/>
      <c r="EGA41" s="7"/>
      <c r="EGB41" s="7"/>
      <c r="EGC41" s="7"/>
      <c r="EGD41" s="7"/>
      <c r="EGE41" s="7"/>
      <c r="EGF41" s="7"/>
      <c r="EGG41" s="7"/>
      <c r="EGH41" s="7"/>
      <c r="EGI41" s="7"/>
      <c r="EGJ41" s="7"/>
      <c r="EGK41" s="7"/>
      <c r="EGL41" s="7"/>
      <c r="EGM41" s="7"/>
      <c r="EGN41" s="7"/>
      <c r="EGO41" s="7"/>
      <c r="EGP41" s="7"/>
      <c r="EGQ41" s="7"/>
      <c r="EGR41" s="7"/>
      <c r="EGS41" s="7"/>
      <c r="EGT41" s="7"/>
      <c r="EGU41" s="7"/>
      <c r="EGV41" s="7"/>
      <c r="EGW41" s="7"/>
      <c r="EGX41" s="7"/>
      <c r="EGY41" s="7"/>
      <c r="EGZ41" s="7"/>
      <c r="EHA41" s="7"/>
      <c r="EHB41" s="7"/>
      <c r="EHC41" s="7"/>
      <c r="EHD41" s="7"/>
      <c r="EHE41" s="7"/>
      <c r="EHF41" s="7"/>
      <c r="EHG41" s="7"/>
      <c r="EHH41" s="7"/>
      <c r="EHI41" s="7"/>
      <c r="EHJ41" s="7"/>
      <c r="EHK41" s="7"/>
      <c r="EHL41" s="7"/>
      <c r="EHM41" s="7"/>
      <c r="EHN41" s="7"/>
      <c r="EHO41" s="7"/>
      <c r="EHP41" s="7"/>
      <c r="EHQ41" s="7"/>
      <c r="EHR41" s="7"/>
      <c r="EHS41" s="7"/>
      <c r="EHT41" s="7"/>
      <c r="EHU41" s="7"/>
      <c r="EHV41" s="7"/>
      <c r="EHW41" s="7"/>
      <c r="EHX41" s="7"/>
      <c r="EHY41" s="7"/>
      <c r="EHZ41" s="7"/>
      <c r="EIA41" s="7"/>
      <c r="EIB41" s="7"/>
      <c r="EIC41" s="7"/>
      <c r="EID41" s="7"/>
      <c r="EIE41" s="7"/>
      <c r="EIF41" s="7"/>
      <c r="EIG41" s="7"/>
      <c r="EIH41" s="7"/>
      <c r="EII41" s="7"/>
      <c r="EIJ41" s="7"/>
      <c r="EIK41" s="7"/>
      <c r="EIL41" s="7"/>
      <c r="EIM41" s="7"/>
      <c r="EIN41" s="7"/>
      <c r="EIO41" s="7"/>
      <c r="EIP41" s="7"/>
      <c r="EIQ41" s="7"/>
      <c r="EIR41" s="7"/>
      <c r="EIS41" s="7"/>
      <c r="EIT41" s="7"/>
      <c r="EIU41" s="7"/>
      <c r="EIV41" s="7"/>
      <c r="EIW41" s="7"/>
      <c r="EIX41" s="7"/>
      <c r="EIY41" s="7"/>
      <c r="EIZ41" s="7"/>
      <c r="EJA41" s="7"/>
      <c r="EJB41" s="7"/>
      <c r="EJC41" s="7"/>
      <c r="EJD41" s="7"/>
      <c r="EJE41" s="7"/>
      <c r="EJF41" s="7"/>
      <c r="EJG41" s="7"/>
      <c r="EJH41" s="7"/>
      <c r="EJI41" s="7"/>
      <c r="EJJ41" s="7"/>
      <c r="EJK41" s="7"/>
      <c r="EJL41" s="7"/>
      <c r="EJM41" s="7"/>
      <c r="EJN41" s="7"/>
      <c r="EJO41" s="7"/>
      <c r="EJP41" s="7"/>
      <c r="EJQ41" s="7"/>
      <c r="EJR41" s="7"/>
      <c r="EJS41" s="7"/>
      <c r="EJT41" s="7"/>
      <c r="EJU41" s="7"/>
      <c r="EJV41" s="7"/>
      <c r="EJW41" s="7"/>
      <c r="EJX41" s="7"/>
      <c r="EJY41" s="7"/>
      <c r="EJZ41" s="7"/>
      <c r="EKA41" s="7"/>
      <c r="EKB41" s="7"/>
      <c r="EKC41" s="7"/>
      <c r="EKD41" s="7"/>
      <c r="EKE41" s="7"/>
      <c r="EKF41" s="7"/>
      <c r="EKG41" s="7"/>
      <c r="EKH41" s="7"/>
      <c r="EKI41" s="7"/>
      <c r="EKJ41" s="7"/>
      <c r="EKK41" s="7"/>
      <c r="EKL41" s="7"/>
      <c r="EKM41" s="7"/>
      <c r="EKN41" s="7"/>
      <c r="EKO41" s="7"/>
      <c r="EKP41" s="7"/>
      <c r="EKQ41" s="7"/>
      <c r="EKR41" s="7"/>
      <c r="EKS41" s="7"/>
      <c r="EKT41" s="7"/>
      <c r="EKU41" s="7"/>
      <c r="EKV41" s="7"/>
      <c r="EKW41" s="7"/>
      <c r="EKX41" s="7"/>
      <c r="EKY41" s="7"/>
      <c r="EKZ41" s="7"/>
      <c r="ELA41" s="7"/>
      <c r="ELB41" s="7"/>
      <c r="ELC41" s="7"/>
      <c r="ELD41" s="7"/>
      <c r="ELE41" s="7"/>
      <c r="ELF41" s="7"/>
      <c r="ELG41" s="7"/>
      <c r="ELH41" s="7"/>
      <c r="ELI41" s="7"/>
      <c r="ELJ41" s="7"/>
      <c r="ELK41" s="7"/>
      <c r="ELL41" s="7"/>
      <c r="ELM41" s="7"/>
      <c r="ELN41" s="7"/>
      <c r="ELO41" s="7"/>
      <c r="ELP41" s="7"/>
      <c r="ELQ41" s="7"/>
      <c r="ELR41" s="7"/>
      <c r="ELS41" s="7"/>
      <c r="ELT41" s="7"/>
      <c r="ELU41" s="7"/>
      <c r="ELV41" s="7"/>
      <c r="ELW41" s="7"/>
      <c r="ELX41" s="7"/>
      <c r="ELY41" s="7"/>
      <c r="ELZ41" s="7"/>
      <c r="EMA41" s="7"/>
      <c r="EMB41" s="7"/>
      <c r="EMC41" s="7"/>
      <c r="EMD41" s="7"/>
      <c r="EME41" s="7"/>
      <c r="EMF41" s="7"/>
      <c r="EMG41" s="7"/>
      <c r="EMH41" s="7"/>
      <c r="EMI41" s="7"/>
      <c r="EMJ41" s="7"/>
      <c r="EMK41" s="7"/>
      <c r="EML41" s="7"/>
      <c r="EMM41" s="7"/>
      <c r="EMN41" s="7"/>
      <c r="EMO41" s="7"/>
      <c r="EMP41" s="7"/>
      <c r="EMQ41" s="7"/>
      <c r="EMR41" s="7"/>
      <c r="EMS41" s="7"/>
      <c r="EMT41" s="7"/>
      <c r="EMU41" s="7"/>
      <c r="EMV41" s="7"/>
      <c r="EMW41" s="7"/>
      <c r="EMX41" s="7"/>
      <c r="EMY41" s="7"/>
      <c r="EMZ41" s="7"/>
      <c r="ENA41" s="7"/>
      <c r="ENB41" s="7"/>
      <c r="ENC41" s="7"/>
      <c r="END41" s="7"/>
      <c r="ENE41" s="7"/>
      <c r="ENF41" s="7"/>
      <c r="ENG41" s="7"/>
      <c r="ENH41" s="7"/>
      <c r="ENI41" s="7"/>
      <c r="ENJ41" s="7"/>
      <c r="ENK41" s="7"/>
      <c r="ENL41" s="7"/>
      <c r="ENM41" s="7"/>
      <c r="ENN41" s="7"/>
      <c r="ENO41" s="7"/>
      <c r="ENP41" s="7"/>
      <c r="ENQ41" s="7"/>
      <c r="ENR41" s="7"/>
      <c r="ENS41" s="7"/>
      <c r="ENT41" s="7"/>
      <c r="ENU41" s="7"/>
      <c r="ENV41" s="7"/>
      <c r="ENW41" s="7"/>
      <c r="ENX41" s="7"/>
      <c r="ENY41" s="7"/>
      <c r="ENZ41" s="7"/>
      <c r="EOA41" s="7"/>
      <c r="EOB41" s="7"/>
      <c r="EOC41" s="7"/>
      <c r="EOD41" s="7"/>
      <c r="EOE41" s="7"/>
      <c r="EOF41" s="7"/>
      <c r="EOG41" s="7"/>
      <c r="EOH41" s="7"/>
      <c r="EOI41" s="7"/>
      <c r="EOJ41" s="7"/>
      <c r="EOK41" s="7"/>
      <c r="EOL41" s="7"/>
      <c r="EOM41" s="7"/>
      <c r="EON41" s="7"/>
      <c r="EOO41" s="7"/>
      <c r="EOP41" s="7"/>
      <c r="EOQ41" s="7"/>
      <c r="EOR41" s="7"/>
      <c r="EOS41" s="7"/>
      <c r="EOT41" s="7"/>
      <c r="EOU41" s="7"/>
      <c r="EOV41" s="7"/>
      <c r="EOW41" s="7"/>
      <c r="EOX41" s="7"/>
      <c r="EOY41" s="7"/>
      <c r="EOZ41" s="7"/>
      <c r="EPA41" s="7"/>
      <c r="EPB41" s="7"/>
      <c r="EPC41" s="7"/>
      <c r="EPD41" s="7"/>
      <c r="EPE41" s="7"/>
      <c r="EPF41" s="7"/>
      <c r="EPG41" s="7"/>
      <c r="EPH41" s="7"/>
      <c r="EPI41" s="7"/>
      <c r="EPJ41" s="7"/>
      <c r="EPK41" s="7"/>
      <c r="EPL41" s="7"/>
      <c r="EPM41" s="7"/>
      <c r="EPN41" s="7"/>
      <c r="EPO41" s="7"/>
      <c r="EPP41" s="7"/>
      <c r="EPQ41" s="7"/>
      <c r="EPR41" s="7"/>
      <c r="EPS41" s="7"/>
      <c r="EPT41" s="7"/>
      <c r="EPU41" s="7"/>
      <c r="EPV41" s="7"/>
      <c r="EPW41" s="7"/>
      <c r="EPX41" s="7"/>
      <c r="EPY41" s="7"/>
      <c r="EPZ41" s="7"/>
      <c r="EQA41" s="7"/>
      <c r="EQB41" s="7"/>
      <c r="EQC41" s="7"/>
      <c r="EQD41" s="7"/>
      <c r="EQE41" s="7"/>
      <c r="EQF41" s="7"/>
      <c r="EQG41" s="7"/>
      <c r="EQH41" s="7"/>
      <c r="EQI41" s="7"/>
      <c r="EQJ41" s="7"/>
      <c r="EQK41" s="7"/>
      <c r="EQL41" s="7"/>
      <c r="EQM41" s="7"/>
      <c r="EQN41" s="7"/>
      <c r="EQO41" s="7"/>
      <c r="EQP41" s="7"/>
      <c r="EQQ41" s="7"/>
      <c r="EQR41" s="7"/>
      <c r="EQS41" s="7"/>
      <c r="EQT41" s="7"/>
      <c r="EQU41" s="7"/>
      <c r="EQV41" s="7"/>
      <c r="EQW41" s="7"/>
      <c r="EQX41" s="7"/>
      <c r="EQY41" s="7"/>
      <c r="EQZ41" s="7"/>
      <c r="ERA41" s="7"/>
      <c r="ERB41" s="7"/>
      <c r="ERC41" s="7"/>
      <c r="ERD41" s="7"/>
      <c r="ERE41" s="7"/>
      <c r="ERF41" s="7"/>
      <c r="ERG41" s="7"/>
      <c r="ERH41" s="7"/>
      <c r="ERI41" s="7"/>
      <c r="ERJ41" s="7"/>
      <c r="ERK41" s="7"/>
      <c r="ERL41" s="7"/>
      <c r="ERM41" s="7"/>
      <c r="ERN41" s="7"/>
      <c r="ERO41" s="7"/>
      <c r="ERP41" s="7"/>
      <c r="ERQ41" s="7"/>
      <c r="ERR41" s="7"/>
      <c r="ERS41" s="7"/>
      <c r="ERT41" s="7"/>
      <c r="ERU41" s="7"/>
      <c r="ERV41" s="7"/>
      <c r="ERW41" s="7"/>
      <c r="ERX41" s="7"/>
      <c r="ERY41" s="7"/>
      <c r="ERZ41" s="7"/>
      <c r="ESA41" s="7"/>
      <c r="ESB41" s="7"/>
      <c r="ESC41" s="7"/>
      <c r="ESD41" s="7"/>
      <c r="ESE41" s="7"/>
      <c r="ESF41" s="7"/>
      <c r="ESG41" s="7"/>
      <c r="ESH41" s="7"/>
      <c r="ESI41" s="7"/>
      <c r="ESJ41" s="7"/>
      <c r="ESK41" s="7"/>
      <c r="ESL41" s="7"/>
      <c r="ESM41" s="7"/>
      <c r="ESN41" s="7"/>
      <c r="ESO41" s="7"/>
      <c r="ESP41" s="7"/>
      <c r="ESQ41" s="7"/>
      <c r="ESR41" s="7"/>
      <c r="ESS41" s="7"/>
      <c r="EST41" s="7"/>
      <c r="ESU41" s="7"/>
      <c r="ESV41" s="7"/>
      <c r="ESW41" s="7"/>
      <c r="ESX41" s="7"/>
      <c r="ESY41" s="7"/>
      <c r="ESZ41" s="7"/>
      <c r="ETA41" s="7"/>
      <c r="ETB41" s="7"/>
      <c r="ETC41" s="7"/>
      <c r="ETD41" s="7"/>
      <c r="ETE41" s="7"/>
      <c r="ETF41" s="7"/>
      <c r="ETG41" s="7"/>
      <c r="ETH41" s="7"/>
      <c r="ETI41" s="7"/>
      <c r="ETJ41" s="7"/>
      <c r="ETK41" s="7"/>
      <c r="ETL41" s="7"/>
      <c r="ETM41" s="7"/>
      <c r="ETN41" s="7"/>
      <c r="ETO41" s="7"/>
      <c r="ETP41" s="7"/>
      <c r="ETQ41" s="7"/>
      <c r="ETR41" s="7"/>
      <c r="ETS41" s="7"/>
      <c r="ETT41" s="7"/>
      <c r="ETU41" s="7"/>
      <c r="ETV41" s="7"/>
      <c r="ETW41" s="7"/>
      <c r="ETX41" s="7"/>
      <c r="ETY41" s="7"/>
      <c r="ETZ41" s="7"/>
      <c r="EUA41" s="7"/>
      <c r="EUB41" s="7"/>
      <c r="EUC41" s="7"/>
      <c r="EUD41" s="7"/>
      <c r="EUE41" s="7"/>
      <c r="EUF41" s="7"/>
      <c r="EUG41" s="7"/>
      <c r="EUH41" s="7"/>
      <c r="EUI41" s="7"/>
      <c r="EUJ41" s="7"/>
      <c r="EUK41" s="7"/>
      <c r="EUL41" s="7"/>
      <c r="EUM41" s="7"/>
      <c r="EUN41" s="7"/>
      <c r="EUO41" s="7"/>
      <c r="EUP41" s="7"/>
      <c r="EUQ41" s="7"/>
      <c r="EUR41" s="7"/>
      <c r="EUS41" s="7"/>
      <c r="EUT41" s="7"/>
      <c r="EUU41" s="7"/>
      <c r="EUV41" s="7"/>
      <c r="EUW41" s="7"/>
      <c r="EUX41" s="7"/>
      <c r="EUY41" s="7"/>
      <c r="EUZ41" s="7"/>
      <c r="EVA41" s="7"/>
      <c r="EVB41" s="7"/>
      <c r="EVC41" s="7"/>
      <c r="EVD41" s="7"/>
      <c r="EVE41" s="7"/>
      <c r="EVF41" s="7"/>
      <c r="EVG41" s="7"/>
      <c r="EVH41" s="7"/>
      <c r="EVI41" s="7"/>
      <c r="EVJ41" s="7"/>
      <c r="EVK41" s="7"/>
      <c r="EVL41" s="7"/>
      <c r="EVM41" s="7"/>
      <c r="EVN41" s="7"/>
      <c r="EVO41" s="7"/>
      <c r="EVP41" s="7"/>
      <c r="EVQ41" s="7"/>
      <c r="EVR41" s="7"/>
      <c r="EVS41" s="7"/>
      <c r="EVT41" s="7"/>
      <c r="EVU41" s="7"/>
      <c r="EVV41" s="7"/>
      <c r="EVW41" s="7"/>
      <c r="EVX41" s="7"/>
      <c r="EVY41" s="7"/>
      <c r="EVZ41" s="7"/>
      <c r="EWA41" s="7"/>
      <c r="EWB41" s="7"/>
      <c r="EWC41" s="7"/>
      <c r="EWD41" s="7"/>
      <c r="EWE41" s="7"/>
      <c r="EWF41" s="7"/>
      <c r="EWG41" s="7"/>
      <c r="EWH41" s="7"/>
      <c r="EWI41" s="7"/>
      <c r="EWJ41" s="7"/>
      <c r="EWK41" s="7"/>
      <c r="EWL41" s="7"/>
      <c r="EWM41" s="7"/>
      <c r="EWN41" s="7"/>
      <c r="EWO41" s="7"/>
      <c r="EWP41" s="7"/>
      <c r="EWQ41" s="7"/>
      <c r="EWR41" s="7"/>
      <c r="EWS41" s="7"/>
      <c r="EWT41" s="7"/>
      <c r="EWU41" s="7"/>
      <c r="EWV41" s="7"/>
      <c r="EWW41" s="7"/>
      <c r="EWX41" s="7"/>
      <c r="EWY41" s="7"/>
      <c r="EWZ41" s="7"/>
      <c r="EXA41" s="7"/>
      <c r="EXB41" s="7"/>
      <c r="EXC41" s="7"/>
      <c r="EXD41" s="7"/>
      <c r="EXE41" s="7"/>
      <c r="EXF41" s="7"/>
      <c r="EXG41" s="7"/>
      <c r="EXH41" s="7"/>
      <c r="EXI41" s="7"/>
      <c r="EXJ41" s="7"/>
      <c r="EXK41" s="7"/>
      <c r="EXL41" s="7"/>
      <c r="EXM41" s="7"/>
      <c r="EXN41" s="7"/>
      <c r="EXO41" s="7"/>
      <c r="EXP41" s="7"/>
      <c r="EXQ41" s="7"/>
      <c r="EXR41" s="7"/>
      <c r="EXS41" s="7"/>
      <c r="EXT41" s="7"/>
      <c r="EXU41" s="7"/>
      <c r="EXV41" s="7"/>
      <c r="EXW41" s="7"/>
      <c r="EXX41" s="7"/>
      <c r="EXY41" s="7"/>
      <c r="EXZ41" s="7"/>
      <c r="EYA41" s="7"/>
      <c r="EYB41" s="7"/>
      <c r="EYC41" s="7"/>
      <c r="EYD41" s="7"/>
      <c r="EYE41" s="7"/>
      <c r="EYF41" s="7"/>
      <c r="EYG41" s="7"/>
      <c r="EYH41" s="7"/>
      <c r="EYI41" s="7"/>
      <c r="EYJ41" s="7"/>
      <c r="EYK41" s="7"/>
      <c r="EYL41" s="7"/>
      <c r="EYM41" s="7"/>
      <c r="EYN41" s="7"/>
      <c r="EYO41" s="7"/>
      <c r="EYP41" s="7"/>
      <c r="EYQ41" s="7"/>
      <c r="EYR41" s="7"/>
      <c r="EYS41" s="7"/>
      <c r="EYT41" s="7"/>
      <c r="EYU41" s="7"/>
      <c r="EYV41" s="7"/>
      <c r="EYW41" s="7"/>
      <c r="EYX41" s="7"/>
      <c r="EYY41" s="7"/>
      <c r="EYZ41" s="7"/>
      <c r="EZA41" s="7"/>
      <c r="EZB41" s="7"/>
      <c r="EZC41" s="7"/>
      <c r="EZD41" s="7"/>
      <c r="EZE41" s="7"/>
      <c r="EZF41" s="7"/>
      <c r="EZG41" s="7"/>
      <c r="EZH41" s="7"/>
      <c r="EZI41" s="7"/>
      <c r="EZJ41" s="7"/>
      <c r="EZK41" s="7"/>
      <c r="EZL41" s="7"/>
      <c r="EZM41" s="7"/>
      <c r="EZN41" s="7"/>
      <c r="EZO41" s="7"/>
      <c r="EZP41" s="7"/>
      <c r="EZQ41" s="7"/>
      <c r="EZR41" s="7"/>
      <c r="EZS41" s="7"/>
      <c r="EZT41" s="7"/>
      <c r="EZU41" s="7"/>
      <c r="EZV41" s="7"/>
      <c r="EZW41" s="7"/>
      <c r="EZX41" s="7"/>
      <c r="EZY41" s="7"/>
      <c r="EZZ41" s="7"/>
      <c r="FAA41" s="7"/>
      <c r="FAB41" s="7"/>
      <c r="FAC41" s="7"/>
      <c r="FAD41" s="7"/>
      <c r="FAE41" s="7"/>
      <c r="FAF41" s="7"/>
      <c r="FAG41" s="7"/>
      <c r="FAH41" s="7"/>
      <c r="FAI41" s="7"/>
      <c r="FAJ41" s="7"/>
      <c r="FAK41" s="7"/>
      <c r="FAL41" s="7"/>
      <c r="FAM41" s="7"/>
      <c r="FAN41" s="7"/>
      <c r="FAO41" s="7"/>
      <c r="FAP41" s="7"/>
      <c r="FAQ41" s="7"/>
      <c r="FAR41" s="7"/>
      <c r="FAS41" s="7"/>
      <c r="FAT41" s="7"/>
      <c r="FAU41" s="7"/>
      <c r="FAV41" s="7"/>
      <c r="FAW41" s="7"/>
      <c r="FAX41" s="7"/>
      <c r="FAY41" s="7"/>
      <c r="FAZ41" s="7"/>
      <c r="FBA41" s="7"/>
      <c r="FBB41" s="7"/>
      <c r="FBC41" s="7"/>
      <c r="FBD41" s="7"/>
      <c r="FBE41" s="7"/>
      <c r="FBF41" s="7"/>
      <c r="FBG41" s="7"/>
      <c r="FBH41" s="7"/>
      <c r="FBI41" s="7"/>
      <c r="FBJ41" s="7"/>
      <c r="FBK41" s="7"/>
      <c r="FBL41" s="7"/>
      <c r="FBM41" s="7"/>
      <c r="FBN41" s="7"/>
      <c r="FBO41" s="7"/>
      <c r="FBP41" s="7"/>
      <c r="FBQ41" s="7"/>
      <c r="FBR41" s="7"/>
      <c r="FBS41" s="7"/>
      <c r="FBT41" s="7"/>
      <c r="FBU41" s="7"/>
      <c r="FBV41" s="7"/>
      <c r="FBW41" s="7"/>
      <c r="FBX41" s="7"/>
      <c r="FBY41" s="7"/>
      <c r="FBZ41" s="7"/>
      <c r="FCA41" s="7"/>
      <c r="FCB41" s="7"/>
      <c r="FCC41" s="7"/>
      <c r="FCD41" s="7"/>
      <c r="FCE41" s="7"/>
      <c r="FCF41" s="7"/>
      <c r="FCG41" s="7"/>
      <c r="FCH41" s="7"/>
      <c r="FCI41" s="7"/>
      <c r="FCJ41" s="7"/>
      <c r="FCK41" s="7"/>
      <c r="FCL41" s="7"/>
      <c r="FCM41" s="7"/>
      <c r="FCN41" s="7"/>
      <c r="FCO41" s="7"/>
      <c r="FCP41" s="7"/>
      <c r="FCQ41" s="7"/>
      <c r="FCR41" s="7"/>
      <c r="FCS41" s="7"/>
      <c r="FCT41" s="7"/>
      <c r="FCU41" s="7"/>
      <c r="FCV41" s="7"/>
      <c r="FCW41" s="7"/>
      <c r="FCX41" s="7"/>
      <c r="FCY41" s="7"/>
      <c r="FCZ41" s="7"/>
      <c r="FDA41" s="7"/>
      <c r="FDB41" s="7"/>
      <c r="FDC41" s="7"/>
      <c r="FDD41" s="7"/>
      <c r="FDE41" s="7"/>
      <c r="FDF41" s="7"/>
      <c r="FDG41" s="7"/>
      <c r="FDH41" s="7"/>
      <c r="FDI41" s="7"/>
      <c r="FDJ41" s="7"/>
      <c r="FDK41" s="7"/>
      <c r="FDL41" s="7"/>
      <c r="FDM41" s="7"/>
      <c r="FDN41" s="7"/>
      <c r="FDO41" s="7"/>
      <c r="FDP41" s="7"/>
      <c r="FDQ41" s="7"/>
      <c r="FDR41" s="7"/>
      <c r="FDS41" s="7"/>
      <c r="FDT41" s="7"/>
      <c r="FDU41" s="7"/>
      <c r="FDV41" s="7"/>
      <c r="FDW41" s="7"/>
      <c r="FDX41" s="7"/>
      <c r="FDY41" s="7"/>
      <c r="FDZ41" s="7"/>
      <c r="FEA41" s="7"/>
      <c r="FEB41" s="7"/>
      <c r="FEC41" s="7"/>
      <c r="FED41" s="7"/>
      <c r="FEE41" s="7"/>
      <c r="FEF41" s="7"/>
      <c r="FEG41" s="7"/>
      <c r="FEH41" s="7"/>
      <c r="FEI41" s="7"/>
      <c r="FEJ41" s="7"/>
      <c r="FEK41" s="7"/>
      <c r="FEL41" s="7"/>
      <c r="FEM41" s="7"/>
      <c r="FEN41" s="7"/>
      <c r="FEO41" s="7"/>
      <c r="FEP41" s="7"/>
      <c r="FEQ41" s="7"/>
      <c r="FER41" s="7"/>
      <c r="FES41" s="7"/>
      <c r="FET41" s="7"/>
      <c r="FEU41" s="7"/>
      <c r="FEV41" s="7"/>
      <c r="FEW41" s="7"/>
      <c r="FEX41" s="7"/>
      <c r="FEY41" s="7"/>
      <c r="FEZ41" s="7"/>
      <c r="FFA41" s="7"/>
      <c r="FFB41" s="7"/>
      <c r="FFC41" s="7"/>
      <c r="FFD41" s="7"/>
      <c r="FFE41" s="7"/>
      <c r="FFF41" s="7"/>
      <c r="FFG41" s="7"/>
      <c r="FFH41" s="7"/>
      <c r="FFI41" s="7"/>
      <c r="FFJ41" s="7"/>
      <c r="FFK41" s="7"/>
      <c r="FFL41" s="7"/>
      <c r="FFM41" s="7"/>
      <c r="FFN41" s="7"/>
      <c r="FFO41" s="7"/>
      <c r="FFP41" s="7"/>
      <c r="FFQ41" s="7"/>
      <c r="FFR41" s="7"/>
      <c r="FFS41" s="7"/>
      <c r="FFT41" s="7"/>
      <c r="FFU41" s="7"/>
      <c r="FFV41" s="7"/>
      <c r="FFW41" s="7"/>
      <c r="FFX41" s="7"/>
      <c r="FFY41" s="7"/>
      <c r="FFZ41" s="7"/>
      <c r="FGA41" s="7"/>
      <c r="FGB41" s="7"/>
      <c r="FGC41" s="7"/>
      <c r="FGD41" s="7"/>
      <c r="FGE41" s="7"/>
      <c r="FGF41" s="7"/>
      <c r="FGG41" s="7"/>
      <c r="FGH41" s="7"/>
      <c r="FGI41" s="7"/>
      <c r="FGJ41" s="7"/>
      <c r="FGK41" s="7"/>
      <c r="FGL41" s="7"/>
      <c r="FGM41" s="7"/>
      <c r="FGN41" s="7"/>
      <c r="FGO41" s="7"/>
      <c r="FGP41" s="7"/>
      <c r="FGQ41" s="7"/>
      <c r="FGR41" s="7"/>
      <c r="FGS41" s="7"/>
      <c r="FGT41" s="7"/>
      <c r="FGU41" s="7"/>
      <c r="FGV41" s="7"/>
      <c r="FGW41" s="7"/>
      <c r="FGX41" s="7"/>
      <c r="FGY41" s="7"/>
      <c r="FGZ41" s="7"/>
      <c r="FHA41" s="7"/>
      <c r="FHB41" s="7"/>
      <c r="FHC41" s="7"/>
      <c r="FHD41" s="7"/>
      <c r="FHE41" s="7"/>
      <c r="FHF41" s="7"/>
      <c r="FHG41" s="7"/>
      <c r="FHH41" s="7"/>
      <c r="FHI41" s="7"/>
      <c r="FHJ41" s="7"/>
      <c r="FHK41" s="7"/>
      <c r="FHL41" s="7"/>
      <c r="FHM41" s="7"/>
      <c r="FHN41" s="7"/>
      <c r="FHO41" s="7"/>
      <c r="FHP41" s="7"/>
      <c r="FHQ41" s="7"/>
      <c r="FHR41" s="7"/>
      <c r="FHS41" s="7"/>
      <c r="FHT41" s="7"/>
      <c r="FHU41" s="7"/>
      <c r="FHV41" s="7"/>
      <c r="FHW41" s="7"/>
      <c r="FHX41" s="7"/>
      <c r="FHY41" s="7"/>
      <c r="FHZ41" s="7"/>
      <c r="FIA41" s="7"/>
      <c r="FIB41" s="7"/>
      <c r="FIC41" s="7"/>
      <c r="FID41" s="7"/>
      <c r="FIE41" s="7"/>
      <c r="FIF41" s="7"/>
      <c r="FIG41" s="7"/>
      <c r="FIH41" s="7"/>
      <c r="FII41" s="7"/>
      <c r="FIJ41" s="7"/>
      <c r="FIK41" s="7"/>
      <c r="FIL41" s="7"/>
      <c r="FIM41" s="7"/>
      <c r="FIN41" s="7"/>
      <c r="FIO41" s="7"/>
      <c r="FIP41" s="7"/>
      <c r="FIQ41" s="7"/>
      <c r="FIR41" s="7"/>
      <c r="FIS41" s="7"/>
      <c r="FIT41" s="7"/>
      <c r="FIU41" s="7"/>
      <c r="FIV41" s="7"/>
      <c r="FIW41" s="7"/>
      <c r="FIX41" s="7"/>
      <c r="FIY41" s="7"/>
      <c r="FIZ41" s="7"/>
      <c r="FJA41" s="7"/>
      <c r="FJB41" s="7"/>
      <c r="FJC41" s="7"/>
      <c r="FJD41" s="7"/>
      <c r="FJE41" s="7"/>
      <c r="FJF41" s="7"/>
      <c r="FJG41" s="7"/>
      <c r="FJH41" s="7"/>
      <c r="FJI41" s="7"/>
      <c r="FJJ41" s="7"/>
      <c r="FJK41" s="7"/>
      <c r="FJL41" s="7"/>
      <c r="FJM41" s="7"/>
      <c r="FJN41" s="7"/>
      <c r="FJO41" s="7"/>
      <c r="FJP41" s="7"/>
      <c r="FJQ41" s="7"/>
      <c r="FJR41" s="7"/>
      <c r="FJS41" s="7"/>
      <c r="FJT41" s="7"/>
      <c r="FJU41" s="7"/>
      <c r="FJV41" s="7"/>
      <c r="FJW41" s="7"/>
      <c r="FJX41" s="7"/>
      <c r="FJY41" s="7"/>
      <c r="FJZ41" s="7"/>
      <c r="FKA41" s="7"/>
      <c r="FKB41" s="7"/>
      <c r="FKC41" s="7"/>
      <c r="FKD41" s="7"/>
      <c r="FKE41" s="7"/>
      <c r="FKF41" s="7"/>
      <c r="FKG41" s="7"/>
      <c r="FKH41" s="7"/>
      <c r="FKI41" s="7"/>
      <c r="FKJ41" s="7"/>
      <c r="FKK41" s="7"/>
      <c r="FKL41" s="7"/>
      <c r="FKM41" s="7"/>
      <c r="FKN41" s="7"/>
      <c r="FKO41" s="7"/>
      <c r="FKP41" s="7"/>
      <c r="FKQ41" s="7"/>
      <c r="FKR41" s="7"/>
      <c r="FKS41" s="7"/>
      <c r="FKT41" s="7"/>
      <c r="FKU41" s="7"/>
      <c r="FKV41" s="7"/>
      <c r="FKW41" s="7"/>
      <c r="FKX41" s="7"/>
      <c r="FKY41" s="7"/>
      <c r="FKZ41" s="7"/>
      <c r="FLA41" s="7"/>
      <c r="FLB41" s="7"/>
      <c r="FLC41" s="7"/>
      <c r="FLD41" s="7"/>
      <c r="FLE41" s="7"/>
      <c r="FLF41" s="7"/>
      <c r="FLG41" s="7"/>
      <c r="FLH41" s="7"/>
      <c r="FLI41" s="7"/>
      <c r="FLJ41" s="7"/>
      <c r="FLK41" s="7"/>
      <c r="FLL41" s="7"/>
      <c r="FLM41" s="7"/>
      <c r="FLN41" s="7"/>
      <c r="FLO41" s="7"/>
      <c r="FLP41" s="7"/>
      <c r="FLQ41" s="7"/>
      <c r="FLR41" s="7"/>
      <c r="FLS41" s="7"/>
      <c r="FLT41" s="7"/>
      <c r="FLU41" s="7"/>
      <c r="FLV41" s="7"/>
      <c r="FLW41" s="7"/>
      <c r="FLX41" s="7"/>
      <c r="FLY41" s="7"/>
      <c r="FLZ41" s="7"/>
      <c r="FMA41" s="7"/>
      <c r="FMB41" s="7"/>
      <c r="FMC41" s="7"/>
      <c r="FMD41" s="7"/>
      <c r="FME41" s="7"/>
      <c r="FMF41" s="7"/>
      <c r="FMG41" s="7"/>
      <c r="FMH41" s="7"/>
      <c r="FMI41" s="7"/>
      <c r="FMJ41" s="7"/>
      <c r="FMK41" s="7"/>
      <c r="FML41" s="7"/>
      <c r="FMM41" s="7"/>
      <c r="FMN41" s="7"/>
      <c r="FMO41" s="7"/>
      <c r="FMP41" s="7"/>
      <c r="FMQ41" s="7"/>
      <c r="FMR41" s="7"/>
      <c r="FMS41" s="7"/>
      <c r="FMT41" s="7"/>
      <c r="FMU41" s="7"/>
      <c r="FMV41" s="7"/>
      <c r="FMW41" s="7"/>
      <c r="FMX41" s="7"/>
      <c r="FMY41" s="7"/>
      <c r="FMZ41" s="7"/>
      <c r="FNA41" s="7"/>
      <c r="FNB41" s="7"/>
      <c r="FNC41" s="7"/>
      <c r="FND41" s="7"/>
      <c r="FNE41" s="7"/>
      <c r="FNF41" s="7"/>
      <c r="FNG41" s="7"/>
      <c r="FNH41" s="7"/>
      <c r="FNI41" s="7"/>
      <c r="FNJ41" s="7"/>
      <c r="FNK41" s="7"/>
      <c r="FNL41" s="7"/>
      <c r="FNM41" s="7"/>
      <c r="FNN41" s="7"/>
      <c r="FNO41" s="7"/>
      <c r="FNP41" s="7"/>
      <c r="FNQ41" s="7"/>
      <c r="FNR41" s="7"/>
      <c r="FNS41" s="7"/>
      <c r="FNT41" s="7"/>
      <c r="FNU41" s="7"/>
      <c r="FNV41" s="7"/>
      <c r="FNW41" s="7"/>
      <c r="FNX41" s="7"/>
      <c r="FNY41" s="7"/>
      <c r="FNZ41" s="7"/>
      <c r="FOA41" s="7"/>
      <c r="FOB41" s="7"/>
      <c r="FOC41" s="7"/>
      <c r="FOD41" s="7"/>
      <c r="FOE41" s="7"/>
      <c r="FOF41" s="7"/>
      <c r="FOG41" s="7"/>
      <c r="FOH41" s="7"/>
      <c r="FOI41" s="7"/>
      <c r="FOJ41" s="7"/>
      <c r="FOK41" s="7"/>
      <c r="FOL41" s="7"/>
      <c r="FOM41" s="7"/>
      <c r="FON41" s="7"/>
      <c r="FOO41" s="7"/>
      <c r="FOP41" s="7"/>
      <c r="FOQ41" s="7"/>
      <c r="FOR41" s="7"/>
      <c r="FOS41" s="7"/>
      <c r="FOT41" s="7"/>
      <c r="FOU41" s="7"/>
      <c r="FOV41" s="7"/>
      <c r="FOW41" s="7"/>
      <c r="FOX41" s="7"/>
      <c r="FOY41" s="7"/>
      <c r="FOZ41" s="7"/>
      <c r="FPA41" s="7"/>
      <c r="FPB41" s="7"/>
      <c r="FPC41" s="7"/>
      <c r="FPD41" s="7"/>
      <c r="FPE41" s="7"/>
      <c r="FPF41" s="7"/>
      <c r="FPG41" s="7"/>
      <c r="FPH41" s="7"/>
      <c r="FPI41" s="7"/>
      <c r="FPJ41" s="7"/>
      <c r="FPK41" s="7"/>
      <c r="FPL41" s="7"/>
      <c r="FPM41" s="7"/>
      <c r="FPN41" s="7"/>
      <c r="FPO41" s="7"/>
      <c r="FPP41" s="7"/>
      <c r="FPQ41" s="7"/>
      <c r="FPR41" s="7"/>
      <c r="FPS41" s="7"/>
      <c r="FPT41" s="7"/>
      <c r="FPU41" s="7"/>
      <c r="FPV41" s="7"/>
      <c r="FPW41" s="7"/>
      <c r="FPX41" s="7"/>
      <c r="FPY41" s="7"/>
      <c r="FPZ41" s="7"/>
      <c r="FQA41" s="7"/>
      <c r="FQB41" s="7"/>
      <c r="FQC41" s="7"/>
      <c r="FQD41" s="7"/>
      <c r="FQE41" s="7"/>
      <c r="FQF41" s="7"/>
      <c r="FQG41" s="7"/>
      <c r="FQH41" s="7"/>
      <c r="FQI41" s="7"/>
      <c r="FQJ41" s="7"/>
      <c r="FQK41" s="7"/>
      <c r="FQL41" s="7"/>
      <c r="FQM41" s="7"/>
      <c r="FQN41" s="7"/>
      <c r="FQO41" s="7"/>
      <c r="FQP41" s="7"/>
      <c r="FQQ41" s="7"/>
      <c r="FQR41" s="7"/>
      <c r="FQS41" s="7"/>
      <c r="FQT41" s="7"/>
      <c r="FQU41" s="7"/>
      <c r="FQV41" s="7"/>
      <c r="FQW41" s="7"/>
      <c r="FQX41" s="7"/>
      <c r="FQY41" s="7"/>
      <c r="FQZ41" s="7"/>
      <c r="FRA41" s="7"/>
      <c r="FRB41" s="7"/>
      <c r="FRC41" s="7"/>
      <c r="FRD41" s="7"/>
      <c r="FRE41" s="7"/>
      <c r="FRF41" s="7"/>
      <c r="FRG41" s="7"/>
      <c r="FRH41" s="7"/>
      <c r="FRI41" s="7"/>
      <c r="FRJ41" s="7"/>
      <c r="FRK41" s="7"/>
      <c r="FRL41" s="7"/>
      <c r="FRM41" s="7"/>
      <c r="FRN41" s="7"/>
      <c r="FRO41" s="7"/>
      <c r="FRP41" s="7"/>
      <c r="FRQ41" s="7"/>
      <c r="FRR41" s="7"/>
      <c r="FRS41" s="7"/>
      <c r="FRT41" s="7"/>
      <c r="FRU41" s="7"/>
      <c r="FRV41" s="7"/>
      <c r="FRW41" s="7"/>
      <c r="FRX41" s="7"/>
      <c r="FRY41" s="7"/>
      <c r="FRZ41" s="7"/>
      <c r="FSA41" s="7"/>
      <c r="FSB41" s="7"/>
      <c r="FSC41" s="7"/>
      <c r="FSD41" s="7"/>
      <c r="FSE41" s="7"/>
      <c r="FSF41" s="7"/>
      <c r="FSG41" s="7"/>
      <c r="FSH41" s="7"/>
      <c r="FSI41" s="7"/>
      <c r="FSJ41" s="7"/>
      <c r="FSK41" s="7"/>
      <c r="FSL41" s="7"/>
      <c r="FSM41" s="7"/>
      <c r="FSN41" s="7"/>
      <c r="FSO41" s="7"/>
      <c r="FSP41" s="7"/>
      <c r="FSQ41" s="7"/>
      <c r="FSR41" s="7"/>
      <c r="FSS41" s="7"/>
      <c r="FST41" s="7"/>
      <c r="FSU41" s="7"/>
      <c r="FSV41" s="7"/>
      <c r="FSW41" s="7"/>
      <c r="FSX41" s="7"/>
      <c r="FSY41" s="7"/>
      <c r="FSZ41" s="7"/>
      <c r="FTA41" s="7"/>
      <c r="FTB41" s="7"/>
      <c r="FTC41" s="7"/>
      <c r="FTD41" s="7"/>
      <c r="FTE41" s="7"/>
      <c r="FTF41" s="7"/>
      <c r="FTG41" s="7"/>
      <c r="FTH41" s="7"/>
      <c r="FTI41" s="7"/>
      <c r="FTJ41" s="7"/>
      <c r="FTK41" s="7"/>
      <c r="FTL41" s="7"/>
      <c r="FTM41" s="7"/>
      <c r="FTN41" s="7"/>
      <c r="FTO41" s="7"/>
      <c r="FTP41" s="7"/>
      <c r="FTQ41" s="7"/>
      <c r="FTR41" s="7"/>
      <c r="FTS41" s="7"/>
      <c r="FTT41" s="7"/>
      <c r="FTU41" s="7"/>
      <c r="FTV41" s="7"/>
      <c r="FTW41" s="7"/>
      <c r="FTX41" s="7"/>
      <c r="FTY41" s="7"/>
      <c r="FTZ41" s="7"/>
      <c r="FUA41" s="7"/>
      <c r="FUB41" s="7"/>
      <c r="FUC41" s="7"/>
      <c r="FUD41" s="7"/>
      <c r="FUE41" s="7"/>
      <c r="FUF41" s="7"/>
      <c r="FUG41" s="7"/>
      <c r="FUH41" s="7"/>
      <c r="FUI41" s="7"/>
      <c r="FUJ41" s="7"/>
      <c r="FUK41" s="7"/>
      <c r="FUL41" s="7"/>
      <c r="FUM41" s="7"/>
      <c r="FUN41" s="7"/>
      <c r="FUO41" s="7"/>
      <c r="FUP41" s="7"/>
      <c r="FUQ41" s="7"/>
      <c r="FUR41" s="7"/>
      <c r="FUS41" s="7"/>
      <c r="FUT41" s="7"/>
      <c r="FUU41" s="7"/>
      <c r="FUV41" s="7"/>
      <c r="FUW41" s="7"/>
      <c r="FUX41" s="7"/>
      <c r="FUY41" s="7"/>
      <c r="FUZ41" s="7"/>
      <c r="FVA41" s="7"/>
      <c r="FVB41" s="7"/>
      <c r="FVC41" s="7"/>
      <c r="FVD41" s="7"/>
      <c r="FVE41" s="7"/>
      <c r="FVF41" s="7"/>
      <c r="FVG41" s="7"/>
      <c r="FVH41" s="7"/>
      <c r="FVI41" s="7"/>
      <c r="FVJ41" s="7"/>
      <c r="FVK41" s="7"/>
      <c r="FVL41" s="7"/>
      <c r="FVM41" s="7"/>
      <c r="FVN41" s="7"/>
      <c r="FVO41" s="7"/>
      <c r="FVP41" s="7"/>
      <c r="FVQ41" s="7"/>
      <c r="FVR41" s="7"/>
      <c r="FVS41" s="7"/>
      <c r="FVT41" s="7"/>
      <c r="FVU41" s="7"/>
      <c r="FVV41" s="7"/>
      <c r="FVW41" s="7"/>
      <c r="FVX41" s="7"/>
      <c r="FVY41" s="7"/>
      <c r="FVZ41" s="7"/>
      <c r="FWA41" s="7"/>
      <c r="FWB41" s="7"/>
      <c r="FWC41" s="7"/>
      <c r="FWD41" s="7"/>
      <c r="FWE41" s="7"/>
      <c r="FWF41" s="7"/>
      <c r="FWG41" s="7"/>
      <c r="FWH41" s="7"/>
      <c r="FWI41" s="7"/>
      <c r="FWJ41" s="7"/>
      <c r="FWK41" s="7"/>
      <c r="FWL41" s="7"/>
      <c r="FWM41" s="7"/>
      <c r="FWN41" s="7"/>
      <c r="FWO41" s="7"/>
      <c r="FWP41" s="7"/>
      <c r="FWQ41" s="7"/>
      <c r="FWR41" s="7"/>
      <c r="FWS41" s="7"/>
      <c r="FWT41" s="7"/>
      <c r="FWU41" s="7"/>
      <c r="FWV41" s="7"/>
      <c r="FWW41" s="7"/>
      <c r="FWX41" s="7"/>
      <c r="FWY41" s="7"/>
      <c r="FWZ41" s="7"/>
      <c r="FXA41" s="7"/>
      <c r="FXB41" s="7"/>
      <c r="FXC41" s="7"/>
      <c r="FXD41" s="7"/>
      <c r="FXE41" s="7"/>
      <c r="FXF41" s="7"/>
      <c r="FXG41" s="7"/>
      <c r="FXH41" s="7"/>
      <c r="FXI41" s="7"/>
      <c r="FXJ41" s="7"/>
      <c r="FXK41" s="7"/>
      <c r="FXL41" s="7"/>
      <c r="FXM41" s="7"/>
      <c r="FXN41" s="7"/>
      <c r="FXO41" s="7"/>
      <c r="FXP41" s="7"/>
      <c r="FXQ41" s="7"/>
      <c r="FXR41" s="7"/>
      <c r="FXS41" s="7"/>
      <c r="FXT41" s="7"/>
      <c r="FXU41" s="7"/>
      <c r="FXV41" s="7"/>
      <c r="FXW41" s="7"/>
      <c r="FXX41" s="7"/>
      <c r="FXY41" s="7"/>
      <c r="FXZ41" s="7"/>
      <c r="FYA41" s="7"/>
      <c r="FYB41" s="7"/>
      <c r="FYC41" s="7"/>
      <c r="FYD41" s="7"/>
      <c r="FYE41" s="7"/>
      <c r="FYF41" s="7"/>
      <c r="FYG41" s="7"/>
      <c r="FYH41" s="7"/>
      <c r="FYI41" s="7"/>
      <c r="FYJ41" s="7"/>
      <c r="FYK41" s="7"/>
      <c r="FYL41" s="7"/>
      <c r="FYM41" s="7"/>
      <c r="FYN41" s="7"/>
      <c r="FYO41" s="7"/>
      <c r="FYP41" s="7"/>
      <c r="FYQ41" s="7"/>
      <c r="FYR41" s="7"/>
      <c r="FYS41" s="7"/>
      <c r="FYT41" s="7"/>
      <c r="FYU41" s="7"/>
      <c r="FYV41" s="7"/>
      <c r="FYW41" s="7"/>
      <c r="FYX41" s="7"/>
      <c r="FYY41" s="7"/>
      <c r="FYZ41" s="7"/>
      <c r="FZA41" s="7"/>
      <c r="FZB41" s="7"/>
      <c r="FZC41" s="7"/>
      <c r="FZD41" s="7"/>
      <c r="FZE41" s="7"/>
      <c r="FZF41" s="7"/>
      <c r="FZG41" s="7"/>
      <c r="FZH41" s="7"/>
      <c r="FZI41" s="7"/>
      <c r="FZJ41" s="7"/>
      <c r="FZK41" s="7"/>
      <c r="FZL41" s="7"/>
      <c r="FZM41" s="7"/>
      <c r="FZN41" s="7"/>
      <c r="FZO41" s="7"/>
      <c r="FZP41" s="7"/>
      <c r="FZQ41" s="7"/>
      <c r="FZR41" s="7"/>
      <c r="FZS41" s="7"/>
      <c r="FZT41" s="7"/>
      <c r="FZU41" s="7"/>
      <c r="FZV41" s="7"/>
      <c r="FZW41" s="7"/>
      <c r="FZX41" s="7"/>
      <c r="FZY41" s="7"/>
      <c r="FZZ41" s="7"/>
      <c r="GAA41" s="7"/>
      <c r="GAB41" s="7"/>
      <c r="GAC41" s="7"/>
      <c r="GAD41" s="7"/>
      <c r="GAE41" s="7"/>
      <c r="GAF41" s="7"/>
      <c r="GAG41" s="7"/>
      <c r="GAH41" s="7"/>
      <c r="GAI41" s="7"/>
      <c r="GAJ41" s="7"/>
      <c r="GAK41" s="7"/>
      <c r="GAL41" s="7"/>
      <c r="GAM41" s="7"/>
      <c r="GAN41" s="7"/>
      <c r="GAO41" s="7"/>
      <c r="GAP41" s="7"/>
      <c r="GAQ41" s="7"/>
      <c r="GAR41" s="7"/>
      <c r="GAS41" s="7"/>
      <c r="GAT41" s="7"/>
      <c r="GAU41" s="7"/>
      <c r="GAV41" s="7"/>
      <c r="GAW41" s="7"/>
      <c r="GAX41" s="7"/>
      <c r="GAY41" s="7"/>
      <c r="GAZ41" s="7"/>
      <c r="GBA41" s="7"/>
      <c r="GBB41" s="7"/>
      <c r="GBC41" s="7"/>
      <c r="GBD41" s="7"/>
      <c r="GBE41" s="7"/>
      <c r="GBF41" s="7"/>
      <c r="GBG41" s="7"/>
      <c r="GBH41" s="7"/>
      <c r="GBI41" s="7"/>
      <c r="GBJ41" s="7"/>
      <c r="GBK41" s="7"/>
      <c r="GBL41" s="7"/>
      <c r="GBM41" s="7"/>
      <c r="GBN41" s="7"/>
      <c r="GBO41" s="7"/>
      <c r="GBP41" s="7"/>
      <c r="GBQ41" s="7"/>
      <c r="GBR41" s="7"/>
      <c r="GBS41" s="7"/>
      <c r="GBT41" s="7"/>
      <c r="GBU41" s="7"/>
      <c r="GBV41" s="7"/>
      <c r="GBW41" s="7"/>
      <c r="GBX41" s="7"/>
      <c r="GBY41" s="7"/>
      <c r="GBZ41" s="7"/>
      <c r="GCA41" s="7"/>
      <c r="GCB41" s="7"/>
      <c r="GCC41" s="7"/>
      <c r="GCD41" s="7"/>
      <c r="GCE41" s="7"/>
      <c r="GCF41" s="7"/>
      <c r="GCG41" s="7"/>
      <c r="GCH41" s="7"/>
      <c r="GCI41" s="7"/>
      <c r="GCJ41" s="7"/>
      <c r="GCK41" s="7"/>
      <c r="GCL41" s="7"/>
      <c r="GCM41" s="7"/>
      <c r="GCN41" s="7"/>
      <c r="GCO41" s="7"/>
      <c r="GCP41" s="7"/>
      <c r="GCQ41" s="7"/>
      <c r="GCR41" s="7"/>
      <c r="GCS41" s="7"/>
      <c r="GCT41" s="7"/>
      <c r="GCU41" s="7"/>
      <c r="GCV41" s="7"/>
      <c r="GCW41" s="7"/>
      <c r="GCX41" s="7"/>
      <c r="GCY41" s="7"/>
      <c r="GCZ41" s="7"/>
      <c r="GDA41" s="7"/>
      <c r="GDB41" s="7"/>
      <c r="GDC41" s="7"/>
      <c r="GDD41" s="7"/>
      <c r="GDE41" s="7"/>
      <c r="GDF41" s="7"/>
      <c r="GDG41" s="7"/>
      <c r="GDH41" s="7"/>
      <c r="GDI41" s="7"/>
      <c r="GDJ41" s="7"/>
      <c r="GDK41" s="7"/>
      <c r="GDL41" s="7"/>
      <c r="GDM41" s="7"/>
      <c r="GDN41" s="7"/>
      <c r="GDO41" s="7"/>
      <c r="GDP41" s="7"/>
      <c r="GDQ41" s="7"/>
      <c r="GDR41" s="7"/>
      <c r="GDS41" s="7"/>
      <c r="GDT41" s="7"/>
      <c r="GDU41" s="7"/>
      <c r="GDV41" s="7"/>
      <c r="GDW41" s="7"/>
      <c r="GDX41" s="7"/>
      <c r="GDY41" s="7"/>
      <c r="GDZ41" s="7"/>
      <c r="GEA41" s="7"/>
      <c r="GEB41" s="7"/>
      <c r="GEC41" s="7"/>
      <c r="GED41" s="7"/>
      <c r="GEE41" s="7"/>
      <c r="GEF41" s="7"/>
      <c r="GEG41" s="7"/>
      <c r="GEH41" s="7"/>
      <c r="GEI41" s="7"/>
      <c r="GEJ41" s="7"/>
      <c r="GEK41" s="7"/>
      <c r="GEL41" s="7"/>
      <c r="GEM41" s="7"/>
      <c r="GEN41" s="7"/>
      <c r="GEO41" s="7"/>
      <c r="GEP41" s="7"/>
      <c r="GEQ41" s="7"/>
      <c r="GER41" s="7"/>
      <c r="GES41" s="7"/>
      <c r="GET41" s="7"/>
      <c r="GEU41" s="7"/>
      <c r="GEV41" s="7"/>
      <c r="GEW41" s="7"/>
      <c r="GEX41" s="7"/>
      <c r="GEY41" s="7"/>
      <c r="GEZ41" s="7"/>
      <c r="GFA41" s="7"/>
      <c r="GFB41" s="7"/>
      <c r="GFC41" s="7"/>
      <c r="GFD41" s="7"/>
      <c r="GFE41" s="7"/>
      <c r="GFF41" s="7"/>
      <c r="GFG41" s="7"/>
      <c r="GFH41" s="7"/>
      <c r="GFI41" s="7"/>
      <c r="GFJ41" s="7"/>
      <c r="GFK41" s="7"/>
      <c r="GFL41" s="7"/>
      <c r="GFM41" s="7"/>
      <c r="GFN41" s="7"/>
      <c r="GFO41" s="7"/>
      <c r="GFP41" s="7"/>
      <c r="GFQ41" s="7"/>
      <c r="GFR41" s="7"/>
      <c r="GFS41" s="7"/>
      <c r="GFT41" s="7"/>
      <c r="GFU41" s="7"/>
      <c r="GFV41" s="7"/>
      <c r="GFW41" s="7"/>
      <c r="GFX41" s="7"/>
      <c r="GFY41" s="7"/>
      <c r="GFZ41" s="7"/>
      <c r="GGA41" s="7"/>
      <c r="GGB41" s="7"/>
      <c r="GGC41" s="7"/>
      <c r="GGD41" s="7"/>
      <c r="GGE41" s="7"/>
      <c r="GGF41" s="7"/>
      <c r="GGG41" s="7"/>
      <c r="GGH41" s="7"/>
      <c r="GGI41" s="7"/>
      <c r="GGJ41" s="7"/>
      <c r="GGK41" s="7"/>
      <c r="GGL41" s="7"/>
      <c r="GGM41" s="7"/>
      <c r="GGN41" s="7"/>
      <c r="GGO41" s="7"/>
      <c r="GGP41" s="7"/>
      <c r="GGQ41" s="7"/>
      <c r="GGR41" s="7"/>
      <c r="GGS41" s="7"/>
      <c r="GGT41" s="7"/>
      <c r="GGU41" s="7"/>
      <c r="GGV41" s="7"/>
      <c r="GGW41" s="7"/>
      <c r="GGX41" s="7"/>
      <c r="GGY41" s="7"/>
      <c r="GGZ41" s="7"/>
      <c r="GHA41" s="7"/>
      <c r="GHB41" s="7"/>
      <c r="GHC41" s="7"/>
      <c r="GHD41" s="7"/>
      <c r="GHE41" s="7"/>
      <c r="GHF41" s="7"/>
      <c r="GHG41" s="7"/>
      <c r="GHH41" s="7"/>
      <c r="GHI41" s="7"/>
      <c r="GHJ41" s="7"/>
      <c r="GHK41" s="7"/>
      <c r="GHL41" s="7"/>
      <c r="GHM41" s="7"/>
      <c r="GHN41" s="7"/>
      <c r="GHO41" s="7"/>
      <c r="GHP41" s="7"/>
      <c r="GHQ41" s="7"/>
      <c r="GHR41" s="7"/>
      <c r="GHS41" s="7"/>
      <c r="GHT41" s="7"/>
      <c r="GHU41" s="7"/>
      <c r="GHV41" s="7"/>
      <c r="GHW41" s="7"/>
      <c r="GHX41" s="7"/>
      <c r="GHY41" s="7"/>
      <c r="GHZ41" s="7"/>
      <c r="GIA41" s="7"/>
      <c r="GIB41" s="7"/>
      <c r="GIC41" s="7"/>
      <c r="GID41" s="7"/>
      <c r="GIE41" s="7"/>
      <c r="GIF41" s="7"/>
      <c r="GIG41" s="7"/>
      <c r="GIH41" s="7"/>
      <c r="GII41" s="7"/>
      <c r="GIJ41" s="7"/>
      <c r="GIK41" s="7"/>
      <c r="GIL41" s="7"/>
      <c r="GIM41" s="7"/>
      <c r="GIN41" s="7"/>
      <c r="GIO41" s="7"/>
      <c r="GIP41" s="7"/>
      <c r="GIQ41" s="7"/>
      <c r="GIR41" s="7"/>
      <c r="GIS41" s="7"/>
      <c r="GIT41" s="7"/>
      <c r="GIU41" s="7"/>
      <c r="GIV41" s="7"/>
      <c r="GIW41" s="7"/>
      <c r="GIX41" s="7"/>
      <c r="GIY41" s="7"/>
      <c r="GIZ41" s="7"/>
      <c r="GJA41" s="7"/>
      <c r="GJB41" s="7"/>
      <c r="GJC41" s="7"/>
      <c r="GJD41" s="7"/>
      <c r="GJE41" s="7"/>
      <c r="GJF41" s="7"/>
      <c r="GJG41" s="7"/>
      <c r="GJH41" s="7"/>
      <c r="GJI41" s="7"/>
      <c r="GJJ41" s="7"/>
      <c r="GJK41" s="7"/>
      <c r="GJL41" s="7"/>
      <c r="GJM41" s="7"/>
      <c r="GJN41" s="7"/>
      <c r="GJO41" s="7"/>
      <c r="GJP41" s="7"/>
      <c r="GJQ41" s="7"/>
      <c r="GJR41" s="7"/>
      <c r="GJS41" s="7"/>
      <c r="GJT41" s="7"/>
      <c r="GJU41" s="7"/>
      <c r="GJV41" s="7"/>
      <c r="GJW41" s="7"/>
      <c r="GJX41" s="7"/>
      <c r="GJY41" s="7"/>
      <c r="GJZ41" s="7"/>
      <c r="GKA41" s="7"/>
      <c r="GKB41" s="7"/>
      <c r="GKC41" s="7"/>
      <c r="GKD41" s="7"/>
      <c r="GKE41" s="7"/>
      <c r="GKF41" s="7"/>
      <c r="GKG41" s="7"/>
      <c r="GKH41" s="7"/>
      <c r="GKI41" s="7"/>
      <c r="GKJ41" s="7"/>
      <c r="GKK41" s="7"/>
      <c r="GKL41" s="7"/>
      <c r="GKM41" s="7"/>
      <c r="GKN41" s="7"/>
      <c r="GKO41" s="7"/>
      <c r="GKP41" s="7"/>
      <c r="GKQ41" s="7"/>
      <c r="GKR41" s="7"/>
      <c r="GKS41" s="7"/>
      <c r="GKT41" s="7"/>
      <c r="GKU41" s="7"/>
      <c r="GKV41" s="7"/>
      <c r="GKW41" s="7"/>
      <c r="GKX41" s="7"/>
      <c r="GKY41" s="7"/>
      <c r="GKZ41" s="7"/>
      <c r="GLA41" s="7"/>
      <c r="GLB41" s="7"/>
      <c r="GLC41" s="7"/>
      <c r="GLD41" s="7"/>
      <c r="GLE41" s="7"/>
      <c r="GLF41" s="7"/>
      <c r="GLG41" s="7"/>
      <c r="GLH41" s="7"/>
      <c r="GLI41" s="7"/>
      <c r="GLJ41" s="7"/>
      <c r="GLK41" s="7"/>
      <c r="GLL41" s="7"/>
      <c r="GLM41" s="7"/>
      <c r="GLN41" s="7"/>
      <c r="GLO41" s="7"/>
      <c r="GLP41" s="7"/>
      <c r="GLQ41" s="7"/>
      <c r="GLR41" s="7"/>
      <c r="GLS41" s="7"/>
      <c r="GLT41" s="7"/>
      <c r="GLU41" s="7"/>
      <c r="GLV41" s="7"/>
      <c r="GLW41" s="7"/>
      <c r="GLX41" s="7"/>
      <c r="GLY41" s="7"/>
      <c r="GLZ41" s="7"/>
      <c r="GMA41" s="7"/>
      <c r="GMB41" s="7"/>
      <c r="GMC41" s="7"/>
      <c r="GMD41" s="7"/>
      <c r="GME41" s="7"/>
      <c r="GMF41" s="7"/>
      <c r="GMG41" s="7"/>
      <c r="GMH41" s="7"/>
      <c r="GMI41" s="7"/>
      <c r="GMJ41" s="7"/>
      <c r="GMK41" s="7"/>
      <c r="GML41" s="7"/>
      <c r="GMM41" s="7"/>
      <c r="GMN41" s="7"/>
      <c r="GMO41" s="7"/>
      <c r="GMP41" s="7"/>
      <c r="GMQ41" s="7"/>
      <c r="GMR41" s="7"/>
      <c r="GMS41" s="7"/>
      <c r="GMT41" s="7"/>
      <c r="GMU41" s="7"/>
      <c r="GMV41" s="7"/>
      <c r="GMW41" s="7"/>
      <c r="GMX41" s="7"/>
      <c r="GMY41" s="7"/>
      <c r="GMZ41" s="7"/>
      <c r="GNA41" s="7"/>
      <c r="GNB41" s="7"/>
      <c r="GNC41" s="7"/>
      <c r="GND41" s="7"/>
      <c r="GNE41" s="7"/>
      <c r="GNF41" s="7"/>
      <c r="GNG41" s="7"/>
      <c r="GNH41" s="7"/>
      <c r="GNI41" s="7"/>
      <c r="GNJ41" s="7"/>
      <c r="GNK41" s="7"/>
      <c r="GNL41" s="7"/>
      <c r="GNM41" s="7"/>
      <c r="GNN41" s="7"/>
      <c r="GNO41" s="7"/>
      <c r="GNP41" s="7"/>
      <c r="GNQ41" s="7"/>
      <c r="GNR41" s="7"/>
      <c r="GNS41" s="7"/>
      <c r="GNT41" s="7"/>
      <c r="GNU41" s="7"/>
      <c r="GNV41" s="7"/>
      <c r="GNW41" s="7"/>
      <c r="GNX41" s="7"/>
      <c r="GNY41" s="7"/>
      <c r="GNZ41" s="7"/>
      <c r="GOA41" s="7"/>
      <c r="GOB41" s="7"/>
      <c r="GOC41" s="7"/>
      <c r="GOD41" s="7"/>
      <c r="GOE41" s="7"/>
      <c r="GOF41" s="7"/>
      <c r="GOG41" s="7"/>
      <c r="GOH41" s="7"/>
      <c r="GOI41" s="7"/>
      <c r="GOJ41" s="7"/>
      <c r="GOK41" s="7"/>
      <c r="GOL41" s="7"/>
      <c r="GOM41" s="7"/>
      <c r="GON41" s="7"/>
      <c r="GOO41" s="7"/>
      <c r="GOP41" s="7"/>
      <c r="GOQ41" s="7"/>
      <c r="GOR41" s="7"/>
      <c r="GOS41" s="7"/>
      <c r="GOT41" s="7"/>
      <c r="GOU41" s="7"/>
      <c r="GOV41" s="7"/>
      <c r="GOW41" s="7"/>
      <c r="GOX41" s="7"/>
      <c r="GOY41" s="7"/>
      <c r="GOZ41" s="7"/>
      <c r="GPA41" s="7"/>
      <c r="GPB41" s="7"/>
      <c r="GPC41" s="7"/>
      <c r="GPD41" s="7"/>
      <c r="GPE41" s="7"/>
      <c r="GPF41" s="7"/>
      <c r="GPG41" s="7"/>
      <c r="GPH41" s="7"/>
      <c r="GPI41" s="7"/>
      <c r="GPJ41" s="7"/>
      <c r="GPK41" s="7"/>
      <c r="GPL41" s="7"/>
      <c r="GPM41" s="7"/>
      <c r="GPN41" s="7"/>
      <c r="GPO41" s="7"/>
      <c r="GPP41" s="7"/>
      <c r="GPQ41" s="7"/>
      <c r="GPR41" s="7"/>
      <c r="GPS41" s="7"/>
      <c r="GPT41" s="7"/>
      <c r="GPU41" s="7"/>
      <c r="GPV41" s="7"/>
      <c r="GPW41" s="7"/>
      <c r="GPX41" s="7"/>
      <c r="GPY41" s="7"/>
      <c r="GPZ41" s="7"/>
      <c r="GQA41" s="7"/>
      <c r="GQB41" s="7"/>
      <c r="GQC41" s="7"/>
      <c r="GQD41" s="7"/>
      <c r="GQE41" s="7"/>
      <c r="GQF41" s="7"/>
      <c r="GQG41" s="7"/>
      <c r="GQH41" s="7"/>
      <c r="GQI41" s="7"/>
      <c r="GQJ41" s="7"/>
      <c r="GQK41" s="7"/>
      <c r="GQL41" s="7"/>
      <c r="GQM41" s="7"/>
      <c r="GQN41" s="7"/>
      <c r="GQO41" s="7"/>
      <c r="GQP41" s="7"/>
      <c r="GQQ41" s="7"/>
      <c r="GQR41" s="7"/>
      <c r="GQS41" s="7"/>
      <c r="GQT41" s="7"/>
      <c r="GQU41" s="7"/>
      <c r="GQV41" s="7"/>
      <c r="GQW41" s="7"/>
      <c r="GQX41" s="7"/>
      <c r="GQY41" s="7"/>
      <c r="GQZ41" s="7"/>
      <c r="GRA41" s="7"/>
      <c r="GRB41" s="7"/>
      <c r="GRC41" s="7"/>
      <c r="GRD41" s="7"/>
      <c r="GRE41" s="7"/>
      <c r="GRF41" s="7"/>
      <c r="GRG41" s="7"/>
      <c r="GRH41" s="7"/>
      <c r="GRI41" s="7"/>
      <c r="GRJ41" s="7"/>
      <c r="GRK41" s="7"/>
      <c r="GRL41" s="7"/>
      <c r="GRM41" s="7"/>
      <c r="GRN41" s="7"/>
      <c r="GRO41" s="7"/>
      <c r="GRP41" s="7"/>
      <c r="GRQ41" s="7"/>
      <c r="GRR41" s="7"/>
      <c r="GRS41" s="7"/>
      <c r="GRT41" s="7"/>
      <c r="GRU41" s="7"/>
      <c r="GRV41" s="7"/>
      <c r="GRW41" s="7"/>
      <c r="GRX41" s="7"/>
      <c r="GRY41" s="7"/>
      <c r="GRZ41" s="7"/>
      <c r="GSA41" s="7"/>
      <c r="GSB41" s="7"/>
      <c r="GSC41" s="7"/>
      <c r="GSD41" s="7"/>
      <c r="GSE41" s="7"/>
      <c r="GSF41" s="7"/>
      <c r="GSG41" s="7"/>
      <c r="GSH41" s="7"/>
      <c r="GSI41" s="7"/>
      <c r="GSJ41" s="7"/>
      <c r="GSK41" s="7"/>
      <c r="GSL41" s="7"/>
      <c r="GSM41" s="7"/>
      <c r="GSN41" s="7"/>
      <c r="GSO41" s="7"/>
      <c r="GSP41" s="7"/>
      <c r="GSQ41" s="7"/>
      <c r="GSR41" s="7"/>
      <c r="GSS41" s="7"/>
      <c r="GST41" s="7"/>
      <c r="GSU41" s="7"/>
      <c r="GSV41" s="7"/>
      <c r="GSW41" s="7"/>
      <c r="GSX41" s="7"/>
      <c r="GSY41" s="7"/>
      <c r="GSZ41" s="7"/>
      <c r="GTA41" s="7"/>
      <c r="GTB41" s="7"/>
      <c r="GTC41" s="7"/>
      <c r="GTD41" s="7"/>
      <c r="GTE41" s="7"/>
      <c r="GTF41" s="7"/>
      <c r="GTG41" s="7"/>
      <c r="GTH41" s="7"/>
      <c r="GTI41" s="7"/>
      <c r="GTJ41" s="7"/>
      <c r="GTK41" s="7"/>
      <c r="GTL41" s="7"/>
      <c r="GTM41" s="7"/>
      <c r="GTN41" s="7"/>
      <c r="GTO41" s="7"/>
      <c r="GTP41" s="7"/>
      <c r="GTQ41" s="7"/>
      <c r="GTR41" s="7"/>
      <c r="GTS41" s="7"/>
      <c r="GTT41" s="7"/>
      <c r="GTU41" s="7"/>
      <c r="GTV41" s="7"/>
      <c r="GTW41" s="7"/>
      <c r="GTX41" s="7"/>
      <c r="GTY41" s="7"/>
      <c r="GTZ41" s="7"/>
      <c r="GUA41" s="7"/>
      <c r="GUB41" s="7"/>
      <c r="GUC41" s="7"/>
      <c r="GUD41" s="7"/>
      <c r="GUE41" s="7"/>
      <c r="GUF41" s="7"/>
      <c r="GUG41" s="7"/>
      <c r="GUH41" s="7"/>
      <c r="GUI41" s="7"/>
      <c r="GUJ41" s="7"/>
      <c r="GUK41" s="7"/>
      <c r="GUL41" s="7"/>
      <c r="GUM41" s="7"/>
      <c r="GUN41" s="7"/>
      <c r="GUO41" s="7"/>
      <c r="GUP41" s="7"/>
      <c r="GUQ41" s="7"/>
      <c r="GUR41" s="7"/>
      <c r="GUS41" s="7"/>
      <c r="GUT41" s="7"/>
      <c r="GUU41" s="7"/>
      <c r="GUV41" s="7"/>
      <c r="GUW41" s="7"/>
      <c r="GUX41" s="7"/>
      <c r="GUY41" s="7"/>
      <c r="GUZ41" s="7"/>
      <c r="GVA41" s="7"/>
      <c r="GVB41" s="7"/>
      <c r="GVC41" s="7"/>
      <c r="GVD41" s="7"/>
      <c r="GVE41" s="7"/>
      <c r="GVF41" s="7"/>
      <c r="GVG41" s="7"/>
      <c r="GVH41" s="7"/>
      <c r="GVI41" s="7"/>
      <c r="GVJ41" s="7"/>
      <c r="GVK41" s="7"/>
      <c r="GVL41" s="7"/>
      <c r="GVM41" s="7"/>
      <c r="GVN41" s="7"/>
      <c r="GVO41" s="7"/>
      <c r="GVP41" s="7"/>
      <c r="GVQ41" s="7"/>
      <c r="GVR41" s="7"/>
      <c r="GVS41" s="7"/>
      <c r="GVT41" s="7"/>
      <c r="GVU41" s="7"/>
      <c r="GVV41" s="7"/>
      <c r="GVW41" s="7"/>
      <c r="GVX41" s="7"/>
      <c r="GVY41" s="7"/>
      <c r="GVZ41" s="7"/>
      <c r="GWA41" s="7"/>
      <c r="GWB41" s="7"/>
      <c r="GWC41" s="7"/>
      <c r="GWD41" s="7"/>
      <c r="GWE41" s="7"/>
      <c r="GWF41" s="7"/>
      <c r="GWG41" s="7"/>
      <c r="GWH41" s="7"/>
      <c r="GWI41" s="7"/>
      <c r="GWJ41" s="7"/>
      <c r="GWK41" s="7"/>
      <c r="GWL41" s="7"/>
      <c r="GWM41" s="7"/>
      <c r="GWN41" s="7"/>
      <c r="GWO41" s="7"/>
      <c r="GWP41" s="7"/>
      <c r="GWQ41" s="7"/>
      <c r="GWR41" s="7"/>
      <c r="GWS41" s="7"/>
      <c r="GWT41" s="7"/>
      <c r="GWU41" s="7"/>
      <c r="GWV41" s="7"/>
      <c r="GWW41" s="7"/>
      <c r="GWX41" s="7"/>
      <c r="GWY41" s="7"/>
      <c r="GWZ41" s="7"/>
      <c r="GXA41" s="7"/>
      <c r="GXB41" s="7"/>
      <c r="GXC41" s="7"/>
      <c r="GXD41" s="7"/>
      <c r="GXE41" s="7"/>
      <c r="GXF41" s="7"/>
      <c r="GXG41" s="7"/>
      <c r="GXH41" s="7"/>
      <c r="GXI41" s="7"/>
      <c r="GXJ41" s="7"/>
      <c r="GXK41" s="7"/>
      <c r="GXL41" s="7"/>
      <c r="GXM41" s="7"/>
      <c r="GXN41" s="7"/>
      <c r="GXO41" s="7"/>
      <c r="GXP41" s="7"/>
      <c r="GXQ41" s="7"/>
      <c r="GXR41" s="7"/>
      <c r="GXS41" s="7"/>
      <c r="GXT41" s="7"/>
      <c r="GXU41" s="7"/>
      <c r="GXV41" s="7"/>
      <c r="GXW41" s="7"/>
      <c r="GXX41" s="7"/>
      <c r="GXY41" s="7"/>
      <c r="GXZ41" s="7"/>
      <c r="GYA41" s="7"/>
      <c r="GYB41" s="7"/>
      <c r="GYC41" s="7"/>
      <c r="GYD41" s="7"/>
      <c r="GYE41" s="7"/>
      <c r="GYF41" s="7"/>
      <c r="GYG41" s="7"/>
      <c r="GYH41" s="7"/>
      <c r="GYI41" s="7"/>
      <c r="GYJ41" s="7"/>
      <c r="GYK41" s="7"/>
      <c r="GYL41" s="7"/>
      <c r="GYM41" s="7"/>
      <c r="GYN41" s="7"/>
      <c r="GYO41" s="7"/>
      <c r="GYP41" s="7"/>
      <c r="GYQ41" s="7"/>
      <c r="GYR41" s="7"/>
      <c r="GYS41" s="7"/>
      <c r="GYT41" s="7"/>
      <c r="GYU41" s="7"/>
      <c r="GYV41" s="7"/>
      <c r="GYW41" s="7"/>
      <c r="GYX41" s="7"/>
      <c r="GYY41" s="7"/>
      <c r="GYZ41" s="7"/>
      <c r="GZA41" s="7"/>
      <c r="GZB41" s="7"/>
      <c r="GZC41" s="7"/>
      <c r="GZD41" s="7"/>
      <c r="GZE41" s="7"/>
      <c r="GZF41" s="7"/>
      <c r="GZG41" s="7"/>
      <c r="GZH41" s="7"/>
      <c r="GZI41" s="7"/>
      <c r="GZJ41" s="7"/>
      <c r="GZK41" s="7"/>
      <c r="GZL41" s="7"/>
      <c r="GZM41" s="7"/>
      <c r="GZN41" s="7"/>
      <c r="GZO41" s="7"/>
      <c r="GZP41" s="7"/>
      <c r="GZQ41" s="7"/>
      <c r="GZR41" s="7"/>
      <c r="GZS41" s="7"/>
      <c r="GZT41" s="7"/>
      <c r="GZU41" s="7"/>
      <c r="GZV41" s="7"/>
      <c r="GZW41" s="7"/>
      <c r="GZX41" s="7"/>
      <c r="GZY41" s="7"/>
      <c r="GZZ41" s="7"/>
      <c r="HAA41" s="7"/>
      <c r="HAB41" s="7"/>
      <c r="HAC41" s="7"/>
      <c r="HAD41" s="7"/>
      <c r="HAE41" s="7"/>
      <c r="HAF41" s="7"/>
      <c r="HAG41" s="7"/>
      <c r="HAH41" s="7"/>
      <c r="HAI41" s="7"/>
      <c r="HAJ41" s="7"/>
      <c r="HAK41" s="7"/>
      <c r="HAL41" s="7"/>
      <c r="HAM41" s="7"/>
      <c r="HAN41" s="7"/>
      <c r="HAO41" s="7"/>
      <c r="HAP41" s="7"/>
      <c r="HAQ41" s="7"/>
      <c r="HAR41" s="7"/>
      <c r="HAS41" s="7"/>
      <c r="HAT41" s="7"/>
      <c r="HAU41" s="7"/>
      <c r="HAV41" s="7"/>
      <c r="HAW41" s="7"/>
      <c r="HAX41" s="7"/>
      <c r="HAY41" s="7"/>
      <c r="HAZ41" s="7"/>
      <c r="HBA41" s="7"/>
      <c r="HBB41" s="7"/>
      <c r="HBC41" s="7"/>
      <c r="HBD41" s="7"/>
      <c r="HBE41" s="7"/>
      <c r="HBF41" s="7"/>
      <c r="HBG41" s="7"/>
      <c r="HBH41" s="7"/>
      <c r="HBI41" s="7"/>
      <c r="HBJ41" s="7"/>
      <c r="HBK41" s="7"/>
      <c r="HBL41" s="7"/>
      <c r="HBM41" s="7"/>
      <c r="HBN41" s="7"/>
      <c r="HBO41" s="7"/>
      <c r="HBP41" s="7"/>
      <c r="HBQ41" s="7"/>
      <c r="HBR41" s="7"/>
      <c r="HBS41" s="7"/>
      <c r="HBT41" s="7"/>
      <c r="HBU41" s="7"/>
      <c r="HBV41" s="7"/>
      <c r="HBW41" s="7"/>
      <c r="HBX41" s="7"/>
      <c r="HBY41" s="7"/>
      <c r="HBZ41" s="7"/>
      <c r="HCA41" s="7"/>
      <c r="HCB41" s="7"/>
      <c r="HCC41" s="7"/>
      <c r="HCD41" s="7"/>
      <c r="HCE41" s="7"/>
      <c r="HCF41" s="7"/>
      <c r="HCG41" s="7"/>
      <c r="HCH41" s="7"/>
      <c r="HCI41" s="7"/>
      <c r="HCJ41" s="7"/>
      <c r="HCK41" s="7"/>
      <c r="HCL41" s="7"/>
      <c r="HCM41" s="7"/>
      <c r="HCN41" s="7"/>
      <c r="HCO41" s="7"/>
      <c r="HCP41" s="7"/>
      <c r="HCQ41" s="7"/>
      <c r="HCR41" s="7"/>
      <c r="HCS41" s="7"/>
      <c r="HCT41" s="7"/>
      <c r="HCU41" s="7"/>
      <c r="HCV41" s="7"/>
      <c r="HCW41" s="7"/>
      <c r="HCX41" s="7"/>
      <c r="HCY41" s="7"/>
      <c r="HCZ41" s="7"/>
      <c r="HDA41" s="7"/>
      <c r="HDB41" s="7"/>
      <c r="HDC41" s="7"/>
      <c r="HDD41" s="7"/>
      <c r="HDE41" s="7"/>
      <c r="HDF41" s="7"/>
      <c r="HDG41" s="7"/>
      <c r="HDH41" s="7"/>
      <c r="HDI41" s="7"/>
      <c r="HDJ41" s="7"/>
      <c r="HDK41" s="7"/>
      <c r="HDL41" s="7"/>
      <c r="HDM41" s="7"/>
      <c r="HDN41" s="7"/>
      <c r="HDO41" s="7"/>
      <c r="HDP41" s="7"/>
      <c r="HDQ41" s="7"/>
      <c r="HDR41" s="7"/>
      <c r="HDS41" s="7"/>
      <c r="HDT41" s="7"/>
      <c r="HDU41" s="7"/>
      <c r="HDV41" s="7"/>
      <c r="HDW41" s="7"/>
      <c r="HDX41" s="7"/>
      <c r="HDY41" s="7"/>
      <c r="HDZ41" s="7"/>
      <c r="HEA41" s="7"/>
      <c r="HEB41" s="7"/>
      <c r="HEC41" s="7"/>
      <c r="HED41" s="7"/>
      <c r="HEE41" s="7"/>
      <c r="HEF41" s="7"/>
      <c r="HEG41" s="7"/>
      <c r="HEH41" s="7"/>
      <c r="HEI41" s="7"/>
      <c r="HEJ41" s="7"/>
      <c r="HEK41" s="7"/>
      <c r="HEL41" s="7"/>
      <c r="HEM41" s="7"/>
      <c r="HEN41" s="7"/>
      <c r="HEO41" s="7"/>
      <c r="HEP41" s="7"/>
      <c r="HEQ41" s="7"/>
      <c r="HER41" s="7"/>
      <c r="HES41" s="7"/>
      <c r="HET41" s="7"/>
      <c r="HEU41" s="7"/>
      <c r="HEV41" s="7"/>
      <c r="HEW41" s="7"/>
      <c r="HEX41" s="7"/>
      <c r="HEY41" s="7"/>
      <c r="HEZ41" s="7"/>
      <c r="HFA41" s="7"/>
      <c r="HFB41" s="7"/>
      <c r="HFC41" s="7"/>
      <c r="HFD41" s="7"/>
      <c r="HFE41" s="7"/>
      <c r="HFF41" s="7"/>
      <c r="HFG41" s="7"/>
      <c r="HFH41" s="7"/>
      <c r="HFI41" s="7"/>
      <c r="HFJ41" s="7"/>
      <c r="HFK41" s="7"/>
      <c r="HFL41" s="7"/>
      <c r="HFM41" s="7"/>
      <c r="HFN41" s="7"/>
      <c r="HFO41" s="7"/>
      <c r="HFP41" s="7"/>
      <c r="HFQ41" s="7"/>
      <c r="HFR41" s="7"/>
      <c r="HFS41" s="7"/>
      <c r="HFT41" s="7"/>
      <c r="HFU41" s="7"/>
      <c r="HFV41" s="7"/>
      <c r="HFW41" s="7"/>
      <c r="HFX41" s="7"/>
      <c r="HFY41" s="7"/>
      <c r="HFZ41" s="7"/>
      <c r="HGA41" s="7"/>
      <c r="HGB41" s="7"/>
      <c r="HGC41" s="7"/>
      <c r="HGD41" s="7"/>
      <c r="HGE41" s="7"/>
      <c r="HGF41" s="7"/>
      <c r="HGG41" s="7"/>
      <c r="HGH41" s="7"/>
      <c r="HGI41" s="7"/>
      <c r="HGJ41" s="7"/>
      <c r="HGK41" s="7"/>
      <c r="HGL41" s="7"/>
      <c r="HGM41" s="7"/>
      <c r="HGN41" s="7"/>
      <c r="HGO41" s="7"/>
      <c r="HGP41" s="7"/>
      <c r="HGQ41" s="7"/>
      <c r="HGR41" s="7"/>
      <c r="HGS41" s="7"/>
      <c r="HGT41" s="7"/>
      <c r="HGU41" s="7"/>
      <c r="HGV41" s="7"/>
      <c r="HGW41" s="7"/>
      <c r="HGX41" s="7"/>
      <c r="HGY41" s="7"/>
      <c r="HGZ41" s="7"/>
      <c r="HHA41" s="7"/>
      <c r="HHB41" s="7"/>
      <c r="HHC41" s="7"/>
      <c r="HHD41" s="7"/>
      <c r="HHE41" s="7"/>
      <c r="HHF41" s="7"/>
      <c r="HHG41" s="7"/>
      <c r="HHH41" s="7"/>
      <c r="HHI41" s="7"/>
      <c r="HHJ41" s="7"/>
      <c r="HHK41" s="7"/>
      <c r="HHL41" s="7"/>
      <c r="HHM41" s="7"/>
      <c r="HHN41" s="7"/>
      <c r="HHO41" s="7"/>
      <c r="HHP41" s="7"/>
      <c r="HHQ41" s="7"/>
      <c r="HHR41" s="7"/>
      <c r="HHS41" s="7"/>
      <c r="HHT41" s="7"/>
      <c r="HHU41" s="7"/>
      <c r="HHV41" s="7"/>
      <c r="HHW41" s="7"/>
      <c r="HHX41" s="7"/>
      <c r="HHY41" s="7"/>
      <c r="HHZ41" s="7"/>
      <c r="HIA41" s="7"/>
      <c r="HIB41" s="7"/>
      <c r="HIC41" s="7"/>
      <c r="HID41" s="7"/>
      <c r="HIE41" s="7"/>
      <c r="HIF41" s="7"/>
      <c r="HIG41" s="7"/>
      <c r="HIH41" s="7"/>
      <c r="HII41" s="7"/>
      <c r="HIJ41" s="7"/>
      <c r="HIK41" s="7"/>
      <c r="HIL41" s="7"/>
      <c r="HIM41" s="7"/>
      <c r="HIN41" s="7"/>
      <c r="HIO41" s="7"/>
      <c r="HIP41" s="7"/>
      <c r="HIQ41" s="7"/>
      <c r="HIR41" s="7"/>
      <c r="HIS41" s="7"/>
      <c r="HIT41" s="7"/>
      <c r="HIU41" s="7"/>
      <c r="HIV41" s="7"/>
      <c r="HIW41" s="7"/>
      <c r="HIX41" s="7"/>
      <c r="HIY41" s="7"/>
      <c r="HIZ41" s="7"/>
      <c r="HJA41" s="7"/>
      <c r="HJB41" s="7"/>
      <c r="HJC41" s="7"/>
      <c r="HJD41" s="7"/>
      <c r="HJE41" s="7"/>
      <c r="HJF41" s="7"/>
      <c r="HJG41" s="7"/>
      <c r="HJH41" s="7"/>
      <c r="HJI41" s="7"/>
      <c r="HJJ41" s="7"/>
      <c r="HJK41" s="7"/>
      <c r="HJL41" s="7"/>
      <c r="HJM41" s="7"/>
      <c r="HJN41" s="7"/>
      <c r="HJO41" s="7"/>
      <c r="HJP41" s="7"/>
      <c r="HJQ41" s="7"/>
      <c r="HJR41" s="7"/>
      <c r="HJS41" s="7"/>
      <c r="HJT41" s="7"/>
      <c r="HJU41" s="7"/>
      <c r="HJV41" s="7"/>
      <c r="HJW41" s="7"/>
      <c r="HJX41" s="7"/>
      <c r="HJY41" s="7"/>
      <c r="HJZ41" s="7"/>
      <c r="HKA41" s="7"/>
      <c r="HKB41" s="7"/>
      <c r="HKC41" s="7"/>
      <c r="HKD41" s="7"/>
      <c r="HKE41" s="7"/>
      <c r="HKF41" s="7"/>
      <c r="HKG41" s="7"/>
      <c r="HKH41" s="7"/>
      <c r="HKI41" s="7"/>
      <c r="HKJ41" s="7"/>
      <c r="HKK41" s="7"/>
      <c r="HKL41" s="7"/>
      <c r="HKM41" s="7"/>
      <c r="HKN41" s="7"/>
      <c r="HKO41" s="7"/>
      <c r="HKP41" s="7"/>
      <c r="HKQ41" s="7"/>
      <c r="HKR41" s="7"/>
      <c r="HKS41" s="7"/>
      <c r="HKT41" s="7"/>
      <c r="HKU41" s="7"/>
      <c r="HKV41" s="7"/>
      <c r="HKW41" s="7"/>
      <c r="HKX41" s="7"/>
      <c r="HKY41" s="7"/>
      <c r="HKZ41" s="7"/>
      <c r="HLA41" s="7"/>
      <c r="HLB41" s="7"/>
      <c r="HLC41" s="7"/>
      <c r="HLD41" s="7"/>
      <c r="HLE41" s="7"/>
      <c r="HLF41" s="7"/>
      <c r="HLG41" s="7"/>
      <c r="HLH41" s="7"/>
      <c r="HLI41" s="7"/>
      <c r="HLJ41" s="7"/>
      <c r="HLK41" s="7"/>
      <c r="HLL41" s="7"/>
      <c r="HLM41" s="7"/>
      <c r="HLN41" s="7"/>
      <c r="HLO41" s="7"/>
      <c r="HLP41" s="7"/>
      <c r="HLQ41" s="7"/>
      <c r="HLR41" s="7"/>
      <c r="HLS41" s="7"/>
      <c r="HLT41" s="7"/>
      <c r="HLU41" s="7"/>
      <c r="HLV41" s="7"/>
      <c r="HLW41" s="7"/>
      <c r="HLX41" s="7"/>
      <c r="HLY41" s="7"/>
      <c r="HLZ41" s="7"/>
      <c r="HMA41" s="7"/>
      <c r="HMB41" s="7"/>
      <c r="HMC41" s="7"/>
      <c r="HMD41" s="7"/>
      <c r="HME41" s="7"/>
      <c r="HMF41" s="7"/>
      <c r="HMG41" s="7"/>
      <c r="HMH41" s="7"/>
      <c r="HMI41" s="7"/>
      <c r="HMJ41" s="7"/>
      <c r="HMK41" s="7"/>
      <c r="HML41" s="7"/>
      <c r="HMM41" s="7"/>
      <c r="HMN41" s="7"/>
      <c r="HMO41" s="7"/>
      <c r="HMP41" s="7"/>
      <c r="HMQ41" s="7"/>
      <c r="HMR41" s="7"/>
      <c r="HMS41" s="7"/>
      <c r="HMT41" s="7"/>
      <c r="HMU41" s="7"/>
      <c r="HMV41" s="7"/>
      <c r="HMW41" s="7"/>
      <c r="HMX41" s="7"/>
      <c r="HMY41" s="7"/>
      <c r="HMZ41" s="7"/>
      <c r="HNA41" s="7"/>
      <c r="HNB41" s="7"/>
      <c r="HNC41" s="7"/>
      <c r="HND41" s="7"/>
      <c r="HNE41" s="7"/>
      <c r="HNF41" s="7"/>
      <c r="HNG41" s="7"/>
      <c r="HNH41" s="7"/>
      <c r="HNI41" s="7"/>
      <c r="HNJ41" s="7"/>
      <c r="HNK41" s="7"/>
      <c r="HNL41" s="7"/>
      <c r="HNM41" s="7"/>
      <c r="HNN41" s="7"/>
      <c r="HNO41" s="7"/>
      <c r="HNP41" s="7"/>
      <c r="HNQ41" s="7"/>
      <c r="HNR41" s="7"/>
      <c r="HNS41" s="7"/>
      <c r="HNT41" s="7"/>
      <c r="HNU41" s="7"/>
      <c r="HNV41" s="7"/>
      <c r="HNW41" s="7"/>
      <c r="HNX41" s="7"/>
      <c r="HNY41" s="7"/>
      <c r="HNZ41" s="7"/>
      <c r="HOA41" s="7"/>
      <c r="HOB41" s="7"/>
      <c r="HOC41" s="7"/>
      <c r="HOD41" s="7"/>
      <c r="HOE41" s="7"/>
      <c r="HOF41" s="7"/>
      <c r="HOG41" s="7"/>
      <c r="HOH41" s="7"/>
      <c r="HOI41" s="7"/>
      <c r="HOJ41" s="7"/>
      <c r="HOK41" s="7"/>
      <c r="HOL41" s="7"/>
      <c r="HOM41" s="7"/>
      <c r="HON41" s="7"/>
      <c r="HOO41" s="7"/>
      <c r="HOP41" s="7"/>
      <c r="HOQ41" s="7"/>
      <c r="HOR41" s="7"/>
      <c r="HOS41" s="7"/>
      <c r="HOT41" s="7"/>
      <c r="HOU41" s="7"/>
      <c r="HOV41" s="7"/>
      <c r="HOW41" s="7"/>
      <c r="HOX41" s="7"/>
      <c r="HOY41" s="7"/>
      <c r="HOZ41" s="7"/>
      <c r="HPA41" s="7"/>
      <c r="HPB41" s="7"/>
      <c r="HPC41" s="7"/>
      <c r="HPD41" s="7"/>
      <c r="HPE41" s="7"/>
      <c r="HPF41" s="7"/>
      <c r="HPG41" s="7"/>
      <c r="HPH41" s="7"/>
      <c r="HPI41" s="7"/>
      <c r="HPJ41" s="7"/>
      <c r="HPK41" s="7"/>
      <c r="HPL41" s="7"/>
      <c r="HPM41" s="7"/>
      <c r="HPN41" s="7"/>
      <c r="HPO41" s="7"/>
      <c r="HPP41" s="7"/>
      <c r="HPQ41" s="7"/>
      <c r="HPR41" s="7"/>
      <c r="HPS41" s="7"/>
      <c r="HPT41" s="7"/>
      <c r="HPU41" s="7"/>
      <c r="HPV41" s="7"/>
      <c r="HPW41" s="7"/>
      <c r="HPX41" s="7"/>
      <c r="HPY41" s="7"/>
      <c r="HPZ41" s="7"/>
      <c r="HQA41" s="7"/>
      <c r="HQB41" s="7"/>
      <c r="HQC41" s="7"/>
      <c r="HQD41" s="7"/>
      <c r="HQE41" s="7"/>
      <c r="HQF41" s="7"/>
      <c r="HQG41" s="7"/>
      <c r="HQH41" s="7"/>
      <c r="HQI41" s="7"/>
      <c r="HQJ41" s="7"/>
      <c r="HQK41" s="7"/>
      <c r="HQL41" s="7"/>
      <c r="HQM41" s="7"/>
      <c r="HQN41" s="7"/>
      <c r="HQO41" s="7"/>
      <c r="HQP41" s="7"/>
      <c r="HQQ41" s="7"/>
      <c r="HQR41" s="7"/>
      <c r="HQS41" s="7"/>
      <c r="HQT41" s="7"/>
      <c r="HQU41" s="7"/>
      <c r="HQV41" s="7"/>
      <c r="HQW41" s="7"/>
      <c r="HQX41" s="7"/>
      <c r="HQY41" s="7"/>
      <c r="HQZ41" s="7"/>
      <c r="HRA41" s="7"/>
      <c r="HRB41" s="7"/>
      <c r="HRC41" s="7"/>
      <c r="HRD41" s="7"/>
      <c r="HRE41" s="7"/>
      <c r="HRF41" s="7"/>
      <c r="HRG41" s="7"/>
      <c r="HRH41" s="7"/>
      <c r="HRI41" s="7"/>
      <c r="HRJ41" s="7"/>
      <c r="HRK41" s="7"/>
      <c r="HRL41" s="7"/>
      <c r="HRM41" s="7"/>
      <c r="HRN41" s="7"/>
      <c r="HRO41" s="7"/>
      <c r="HRP41" s="7"/>
      <c r="HRQ41" s="7"/>
      <c r="HRR41" s="7"/>
      <c r="HRS41" s="7"/>
      <c r="HRT41" s="7"/>
      <c r="HRU41" s="7"/>
      <c r="HRV41" s="7"/>
      <c r="HRW41" s="7"/>
      <c r="HRX41" s="7"/>
      <c r="HRY41" s="7"/>
      <c r="HRZ41" s="7"/>
      <c r="HSA41" s="7"/>
      <c r="HSB41" s="7"/>
      <c r="HSC41" s="7"/>
      <c r="HSD41" s="7"/>
      <c r="HSE41" s="7"/>
      <c r="HSF41" s="7"/>
      <c r="HSG41" s="7"/>
      <c r="HSH41" s="7"/>
      <c r="HSI41" s="7"/>
      <c r="HSJ41" s="7"/>
      <c r="HSK41" s="7"/>
      <c r="HSL41" s="7"/>
      <c r="HSM41" s="7"/>
      <c r="HSN41" s="7"/>
      <c r="HSO41" s="7"/>
      <c r="HSP41" s="7"/>
      <c r="HSQ41" s="7"/>
      <c r="HSR41" s="7"/>
      <c r="HSS41" s="7"/>
      <c r="HST41" s="7"/>
      <c r="HSU41" s="7"/>
      <c r="HSV41" s="7"/>
      <c r="HSW41" s="7"/>
      <c r="HSX41" s="7"/>
      <c r="HSY41" s="7"/>
      <c r="HSZ41" s="7"/>
      <c r="HTA41" s="7"/>
      <c r="HTB41" s="7"/>
      <c r="HTC41" s="7"/>
      <c r="HTD41" s="7"/>
      <c r="HTE41" s="7"/>
      <c r="HTF41" s="7"/>
      <c r="HTG41" s="7"/>
      <c r="HTH41" s="7"/>
      <c r="HTI41" s="7"/>
      <c r="HTJ41" s="7"/>
      <c r="HTK41" s="7"/>
      <c r="HTL41" s="7"/>
      <c r="HTM41" s="7"/>
      <c r="HTN41" s="7"/>
      <c r="HTO41" s="7"/>
      <c r="HTP41" s="7"/>
      <c r="HTQ41" s="7"/>
      <c r="HTR41" s="7"/>
      <c r="HTS41" s="7"/>
      <c r="HTT41" s="7"/>
      <c r="HTU41" s="7"/>
      <c r="HTV41" s="7"/>
      <c r="HTW41" s="7"/>
      <c r="HTX41" s="7"/>
      <c r="HTY41" s="7"/>
      <c r="HTZ41" s="7"/>
      <c r="HUA41" s="7"/>
      <c r="HUB41" s="7"/>
      <c r="HUC41" s="7"/>
      <c r="HUD41" s="7"/>
      <c r="HUE41" s="7"/>
      <c r="HUF41" s="7"/>
      <c r="HUG41" s="7"/>
      <c r="HUH41" s="7"/>
      <c r="HUI41" s="7"/>
      <c r="HUJ41" s="7"/>
      <c r="HUK41" s="7"/>
      <c r="HUL41" s="7"/>
      <c r="HUM41" s="7"/>
      <c r="HUN41" s="7"/>
      <c r="HUO41" s="7"/>
      <c r="HUP41" s="7"/>
      <c r="HUQ41" s="7"/>
      <c r="HUR41" s="7"/>
      <c r="HUS41" s="7"/>
      <c r="HUT41" s="7"/>
      <c r="HUU41" s="7"/>
      <c r="HUV41" s="7"/>
      <c r="HUW41" s="7"/>
      <c r="HUX41" s="7"/>
      <c r="HUY41" s="7"/>
      <c r="HUZ41" s="7"/>
      <c r="HVA41" s="7"/>
      <c r="HVB41" s="7"/>
      <c r="HVC41" s="7"/>
      <c r="HVD41" s="7"/>
      <c r="HVE41" s="7"/>
      <c r="HVF41" s="7"/>
      <c r="HVG41" s="7"/>
      <c r="HVH41" s="7"/>
      <c r="HVI41" s="7"/>
      <c r="HVJ41" s="7"/>
      <c r="HVK41" s="7"/>
      <c r="HVL41" s="7"/>
      <c r="HVM41" s="7"/>
      <c r="HVN41" s="7"/>
      <c r="HVO41" s="7"/>
      <c r="HVP41" s="7"/>
      <c r="HVQ41" s="7"/>
      <c r="HVR41" s="7"/>
      <c r="HVS41" s="7"/>
      <c r="HVT41" s="7"/>
      <c r="HVU41" s="7"/>
      <c r="HVV41" s="7"/>
      <c r="HVW41" s="7"/>
      <c r="HVX41" s="7"/>
      <c r="HVY41" s="7"/>
      <c r="HVZ41" s="7"/>
      <c r="HWA41" s="7"/>
      <c r="HWB41" s="7"/>
      <c r="HWC41" s="7"/>
      <c r="HWD41" s="7"/>
      <c r="HWE41" s="7"/>
      <c r="HWF41" s="7"/>
      <c r="HWG41" s="7"/>
      <c r="HWH41" s="7"/>
      <c r="HWI41" s="7"/>
      <c r="HWJ41" s="7"/>
      <c r="HWK41" s="7"/>
      <c r="HWL41" s="7"/>
      <c r="HWM41" s="7"/>
      <c r="HWN41" s="7"/>
      <c r="HWO41" s="7"/>
      <c r="HWP41" s="7"/>
      <c r="HWQ41" s="7"/>
      <c r="HWR41" s="7"/>
      <c r="HWS41" s="7"/>
      <c r="HWT41" s="7"/>
      <c r="HWU41" s="7"/>
      <c r="HWV41" s="7"/>
      <c r="HWW41" s="7"/>
      <c r="HWX41" s="7"/>
      <c r="HWY41" s="7"/>
      <c r="HWZ41" s="7"/>
      <c r="HXA41" s="7"/>
      <c r="HXB41" s="7"/>
      <c r="HXC41" s="7"/>
      <c r="HXD41" s="7"/>
      <c r="HXE41" s="7"/>
      <c r="HXF41" s="7"/>
      <c r="HXG41" s="7"/>
      <c r="HXH41" s="7"/>
      <c r="HXI41" s="7"/>
      <c r="HXJ41" s="7"/>
      <c r="HXK41" s="7"/>
      <c r="HXL41" s="7"/>
      <c r="HXM41" s="7"/>
      <c r="HXN41" s="7"/>
      <c r="HXO41" s="7"/>
      <c r="HXP41" s="7"/>
      <c r="HXQ41" s="7"/>
      <c r="HXR41" s="7"/>
      <c r="HXS41" s="7"/>
      <c r="HXT41" s="7"/>
      <c r="HXU41" s="7"/>
      <c r="HXV41" s="7"/>
      <c r="HXW41" s="7"/>
      <c r="HXX41" s="7"/>
      <c r="HXY41" s="7"/>
      <c r="HXZ41" s="7"/>
      <c r="HYA41" s="7"/>
      <c r="HYB41" s="7"/>
      <c r="HYC41" s="7"/>
      <c r="HYD41" s="7"/>
      <c r="HYE41" s="7"/>
      <c r="HYF41" s="7"/>
      <c r="HYG41" s="7"/>
      <c r="HYH41" s="7"/>
      <c r="HYI41" s="7"/>
      <c r="HYJ41" s="7"/>
      <c r="HYK41" s="7"/>
      <c r="HYL41" s="7"/>
      <c r="HYM41" s="7"/>
      <c r="HYN41" s="7"/>
      <c r="HYO41" s="7"/>
      <c r="HYP41" s="7"/>
      <c r="HYQ41" s="7"/>
      <c r="HYR41" s="7"/>
      <c r="HYS41" s="7"/>
      <c r="HYT41" s="7"/>
      <c r="HYU41" s="7"/>
      <c r="HYV41" s="7"/>
      <c r="HYW41" s="7"/>
      <c r="HYX41" s="7"/>
      <c r="HYY41" s="7"/>
      <c r="HYZ41" s="7"/>
      <c r="HZA41" s="7"/>
      <c r="HZB41" s="7"/>
      <c r="HZC41" s="7"/>
      <c r="HZD41" s="7"/>
      <c r="HZE41" s="7"/>
      <c r="HZF41" s="7"/>
      <c r="HZG41" s="7"/>
      <c r="HZH41" s="7"/>
      <c r="HZI41" s="7"/>
      <c r="HZJ41" s="7"/>
      <c r="HZK41" s="7"/>
      <c r="HZL41" s="7"/>
      <c r="HZM41" s="7"/>
      <c r="HZN41" s="7"/>
      <c r="HZO41" s="7"/>
      <c r="HZP41" s="7"/>
      <c r="HZQ41" s="7"/>
      <c r="HZR41" s="7"/>
      <c r="HZS41" s="7"/>
      <c r="HZT41" s="7"/>
      <c r="HZU41" s="7"/>
      <c r="HZV41" s="7"/>
      <c r="HZW41" s="7"/>
      <c r="HZX41" s="7"/>
      <c r="HZY41" s="7"/>
      <c r="HZZ41" s="7"/>
      <c r="IAA41" s="7"/>
      <c r="IAB41" s="7"/>
      <c r="IAC41" s="7"/>
      <c r="IAD41" s="7"/>
      <c r="IAE41" s="7"/>
      <c r="IAF41" s="7"/>
      <c r="IAG41" s="7"/>
      <c r="IAH41" s="7"/>
      <c r="IAI41" s="7"/>
      <c r="IAJ41" s="7"/>
      <c r="IAK41" s="7"/>
      <c r="IAL41" s="7"/>
      <c r="IAM41" s="7"/>
      <c r="IAN41" s="7"/>
      <c r="IAO41" s="7"/>
      <c r="IAP41" s="7"/>
      <c r="IAQ41" s="7"/>
      <c r="IAR41" s="7"/>
      <c r="IAS41" s="7"/>
      <c r="IAT41" s="7"/>
      <c r="IAU41" s="7"/>
      <c r="IAV41" s="7"/>
      <c r="IAW41" s="7"/>
      <c r="IAX41" s="7"/>
      <c r="IAY41" s="7"/>
      <c r="IAZ41" s="7"/>
      <c r="IBA41" s="7"/>
      <c r="IBB41" s="7"/>
      <c r="IBC41" s="7"/>
      <c r="IBD41" s="7"/>
      <c r="IBE41" s="7"/>
      <c r="IBF41" s="7"/>
      <c r="IBG41" s="7"/>
      <c r="IBH41" s="7"/>
      <c r="IBI41" s="7"/>
      <c r="IBJ41" s="7"/>
      <c r="IBK41" s="7"/>
      <c r="IBL41" s="7"/>
      <c r="IBM41" s="7"/>
      <c r="IBN41" s="7"/>
      <c r="IBO41" s="7"/>
      <c r="IBP41" s="7"/>
      <c r="IBQ41" s="7"/>
      <c r="IBR41" s="7"/>
      <c r="IBS41" s="7"/>
      <c r="IBT41" s="7"/>
      <c r="IBU41" s="7"/>
      <c r="IBV41" s="7"/>
      <c r="IBW41" s="7"/>
      <c r="IBX41" s="7"/>
      <c r="IBY41" s="7"/>
      <c r="IBZ41" s="7"/>
      <c r="ICA41" s="7"/>
      <c r="ICB41" s="7"/>
      <c r="ICC41" s="7"/>
      <c r="ICD41" s="7"/>
      <c r="ICE41" s="7"/>
      <c r="ICF41" s="7"/>
      <c r="ICG41" s="7"/>
      <c r="ICH41" s="7"/>
      <c r="ICI41" s="7"/>
      <c r="ICJ41" s="7"/>
      <c r="ICK41" s="7"/>
      <c r="ICL41" s="7"/>
      <c r="ICM41" s="7"/>
      <c r="ICN41" s="7"/>
      <c r="ICO41" s="7"/>
      <c r="ICP41" s="7"/>
      <c r="ICQ41" s="7"/>
      <c r="ICR41" s="7"/>
      <c r="ICS41" s="7"/>
      <c r="ICT41" s="7"/>
      <c r="ICU41" s="7"/>
      <c r="ICV41" s="7"/>
      <c r="ICW41" s="7"/>
      <c r="ICX41" s="7"/>
      <c r="ICY41" s="7"/>
      <c r="ICZ41" s="7"/>
      <c r="IDA41" s="7"/>
      <c r="IDB41" s="7"/>
      <c r="IDC41" s="7"/>
      <c r="IDD41" s="7"/>
      <c r="IDE41" s="7"/>
      <c r="IDF41" s="7"/>
      <c r="IDG41" s="7"/>
      <c r="IDH41" s="7"/>
      <c r="IDI41" s="7"/>
      <c r="IDJ41" s="7"/>
      <c r="IDK41" s="7"/>
      <c r="IDL41" s="7"/>
      <c r="IDM41" s="7"/>
      <c r="IDN41" s="7"/>
      <c r="IDO41" s="7"/>
      <c r="IDP41" s="7"/>
      <c r="IDQ41" s="7"/>
      <c r="IDR41" s="7"/>
      <c r="IDS41" s="7"/>
      <c r="IDT41" s="7"/>
      <c r="IDU41" s="7"/>
      <c r="IDV41" s="7"/>
      <c r="IDW41" s="7"/>
      <c r="IDX41" s="7"/>
      <c r="IDY41" s="7"/>
      <c r="IDZ41" s="7"/>
      <c r="IEA41" s="7"/>
      <c r="IEB41" s="7"/>
      <c r="IEC41" s="7"/>
      <c r="IED41" s="7"/>
      <c r="IEE41" s="7"/>
      <c r="IEF41" s="7"/>
      <c r="IEG41" s="7"/>
      <c r="IEH41" s="7"/>
      <c r="IEI41" s="7"/>
      <c r="IEJ41" s="7"/>
      <c r="IEK41" s="7"/>
      <c r="IEL41" s="7"/>
      <c r="IEM41" s="7"/>
      <c r="IEN41" s="7"/>
      <c r="IEO41" s="7"/>
      <c r="IEP41" s="7"/>
      <c r="IEQ41" s="7"/>
      <c r="IER41" s="7"/>
      <c r="IES41" s="7"/>
      <c r="IET41" s="7"/>
      <c r="IEU41" s="7"/>
      <c r="IEV41" s="7"/>
      <c r="IEW41" s="7"/>
      <c r="IEX41" s="7"/>
      <c r="IEY41" s="7"/>
      <c r="IEZ41" s="7"/>
      <c r="IFA41" s="7"/>
      <c r="IFB41" s="7"/>
      <c r="IFC41" s="7"/>
      <c r="IFD41" s="7"/>
      <c r="IFE41" s="7"/>
      <c r="IFF41" s="7"/>
      <c r="IFG41" s="7"/>
      <c r="IFH41" s="7"/>
      <c r="IFI41" s="7"/>
      <c r="IFJ41" s="7"/>
      <c r="IFK41" s="7"/>
      <c r="IFL41" s="7"/>
      <c r="IFM41" s="7"/>
      <c r="IFN41" s="7"/>
      <c r="IFO41" s="7"/>
      <c r="IFP41" s="7"/>
      <c r="IFQ41" s="7"/>
      <c r="IFR41" s="7"/>
      <c r="IFS41" s="7"/>
      <c r="IFT41" s="7"/>
      <c r="IFU41" s="7"/>
      <c r="IFV41" s="7"/>
      <c r="IFW41" s="7"/>
      <c r="IFX41" s="7"/>
      <c r="IFY41" s="7"/>
      <c r="IFZ41" s="7"/>
      <c r="IGA41" s="7"/>
      <c r="IGB41" s="7"/>
      <c r="IGC41" s="7"/>
      <c r="IGD41" s="7"/>
      <c r="IGE41" s="7"/>
      <c r="IGF41" s="7"/>
      <c r="IGG41" s="7"/>
      <c r="IGH41" s="7"/>
      <c r="IGI41" s="7"/>
      <c r="IGJ41" s="7"/>
      <c r="IGK41" s="7"/>
      <c r="IGL41" s="7"/>
      <c r="IGM41" s="7"/>
      <c r="IGN41" s="7"/>
      <c r="IGO41" s="7"/>
      <c r="IGP41" s="7"/>
      <c r="IGQ41" s="7"/>
      <c r="IGR41" s="7"/>
      <c r="IGS41" s="7"/>
      <c r="IGT41" s="7"/>
      <c r="IGU41" s="7"/>
      <c r="IGV41" s="7"/>
      <c r="IGW41" s="7"/>
      <c r="IGX41" s="7"/>
      <c r="IGY41" s="7"/>
      <c r="IGZ41" s="7"/>
      <c r="IHA41" s="7"/>
      <c r="IHB41" s="7"/>
      <c r="IHC41" s="7"/>
      <c r="IHD41" s="7"/>
      <c r="IHE41" s="7"/>
      <c r="IHF41" s="7"/>
      <c r="IHG41" s="7"/>
      <c r="IHH41" s="7"/>
      <c r="IHI41" s="7"/>
      <c r="IHJ41" s="7"/>
      <c r="IHK41" s="7"/>
      <c r="IHL41" s="7"/>
      <c r="IHM41" s="7"/>
      <c r="IHN41" s="7"/>
      <c r="IHO41" s="7"/>
      <c r="IHP41" s="7"/>
      <c r="IHQ41" s="7"/>
      <c r="IHR41" s="7"/>
      <c r="IHS41" s="7"/>
      <c r="IHT41" s="7"/>
      <c r="IHU41" s="7"/>
      <c r="IHV41" s="7"/>
      <c r="IHW41" s="7"/>
      <c r="IHX41" s="7"/>
      <c r="IHY41" s="7"/>
      <c r="IHZ41" s="7"/>
      <c r="IIA41" s="7"/>
      <c r="IIB41" s="7"/>
      <c r="IIC41" s="7"/>
      <c r="IID41" s="7"/>
      <c r="IIE41" s="7"/>
      <c r="IIF41" s="7"/>
      <c r="IIG41" s="7"/>
      <c r="IIH41" s="7"/>
      <c r="III41" s="7"/>
      <c r="IIJ41" s="7"/>
      <c r="IIK41" s="7"/>
      <c r="IIL41" s="7"/>
      <c r="IIM41" s="7"/>
      <c r="IIN41" s="7"/>
      <c r="IIO41" s="7"/>
      <c r="IIP41" s="7"/>
      <c r="IIQ41" s="7"/>
      <c r="IIR41" s="7"/>
      <c r="IIS41" s="7"/>
      <c r="IIT41" s="7"/>
      <c r="IIU41" s="7"/>
      <c r="IIV41" s="7"/>
      <c r="IIW41" s="7"/>
      <c r="IIX41" s="7"/>
      <c r="IIY41" s="7"/>
      <c r="IIZ41" s="7"/>
      <c r="IJA41" s="7"/>
      <c r="IJB41" s="7"/>
      <c r="IJC41" s="7"/>
      <c r="IJD41" s="7"/>
      <c r="IJE41" s="7"/>
      <c r="IJF41" s="7"/>
      <c r="IJG41" s="7"/>
      <c r="IJH41" s="7"/>
      <c r="IJI41" s="7"/>
      <c r="IJJ41" s="7"/>
      <c r="IJK41" s="7"/>
      <c r="IJL41" s="7"/>
      <c r="IJM41" s="7"/>
      <c r="IJN41" s="7"/>
      <c r="IJO41" s="7"/>
      <c r="IJP41" s="7"/>
      <c r="IJQ41" s="7"/>
      <c r="IJR41" s="7"/>
      <c r="IJS41" s="7"/>
      <c r="IJT41" s="7"/>
      <c r="IJU41" s="7"/>
      <c r="IJV41" s="7"/>
      <c r="IJW41" s="7"/>
      <c r="IJX41" s="7"/>
      <c r="IJY41" s="7"/>
      <c r="IJZ41" s="7"/>
      <c r="IKA41" s="7"/>
      <c r="IKB41" s="7"/>
      <c r="IKC41" s="7"/>
      <c r="IKD41" s="7"/>
      <c r="IKE41" s="7"/>
      <c r="IKF41" s="7"/>
      <c r="IKG41" s="7"/>
      <c r="IKH41" s="7"/>
      <c r="IKI41" s="7"/>
      <c r="IKJ41" s="7"/>
      <c r="IKK41" s="7"/>
      <c r="IKL41" s="7"/>
      <c r="IKM41" s="7"/>
      <c r="IKN41" s="7"/>
      <c r="IKO41" s="7"/>
      <c r="IKP41" s="7"/>
      <c r="IKQ41" s="7"/>
      <c r="IKR41" s="7"/>
      <c r="IKS41" s="7"/>
      <c r="IKT41" s="7"/>
      <c r="IKU41" s="7"/>
      <c r="IKV41" s="7"/>
      <c r="IKW41" s="7"/>
      <c r="IKX41" s="7"/>
      <c r="IKY41" s="7"/>
      <c r="IKZ41" s="7"/>
      <c r="ILA41" s="7"/>
      <c r="ILB41" s="7"/>
      <c r="ILC41" s="7"/>
      <c r="ILD41" s="7"/>
      <c r="ILE41" s="7"/>
      <c r="ILF41" s="7"/>
      <c r="ILG41" s="7"/>
      <c r="ILH41" s="7"/>
      <c r="ILI41" s="7"/>
      <c r="ILJ41" s="7"/>
      <c r="ILK41" s="7"/>
      <c r="ILL41" s="7"/>
      <c r="ILM41" s="7"/>
      <c r="ILN41" s="7"/>
      <c r="ILO41" s="7"/>
      <c r="ILP41" s="7"/>
      <c r="ILQ41" s="7"/>
      <c r="ILR41" s="7"/>
      <c r="ILS41" s="7"/>
      <c r="ILT41" s="7"/>
      <c r="ILU41" s="7"/>
      <c r="ILV41" s="7"/>
      <c r="ILW41" s="7"/>
      <c r="ILX41" s="7"/>
      <c r="ILY41" s="7"/>
      <c r="ILZ41" s="7"/>
      <c r="IMA41" s="7"/>
      <c r="IMB41" s="7"/>
      <c r="IMC41" s="7"/>
      <c r="IMD41" s="7"/>
      <c r="IME41" s="7"/>
      <c r="IMF41" s="7"/>
      <c r="IMG41" s="7"/>
      <c r="IMH41" s="7"/>
      <c r="IMI41" s="7"/>
      <c r="IMJ41" s="7"/>
      <c r="IMK41" s="7"/>
      <c r="IML41" s="7"/>
      <c r="IMM41" s="7"/>
      <c r="IMN41" s="7"/>
      <c r="IMO41" s="7"/>
      <c r="IMP41" s="7"/>
      <c r="IMQ41" s="7"/>
      <c r="IMR41" s="7"/>
      <c r="IMS41" s="7"/>
      <c r="IMT41" s="7"/>
      <c r="IMU41" s="7"/>
      <c r="IMV41" s="7"/>
      <c r="IMW41" s="7"/>
      <c r="IMX41" s="7"/>
      <c r="IMY41" s="7"/>
      <c r="IMZ41" s="7"/>
      <c r="INA41" s="7"/>
      <c r="INB41" s="7"/>
      <c r="INC41" s="7"/>
      <c r="IND41" s="7"/>
      <c r="INE41" s="7"/>
      <c r="INF41" s="7"/>
      <c r="ING41" s="7"/>
      <c r="INH41" s="7"/>
      <c r="INI41" s="7"/>
      <c r="INJ41" s="7"/>
      <c r="INK41" s="7"/>
      <c r="INL41" s="7"/>
      <c r="INM41" s="7"/>
      <c r="INN41" s="7"/>
      <c r="INO41" s="7"/>
      <c r="INP41" s="7"/>
      <c r="INQ41" s="7"/>
      <c r="INR41" s="7"/>
      <c r="INS41" s="7"/>
      <c r="INT41" s="7"/>
      <c r="INU41" s="7"/>
      <c r="INV41" s="7"/>
      <c r="INW41" s="7"/>
      <c r="INX41" s="7"/>
      <c r="INY41" s="7"/>
      <c r="INZ41" s="7"/>
      <c r="IOA41" s="7"/>
      <c r="IOB41" s="7"/>
      <c r="IOC41" s="7"/>
      <c r="IOD41" s="7"/>
      <c r="IOE41" s="7"/>
      <c r="IOF41" s="7"/>
      <c r="IOG41" s="7"/>
      <c r="IOH41" s="7"/>
      <c r="IOI41" s="7"/>
      <c r="IOJ41" s="7"/>
      <c r="IOK41" s="7"/>
      <c r="IOL41" s="7"/>
      <c r="IOM41" s="7"/>
      <c r="ION41" s="7"/>
      <c r="IOO41" s="7"/>
      <c r="IOP41" s="7"/>
      <c r="IOQ41" s="7"/>
      <c r="IOR41" s="7"/>
      <c r="IOS41" s="7"/>
      <c r="IOT41" s="7"/>
      <c r="IOU41" s="7"/>
      <c r="IOV41" s="7"/>
      <c r="IOW41" s="7"/>
      <c r="IOX41" s="7"/>
      <c r="IOY41" s="7"/>
      <c r="IOZ41" s="7"/>
      <c r="IPA41" s="7"/>
      <c r="IPB41" s="7"/>
      <c r="IPC41" s="7"/>
      <c r="IPD41" s="7"/>
      <c r="IPE41" s="7"/>
      <c r="IPF41" s="7"/>
      <c r="IPG41" s="7"/>
      <c r="IPH41" s="7"/>
      <c r="IPI41" s="7"/>
      <c r="IPJ41" s="7"/>
      <c r="IPK41" s="7"/>
      <c r="IPL41" s="7"/>
      <c r="IPM41" s="7"/>
      <c r="IPN41" s="7"/>
      <c r="IPO41" s="7"/>
      <c r="IPP41" s="7"/>
      <c r="IPQ41" s="7"/>
      <c r="IPR41" s="7"/>
      <c r="IPS41" s="7"/>
      <c r="IPT41" s="7"/>
      <c r="IPU41" s="7"/>
      <c r="IPV41" s="7"/>
      <c r="IPW41" s="7"/>
      <c r="IPX41" s="7"/>
      <c r="IPY41" s="7"/>
      <c r="IPZ41" s="7"/>
      <c r="IQA41" s="7"/>
      <c r="IQB41" s="7"/>
      <c r="IQC41" s="7"/>
      <c r="IQD41" s="7"/>
      <c r="IQE41" s="7"/>
      <c r="IQF41" s="7"/>
      <c r="IQG41" s="7"/>
      <c r="IQH41" s="7"/>
      <c r="IQI41" s="7"/>
      <c r="IQJ41" s="7"/>
      <c r="IQK41" s="7"/>
      <c r="IQL41" s="7"/>
      <c r="IQM41" s="7"/>
      <c r="IQN41" s="7"/>
      <c r="IQO41" s="7"/>
      <c r="IQP41" s="7"/>
      <c r="IQQ41" s="7"/>
      <c r="IQR41" s="7"/>
      <c r="IQS41" s="7"/>
      <c r="IQT41" s="7"/>
      <c r="IQU41" s="7"/>
      <c r="IQV41" s="7"/>
      <c r="IQW41" s="7"/>
      <c r="IQX41" s="7"/>
      <c r="IQY41" s="7"/>
      <c r="IQZ41" s="7"/>
      <c r="IRA41" s="7"/>
      <c r="IRB41" s="7"/>
      <c r="IRC41" s="7"/>
      <c r="IRD41" s="7"/>
      <c r="IRE41" s="7"/>
      <c r="IRF41" s="7"/>
      <c r="IRG41" s="7"/>
      <c r="IRH41" s="7"/>
      <c r="IRI41" s="7"/>
      <c r="IRJ41" s="7"/>
      <c r="IRK41" s="7"/>
      <c r="IRL41" s="7"/>
      <c r="IRM41" s="7"/>
      <c r="IRN41" s="7"/>
      <c r="IRO41" s="7"/>
      <c r="IRP41" s="7"/>
      <c r="IRQ41" s="7"/>
      <c r="IRR41" s="7"/>
      <c r="IRS41" s="7"/>
      <c r="IRT41" s="7"/>
      <c r="IRU41" s="7"/>
      <c r="IRV41" s="7"/>
      <c r="IRW41" s="7"/>
      <c r="IRX41" s="7"/>
      <c r="IRY41" s="7"/>
      <c r="IRZ41" s="7"/>
      <c r="ISA41" s="7"/>
      <c r="ISB41" s="7"/>
      <c r="ISC41" s="7"/>
      <c r="ISD41" s="7"/>
      <c r="ISE41" s="7"/>
      <c r="ISF41" s="7"/>
      <c r="ISG41" s="7"/>
      <c r="ISH41" s="7"/>
      <c r="ISI41" s="7"/>
      <c r="ISJ41" s="7"/>
      <c r="ISK41" s="7"/>
      <c r="ISL41" s="7"/>
      <c r="ISM41" s="7"/>
      <c r="ISN41" s="7"/>
      <c r="ISO41" s="7"/>
      <c r="ISP41" s="7"/>
      <c r="ISQ41" s="7"/>
      <c r="ISR41" s="7"/>
      <c r="ISS41" s="7"/>
      <c r="IST41" s="7"/>
      <c r="ISU41" s="7"/>
      <c r="ISV41" s="7"/>
      <c r="ISW41" s="7"/>
      <c r="ISX41" s="7"/>
      <c r="ISY41" s="7"/>
      <c r="ISZ41" s="7"/>
      <c r="ITA41" s="7"/>
      <c r="ITB41" s="7"/>
      <c r="ITC41" s="7"/>
      <c r="ITD41" s="7"/>
      <c r="ITE41" s="7"/>
      <c r="ITF41" s="7"/>
      <c r="ITG41" s="7"/>
      <c r="ITH41" s="7"/>
      <c r="ITI41" s="7"/>
      <c r="ITJ41" s="7"/>
      <c r="ITK41" s="7"/>
      <c r="ITL41" s="7"/>
      <c r="ITM41" s="7"/>
      <c r="ITN41" s="7"/>
      <c r="ITO41" s="7"/>
      <c r="ITP41" s="7"/>
      <c r="ITQ41" s="7"/>
      <c r="ITR41" s="7"/>
      <c r="ITS41" s="7"/>
      <c r="ITT41" s="7"/>
      <c r="ITU41" s="7"/>
      <c r="ITV41" s="7"/>
      <c r="ITW41" s="7"/>
      <c r="ITX41" s="7"/>
      <c r="ITY41" s="7"/>
      <c r="ITZ41" s="7"/>
      <c r="IUA41" s="7"/>
      <c r="IUB41" s="7"/>
      <c r="IUC41" s="7"/>
      <c r="IUD41" s="7"/>
      <c r="IUE41" s="7"/>
      <c r="IUF41" s="7"/>
      <c r="IUG41" s="7"/>
      <c r="IUH41" s="7"/>
      <c r="IUI41" s="7"/>
      <c r="IUJ41" s="7"/>
      <c r="IUK41" s="7"/>
      <c r="IUL41" s="7"/>
      <c r="IUM41" s="7"/>
      <c r="IUN41" s="7"/>
      <c r="IUO41" s="7"/>
      <c r="IUP41" s="7"/>
      <c r="IUQ41" s="7"/>
      <c r="IUR41" s="7"/>
      <c r="IUS41" s="7"/>
      <c r="IUT41" s="7"/>
      <c r="IUU41" s="7"/>
      <c r="IUV41" s="7"/>
      <c r="IUW41" s="7"/>
      <c r="IUX41" s="7"/>
      <c r="IUY41" s="7"/>
      <c r="IUZ41" s="7"/>
      <c r="IVA41" s="7"/>
      <c r="IVB41" s="7"/>
      <c r="IVC41" s="7"/>
      <c r="IVD41" s="7"/>
      <c r="IVE41" s="7"/>
      <c r="IVF41" s="7"/>
      <c r="IVG41" s="7"/>
      <c r="IVH41" s="7"/>
      <c r="IVI41" s="7"/>
      <c r="IVJ41" s="7"/>
      <c r="IVK41" s="7"/>
      <c r="IVL41" s="7"/>
      <c r="IVM41" s="7"/>
      <c r="IVN41" s="7"/>
      <c r="IVO41" s="7"/>
      <c r="IVP41" s="7"/>
      <c r="IVQ41" s="7"/>
      <c r="IVR41" s="7"/>
      <c r="IVS41" s="7"/>
      <c r="IVT41" s="7"/>
      <c r="IVU41" s="7"/>
      <c r="IVV41" s="7"/>
      <c r="IVW41" s="7"/>
      <c r="IVX41" s="7"/>
      <c r="IVY41" s="7"/>
      <c r="IVZ41" s="7"/>
      <c r="IWA41" s="7"/>
      <c r="IWB41" s="7"/>
      <c r="IWC41" s="7"/>
      <c r="IWD41" s="7"/>
      <c r="IWE41" s="7"/>
      <c r="IWF41" s="7"/>
      <c r="IWG41" s="7"/>
      <c r="IWH41" s="7"/>
      <c r="IWI41" s="7"/>
      <c r="IWJ41" s="7"/>
      <c r="IWK41" s="7"/>
      <c r="IWL41" s="7"/>
      <c r="IWM41" s="7"/>
      <c r="IWN41" s="7"/>
      <c r="IWO41" s="7"/>
      <c r="IWP41" s="7"/>
      <c r="IWQ41" s="7"/>
      <c r="IWR41" s="7"/>
      <c r="IWS41" s="7"/>
      <c r="IWT41" s="7"/>
      <c r="IWU41" s="7"/>
      <c r="IWV41" s="7"/>
      <c r="IWW41" s="7"/>
      <c r="IWX41" s="7"/>
      <c r="IWY41" s="7"/>
      <c r="IWZ41" s="7"/>
      <c r="IXA41" s="7"/>
      <c r="IXB41" s="7"/>
      <c r="IXC41" s="7"/>
      <c r="IXD41" s="7"/>
      <c r="IXE41" s="7"/>
      <c r="IXF41" s="7"/>
      <c r="IXG41" s="7"/>
      <c r="IXH41" s="7"/>
      <c r="IXI41" s="7"/>
      <c r="IXJ41" s="7"/>
      <c r="IXK41" s="7"/>
      <c r="IXL41" s="7"/>
      <c r="IXM41" s="7"/>
      <c r="IXN41" s="7"/>
      <c r="IXO41" s="7"/>
      <c r="IXP41" s="7"/>
      <c r="IXQ41" s="7"/>
      <c r="IXR41" s="7"/>
      <c r="IXS41" s="7"/>
      <c r="IXT41" s="7"/>
      <c r="IXU41" s="7"/>
      <c r="IXV41" s="7"/>
      <c r="IXW41" s="7"/>
      <c r="IXX41" s="7"/>
      <c r="IXY41" s="7"/>
      <c r="IXZ41" s="7"/>
      <c r="IYA41" s="7"/>
      <c r="IYB41" s="7"/>
      <c r="IYC41" s="7"/>
      <c r="IYD41" s="7"/>
      <c r="IYE41" s="7"/>
      <c r="IYF41" s="7"/>
      <c r="IYG41" s="7"/>
      <c r="IYH41" s="7"/>
      <c r="IYI41" s="7"/>
      <c r="IYJ41" s="7"/>
      <c r="IYK41" s="7"/>
      <c r="IYL41" s="7"/>
      <c r="IYM41" s="7"/>
      <c r="IYN41" s="7"/>
      <c r="IYO41" s="7"/>
      <c r="IYP41" s="7"/>
      <c r="IYQ41" s="7"/>
      <c r="IYR41" s="7"/>
      <c r="IYS41" s="7"/>
      <c r="IYT41" s="7"/>
      <c r="IYU41" s="7"/>
      <c r="IYV41" s="7"/>
      <c r="IYW41" s="7"/>
      <c r="IYX41" s="7"/>
      <c r="IYY41" s="7"/>
      <c r="IYZ41" s="7"/>
      <c r="IZA41" s="7"/>
      <c r="IZB41" s="7"/>
      <c r="IZC41" s="7"/>
      <c r="IZD41" s="7"/>
      <c r="IZE41" s="7"/>
      <c r="IZF41" s="7"/>
      <c r="IZG41" s="7"/>
      <c r="IZH41" s="7"/>
      <c r="IZI41" s="7"/>
      <c r="IZJ41" s="7"/>
      <c r="IZK41" s="7"/>
      <c r="IZL41" s="7"/>
      <c r="IZM41" s="7"/>
      <c r="IZN41" s="7"/>
      <c r="IZO41" s="7"/>
      <c r="IZP41" s="7"/>
      <c r="IZQ41" s="7"/>
      <c r="IZR41" s="7"/>
      <c r="IZS41" s="7"/>
      <c r="IZT41" s="7"/>
      <c r="IZU41" s="7"/>
      <c r="IZV41" s="7"/>
      <c r="IZW41" s="7"/>
      <c r="IZX41" s="7"/>
      <c r="IZY41" s="7"/>
      <c r="IZZ41" s="7"/>
      <c r="JAA41" s="7"/>
      <c r="JAB41" s="7"/>
      <c r="JAC41" s="7"/>
      <c r="JAD41" s="7"/>
      <c r="JAE41" s="7"/>
      <c r="JAF41" s="7"/>
      <c r="JAG41" s="7"/>
      <c r="JAH41" s="7"/>
      <c r="JAI41" s="7"/>
      <c r="JAJ41" s="7"/>
      <c r="JAK41" s="7"/>
      <c r="JAL41" s="7"/>
      <c r="JAM41" s="7"/>
      <c r="JAN41" s="7"/>
      <c r="JAO41" s="7"/>
      <c r="JAP41" s="7"/>
      <c r="JAQ41" s="7"/>
      <c r="JAR41" s="7"/>
      <c r="JAS41" s="7"/>
      <c r="JAT41" s="7"/>
      <c r="JAU41" s="7"/>
      <c r="JAV41" s="7"/>
      <c r="JAW41" s="7"/>
      <c r="JAX41" s="7"/>
      <c r="JAY41" s="7"/>
      <c r="JAZ41" s="7"/>
      <c r="JBA41" s="7"/>
      <c r="JBB41" s="7"/>
      <c r="JBC41" s="7"/>
      <c r="JBD41" s="7"/>
      <c r="JBE41" s="7"/>
      <c r="JBF41" s="7"/>
      <c r="JBG41" s="7"/>
      <c r="JBH41" s="7"/>
      <c r="JBI41" s="7"/>
      <c r="JBJ41" s="7"/>
      <c r="JBK41" s="7"/>
      <c r="JBL41" s="7"/>
      <c r="JBM41" s="7"/>
      <c r="JBN41" s="7"/>
      <c r="JBO41" s="7"/>
      <c r="JBP41" s="7"/>
      <c r="JBQ41" s="7"/>
      <c r="JBR41" s="7"/>
      <c r="JBS41" s="7"/>
      <c r="JBT41" s="7"/>
      <c r="JBU41" s="7"/>
      <c r="JBV41" s="7"/>
      <c r="JBW41" s="7"/>
      <c r="JBX41" s="7"/>
      <c r="JBY41" s="7"/>
      <c r="JBZ41" s="7"/>
      <c r="JCA41" s="7"/>
      <c r="JCB41" s="7"/>
      <c r="JCC41" s="7"/>
      <c r="JCD41" s="7"/>
      <c r="JCE41" s="7"/>
      <c r="JCF41" s="7"/>
      <c r="JCG41" s="7"/>
      <c r="JCH41" s="7"/>
      <c r="JCI41" s="7"/>
      <c r="JCJ41" s="7"/>
      <c r="JCK41" s="7"/>
      <c r="JCL41" s="7"/>
      <c r="JCM41" s="7"/>
      <c r="JCN41" s="7"/>
      <c r="JCO41" s="7"/>
      <c r="JCP41" s="7"/>
      <c r="JCQ41" s="7"/>
      <c r="JCR41" s="7"/>
      <c r="JCS41" s="7"/>
      <c r="JCT41" s="7"/>
      <c r="JCU41" s="7"/>
      <c r="JCV41" s="7"/>
      <c r="JCW41" s="7"/>
      <c r="JCX41" s="7"/>
      <c r="JCY41" s="7"/>
      <c r="JCZ41" s="7"/>
      <c r="JDA41" s="7"/>
      <c r="JDB41" s="7"/>
      <c r="JDC41" s="7"/>
      <c r="JDD41" s="7"/>
      <c r="JDE41" s="7"/>
      <c r="JDF41" s="7"/>
      <c r="JDG41" s="7"/>
      <c r="JDH41" s="7"/>
      <c r="JDI41" s="7"/>
      <c r="JDJ41" s="7"/>
      <c r="JDK41" s="7"/>
      <c r="JDL41" s="7"/>
      <c r="JDM41" s="7"/>
      <c r="JDN41" s="7"/>
      <c r="JDO41" s="7"/>
      <c r="JDP41" s="7"/>
      <c r="JDQ41" s="7"/>
      <c r="JDR41" s="7"/>
      <c r="JDS41" s="7"/>
      <c r="JDT41" s="7"/>
      <c r="JDU41" s="7"/>
      <c r="JDV41" s="7"/>
      <c r="JDW41" s="7"/>
      <c r="JDX41" s="7"/>
      <c r="JDY41" s="7"/>
      <c r="JDZ41" s="7"/>
      <c r="JEA41" s="7"/>
      <c r="JEB41" s="7"/>
      <c r="JEC41" s="7"/>
      <c r="JED41" s="7"/>
      <c r="JEE41" s="7"/>
      <c r="JEF41" s="7"/>
      <c r="JEG41" s="7"/>
      <c r="JEH41" s="7"/>
      <c r="JEI41" s="7"/>
      <c r="JEJ41" s="7"/>
      <c r="JEK41" s="7"/>
      <c r="JEL41" s="7"/>
      <c r="JEM41" s="7"/>
      <c r="JEN41" s="7"/>
      <c r="JEO41" s="7"/>
      <c r="JEP41" s="7"/>
      <c r="JEQ41" s="7"/>
      <c r="JER41" s="7"/>
      <c r="JES41" s="7"/>
      <c r="JET41" s="7"/>
      <c r="JEU41" s="7"/>
      <c r="JEV41" s="7"/>
      <c r="JEW41" s="7"/>
      <c r="JEX41" s="7"/>
      <c r="JEY41" s="7"/>
      <c r="JEZ41" s="7"/>
      <c r="JFA41" s="7"/>
      <c r="JFB41" s="7"/>
      <c r="JFC41" s="7"/>
      <c r="JFD41" s="7"/>
      <c r="JFE41" s="7"/>
      <c r="JFF41" s="7"/>
      <c r="JFG41" s="7"/>
      <c r="JFH41" s="7"/>
      <c r="JFI41" s="7"/>
      <c r="JFJ41" s="7"/>
      <c r="JFK41" s="7"/>
      <c r="JFL41" s="7"/>
      <c r="JFM41" s="7"/>
      <c r="JFN41" s="7"/>
      <c r="JFO41" s="7"/>
      <c r="JFP41" s="7"/>
      <c r="JFQ41" s="7"/>
      <c r="JFR41" s="7"/>
      <c r="JFS41" s="7"/>
      <c r="JFT41" s="7"/>
      <c r="JFU41" s="7"/>
      <c r="JFV41" s="7"/>
      <c r="JFW41" s="7"/>
      <c r="JFX41" s="7"/>
      <c r="JFY41" s="7"/>
      <c r="JFZ41" s="7"/>
      <c r="JGA41" s="7"/>
      <c r="JGB41" s="7"/>
      <c r="JGC41" s="7"/>
      <c r="JGD41" s="7"/>
      <c r="JGE41" s="7"/>
      <c r="JGF41" s="7"/>
      <c r="JGG41" s="7"/>
      <c r="JGH41" s="7"/>
      <c r="JGI41" s="7"/>
      <c r="JGJ41" s="7"/>
      <c r="JGK41" s="7"/>
      <c r="JGL41" s="7"/>
      <c r="JGM41" s="7"/>
      <c r="JGN41" s="7"/>
      <c r="JGO41" s="7"/>
      <c r="JGP41" s="7"/>
      <c r="JGQ41" s="7"/>
      <c r="JGR41" s="7"/>
      <c r="JGS41" s="7"/>
      <c r="JGT41" s="7"/>
      <c r="JGU41" s="7"/>
      <c r="JGV41" s="7"/>
      <c r="JGW41" s="7"/>
      <c r="JGX41" s="7"/>
      <c r="JGY41" s="7"/>
      <c r="JGZ41" s="7"/>
      <c r="JHA41" s="7"/>
      <c r="JHB41" s="7"/>
      <c r="JHC41" s="7"/>
      <c r="JHD41" s="7"/>
      <c r="JHE41" s="7"/>
      <c r="JHF41" s="7"/>
      <c r="JHG41" s="7"/>
      <c r="JHH41" s="7"/>
      <c r="JHI41" s="7"/>
      <c r="JHJ41" s="7"/>
      <c r="JHK41" s="7"/>
      <c r="JHL41" s="7"/>
      <c r="JHM41" s="7"/>
      <c r="JHN41" s="7"/>
      <c r="JHO41" s="7"/>
      <c r="JHP41" s="7"/>
      <c r="JHQ41" s="7"/>
      <c r="JHR41" s="7"/>
      <c r="JHS41" s="7"/>
      <c r="JHT41" s="7"/>
      <c r="JHU41" s="7"/>
      <c r="JHV41" s="7"/>
      <c r="JHW41" s="7"/>
      <c r="JHX41" s="7"/>
      <c r="JHY41" s="7"/>
      <c r="JHZ41" s="7"/>
      <c r="JIA41" s="7"/>
      <c r="JIB41" s="7"/>
      <c r="JIC41" s="7"/>
      <c r="JID41" s="7"/>
      <c r="JIE41" s="7"/>
      <c r="JIF41" s="7"/>
      <c r="JIG41" s="7"/>
      <c r="JIH41" s="7"/>
      <c r="JII41" s="7"/>
      <c r="JIJ41" s="7"/>
      <c r="JIK41" s="7"/>
      <c r="JIL41" s="7"/>
      <c r="JIM41" s="7"/>
      <c r="JIN41" s="7"/>
      <c r="JIO41" s="7"/>
      <c r="JIP41" s="7"/>
      <c r="JIQ41" s="7"/>
      <c r="JIR41" s="7"/>
      <c r="JIS41" s="7"/>
      <c r="JIT41" s="7"/>
      <c r="JIU41" s="7"/>
      <c r="JIV41" s="7"/>
      <c r="JIW41" s="7"/>
      <c r="JIX41" s="7"/>
      <c r="JIY41" s="7"/>
      <c r="JIZ41" s="7"/>
      <c r="JJA41" s="7"/>
      <c r="JJB41" s="7"/>
      <c r="JJC41" s="7"/>
      <c r="JJD41" s="7"/>
      <c r="JJE41" s="7"/>
      <c r="JJF41" s="7"/>
      <c r="JJG41" s="7"/>
      <c r="JJH41" s="7"/>
      <c r="JJI41" s="7"/>
      <c r="JJJ41" s="7"/>
      <c r="JJK41" s="7"/>
      <c r="JJL41" s="7"/>
      <c r="JJM41" s="7"/>
      <c r="JJN41" s="7"/>
      <c r="JJO41" s="7"/>
      <c r="JJP41" s="7"/>
      <c r="JJQ41" s="7"/>
      <c r="JJR41" s="7"/>
      <c r="JJS41" s="7"/>
      <c r="JJT41" s="7"/>
      <c r="JJU41" s="7"/>
      <c r="JJV41" s="7"/>
      <c r="JJW41" s="7"/>
      <c r="JJX41" s="7"/>
      <c r="JJY41" s="7"/>
      <c r="JJZ41" s="7"/>
      <c r="JKA41" s="7"/>
      <c r="JKB41" s="7"/>
      <c r="JKC41" s="7"/>
      <c r="JKD41" s="7"/>
      <c r="JKE41" s="7"/>
      <c r="JKF41" s="7"/>
      <c r="JKG41" s="7"/>
      <c r="JKH41" s="7"/>
      <c r="JKI41" s="7"/>
      <c r="JKJ41" s="7"/>
      <c r="JKK41" s="7"/>
      <c r="JKL41" s="7"/>
      <c r="JKM41" s="7"/>
      <c r="JKN41" s="7"/>
      <c r="JKO41" s="7"/>
      <c r="JKP41" s="7"/>
      <c r="JKQ41" s="7"/>
      <c r="JKR41" s="7"/>
      <c r="JKS41" s="7"/>
      <c r="JKT41" s="7"/>
      <c r="JKU41" s="7"/>
      <c r="JKV41" s="7"/>
      <c r="JKW41" s="7"/>
      <c r="JKX41" s="7"/>
      <c r="JKY41" s="7"/>
      <c r="JKZ41" s="7"/>
      <c r="JLA41" s="7"/>
      <c r="JLB41" s="7"/>
      <c r="JLC41" s="7"/>
      <c r="JLD41" s="7"/>
      <c r="JLE41" s="7"/>
      <c r="JLF41" s="7"/>
      <c r="JLG41" s="7"/>
      <c r="JLH41" s="7"/>
      <c r="JLI41" s="7"/>
      <c r="JLJ41" s="7"/>
      <c r="JLK41" s="7"/>
      <c r="JLL41" s="7"/>
      <c r="JLM41" s="7"/>
      <c r="JLN41" s="7"/>
      <c r="JLO41" s="7"/>
      <c r="JLP41" s="7"/>
      <c r="JLQ41" s="7"/>
      <c r="JLR41" s="7"/>
      <c r="JLS41" s="7"/>
      <c r="JLT41" s="7"/>
      <c r="JLU41" s="7"/>
      <c r="JLV41" s="7"/>
      <c r="JLW41" s="7"/>
      <c r="JLX41" s="7"/>
      <c r="JLY41" s="7"/>
      <c r="JLZ41" s="7"/>
      <c r="JMA41" s="7"/>
      <c r="JMB41" s="7"/>
      <c r="JMC41" s="7"/>
      <c r="JMD41" s="7"/>
      <c r="JME41" s="7"/>
      <c r="JMF41" s="7"/>
      <c r="JMG41" s="7"/>
      <c r="JMH41" s="7"/>
      <c r="JMI41" s="7"/>
      <c r="JMJ41" s="7"/>
      <c r="JMK41" s="7"/>
      <c r="JML41" s="7"/>
      <c r="JMM41" s="7"/>
      <c r="JMN41" s="7"/>
      <c r="JMO41" s="7"/>
      <c r="JMP41" s="7"/>
      <c r="JMQ41" s="7"/>
      <c r="JMR41" s="7"/>
      <c r="JMS41" s="7"/>
      <c r="JMT41" s="7"/>
      <c r="JMU41" s="7"/>
      <c r="JMV41" s="7"/>
      <c r="JMW41" s="7"/>
      <c r="JMX41" s="7"/>
      <c r="JMY41" s="7"/>
      <c r="JMZ41" s="7"/>
      <c r="JNA41" s="7"/>
      <c r="JNB41" s="7"/>
      <c r="JNC41" s="7"/>
      <c r="JND41" s="7"/>
      <c r="JNE41" s="7"/>
      <c r="JNF41" s="7"/>
      <c r="JNG41" s="7"/>
      <c r="JNH41" s="7"/>
      <c r="JNI41" s="7"/>
      <c r="JNJ41" s="7"/>
      <c r="JNK41" s="7"/>
      <c r="JNL41" s="7"/>
      <c r="JNM41" s="7"/>
      <c r="JNN41" s="7"/>
      <c r="JNO41" s="7"/>
      <c r="JNP41" s="7"/>
      <c r="JNQ41" s="7"/>
      <c r="JNR41" s="7"/>
      <c r="JNS41" s="7"/>
      <c r="JNT41" s="7"/>
      <c r="JNU41" s="7"/>
      <c r="JNV41" s="7"/>
      <c r="JNW41" s="7"/>
      <c r="JNX41" s="7"/>
      <c r="JNY41" s="7"/>
      <c r="JNZ41" s="7"/>
      <c r="JOA41" s="7"/>
      <c r="JOB41" s="7"/>
      <c r="JOC41" s="7"/>
      <c r="JOD41" s="7"/>
      <c r="JOE41" s="7"/>
      <c r="JOF41" s="7"/>
      <c r="JOG41" s="7"/>
      <c r="JOH41" s="7"/>
      <c r="JOI41" s="7"/>
      <c r="JOJ41" s="7"/>
      <c r="JOK41" s="7"/>
      <c r="JOL41" s="7"/>
      <c r="JOM41" s="7"/>
      <c r="JON41" s="7"/>
      <c r="JOO41" s="7"/>
      <c r="JOP41" s="7"/>
      <c r="JOQ41" s="7"/>
      <c r="JOR41" s="7"/>
      <c r="JOS41" s="7"/>
      <c r="JOT41" s="7"/>
      <c r="JOU41" s="7"/>
      <c r="JOV41" s="7"/>
      <c r="JOW41" s="7"/>
      <c r="JOX41" s="7"/>
      <c r="JOY41" s="7"/>
      <c r="JOZ41" s="7"/>
      <c r="JPA41" s="7"/>
      <c r="JPB41" s="7"/>
      <c r="JPC41" s="7"/>
      <c r="JPD41" s="7"/>
      <c r="JPE41" s="7"/>
      <c r="JPF41" s="7"/>
      <c r="JPG41" s="7"/>
      <c r="JPH41" s="7"/>
      <c r="JPI41" s="7"/>
      <c r="JPJ41" s="7"/>
      <c r="JPK41" s="7"/>
      <c r="JPL41" s="7"/>
      <c r="JPM41" s="7"/>
      <c r="JPN41" s="7"/>
      <c r="JPO41" s="7"/>
      <c r="JPP41" s="7"/>
      <c r="JPQ41" s="7"/>
      <c r="JPR41" s="7"/>
      <c r="JPS41" s="7"/>
      <c r="JPT41" s="7"/>
      <c r="JPU41" s="7"/>
      <c r="JPV41" s="7"/>
      <c r="JPW41" s="7"/>
      <c r="JPX41" s="7"/>
      <c r="JPY41" s="7"/>
      <c r="JPZ41" s="7"/>
      <c r="JQA41" s="7"/>
      <c r="JQB41" s="7"/>
      <c r="JQC41" s="7"/>
      <c r="JQD41" s="7"/>
      <c r="JQE41" s="7"/>
      <c r="JQF41" s="7"/>
      <c r="JQG41" s="7"/>
      <c r="JQH41" s="7"/>
      <c r="JQI41" s="7"/>
      <c r="JQJ41" s="7"/>
      <c r="JQK41" s="7"/>
      <c r="JQL41" s="7"/>
      <c r="JQM41" s="7"/>
      <c r="JQN41" s="7"/>
      <c r="JQO41" s="7"/>
      <c r="JQP41" s="7"/>
      <c r="JQQ41" s="7"/>
      <c r="JQR41" s="7"/>
      <c r="JQS41" s="7"/>
      <c r="JQT41" s="7"/>
      <c r="JQU41" s="7"/>
      <c r="JQV41" s="7"/>
      <c r="JQW41" s="7"/>
      <c r="JQX41" s="7"/>
      <c r="JQY41" s="7"/>
      <c r="JQZ41" s="7"/>
      <c r="JRA41" s="7"/>
      <c r="JRB41" s="7"/>
      <c r="JRC41" s="7"/>
      <c r="JRD41" s="7"/>
      <c r="JRE41" s="7"/>
      <c r="JRF41" s="7"/>
      <c r="JRG41" s="7"/>
      <c r="JRH41" s="7"/>
      <c r="JRI41" s="7"/>
      <c r="JRJ41" s="7"/>
      <c r="JRK41" s="7"/>
      <c r="JRL41" s="7"/>
      <c r="JRM41" s="7"/>
      <c r="JRN41" s="7"/>
      <c r="JRO41" s="7"/>
      <c r="JRP41" s="7"/>
      <c r="JRQ41" s="7"/>
      <c r="JRR41" s="7"/>
      <c r="JRS41" s="7"/>
      <c r="JRT41" s="7"/>
      <c r="JRU41" s="7"/>
      <c r="JRV41" s="7"/>
      <c r="JRW41" s="7"/>
      <c r="JRX41" s="7"/>
      <c r="JRY41" s="7"/>
      <c r="JRZ41" s="7"/>
      <c r="JSA41" s="7"/>
      <c r="JSB41" s="7"/>
      <c r="JSC41" s="7"/>
      <c r="JSD41" s="7"/>
      <c r="JSE41" s="7"/>
      <c r="JSF41" s="7"/>
      <c r="JSG41" s="7"/>
      <c r="JSH41" s="7"/>
      <c r="JSI41" s="7"/>
      <c r="JSJ41" s="7"/>
      <c r="JSK41" s="7"/>
      <c r="JSL41" s="7"/>
      <c r="JSM41" s="7"/>
      <c r="JSN41" s="7"/>
      <c r="JSO41" s="7"/>
      <c r="JSP41" s="7"/>
      <c r="JSQ41" s="7"/>
      <c r="JSR41" s="7"/>
      <c r="JSS41" s="7"/>
      <c r="JST41" s="7"/>
      <c r="JSU41" s="7"/>
      <c r="JSV41" s="7"/>
      <c r="JSW41" s="7"/>
      <c r="JSX41" s="7"/>
      <c r="JSY41" s="7"/>
      <c r="JSZ41" s="7"/>
      <c r="JTA41" s="7"/>
      <c r="JTB41" s="7"/>
      <c r="JTC41" s="7"/>
      <c r="JTD41" s="7"/>
      <c r="JTE41" s="7"/>
      <c r="JTF41" s="7"/>
      <c r="JTG41" s="7"/>
      <c r="JTH41" s="7"/>
      <c r="JTI41" s="7"/>
      <c r="JTJ41" s="7"/>
      <c r="JTK41" s="7"/>
      <c r="JTL41" s="7"/>
      <c r="JTM41" s="7"/>
      <c r="JTN41" s="7"/>
      <c r="JTO41" s="7"/>
      <c r="JTP41" s="7"/>
      <c r="JTQ41" s="7"/>
      <c r="JTR41" s="7"/>
      <c r="JTS41" s="7"/>
      <c r="JTT41" s="7"/>
      <c r="JTU41" s="7"/>
      <c r="JTV41" s="7"/>
      <c r="JTW41" s="7"/>
      <c r="JTX41" s="7"/>
      <c r="JTY41" s="7"/>
      <c r="JTZ41" s="7"/>
      <c r="JUA41" s="7"/>
      <c r="JUB41" s="7"/>
      <c r="JUC41" s="7"/>
      <c r="JUD41" s="7"/>
      <c r="JUE41" s="7"/>
      <c r="JUF41" s="7"/>
      <c r="JUG41" s="7"/>
      <c r="JUH41" s="7"/>
      <c r="JUI41" s="7"/>
      <c r="JUJ41" s="7"/>
      <c r="JUK41" s="7"/>
      <c r="JUL41" s="7"/>
      <c r="JUM41" s="7"/>
      <c r="JUN41" s="7"/>
      <c r="JUO41" s="7"/>
      <c r="JUP41" s="7"/>
      <c r="JUQ41" s="7"/>
      <c r="JUR41" s="7"/>
      <c r="JUS41" s="7"/>
      <c r="JUT41" s="7"/>
      <c r="JUU41" s="7"/>
      <c r="JUV41" s="7"/>
      <c r="JUW41" s="7"/>
      <c r="JUX41" s="7"/>
      <c r="JUY41" s="7"/>
      <c r="JUZ41" s="7"/>
      <c r="JVA41" s="7"/>
      <c r="JVB41" s="7"/>
      <c r="JVC41" s="7"/>
      <c r="JVD41" s="7"/>
      <c r="JVE41" s="7"/>
      <c r="JVF41" s="7"/>
      <c r="JVG41" s="7"/>
      <c r="JVH41" s="7"/>
      <c r="JVI41" s="7"/>
      <c r="JVJ41" s="7"/>
      <c r="JVK41" s="7"/>
      <c r="JVL41" s="7"/>
      <c r="JVM41" s="7"/>
      <c r="JVN41" s="7"/>
      <c r="JVO41" s="7"/>
      <c r="JVP41" s="7"/>
      <c r="JVQ41" s="7"/>
      <c r="JVR41" s="7"/>
      <c r="JVS41" s="7"/>
      <c r="JVT41" s="7"/>
      <c r="JVU41" s="7"/>
      <c r="JVV41" s="7"/>
      <c r="JVW41" s="7"/>
      <c r="JVX41" s="7"/>
      <c r="JVY41" s="7"/>
      <c r="JVZ41" s="7"/>
      <c r="JWA41" s="7"/>
      <c r="JWB41" s="7"/>
      <c r="JWC41" s="7"/>
      <c r="JWD41" s="7"/>
      <c r="JWE41" s="7"/>
      <c r="JWF41" s="7"/>
      <c r="JWG41" s="7"/>
      <c r="JWH41" s="7"/>
      <c r="JWI41" s="7"/>
      <c r="JWJ41" s="7"/>
      <c r="JWK41" s="7"/>
      <c r="JWL41" s="7"/>
      <c r="JWM41" s="7"/>
      <c r="JWN41" s="7"/>
      <c r="JWO41" s="7"/>
      <c r="JWP41" s="7"/>
      <c r="JWQ41" s="7"/>
      <c r="JWR41" s="7"/>
      <c r="JWS41" s="7"/>
      <c r="JWT41" s="7"/>
      <c r="JWU41" s="7"/>
      <c r="JWV41" s="7"/>
      <c r="JWW41" s="7"/>
      <c r="JWX41" s="7"/>
      <c r="JWY41" s="7"/>
      <c r="JWZ41" s="7"/>
      <c r="JXA41" s="7"/>
      <c r="JXB41" s="7"/>
      <c r="JXC41" s="7"/>
      <c r="JXD41" s="7"/>
      <c r="JXE41" s="7"/>
      <c r="JXF41" s="7"/>
      <c r="JXG41" s="7"/>
      <c r="JXH41" s="7"/>
      <c r="JXI41" s="7"/>
      <c r="JXJ41" s="7"/>
      <c r="JXK41" s="7"/>
      <c r="JXL41" s="7"/>
      <c r="JXM41" s="7"/>
      <c r="JXN41" s="7"/>
      <c r="JXO41" s="7"/>
      <c r="JXP41" s="7"/>
      <c r="JXQ41" s="7"/>
      <c r="JXR41" s="7"/>
      <c r="JXS41" s="7"/>
      <c r="JXT41" s="7"/>
      <c r="JXU41" s="7"/>
      <c r="JXV41" s="7"/>
      <c r="JXW41" s="7"/>
      <c r="JXX41" s="7"/>
      <c r="JXY41" s="7"/>
      <c r="JXZ41" s="7"/>
      <c r="JYA41" s="7"/>
      <c r="JYB41" s="7"/>
      <c r="JYC41" s="7"/>
      <c r="JYD41" s="7"/>
      <c r="JYE41" s="7"/>
      <c r="JYF41" s="7"/>
      <c r="JYG41" s="7"/>
      <c r="JYH41" s="7"/>
      <c r="JYI41" s="7"/>
      <c r="JYJ41" s="7"/>
      <c r="JYK41" s="7"/>
      <c r="JYL41" s="7"/>
      <c r="JYM41" s="7"/>
      <c r="JYN41" s="7"/>
      <c r="JYO41" s="7"/>
      <c r="JYP41" s="7"/>
      <c r="JYQ41" s="7"/>
      <c r="JYR41" s="7"/>
      <c r="JYS41" s="7"/>
      <c r="JYT41" s="7"/>
      <c r="JYU41" s="7"/>
      <c r="JYV41" s="7"/>
      <c r="JYW41" s="7"/>
      <c r="JYX41" s="7"/>
      <c r="JYY41" s="7"/>
      <c r="JYZ41" s="7"/>
      <c r="JZA41" s="7"/>
      <c r="JZB41" s="7"/>
      <c r="JZC41" s="7"/>
      <c r="JZD41" s="7"/>
      <c r="JZE41" s="7"/>
      <c r="JZF41" s="7"/>
      <c r="JZG41" s="7"/>
      <c r="JZH41" s="7"/>
      <c r="JZI41" s="7"/>
      <c r="JZJ41" s="7"/>
      <c r="JZK41" s="7"/>
      <c r="JZL41" s="7"/>
      <c r="JZM41" s="7"/>
      <c r="JZN41" s="7"/>
      <c r="JZO41" s="7"/>
      <c r="JZP41" s="7"/>
      <c r="JZQ41" s="7"/>
      <c r="JZR41" s="7"/>
      <c r="JZS41" s="7"/>
      <c r="JZT41" s="7"/>
      <c r="JZU41" s="7"/>
      <c r="JZV41" s="7"/>
      <c r="JZW41" s="7"/>
      <c r="JZX41" s="7"/>
      <c r="JZY41" s="7"/>
      <c r="JZZ41" s="7"/>
      <c r="KAA41" s="7"/>
      <c r="KAB41" s="7"/>
      <c r="KAC41" s="7"/>
      <c r="KAD41" s="7"/>
      <c r="KAE41" s="7"/>
      <c r="KAF41" s="7"/>
      <c r="KAG41" s="7"/>
      <c r="KAH41" s="7"/>
      <c r="KAI41" s="7"/>
      <c r="KAJ41" s="7"/>
      <c r="KAK41" s="7"/>
      <c r="KAL41" s="7"/>
      <c r="KAM41" s="7"/>
      <c r="KAN41" s="7"/>
      <c r="KAO41" s="7"/>
      <c r="KAP41" s="7"/>
      <c r="KAQ41" s="7"/>
      <c r="KAR41" s="7"/>
      <c r="KAS41" s="7"/>
      <c r="KAT41" s="7"/>
      <c r="KAU41" s="7"/>
      <c r="KAV41" s="7"/>
      <c r="KAW41" s="7"/>
      <c r="KAX41" s="7"/>
      <c r="KAY41" s="7"/>
      <c r="KAZ41" s="7"/>
      <c r="KBA41" s="7"/>
      <c r="KBB41" s="7"/>
      <c r="KBC41" s="7"/>
      <c r="KBD41" s="7"/>
      <c r="KBE41" s="7"/>
      <c r="KBF41" s="7"/>
      <c r="KBG41" s="7"/>
      <c r="KBH41" s="7"/>
      <c r="KBI41" s="7"/>
      <c r="KBJ41" s="7"/>
      <c r="KBK41" s="7"/>
      <c r="KBL41" s="7"/>
      <c r="KBM41" s="7"/>
      <c r="KBN41" s="7"/>
      <c r="KBO41" s="7"/>
      <c r="KBP41" s="7"/>
      <c r="KBQ41" s="7"/>
      <c r="KBR41" s="7"/>
      <c r="KBS41" s="7"/>
      <c r="KBT41" s="7"/>
      <c r="KBU41" s="7"/>
      <c r="KBV41" s="7"/>
      <c r="KBW41" s="7"/>
      <c r="KBX41" s="7"/>
      <c r="KBY41" s="7"/>
      <c r="KBZ41" s="7"/>
      <c r="KCA41" s="7"/>
      <c r="KCB41" s="7"/>
      <c r="KCC41" s="7"/>
      <c r="KCD41" s="7"/>
      <c r="KCE41" s="7"/>
      <c r="KCF41" s="7"/>
      <c r="KCG41" s="7"/>
      <c r="KCH41" s="7"/>
      <c r="KCI41" s="7"/>
      <c r="KCJ41" s="7"/>
      <c r="KCK41" s="7"/>
      <c r="KCL41" s="7"/>
      <c r="KCM41" s="7"/>
      <c r="KCN41" s="7"/>
      <c r="KCO41" s="7"/>
      <c r="KCP41" s="7"/>
      <c r="KCQ41" s="7"/>
      <c r="KCR41" s="7"/>
      <c r="KCS41" s="7"/>
      <c r="KCT41" s="7"/>
      <c r="KCU41" s="7"/>
      <c r="KCV41" s="7"/>
      <c r="KCW41" s="7"/>
      <c r="KCX41" s="7"/>
      <c r="KCY41" s="7"/>
      <c r="KCZ41" s="7"/>
      <c r="KDA41" s="7"/>
      <c r="KDB41" s="7"/>
      <c r="KDC41" s="7"/>
      <c r="KDD41" s="7"/>
      <c r="KDE41" s="7"/>
      <c r="KDF41" s="7"/>
      <c r="KDG41" s="7"/>
      <c r="KDH41" s="7"/>
      <c r="KDI41" s="7"/>
      <c r="KDJ41" s="7"/>
      <c r="KDK41" s="7"/>
      <c r="KDL41" s="7"/>
      <c r="KDM41" s="7"/>
      <c r="KDN41" s="7"/>
      <c r="KDO41" s="7"/>
      <c r="KDP41" s="7"/>
      <c r="KDQ41" s="7"/>
      <c r="KDR41" s="7"/>
      <c r="KDS41" s="7"/>
      <c r="KDT41" s="7"/>
      <c r="KDU41" s="7"/>
      <c r="KDV41" s="7"/>
      <c r="KDW41" s="7"/>
      <c r="KDX41" s="7"/>
      <c r="KDY41" s="7"/>
      <c r="KDZ41" s="7"/>
      <c r="KEA41" s="7"/>
      <c r="KEB41" s="7"/>
      <c r="KEC41" s="7"/>
      <c r="KED41" s="7"/>
      <c r="KEE41" s="7"/>
      <c r="KEF41" s="7"/>
      <c r="KEG41" s="7"/>
      <c r="KEH41" s="7"/>
      <c r="KEI41" s="7"/>
      <c r="KEJ41" s="7"/>
      <c r="KEK41" s="7"/>
      <c r="KEL41" s="7"/>
      <c r="KEM41" s="7"/>
      <c r="KEN41" s="7"/>
      <c r="KEO41" s="7"/>
      <c r="KEP41" s="7"/>
      <c r="KEQ41" s="7"/>
      <c r="KER41" s="7"/>
      <c r="KES41" s="7"/>
      <c r="KET41" s="7"/>
      <c r="KEU41" s="7"/>
      <c r="KEV41" s="7"/>
      <c r="KEW41" s="7"/>
      <c r="KEX41" s="7"/>
      <c r="KEY41" s="7"/>
      <c r="KEZ41" s="7"/>
      <c r="KFA41" s="7"/>
      <c r="KFB41" s="7"/>
      <c r="KFC41" s="7"/>
      <c r="KFD41" s="7"/>
      <c r="KFE41" s="7"/>
      <c r="KFF41" s="7"/>
      <c r="KFG41" s="7"/>
      <c r="KFH41" s="7"/>
      <c r="KFI41" s="7"/>
      <c r="KFJ41" s="7"/>
      <c r="KFK41" s="7"/>
      <c r="KFL41" s="7"/>
      <c r="KFM41" s="7"/>
      <c r="KFN41" s="7"/>
      <c r="KFO41" s="7"/>
      <c r="KFP41" s="7"/>
      <c r="KFQ41" s="7"/>
      <c r="KFR41" s="7"/>
      <c r="KFS41" s="7"/>
      <c r="KFT41" s="7"/>
      <c r="KFU41" s="7"/>
      <c r="KFV41" s="7"/>
      <c r="KFW41" s="7"/>
      <c r="KFX41" s="7"/>
      <c r="KFY41" s="7"/>
      <c r="KFZ41" s="7"/>
      <c r="KGA41" s="7"/>
      <c r="KGB41" s="7"/>
      <c r="KGC41" s="7"/>
      <c r="KGD41" s="7"/>
      <c r="KGE41" s="7"/>
      <c r="KGF41" s="7"/>
      <c r="KGG41" s="7"/>
      <c r="KGH41" s="7"/>
      <c r="KGI41" s="7"/>
      <c r="KGJ41" s="7"/>
      <c r="KGK41" s="7"/>
      <c r="KGL41" s="7"/>
      <c r="KGM41" s="7"/>
      <c r="KGN41" s="7"/>
      <c r="KGO41" s="7"/>
      <c r="KGP41" s="7"/>
      <c r="KGQ41" s="7"/>
      <c r="KGR41" s="7"/>
      <c r="KGS41" s="7"/>
      <c r="KGT41" s="7"/>
      <c r="KGU41" s="7"/>
      <c r="KGV41" s="7"/>
      <c r="KGW41" s="7"/>
      <c r="KGX41" s="7"/>
      <c r="KGY41" s="7"/>
      <c r="KGZ41" s="7"/>
      <c r="KHA41" s="7"/>
      <c r="KHB41" s="7"/>
      <c r="KHC41" s="7"/>
      <c r="KHD41" s="7"/>
      <c r="KHE41" s="7"/>
      <c r="KHF41" s="7"/>
      <c r="KHG41" s="7"/>
      <c r="KHH41" s="7"/>
      <c r="KHI41" s="7"/>
      <c r="KHJ41" s="7"/>
      <c r="KHK41" s="7"/>
      <c r="KHL41" s="7"/>
      <c r="KHM41" s="7"/>
      <c r="KHN41" s="7"/>
      <c r="KHO41" s="7"/>
      <c r="KHP41" s="7"/>
      <c r="KHQ41" s="7"/>
      <c r="KHR41" s="7"/>
      <c r="KHS41" s="7"/>
      <c r="KHT41" s="7"/>
      <c r="KHU41" s="7"/>
      <c r="KHV41" s="7"/>
      <c r="KHW41" s="7"/>
      <c r="KHX41" s="7"/>
      <c r="KHY41" s="7"/>
      <c r="KHZ41" s="7"/>
      <c r="KIA41" s="7"/>
      <c r="KIB41" s="7"/>
      <c r="KIC41" s="7"/>
      <c r="KID41" s="7"/>
      <c r="KIE41" s="7"/>
      <c r="KIF41" s="7"/>
      <c r="KIG41" s="7"/>
      <c r="KIH41" s="7"/>
      <c r="KII41" s="7"/>
      <c r="KIJ41" s="7"/>
      <c r="KIK41" s="7"/>
      <c r="KIL41" s="7"/>
      <c r="KIM41" s="7"/>
      <c r="KIN41" s="7"/>
      <c r="KIO41" s="7"/>
      <c r="KIP41" s="7"/>
      <c r="KIQ41" s="7"/>
      <c r="KIR41" s="7"/>
      <c r="KIS41" s="7"/>
      <c r="KIT41" s="7"/>
      <c r="KIU41" s="7"/>
      <c r="KIV41" s="7"/>
      <c r="KIW41" s="7"/>
      <c r="KIX41" s="7"/>
      <c r="KIY41" s="7"/>
      <c r="KIZ41" s="7"/>
      <c r="KJA41" s="7"/>
      <c r="KJB41" s="7"/>
      <c r="KJC41" s="7"/>
      <c r="KJD41" s="7"/>
      <c r="KJE41" s="7"/>
      <c r="KJF41" s="7"/>
      <c r="KJG41" s="7"/>
      <c r="KJH41" s="7"/>
      <c r="KJI41" s="7"/>
      <c r="KJJ41" s="7"/>
      <c r="KJK41" s="7"/>
      <c r="KJL41" s="7"/>
      <c r="KJM41" s="7"/>
      <c r="KJN41" s="7"/>
      <c r="KJO41" s="7"/>
      <c r="KJP41" s="7"/>
      <c r="KJQ41" s="7"/>
      <c r="KJR41" s="7"/>
      <c r="KJS41" s="7"/>
      <c r="KJT41" s="7"/>
      <c r="KJU41" s="7"/>
      <c r="KJV41" s="7"/>
      <c r="KJW41" s="7"/>
      <c r="KJX41" s="7"/>
      <c r="KJY41" s="7"/>
      <c r="KJZ41" s="7"/>
      <c r="KKA41" s="7"/>
      <c r="KKB41" s="7"/>
      <c r="KKC41" s="7"/>
      <c r="KKD41" s="7"/>
      <c r="KKE41" s="7"/>
      <c r="KKF41" s="7"/>
      <c r="KKG41" s="7"/>
      <c r="KKH41" s="7"/>
      <c r="KKI41" s="7"/>
      <c r="KKJ41" s="7"/>
      <c r="KKK41" s="7"/>
      <c r="KKL41" s="7"/>
      <c r="KKM41" s="7"/>
      <c r="KKN41" s="7"/>
      <c r="KKO41" s="7"/>
      <c r="KKP41" s="7"/>
      <c r="KKQ41" s="7"/>
      <c r="KKR41" s="7"/>
      <c r="KKS41" s="7"/>
      <c r="KKT41" s="7"/>
      <c r="KKU41" s="7"/>
      <c r="KKV41" s="7"/>
      <c r="KKW41" s="7"/>
      <c r="KKX41" s="7"/>
      <c r="KKY41" s="7"/>
      <c r="KKZ41" s="7"/>
      <c r="KLA41" s="7"/>
      <c r="KLB41" s="7"/>
      <c r="KLC41" s="7"/>
      <c r="KLD41" s="7"/>
      <c r="KLE41" s="7"/>
      <c r="KLF41" s="7"/>
      <c r="KLG41" s="7"/>
      <c r="KLH41" s="7"/>
      <c r="KLI41" s="7"/>
      <c r="KLJ41" s="7"/>
      <c r="KLK41" s="7"/>
      <c r="KLL41" s="7"/>
      <c r="KLM41" s="7"/>
      <c r="KLN41" s="7"/>
      <c r="KLO41" s="7"/>
      <c r="KLP41" s="7"/>
      <c r="KLQ41" s="7"/>
      <c r="KLR41" s="7"/>
      <c r="KLS41" s="7"/>
      <c r="KLT41" s="7"/>
      <c r="KLU41" s="7"/>
      <c r="KLV41" s="7"/>
      <c r="KLW41" s="7"/>
      <c r="KLX41" s="7"/>
      <c r="KLY41" s="7"/>
      <c r="KLZ41" s="7"/>
      <c r="KMA41" s="7"/>
      <c r="KMB41" s="7"/>
      <c r="KMC41" s="7"/>
      <c r="KMD41" s="7"/>
      <c r="KME41" s="7"/>
      <c r="KMF41" s="7"/>
      <c r="KMG41" s="7"/>
      <c r="KMH41" s="7"/>
      <c r="KMI41" s="7"/>
      <c r="KMJ41" s="7"/>
      <c r="KMK41" s="7"/>
      <c r="KML41" s="7"/>
      <c r="KMM41" s="7"/>
      <c r="KMN41" s="7"/>
      <c r="KMO41" s="7"/>
      <c r="KMP41" s="7"/>
      <c r="KMQ41" s="7"/>
      <c r="KMR41" s="7"/>
      <c r="KMS41" s="7"/>
      <c r="KMT41" s="7"/>
      <c r="KMU41" s="7"/>
      <c r="KMV41" s="7"/>
      <c r="KMW41" s="7"/>
      <c r="KMX41" s="7"/>
      <c r="KMY41" s="7"/>
      <c r="KMZ41" s="7"/>
      <c r="KNA41" s="7"/>
      <c r="KNB41" s="7"/>
      <c r="KNC41" s="7"/>
      <c r="KND41" s="7"/>
      <c r="KNE41" s="7"/>
      <c r="KNF41" s="7"/>
      <c r="KNG41" s="7"/>
      <c r="KNH41" s="7"/>
      <c r="KNI41" s="7"/>
      <c r="KNJ41" s="7"/>
      <c r="KNK41" s="7"/>
      <c r="KNL41" s="7"/>
      <c r="KNM41" s="7"/>
      <c r="KNN41" s="7"/>
      <c r="KNO41" s="7"/>
      <c r="KNP41" s="7"/>
      <c r="KNQ41" s="7"/>
      <c r="KNR41" s="7"/>
      <c r="KNS41" s="7"/>
      <c r="KNT41" s="7"/>
      <c r="KNU41" s="7"/>
      <c r="KNV41" s="7"/>
      <c r="KNW41" s="7"/>
      <c r="KNX41" s="7"/>
      <c r="KNY41" s="7"/>
      <c r="KNZ41" s="7"/>
      <c r="KOA41" s="7"/>
      <c r="KOB41" s="7"/>
      <c r="KOC41" s="7"/>
      <c r="KOD41" s="7"/>
      <c r="KOE41" s="7"/>
      <c r="KOF41" s="7"/>
      <c r="KOG41" s="7"/>
      <c r="KOH41" s="7"/>
      <c r="KOI41" s="7"/>
      <c r="KOJ41" s="7"/>
      <c r="KOK41" s="7"/>
      <c r="KOL41" s="7"/>
      <c r="KOM41" s="7"/>
      <c r="KON41" s="7"/>
      <c r="KOO41" s="7"/>
      <c r="KOP41" s="7"/>
      <c r="KOQ41" s="7"/>
      <c r="KOR41" s="7"/>
      <c r="KOS41" s="7"/>
      <c r="KOT41" s="7"/>
      <c r="KOU41" s="7"/>
      <c r="KOV41" s="7"/>
      <c r="KOW41" s="7"/>
      <c r="KOX41" s="7"/>
      <c r="KOY41" s="7"/>
      <c r="KOZ41" s="7"/>
      <c r="KPA41" s="7"/>
      <c r="KPB41" s="7"/>
      <c r="KPC41" s="7"/>
      <c r="KPD41" s="7"/>
      <c r="KPE41" s="7"/>
      <c r="KPF41" s="7"/>
      <c r="KPG41" s="7"/>
      <c r="KPH41" s="7"/>
      <c r="KPI41" s="7"/>
      <c r="KPJ41" s="7"/>
      <c r="KPK41" s="7"/>
      <c r="KPL41" s="7"/>
      <c r="KPM41" s="7"/>
      <c r="KPN41" s="7"/>
      <c r="KPO41" s="7"/>
      <c r="KPP41" s="7"/>
      <c r="KPQ41" s="7"/>
      <c r="KPR41" s="7"/>
      <c r="KPS41" s="7"/>
      <c r="KPT41" s="7"/>
      <c r="KPU41" s="7"/>
      <c r="KPV41" s="7"/>
      <c r="KPW41" s="7"/>
      <c r="KPX41" s="7"/>
      <c r="KPY41" s="7"/>
      <c r="KPZ41" s="7"/>
      <c r="KQA41" s="7"/>
      <c r="KQB41" s="7"/>
      <c r="KQC41" s="7"/>
      <c r="KQD41" s="7"/>
      <c r="KQE41" s="7"/>
      <c r="KQF41" s="7"/>
      <c r="KQG41" s="7"/>
      <c r="KQH41" s="7"/>
      <c r="KQI41" s="7"/>
      <c r="KQJ41" s="7"/>
      <c r="KQK41" s="7"/>
      <c r="KQL41" s="7"/>
      <c r="KQM41" s="7"/>
      <c r="KQN41" s="7"/>
      <c r="KQO41" s="7"/>
      <c r="KQP41" s="7"/>
      <c r="KQQ41" s="7"/>
      <c r="KQR41" s="7"/>
      <c r="KQS41" s="7"/>
      <c r="KQT41" s="7"/>
      <c r="KQU41" s="7"/>
      <c r="KQV41" s="7"/>
      <c r="KQW41" s="7"/>
      <c r="KQX41" s="7"/>
      <c r="KQY41" s="7"/>
      <c r="KQZ41" s="7"/>
      <c r="KRA41" s="7"/>
      <c r="KRB41" s="7"/>
      <c r="KRC41" s="7"/>
      <c r="KRD41" s="7"/>
      <c r="KRE41" s="7"/>
      <c r="KRF41" s="7"/>
      <c r="KRG41" s="7"/>
      <c r="KRH41" s="7"/>
      <c r="KRI41" s="7"/>
      <c r="KRJ41" s="7"/>
      <c r="KRK41" s="7"/>
      <c r="KRL41" s="7"/>
      <c r="KRM41" s="7"/>
      <c r="KRN41" s="7"/>
      <c r="KRO41" s="7"/>
      <c r="KRP41" s="7"/>
      <c r="KRQ41" s="7"/>
      <c r="KRR41" s="7"/>
      <c r="KRS41" s="7"/>
      <c r="KRT41" s="7"/>
      <c r="KRU41" s="7"/>
      <c r="KRV41" s="7"/>
      <c r="KRW41" s="7"/>
      <c r="KRX41" s="7"/>
      <c r="KRY41" s="7"/>
      <c r="KRZ41" s="7"/>
      <c r="KSA41" s="7"/>
      <c r="KSB41" s="7"/>
      <c r="KSC41" s="7"/>
      <c r="KSD41" s="7"/>
      <c r="KSE41" s="7"/>
      <c r="KSF41" s="7"/>
      <c r="KSG41" s="7"/>
      <c r="KSH41" s="7"/>
      <c r="KSI41" s="7"/>
      <c r="KSJ41" s="7"/>
      <c r="KSK41" s="7"/>
      <c r="KSL41" s="7"/>
      <c r="KSM41" s="7"/>
      <c r="KSN41" s="7"/>
      <c r="KSO41" s="7"/>
      <c r="KSP41" s="7"/>
      <c r="KSQ41" s="7"/>
      <c r="KSR41" s="7"/>
      <c r="KSS41" s="7"/>
      <c r="KST41" s="7"/>
      <c r="KSU41" s="7"/>
      <c r="KSV41" s="7"/>
      <c r="KSW41" s="7"/>
      <c r="KSX41" s="7"/>
      <c r="KSY41" s="7"/>
      <c r="KSZ41" s="7"/>
      <c r="KTA41" s="7"/>
      <c r="KTB41" s="7"/>
      <c r="KTC41" s="7"/>
      <c r="KTD41" s="7"/>
      <c r="KTE41" s="7"/>
      <c r="KTF41" s="7"/>
      <c r="KTG41" s="7"/>
      <c r="KTH41" s="7"/>
      <c r="KTI41" s="7"/>
      <c r="KTJ41" s="7"/>
      <c r="KTK41" s="7"/>
      <c r="KTL41" s="7"/>
      <c r="KTM41" s="7"/>
      <c r="KTN41" s="7"/>
      <c r="KTO41" s="7"/>
      <c r="KTP41" s="7"/>
      <c r="KTQ41" s="7"/>
      <c r="KTR41" s="7"/>
      <c r="KTS41" s="7"/>
      <c r="KTT41" s="7"/>
      <c r="KTU41" s="7"/>
      <c r="KTV41" s="7"/>
      <c r="KTW41" s="7"/>
      <c r="KTX41" s="7"/>
      <c r="KTY41" s="7"/>
      <c r="KTZ41" s="7"/>
      <c r="KUA41" s="7"/>
      <c r="KUB41" s="7"/>
      <c r="KUC41" s="7"/>
      <c r="KUD41" s="7"/>
      <c r="KUE41" s="7"/>
      <c r="KUF41" s="7"/>
      <c r="KUG41" s="7"/>
      <c r="KUH41" s="7"/>
      <c r="KUI41" s="7"/>
      <c r="KUJ41" s="7"/>
      <c r="KUK41" s="7"/>
      <c r="KUL41" s="7"/>
      <c r="KUM41" s="7"/>
      <c r="KUN41" s="7"/>
      <c r="KUO41" s="7"/>
      <c r="KUP41" s="7"/>
      <c r="KUQ41" s="7"/>
      <c r="KUR41" s="7"/>
      <c r="KUS41" s="7"/>
      <c r="KUT41" s="7"/>
      <c r="KUU41" s="7"/>
      <c r="KUV41" s="7"/>
      <c r="KUW41" s="7"/>
      <c r="KUX41" s="7"/>
      <c r="KUY41" s="7"/>
      <c r="KUZ41" s="7"/>
      <c r="KVA41" s="7"/>
      <c r="KVB41" s="7"/>
      <c r="KVC41" s="7"/>
      <c r="KVD41" s="7"/>
      <c r="KVE41" s="7"/>
      <c r="KVF41" s="7"/>
      <c r="KVG41" s="7"/>
      <c r="KVH41" s="7"/>
      <c r="KVI41" s="7"/>
      <c r="KVJ41" s="7"/>
      <c r="KVK41" s="7"/>
      <c r="KVL41" s="7"/>
      <c r="KVM41" s="7"/>
      <c r="KVN41" s="7"/>
      <c r="KVO41" s="7"/>
      <c r="KVP41" s="7"/>
      <c r="KVQ41" s="7"/>
      <c r="KVR41" s="7"/>
      <c r="KVS41" s="7"/>
      <c r="KVT41" s="7"/>
      <c r="KVU41" s="7"/>
      <c r="KVV41" s="7"/>
      <c r="KVW41" s="7"/>
      <c r="KVX41" s="7"/>
      <c r="KVY41" s="7"/>
      <c r="KVZ41" s="7"/>
      <c r="KWA41" s="7"/>
      <c r="KWB41" s="7"/>
      <c r="KWC41" s="7"/>
      <c r="KWD41" s="7"/>
      <c r="KWE41" s="7"/>
      <c r="KWF41" s="7"/>
      <c r="KWG41" s="7"/>
      <c r="KWH41" s="7"/>
      <c r="KWI41" s="7"/>
      <c r="KWJ41" s="7"/>
      <c r="KWK41" s="7"/>
      <c r="KWL41" s="7"/>
      <c r="KWM41" s="7"/>
      <c r="KWN41" s="7"/>
      <c r="KWO41" s="7"/>
      <c r="KWP41" s="7"/>
      <c r="KWQ41" s="7"/>
      <c r="KWR41" s="7"/>
      <c r="KWS41" s="7"/>
      <c r="KWT41" s="7"/>
      <c r="KWU41" s="7"/>
      <c r="KWV41" s="7"/>
      <c r="KWW41" s="7"/>
      <c r="KWX41" s="7"/>
      <c r="KWY41" s="7"/>
      <c r="KWZ41" s="7"/>
      <c r="KXA41" s="7"/>
      <c r="KXB41" s="7"/>
      <c r="KXC41" s="7"/>
      <c r="KXD41" s="7"/>
      <c r="KXE41" s="7"/>
      <c r="KXF41" s="7"/>
      <c r="KXG41" s="7"/>
      <c r="KXH41" s="7"/>
      <c r="KXI41" s="7"/>
      <c r="KXJ41" s="7"/>
      <c r="KXK41" s="7"/>
      <c r="KXL41" s="7"/>
      <c r="KXM41" s="7"/>
      <c r="KXN41" s="7"/>
      <c r="KXO41" s="7"/>
      <c r="KXP41" s="7"/>
      <c r="KXQ41" s="7"/>
      <c r="KXR41" s="7"/>
      <c r="KXS41" s="7"/>
      <c r="KXT41" s="7"/>
      <c r="KXU41" s="7"/>
      <c r="KXV41" s="7"/>
      <c r="KXW41" s="7"/>
      <c r="KXX41" s="7"/>
      <c r="KXY41" s="7"/>
      <c r="KXZ41" s="7"/>
      <c r="KYA41" s="7"/>
      <c r="KYB41" s="7"/>
      <c r="KYC41" s="7"/>
      <c r="KYD41" s="7"/>
      <c r="KYE41" s="7"/>
      <c r="KYF41" s="7"/>
      <c r="KYG41" s="7"/>
      <c r="KYH41" s="7"/>
      <c r="KYI41" s="7"/>
      <c r="KYJ41" s="7"/>
      <c r="KYK41" s="7"/>
      <c r="KYL41" s="7"/>
      <c r="KYM41" s="7"/>
      <c r="KYN41" s="7"/>
      <c r="KYO41" s="7"/>
      <c r="KYP41" s="7"/>
      <c r="KYQ41" s="7"/>
      <c r="KYR41" s="7"/>
      <c r="KYS41" s="7"/>
      <c r="KYT41" s="7"/>
      <c r="KYU41" s="7"/>
      <c r="KYV41" s="7"/>
      <c r="KYW41" s="7"/>
      <c r="KYX41" s="7"/>
      <c r="KYY41" s="7"/>
      <c r="KYZ41" s="7"/>
      <c r="KZA41" s="7"/>
      <c r="KZB41" s="7"/>
      <c r="KZC41" s="7"/>
      <c r="KZD41" s="7"/>
      <c r="KZE41" s="7"/>
      <c r="KZF41" s="7"/>
      <c r="KZG41" s="7"/>
      <c r="KZH41" s="7"/>
      <c r="KZI41" s="7"/>
      <c r="KZJ41" s="7"/>
      <c r="KZK41" s="7"/>
      <c r="KZL41" s="7"/>
      <c r="KZM41" s="7"/>
      <c r="KZN41" s="7"/>
      <c r="KZO41" s="7"/>
      <c r="KZP41" s="7"/>
      <c r="KZQ41" s="7"/>
      <c r="KZR41" s="7"/>
      <c r="KZS41" s="7"/>
      <c r="KZT41" s="7"/>
      <c r="KZU41" s="7"/>
      <c r="KZV41" s="7"/>
      <c r="KZW41" s="7"/>
      <c r="KZX41" s="7"/>
      <c r="KZY41" s="7"/>
      <c r="KZZ41" s="7"/>
      <c r="LAA41" s="7"/>
      <c r="LAB41" s="7"/>
      <c r="LAC41" s="7"/>
      <c r="LAD41" s="7"/>
      <c r="LAE41" s="7"/>
      <c r="LAF41" s="7"/>
      <c r="LAG41" s="7"/>
      <c r="LAH41" s="7"/>
      <c r="LAI41" s="7"/>
      <c r="LAJ41" s="7"/>
      <c r="LAK41" s="7"/>
      <c r="LAL41" s="7"/>
      <c r="LAM41" s="7"/>
      <c r="LAN41" s="7"/>
      <c r="LAO41" s="7"/>
      <c r="LAP41" s="7"/>
      <c r="LAQ41" s="7"/>
      <c r="LAR41" s="7"/>
      <c r="LAS41" s="7"/>
      <c r="LAT41" s="7"/>
      <c r="LAU41" s="7"/>
      <c r="LAV41" s="7"/>
      <c r="LAW41" s="7"/>
      <c r="LAX41" s="7"/>
      <c r="LAY41" s="7"/>
      <c r="LAZ41" s="7"/>
      <c r="LBA41" s="7"/>
      <c r="LBB41" s="7"/>
      <c r="LBC41" s="7"/>
      <c r="LBD41" s="7"/>
      <c r="LBE41" s="7"/>
      <c r="LBF41" s="7"/>
      <c r="LBG41" s="7"/>
      <c r="LBH41" s="7"/>
      <c r="LBI41" s="7"/>
      <c r="LBJ41" s="7"/>
      <c r="LBK41" s="7"/>
      <c r="LBL41" s="7"/>
      <c r="LBM41" s="7"/>
      <c r="LBN41" s="7"/>
      <c r="LBO41" s="7"/>
      <c r="LBP41" s="7"/>
      <c r="LBQ41" s="7"/>
      <c r="LBR41" s="7"/>
      <c r="LBS41" s="7"/>
      <c r="LBT41" s="7"/>
      <c r="LBU41" s="7"/>
      <c r="LBV41" s="7"/>
      <c r="LBW41" s="7"/>
      <c r="LBX41" s="7"/>
      <c r="LBY41" s="7"/>
      <c r="LBZ41" s="7"/>
      <c r="LCA41" s="7"/>
      <c r="LCB41" s="7"/>
      <c r="LCC41" s="7"/>
      <c r="LCD41" s="7"/>
      <c r="LCE41" s="7"/>
      <c r="LCF41" s="7"/>
      <c r="LCG41" s="7"/>
      <c r="LCH41" s="7"/>
      <c r="LCI41" s="7"/>
      <c r="LCJ41" s="7"/>
      <c r="LCK41" s="7"/>
      <c r="LCL41" s="7"/>
      <c r="LCM41" s="7"/>
      <c r="LCN41" s="7"/>
      <c r="LCO41" s="7"/>
      <c r="LCP41" s="7"/>
      <c r="LCQ41" s="7"/>
      <c r="LCR41" s="7"/>
      <c r="LCS41" s="7"/>
      <c r="LCT41" s="7"/>
      <c r="LCU41" s="7"/>
      <c r="LCV41" s="7"/>
      <c r="LCW41" s="7"/>
      <c r="LCX41" s="7"/>
      <c r="LCY41" s="7"/>
      <c r="LCZ41" s="7"/>
      <c r="LDA41" s="7"/>
      <c r="LDB41" s="7"/>
      <c r="LDC41" s="7"/>
      <c r="LDD41" s="7"/>
      <c r="LDE41" s="7"/>
      <c r="LDF41" s="7"/>
      <c r="LDG41" s="7"/>
      <c r="LDH41" s="7"/>
      <c r="LDI41" s="7"/>
      <c r="LDJ41" s="7"/>
      <c r="LDK41" s="7"/>
      <c r="LDL41" s="7"/>
      <c r="LDM41" s="7"/>
      <c r="LDN41" s="7"/>
      <c r="LDO41" s="7"/>
      <c r="LDP41" s="7"/>
      <c r="LDQ41" s="7"/>
      <c r="LDR41" s="7"/>
      <c r="LDS41" s="7"/>
      <c r="LDT41" s="7"/>
      <c r="LDU41" s="7"/>
      <c r="LDV41" s="7"/>
      <c r="LDW41" s="7"/>
      <c r="LDX41" s="7"/>
      <c r="LDY41" s="7"/>
      <c r="LDZ41" s="7"/>
      <c r="LEA41" s="7"/>
      <c r="LEB41" s="7"/>
      <c r="LEC41" s="7"/>
      <c r="LED41" s="7"/>
      <c r="LEE41" s="7"/>
      <c r="LEF41" s="7"/>
      <c r="LEG41" s="7"/>
      <c r="LEH41" s="7"/>
      <c r="LEI41" s="7"/>
      <c r="LEJ41" s="7"/>
      <c r="LEK41" s="7"/>
      <c r="LEL41" s="7"/>
      <c r="LEM41" s="7"/>
      <c r="LEN41" s="7"/>
      <c r="LEO41" s="7"/>
      <c r="LEP41" s="7"/>
      <c r="LEQ41" s="7"/>
      <c r="LER41" s="7"/>
      <c r="LES41" s="7"/>
      <c r="LET41" s="7"/>
      <c r="LEU41" s="7"/>
      <c r="LEV41" s="7"/>
      <c r="LEW41" s="7"/>
      <c r="LEX41" s="7"/>
      <c r="LEY41" s="7"/>
      <c r="LEZ41" s="7"/>
      <c r="LFA41" s="7"/>
      <c r="LFB41" s="7"/>
      <c r="LFC41" s="7"/>
      <c r="LFD41" s="7"/>
      <c r="LFE41" s="7"/>
      <c r="LFF41" s="7"/>
      <c r="LFG41" s="7"/>
      <c r="LFH41" s="7"/>
      <c r="LFI41" s="7"/>
      <c r="LFJ41" s="7"/>
      <c r="LFK41" s="7"/>
      <c r="LFL41" s="7"/>
      <c r="LFM41" s="7"/>
      <c r="LFN41" s="7"/>
      <c r="LFO41" s="7"/>
      <c r="LFP41" s="7"/>
      <c r="LFQ41" s="7"/>
      <c r="LFR41" s="7"/>
      <c r="LFS41" s="7"/>
      <c r="LFT41" s="7"/>
      <c r="LFU41" s="7"/>
      <c r="LFV41" s="7"/>
      <c r="LFW41" s="7"/>
      <c r="LFX41" s="7"/>
      <c r="LFY41" s="7"/>
      <c r="LFZ41" s="7"/>
      <c r="LGA41" s="7"/>
      <c r="LGB41" s="7"/>
      <c r="LGC41" s="7"/>
      <c r="LGD41" s="7"/>
      <c r="LGE41" s="7"/>
      <c r="LGF41" s="7"/>
      <c r="LGG41" s="7"/>
      <c r="LGH41" s="7"/>
      <c r="LGI41" s="7"/>
      <c r="LGJ41" s="7"/>
      <c r="LGK41" s="7"/>
      <c r="LGL41" s="7"/>
      <c r="LGM41" s="7"/>
      <c r="LGN41" s="7"/>
      <c r="LGO41" s="7"/>
      <c r="LGP41" s="7"/>
      <c r="LGQ41" s="7"/>
      <c r="LGR41" s="7"/>
      <c r="LGS41" s="7"/>
      <c r="LGT41" s="7"/>
      <c r="LGU41" s="7"/>
      <c r="LGV41" s="7"/>
      <c r="LGW41" s="7"/>
      <c r="LGX41" s="7"/>
      <c r="LGY41" s="7"/>
      <c r="LGZ41" s="7"/>
      <c r="LHA41" s="7"/>
      <c r="LHB41" s="7"/>
      <c r="LHC41" s="7"/>
      <c r="LHD41" s="7"/>
      <c r="LHE41" s="7"/>
      <c r="LHF41" s="7"/>
      <c r="LHG41" s="7"/>
      <c r="LHH41" s="7"/>
      <c r="LHI41" s="7"/>
      <c r="LHJ41" s="7"/>
      <c r="LHK41" s="7"/>
      <c r="LHL41" s="7"/>
      <c r="LHM41" s="7"/>
      <c r="LHN41" s="7"/>
      <c r="LHO41" s="7"/>
      <c r="LHP41" s="7"/>
      <c r="LHQ41" s="7"/>
      <c r="LHR41" s="7"/>
      <c r="LHS41" s="7"/>
      <c r="LHT41" s="7"/>
      <c r="LHU41" s="7"/>
      <c r="LHV41" s="7"/>
      <c r="LHW41" s="7"/>
      <c r="LHX41" s="7"/>
      <c r="LHY41" s="7"/>
      <c r="LHZ41" s="7"/>
      <c r="LIA41" s="7"/>
      <c r="LIB41" s="7"/>
      <c r="LIC41" s="7"/>
      <c r="LID41" s="7"/>
      <c r="LIE41" s="7"/>
      <c r="LIF41" s="7"/>
      <c r="LIG41" s="7"/>
      <c r="LIH41" s="7"/>
      <c r="LII41" s="7"/>
      <c r="LIJ41" s="7"/>
      <c r="LIK41" s="7"/>
      <c r="LIL41" s="7"/>
      <c r="LIM41" s="7"/>
      <c r="LIN41" s="7"/>
      <c r="LIO41" s="7"/>
      <c r="LIP41" s="7"/>
      <c r="LIQ41" s="7"/>
      <c r="LIR41" s="7"/>
      <c r="LIS41" s="7"/>
      <c r="LIT41" s="7"/>
      <c r="LIU41" s="7"/>
      <c r="LIV41" s="7"/>
      <c r="LIW41" s="7"/>
      <c r="LIX41" s="7"/>
      <c r="LIY41" s="7"/>
      <c r="LIZ41" s="7"/>
      <c r="LJA41" s="7"/>
      <c r="LJB41" s="7"/>
      <c r="LJC41" s="7"/>
      <c r="LJD41" s="7"/>
      <c r="LJE41" s="7"/>
      <c r="LJF41" s="7"/>
      <c r="LJG41" s="7"/>
      <c r="LJH41" s="7"/>
      <c r="LJI41" s="7"/>
      <c r="LJJ41" s="7"/>
      <c r="LJK41" s="7"/>
      <c r="LJL41" s="7"/>
      <c r="LJM41" s="7"/>
      <c r="LJN41" s="7"/>
      <c r="LJO41" s="7"/>
      <c r="LJP41" s="7"/>
      <c r="LJQ41" s="7"/>
      <c r="LJR41" s="7"/>
      <c r="LJS41" s="7"/>
      <c r="LJT41" s="7"/>
      <c r="LJU41" s="7"/>
      <c r="LJV41" s="7"/>
      <c r="LJW41" s="7"/>
      <c r="LJX41" s="7"/>
      <c r="LJY41" s="7"/>
      <c r="LJZ41" s="7"/>
      <c r="LKA41" s="7"/>
      <c r="LKB41" s="7"/>
      <c r="LKC41" s="7"/>
      <c r="LKD41" s="7"/>
      <c r="LKE41" s="7"/>
      <c r="LKF41" s="7"/>
      <c r="LKG41" s="7"/>
      <c r="LKH41" s="7"/>
      <c r="LKI41" s="7"/>
      <c r="LKJ41" s="7"/>
      <c r="LKK41" s="7"/>
      <c r="LKL41" s="7"/>
      <c r="LKM41" s="7"/>
      <c r="LKN41" s="7"/>
      <c r="LKO41" s="7"/>
      <c r="LKP41" s="7"/>
      <c r="LKQ41" s="7"/>
      <c r="LKR41" s="7"/>
      <c r="LKS41" s="7"/>
      <c r="LKT41" s="7"/>
      <c r="LKU41" s="7"/>
      <c r="LKV41" s="7"/>
      <c r="LKW41" s="7"/>
      <c r="LKX41" s="7"/>
      <c r="LKY41" s="7"/>
      <c r="LKZ41" s="7"/>
      <c r="LLA41" s="7"/>
      <c r="LLB41" s="7"/>
      <c r="LLC41" s="7"/>
      <c r="LLD41" s="7"/>
      <c r="LLE41" s="7"/>
      <c r="LLF41" s="7"/>
      <c r="LLG41" s="7"/>
      <c r="LLH41" s="7"/>
      <c r="LLI41" s="7"/>
      <c r="LLJ41" s="7"/>
      <c r="LLK41" s="7"/>
      <c r="LLL41" s="7"/>
      <c r="LLM41" s="7"/>
      <c r="LLN41" s="7"/>
      <c r="LLO41" s="7"/>
      <c r="LLP41" s="7"/>
      <c r="LLQ41" s="7"/>
      <c r="LLR41" s="7"/>
      <c r="LLS41" s="7"/>
      <c r="LLT41" s="7"/>
      <c r="LLU41" s="7"/>
      <c r="LLV41" s="7"/>
      <c r="LLW41" s="7"/>
      <c r="LLX41" s="7"/>
      <c r="LLY41" s="7"/>
      <c r="LLZ41" s="7"/>
      <c r="LMA41" s="7"/>
      <c r="LMB41" s="7"/>
      <c r="LMC41" s="7"/>
      <c r="LMD41" s="7"/>
      <c r="LME41" s="7"/>
      <c r="LMF41" s="7"/>
      <c r="LMG41" s="7"/>
      <c r="LMH41" s="7"/>
      <c r="LMI41" s="7"/>
      <c r="LMJ41" s="7"/>
      <c r="LMK41" s="7"/>
      <c r="LML41" s="7"/>
      <c r="LMM41" s="7"/>
      <c r="LMN41" s="7"/>
      <c r="LMO41" s="7"/>
      <c r="LMP41" s="7"/>
      <c r="LMQ41" s="7"/>
      <c r="LMR41" s="7"/>
      <c r="LMS41" s="7"/>
      <c r="LMT41" s="7"/>
      <c r="LMU41" s="7"/>
      <c r="LMV41" s="7"/>
      <c r="LMW41" s="7"/>
      <c r="LMX41" s="7"/>
      <c r="LMY41" s="7"/>
      <c r="LMZ41" s="7"/>
      <c r="LNA41" s="7"/>
      <c r="LNB41" s="7"/>
      <c r="LNC41" s="7"/>
      <c r="LND41" s="7"/>
      <c r="LNE41" s="7"/>
      <c r="LNF41" s="7"/>
      <c r="LNG41" s="7"/>
      <c r="LNH41" s="7"/>
      <c r="LNI41" s="7"/>
      <c r="LNJ41" s="7"/>
      <c r="LNK41" s="7"/>
      <c r="LNL41" s="7"/>
      <c r="LNM41" s="7"/>
      <c r="LNN41" s="7"/>
      <c r="LNO41" s="7"/>
      <c r="LNP41" s="7"/>
      <c r="LNQ41" s="7"/>
      <c r="LNR41" s="7"/>
      <c r="LNS41" s="7"/>
      <c r="LNT41" s="7"/>
      <c r="LNU41" s="7"/>
      <c r="LNV41" s="7"/>
      <c r="LNW41" s="7"/>
      <c r="LNX41" s="7"/>
      <c r="LNY41" s="7"/>
      <c r="LNZ41" s="7"/>
      <c r="LOA41" s="7"/>
      <c r="LOB41" s="7"/>
      <c r="LOC41" s="7"/>
      <c r="LOD41" s="7"/>
      <c r="LOE41" s="7"/>
      <c r="LOF41" s="7"/>
      <c r="LOG41" s="7"/>
      <c r="LOH41" s="7"/>
      <c r="LOI41" s="7"/>
      <c r="LOJ41" s="7"/>
      <c r="LOK41" s="7"/>
      <c r="LOL41" s="7"/>
      <c r="LOM41" s="7"/>
      <c r="LON41" s="7"/>
      <c r="LOO41" s="7"/>
      <c r="LOP41" s="7"/>
      <c r="LOQ41" s="7"/>
      <c r="LOR41" s="7"/>
      <c r="LOS41" s="7"/>
      <c r="LOT41" s="7"/>
      <c r="LOU41" s="7"/>
      <c r="LOV41" s="7"/>
      <c r="LOW41" s="7"/>
      <c r="LOX41" s="7"/>
      <c r="LOY41" s="7"/>
      <c r="LOZ41" s="7"/>
      <c r="LPA41" s="7"/>
      <c r="LPB41" s="7"/>
      <c r="LPC41" s="7"/>
      <c r="LPD41" s="7"/>
      <c r="LPE41" s="7"/>
      <c r="LPF41" s="7"/>
      <c r="LPG41" s="7"/>
      <c r="LPH41" s="7"/>
      <c r="LPI41" s="7"/>
      <c r="LPJ41" s="7"/>
      <c r="LPK41" s="7"/>
      <c r="LPL41" s="7"/>
      <c r="LPM41" s="7"/>
      <c r="LPN41" s="7"/>
      <c r="LPO41" s="7"/>
      <c r="LPP41" s="7"/>
      <c r="LPQ41" s="7"/>
      <c r="LPR41" s="7"/>
      <c r="LPS41" s="7"/>
      <c r="LPT41" s="7"/>
      <c r="LPU41" s="7"/>
      <c r="LPV41" s="7"/>
      <c r="LPW41" s="7"/>
      <c r="LPX41" s="7"/>
      <c r="LPY41" s="7"/>
      <c r="LPZ41" s="7"/>
      <c r="LQA41" s="7"/>
      <c r="LQB41" s="7"/>
      <c r="LQC41" s="7"/>
      <c r="LQD41" s="7"/>
      <c r="LQE41" s="7"/>
      <c r="LQF41" s="7"/>
      <c r="LQG41" s="7"/>
      <c r="LQH41" s="7"/>
      <c r="LQI41" s="7"/>
      <c r="LQJ41" s="7"/>
      <c r="LQK41" s="7"/>
      <c r="LQL41" s="7"/>
      <c r="LQM41" s="7"/>
      <c r="LQN41" s="7"/>
      <c r="LQO41" s="7"/>
      <c r="LQP41" s="7"/>
      <c r="LQQ41" s="7"/>
      <c r="LQR41" s="7"/>
      <c r="LQS41" s="7"/>
      <c r="LQT41" s="7"/>
      <c r="LQU41" s="7"/>
      <c r="LQV41" s="7"/>
      <c r="LQW41" s="7"/>
      <c r="LQX41" s="7"/>
      <c r="LQY41" s="7"/>
      <c r="LQZ41" s="7"/>
      <c r="LRA41" s="7"/>
      <c r="LRB41" s="7"/>
      <c r="LRC41" s="7"/>
      <c r="LRD41" s="7"/>
      <c r="LRE41" s="7"/>
      <c r="LRF41" s="7"/>
      <c r="LRG41" s="7"/>
      <c r="LRH41" s="7"/>
      <c r="LRI41" s="7"/>
      <c r="LRJ41" s="7"/>
      <c r="LRK41" s="7"/>
      <c r="LRL41" s="7"/>
      <c r="LRM41" s="7"/>
      <c r="LRN41" s="7"/>
      <c r="LRO41" s="7"/>
      <c r="LRP41" s="7"/>
      <c r="LRQ41" s="7"/>
      <c r="LRR41" s="7"/>
      <c r="LRS41" s="7"/>
      <c r="LRT41" s="7"/>
      <c r="LRU41" s="7"/>
      <c r="LRV41" s="7"/>
      <c r="LRW41" s="7"/>
      <c r="LRX41" s="7"/>
      <c r="LRY41" s="7"/>
      <c r="LRZ41" s="7"/>
      <c r="LSA41" s="7"/>
      <c r="LSB41" s="7"/>
      <c r="LSC41" s="7"/>
      <c r="LSD41" s="7"/>
      <c r="LSE41" s="7"/>
      <c r="LSF41" s="7"/>
      <c r="LSG41" s="7"/>
      <c r="LSH41" s="7"/>
      <c r="LSI41" s="7"/>
      <c r="LSJ41" s="7"/>
      <c r="LSK41" s="7"/>
      <c r="LSL41" s="7"/>
      <c r="LSM41" s="7"/>
      <c r="LSN41" s="7"/>
      <c r="LSO41" s="7"/>
      <c r="LSP41" s="7"/>
      <c r="LSQ41" s="7"/>
      <c r="LSR41" s="7"/>
      <c r="LSS41" s="7"/>
      <c r="LST41" s="7"/>
      <c r="LSU41" s="7"/>
      <c r="LSV41" s="7"/>
      <c r="LSW41" s="7"/>
      <c r="LSX41" s="7"/>
      <c r="LSY41" s="7"/>
      <c r="LSZ41" s="7"/>
      <c r="LTA41" s="7"/>
      <c r="LTB41" s="7"/>
      <c r="LTC41" s="7"/>
      <c r="LTD41" s="7"/>
      <c r="LTE41" s="7"/>
      <c r="LTF41" s="7"/>
      <c r="LTG41" s="7"/>
      <c r="LTH41" s="7"/>
      <c r="LTI41" s="7"/>
      <c r="LTJ41" s="7"/>
      <c r="LTK41" s="7"/>
      <c r="LTL41" s="7"/>
      <c r="LTM41" s="7"/>
      <c r="LTN41" s="7"/>
      <c r="LTO41" s="7"/>
      <c r="LTP41" s="7"/>
      <c r="LTQ41" s="7"/>
      <c r="LTR41" s="7"/>
      <c r="LTS41" s="7"/>
      <c r="LTT41" s="7"/>
      <c r="LTU41" s="7"/>
      <c r="LTV41" s="7"/>
      <c r="LTW41" s="7"/>
      <c r="LTX41" s="7"/>
      <c r="LTY41" s="7"/>
      <c r="LTZ41" s="7"/>
      <c r="LUA41" s="7"/>
      <c r="LUB41" s="7"/>
      <c r="LUC41" s="7"/>
      <c r="LUD41" s="7"/>
      <c r="LUE41" s="7"/>
      <c r="LUF41" s="7"/>
      <c r="LUG41" s="7"/>
      <c r="LUH41" s="7"/>
      <c r="LUI41" s="7"/>
      <c r="LUJ41" s="7"/>
      <c r="LUK41" s="7"/>
      <c r="LUL41" s="7"/>
      <c r="LUM41" s="7"/>
      <c r="LUN41" s="7"/>
      <c r="LUO41" s="7"/>
      <c r="LUP41" s="7"/>
      <c r="LUQ41" s="7"/>
      <c r="LUR41" s="7"/>
      <c r="LUS41" s="7"/>
      <c r="LUT41" s="7"/>
      <c r="LUU41" s="7"/>
      <c r="LUV41" s="7"/>
      <c r="LUW41" s="7"/>
      <c r="LUX41" s="7"/>
      <c r="LUY41" s="7"/>
      <c r="LUZ41" s="7"/>
      <c r="LVA41" s="7"/>
      <c r="LVB41" s="7"/>
      <c r="LVC41" s="7"/>
      <c r="LVD41" s="7"/>
      <c r="LVE41" s="7"/>
      <c r="LVF41" s="7"/>
      <c r="LVG41" s="7"/>
      <c r="LVH41" s="7"/>
      <c r="LVI41" s="7"/>
      <c r="LVJ41" s="7"/>
      <c r="LVK41" s="7"/>
      <c r="LVL41" s="7"/>
      <c r="LVM41" s="7"/>
      <c r="LVN41" s="7"/>
      <c r="LVO41" s="7"/>
      <c r="LVP41" s="7"/>
      <c r="LVQ41" s="7"/>
      <c r="LVR41" s="7"/>
      <c r="LVS41" s="7"/>
      <c r="LVT41" s="7"/>
      <c r="LVU41" s="7"/>
      <c r="LVV41" s="7"/>
      <c r="LVW41" s="7"/>
      <c r="LVX41" s="7"/>
      <c r="LVY41" s="7"/>
      <c r="LVZ41" s="7"/>
      <c r="LWA41" s="7"/>
      <c r="LWB41" s="7"/>
      <c r="LWC41" s="7"/>
      <c r="LWD41" s="7"/>
      <c r="LWE41" s="7"/>
      <c r="LWF41" s="7"/>
      <c r="LWG41" s="7"/>
      <c r="LWH41" s="7"/>
      <c r="LWI41" s="7"/>
      <c r="LWJ41" s="7"/>
      <c r="LWK41" s="7"/>
      <c r="LWL41" s="7"/>
      <c r="LWM41" s="7"/>
      <c r="LWN41" s="7"/>
      <c r="LWO41" s="7"/>
      <c r="LWP41" s="7"/>
      <c r="LWQ41" s="7"/>
      <c r="LWR41" s="7"/>
      <c r="LWS41" s="7"/>
      <c r="LWT41" s="7"/>
      <c r="LWU41" s="7"/>
      <c r="LWV41" s="7"/>
      <c r="LWW41" s="7"/>
      <c r="LWX41" s="7"/>
      <c r="LWY41" s="7"/>
      <c r="LWZ41" s="7"/>
      <c r="LXA41" s="7"/>
      <c r="LXB41" s="7"/>
      <c r="LXC41" s="7"/>
      <c r="LXD41" s="7"/>
      <c r="LXE41" s="7"/>
      <c r="LXF41" s="7"/>
      <c r="LXG41" s="7"/>
      <c r="LXH41" s="7"/>
      <c r="LXI41" s="7"/>
      <c r="LXJ41" s="7"/>
      <c r="LXK41" s="7"/>
      <c r="LXL41" s="7"/>
      <c r="LXM41" s="7"/>
      <c r="LXN41" s="7"/>
      <c r="LXO41" s="7"/>
      <c r="LXP41" s="7"/>
      <c r="LXQ41" s="7"/>
      <c r="LXR41" s="7"/>
      <c r="LXS41" s="7"/>
      <c r="LXT41" s="7"/>
      <c r="LXU41" s="7"/>
      <c r="LXV41" s="7"/>
      <c r="LXW41" s="7"/>
      <c r="LXX41" s="7"/>
      <c r="LXY41" s="7"/>
      <c r="LXZ41" s="7"/>
      <c r="LYA41" s="7"/>
      <c r="LYB41" s="7"/>
      <c r="LYC41" s="7"/>
      <c r="LYD41" s="7"/>
      <c r="LYE41" s="7"/>
      <c r="LYF41" s="7"/>
      <c r="LYG41" s="7"/>
      <c r="LYH41" s="7"/>
      <c r="LYI41" s="7"/>
      <c r="LYJ41" s="7"/>
      <c r="LYK41" s="7"/>
      <c r="LYL41" s="7"/>
      <c r="LYM41" s="7"/>
      <c r="LYN41" s="7"/>
      <c r="LYO41" s="7"/>
      <c r="LYP41" s="7"/>
      <c r="LYQ41" s="7"/>
      <c r="LYR41" s="7"/>
      <c r="LYS41" s="7"/>
      <c r="LYT41" s="7"/>
      <c r="LYU41" s="7"/>
      <c r="LYV41" s="7"/>
      <c r="LYW41" s="7"/>
      <c r="LYX41" s="7"/>
      <c r="LYY41" s="7"/>
      <c r="LYZ41" s="7"/>
      <c r="LZA41" s="7"/>
      <c r="LZB41" s="7"/>
      <c r="LZC41" s="7"/>
      <c r="LZD41" s="7"/>
      <c r="LZE41" s="7"/>
      <c r="LZF41" s="7"/>
      <c r="LZG41" s="7"/>
      <c r="LZH41" s="7"/>
      <c r="LZI41" s="7"/>
      <c r="LZJ41" s="7"/>
      <c r="LZK41" s="7"/>
      <c r="LZL41" s="7"/>
      <c r="LZM41" s="7"/>
      <c r="LZN41" s="7"/>
      <c r="LZO41" s="7"/>
      <c r="LZP41" s="7"/>
      <c r="LZQ41" s="7"/>
      <c r="LZR41" s="7"/>
      <c r="LZS41" s="7"/>
      <c r="LZT41" s="7"/>
      <c r="LZU41" s="7"/>
      <c r="LZV41" s="7"/>
      <c r="LZW41" s="7"/>
      <c r="LZX41" s="7"/>
      <c r="LZY41" s="7"/>
      <c r="LZZ41" s="7"/>
      <c r="MAA41" s="7"/>
      <c r="MAB41" s="7"/>
      <c r="MAC41" s="7"/>
      <c r="MAD41" s="7"/>
      <c r="MAE41" s="7"/>
      <c r="MAF41" s="7"/>
      <c r="MAG41" s="7"/>
      <c r="MAH41" s="7"/>
      <c r="MAI41" s="7"/>
      <c r="MAJ41" s="7"/>
      <c r="MAK41" s="7"/>
      <c r="MAL41" s="7"/>
      <c r="MAM41" s="7"/>
      <c r="MAN41" s="7"/>
      <c r="MAO41" s="7"/>
      <c r="MAP41" s="7"/>
      <c r="MAQ41" s="7"/>
      <c r="MAR41" s="7"/>
      <c r="MAS41" s="7"/>
      <c r="MAT41" s="7"/>
      <c r="MAU41" s="7"/>
      <c r="MAV41" s="7"/>
      <c r="MAW41" s="7"/>
      <c r="MAX41" s="7"/>
      <c r="MAY41" s="7"/>
      <c r="MAZ41" s="7"/>
      <c r="MBA41" s="7"/>
      <c r="MBB41" s="7"/>
      <c r="MBC41" s="7"/>
      <c r="MBD41" s="7"/>
      <c r="MBE41" s="7"/>
      <c r="MBF41" s="7"/>
      <c r="MBG41" s="7"/>
      <c r="MBH41" s="7"/>
      <c r="MBI41" s="7"/>
      <c r="MBJ41" s="7"/>
      <c r="MBK41" s="7"/>
      <c r="MBL41" s="7"/>
      <c r="MBM41" s="7"/>
      <c r="MBN41" s="7"/>
      <c r="MBO41" s="7"/>
      <c r="MBP41" s="7"/>
      <c r="MBQ41" s="7"/>
      <c r="MBR41" s="7"/>
      <c r="MBS41" s="7"/>
      <c r="MBT41" s="7"/>
      <c r="MBU41" s="7"/>
      <c r="MBV41" s="7"/>
      <c r="MBW41" s="7"/>
      <c r="MBX41" s="7"/>
      <c r="MBY41" s="7"/>
      <c r="MBZ41" s="7"/>
      <c r="MCA41" s="7"/>
      <c r="MCB41" s="7"/>
      <c r="MCC41" s="7"/>
      <c r="MCD41" s="7"/>
      <c r="MCE41" s="7"/>
      <c r="MCF41" s="7"/>
      <c r="MCG41" s="7"/>
      <c r="MCH41" s="7"/>
      <c r="MCI41" s="7"/>
      <c r="MCJ41" s="7"/>
      <c r="MCK41" s="7"/>
      <c r="MCL41" s="7"/>
      <c r="MCM41" s="7"/>
      <c r="MCN41" s="7"/>
      <c r="MCO41" s="7"/>
      <c r="MCP41" s="7"/>
      <c r="MCQ41" s="7"/>
      <c r="MCR41" s="7"/>
      <c r="MCS41" s="7"/>
      <c r="MCT41" s="7"/>
      <c r="MCU41" s="7"/>
      <c r="MCV41" s="7"/>
      <c r="MCW41" s="7"/>
      <c r="MCX41" s="7"/>
      <c r="MCY41" s="7"/>
      <c r="MCZ41" s="7"/>
      <c r="MDA41" s="7"/>
      <c r="MDB41" s="7"/>
      <c r="MDC41" s="7"/>
      <c r="MDD41" s="7"/>
      <c r="MDE41" s="7"/>
      <c r="MDF41" s="7"/>
      <c r="MDG41" s="7"/>
      <c r="MDH41" s="7"/>
      <c r="MDI41" s="7"/>
      <c r="MDJ41" s="7"/>
      <c r="MDK41" s="7"/>
      <c r="MDL41" s="7"/>
      <c r="MDM41" s="7"/>
      <c r="MDN41" s="7"/>
      <c r="MDO41" s="7"/>
      <c r="MDP41" s="7"/>
      <c r="MDQ41" s="7"/>
      <c r="MDR41" s="7"/>
      <c r="MDS41" s="7"/>
      <c r="MDT41" s="7"/>
      <c r="MDU41" s="7"/>
      <c r="MDV41" s="7"/>
      <c r="MDW41" s="7"/>
      <c r="MDX41" s="7"/>
      <c r="MDY41" s="7"/>
      <c r="MDZ41" s="7"/>
      <c r="MEA41" s="7"/>
      <c r="MEB41" s="7"/>
      <c r="MEC41" s="7"/>
      <c r="MED41" s="7"/>
      <c r="MEE41" s="7"/>
      <c r="MEF41" s="7"/>
      <c r="MEG41" s="7"/>
      <c r="MEH41" s="7"/>
      <c r="MEI41" s="7"/>
      <c r="MEJ41" s="7"/>
      <c r="MEK41" s="7"/>
      <c r="MEL41" s="7"/>
      <c r="MEM41" s="7"/>
      <c r="MEN41" s="7"/>
      <c r="MEO41" s="7"/>
      <c r="MEP41" s="7"/>
      <c r="MEQ41" s="7"/>
      <c r="MER41" s="7"/>
      <c r="MES41" s="7"/>
      <c r="MET41" s="7"/>
      <c r="MEU41" s="7"/>
      <c r="MEV41" s="7"/>
      <c r="MEW41" s="7"/>
      <c r="MEX41" s="7"/>
      <c r="MEY41" s="7"/>
      <c r="MEZ41" s="7"/>
      <c r="MFA41" s="7"/>
      <c r="MFB41" s="7"/>
      <c r="MFC41" s="7"/>
      <c r="MFD41" s="7"/>
      <c r="MFE41" s="7"/>
      <c r="MFF41" s="7"/>
      <c r="MFG41" s="7"/>
      <c r="MFH41" s="7"/>
      <c r="MFI41" s="7"/>
      <c r="MFJ41" s="7"/>
      <c r="MFK41" s="7"/>
      <c r="MFL41" s="7"/>
      <c r="MFM41" s="7"/>
      <c r="MFN41" s="7"/>
      <c r="MFO41" s="7"/>
      <c r="MFP41" s="7"/>
      <c r="MFQ41" s="7"/>
      <c r="MFR41" s="7"/>
      <c r="MFS41" s="7"/>
      <c r="MFT41" s="7"/>
      <c r="MFU41" s="7"/>
      <c r="MFV41" s="7"/>
      <c r="MFW41" s="7"/>
      <c r="MFX41" s="7"/>
      <c r="MFY41" s="7"/>
      <c r="MFZ41" s="7"/>
      <c r="MGA41" s="7"/>
      <c r="MGB41" s="7"/>
      <c r="MGC41" s="7"/>
      <c r="MGD41" s="7"/>
      <c r="MGE41" s="7"/>
      <c r="MGF41" s="7"/>
      <c r="MGG41" s="7"/>
      <c r="MGH41" s="7"/>
      <c r="MGI41" s="7"/>
      <c r="MGJ41" s="7"/>
      <c r="MGK41" s="7"/>
      <c r="MGL41" s="7"/>
      <c r="MGM41" s="7"/>
      <c r="MGN41" s="7"/>
      <c r="MGO41" s="7"/>
      <c r="MGP41" s="7"/>
      <c r="MGQ41" s="7"/>
      <c r="MGR41" s="7"/>
      <c r="MGS41" s="7"/>
      <c r="MGT41" s="7"/>
      <c r="MGU41" s="7"/>
      <c r="MGV41" s="7"/>
      <c r="MGW41" s="7"/>
      <c r="MGX41" s="7"/>
      <c r="MGY41" s="7"/>
      <c r="MGZ41" s="7"/>
      <c r="MHA41" s="7"/>
      <c r="MHB41" s="7"/>
      <c r="MHC41" s="7"/>
      <c r="MHD41" s="7"/>
      <c r="MHE41" s="7"/>
      <c r="MHF41" s="7"/>
      <c r="MHG41" s="7"/>
      <c r="MHH41" s="7"/>
      <c r="MHI41" s="7"/>
      <c r="MHJ41" s="7"/>
      <c r="MHK41" s="7"/>
      <c r="MHL41" s="7"/>
      <c r="MHM41" s="7"/>
      <c r="MHN41" s="7"/>
      <c r="MHO41" s="7"/>
      <c r="MHP41" s="7"/>
      <c r="MHQ41" s="7"/>
      <c r="MHR41" s="7"/>
      <c r="MHS41" s="7"/>
      <c r="MHT41" s="7"/>
      <c r="MHU41" s="7"/>
      <c r="MHV41" s="7"/>
      <c r="MHW41" s="7"/>
      <c r="MHX41" s="7"/>
      <c r="MHY41" s="7"/>
      <c r="MHZ41" s="7"/>
      <c r="MIA41" s="7"/>
      <c r="MIB41" s="7"/>
      <c r="MIC41" s="7"/>
      <c r="MID41" s="7"/>
      <c r="MIE41" s="7"/>
      <c r="MIF41" s="7"/>
      <c r="MIG41" s="7"/>
      <c r="MIH41" s="7"/>
      <c r="MII41" s="7"/>
      <c r="MIJ41" s="7"/>
      <c r="MIK41" s="7"/>
      <c r="MIL41" s="7"/>
      <c r="MIM41" s="7"/>
      <c r="MIN41" s="7"/>
      <c r="MIO41" s="7"/>
      <c r="MIP41" s="7"/>
      <c r="MIQ41" s="7"/>
      <c r="MIR41" s="7"/>
      <c r="MIS41" s="7"/>
      <c r="MIT41" s="7"/>
      <c r="MIU41" s="7"/>
      <c r="MIV41" s="7"/>
      <c r="MIW41" s="7"/>
      <c r="MIX41" s="7"/>
      <c r="MIY41" s="7"/>
      <c r="MIZ41" s="7"/>
      <c r="MJA41" s="7"/>
      <c r="MJB41" s="7"/>
      <c r="MJC41" s="7"/>
      <c r="MJD41" s="7"/>
      <c r="MJE41" s="7"/>
      <c r="MJF41" s="7"/>
      <c r="MJG41" s="7"/>
      <c r="MJH41" s="7"/>
      <c r="MJI41" s="7"/>
      <c r="MJJ41" s="7"/>
      <c r="MJK41" s="7"/>
      <c r="MJL41" s="7"/>
      <c r="MJM41" s="7"/>
      <c r="MJN41" s="7"/>
      <c r="MJO41" s="7"/>
      <c r="MJP41" s="7"/>
      <c r="MJQ41" s="7"/>
      <c r="MJR41" s="7"/>
      <c r="MJS41" s="7"/>
      <c r="MJT41" s="7"/>
      <c r="MJU41" s="7"/>
      <c r="MJV41" s="7"/>
      <c r="MJW41" s="7"/>
      <c r="MJX41" s="7"/>
      <c r="MJY41" s="7"/>
      <c r="MJZ41" s="7"/>
      <c r="MKA41" s="7"/>
      <c r="MKB41" s="7"/>
      <c r="MKC41" s="7"/>
      <c r="MKD41" s="7"/>
      <c r="MKE41" s="7"/>
      <c r="MKF41" s="7"/>
      <c r="MKG41" s="7"/>
      <c r="MKH41" s="7"/>
      <c r="MKI41" s="7"/>
      <c r="MKJ41" s="7"/>
      <c r="MKK41" s="7"/>
      <c r="MKL41" s="7"/>
      <c r="MKM41" s="7"/>
      <c r="MKN41" s="7"/>
      <c r="MKO41" s="7"/>
      <c r="MKP41" s="7"/>
      <c r="MKQ41" s="7"/>
      <c r="MKR41" s="7"/>
      <c r="MKS41" s="7"/>
      <c r="MKT41" s="7"/>
      <c r="MKU41" s="7"/>
      <c r="MKV41" s="7"/>
      <c r="MKW41" s="7"/>
      <c r="MKX41" s="7"/>
      <c r="MKY41" s="7"/>
      <c r="MKZ41" s="7"/>
      <c r="MLA41" s="7"/>
      <c r="MLB41" s="7"/>
      <c r="MLC41" s="7"/>
      <c r="MLD41" s="7"/>
      <c r="MLE41" s="7"/>
      <c r="MLF41" s="7"/>
      <c r="MLG41" s="7"/>
      <c r="MLH41" s="7"/>
      <c r="MLI41" s="7"/>
      <c r="MLJ41" s="7"/>
      <c r="MLK41" s="7"/>
      <c r="MLL41" s="7"/>
      <c r="MLM41" s="7"/>
      <c r="MLN41" s="7"/>
      <c r="MLO41" s="7"/>
      <c r="MLP41" s="7"/>
      <c r="MLQ41" s="7"/>
      <c r="MLR41" s="7"/>
      <c r="MLS41" s="7"/>
      <c r="MLT41" s="7"/>
      <c r="MLU41" s="7"/>
      <c r="MLV41" s="7"/>
      <c r="MLW41" s="7"/>
      <c r="MLX41" s="7"/>
      <c r="MLY41" s="7"/>
      <c r="MLZ41" s="7"/>
      <c r="MMA41" s="7"/>
      <c r="MMB41" s="7"/>
      <c r="MMC41" s="7"/>
      <c r="MMD41" s="7"/>
      <c r="MME41" s="7"/>
      <c r="MMF41" s="7"/>
      <c r="MMG41" s="7"/>
      <c r="MMH41" s="7"/>
      <c r="MMI41" s="7"/>
      <c r="MMJ41" s="7"/>
      <c r="MMK41" s="7"/>
      <c r="MML41" s="7"/>
      <c r="MMM41" s="7"/>
      <c r="MMN41" s="7"/>
      <c r="MMO41" s="7"/>
      <c r="MMP41" s="7"/>
      <c r="MMQ41" s="7"/>
      <c r="MMR41" s="7"/>
      <c r="MMS41" s="7"/>
      <c r="MMT41" s="7"/>
      <c r="MMU41" s="7"/>
      <c r="MMV41" s="7"/>
      <c r="MMW41" s="7"/>
      <c r="MMX41" s="7"/>
      <c r="MMY41" s="7"/>
      <c r="MMZ41" s="7"/>
      <c r="MNA41" s="7"/>
      <c r="MNB41" s="7"/>
      <c r="MNC41" s="7"/>
      <c r="MND41" s="7"/>
      <c r="MNE41" s="7"/>
      <c r="MNF41" s="7"/>
      <c r="MNG41" s="7"/>
      <c r="MNH41" s="7"/>
      <c r="MNI41" s="7"/>
      <c r="MNJ41" s="7"/>
      <c r="MNK41" s="7"/>
      <c r="MNL41" s="7"/>
      <c r="MNM41" s="7"/>
      <c r="MNN41" s="7"/>
      <c r="MNO41" s="7"/>
      <c r="MNP41" s="7"/>
      <c r="MNQ41" s="7"/>
      <c r="MNR41" s="7"/>
      <c r="MNS41" s="7"/>
      <c r="MNT41" s="7"/>
      <c r="MNU41" s="7"/>
      <c r="MNV41" s="7"/>
      <c r="MNW41" s="7"/>
      <c r="MNX41" s="7"/>
      <c r="MNY41" s="7"/>
      <c r="MNZ41" s="7"/>
      <c r="MOA41" s="7"/>
      <c r="MOB41" s="7"/>
      <c r="MOC41" s="7"/>
      <c r="MOD41" s="7"/>
      <c r="MOE41" s="7"/>
      <c r="MOF41" s="7"/>
      <c r="MOG41" s="7"/>
      <c r="MOH41" s="7"/>
      <c r="MOI41" s="7"/>
      <c r="MOJ41" s="7"/>
      <c r="MOK41" s="7"/>
      <c r="MOL41" s="7"/>
      <c r="MOM41" s="7"/>
      <c r="MON41" s="7"/>
      <c r="MOO41" s="7"/>
      <c r="MOP41" s="7"/>
      <c r="MOQ41" s="7"/>
      <c r="MOR41" s="7"/>
      <c r="MOS41" s="7"/>
      <c r="MOT41" s="7"/>
      <c r="MOU41" s="7"/>
      <c r="MOV41" s="7"/>
      <c r="MOW41" s="7"/>
      <c r="MOX41" s="7"/>
      <c r="MOY41" s="7"/>
      <c r="MOZ41" s="7"/>
      <c r="MPA41" s="7"/>
      <c r="MPB41" s="7"/>
      <c r="MPC41" s="7"/>
      <c r="MPD41" s="7"/>
      <c r="MPE41" s="7"/>
      <c r="MPF41" s="7"/>
      <c r="MPG41" s="7"/>
      <c r="MPH41" s="7"/>
      <c r="MPI41" s="7"/>
      <c r="MPJ41" s="7"/>
      <c r="MPK41" s="7"/>
      <c r="MPL41" s="7"/>
      <c r="MPM41" s="7"/>
      <c r="MPN41" s="7"/>
      <c r="MPO41" s="7"/>
      <c r="MPP41" s="7"/>
      <c r="MPQ41" s="7"/>
      <c r="MPR41" s="7"/>
      <c r="MPS41" s="7"/>
      <c r="MPT41" s="7"/>
      <c r="MPU41" s="7"/>
      <c r="MPV41" s="7"/>
      <c r="MPW41" s="7"/>
      <c r="MPX41" s="7"/>
      <c r="MPY41" s="7"/>
      <c r="MPZ41" s="7"/>
      <c r="MQA41" s="7"/>
      <c r="MQB41" s="7"/>
      <c r="MQC41" s="7"/>
      <c r="MQD41" s="7"/>
      <c r="MQE41" s="7"/>
      <c r="MQF41" s="7"/>
      <c r="MQG41" s="7"/>
      <c r="MQH41" s="7"/>
      <c r="MQI41" s="7"/>
      <c r="MQJ41" s="7"/>
      <c r="MQK41" s="7"/>
      <c r="MQL41" s="7"/>
      <c r="MQM41" s="7"/>
      <c r="MQN41" s="7"/>
      <c r="MQO41" s="7"/>
      <c r="MQP41" s="7"/>
      <c r="MQQ41" s="7"/>
      <c r="MQR41" s="7"/>
      <c r="MQS41" s="7"/>
      <c r="MQT41" s="7"/>
      <c r="MQU41" s="7"/>
      <c r="MQV41" s="7"/>
      <c r="MQW41" s="7"/>
      <c r="MQX41" s="7"/>
      <c r="MQY41" s="7"/>
      <c r="MQZ41" s="7"/>
      <c r="MRA41" s="7"/>
      <c r="MRB41" s="7"/>
      <c r="MRC41" s="7"/>
      <c r="MRD41" s="7"/>
      <c r="MRE41" s="7"/>
      <c r="MRF41" s="7"/>
      <c r="MRG41" s="7"/>
      <c r="MRH41" s="7"/>
      <c r="MRI41" s="7"/>
      <c r="MRJ41" s="7"/>
      <c r="MRK41" s="7"/>
      <c r="MRL41" s="7"/>
      <c r="MRM41" s="7"/>
      <c r="MRN41" s="7"/>
      <c r="MRO41" s="7"/>
      <c r="MRP41" s="7"/>
      <c r="MRQ41" s="7"/>
      <c r="MRR41" s="7"/>
      <c r="MRS41" s="7"/>
      <c r="MRT41" s="7"/>
      <c r="MRU41" s="7"/>
      <c r="MRV41" s="7"/>
      <c r="MRW41" s="7"/>
      <c r="MRX41" s="7"/>
      <c r="MRY41" s="7"/>
      <c r="MRZ41" s="7"/>
      <c r="MSA41" s="7"/>
      <c r="MSB41" s="7"/>
      <c r="MSC41" s="7"/>
      <c r="MSD41" s="7"/>
      <c r="MSE41" s="7"/>
      <c r="MSF41" s="7"/>
      <c r="MSG41" s="7"/>
      <c r="MSH41" s="7"/>
      <c r="MSI41" s="7"/>
      <c r="MSJ41" s="7"/>
      <c r="MSK41" s="7"/>
      <c r="MSL41" s="7"/>
      <c r="MSM41" s="7"/>
      <c r="MSN41" s="7"/>
      <c r="MSO41" s="7"/>
      <c r="MSP41" s="7"/>
      <c r="MSQ41" s="7"/>
      <c r="MSR41" s="7"/>
      <c r="MSS41" s="7"/>
      <c r="MST41" s="7"/>
      <c r="MSU41" s="7"/>
      <c r="MSV41" s="7"/>
      <c r="MSW41" s="7"/>
      <c r="MSX41" s="7"/>
      <c r="MSY41" s="7"/>
      <c r="MSZ41" s="7"/>
      <c r="MTA41" s="7"/>
      <c r="MTB41" s="7"/>
      <c r="MTC41" s="7"/>
      <c r="MTD41" s="7"/>
      <c r="MTE41" s="7"/>
      <c r="MTF41" s="7"/>
      <c r="MTG41" s="7"/>
      <c r="MTH41" s="7"/>
      <c r="MTI41" s="7"/>
      <c r="MTJ41" s="7"/>
      <c r="MTK41" s="7"/>
      <c r="MTL41" s="7"/>
      <c r="MTM41" s="7"/>
      <c r="MTN41" s="7"/>
      <c r="MTO41" s="7"/>
      <c r="MTP41" s="7"/>
      <c r="MTQ41" s="7"/>
      <c r="MTR41" s="7"/>
      <c r="MTS41" s="7"/>
      <c r="MTT41" s="7"/>
      <c r="MTU41" s="7"/>
      <c r="MTV41" s="7"/>
      <c r="MTW41" s="7"/>
      <c r="MTX41" s="7"/>
      <c r="MTY41" s="7"/>
      <c r="MTZ41" s="7"/>
      <c r="MUA41" s="7"/>
      <c r="MUB41" s="7"/>
      <c r="MUC41" s="7"/>
      <c r="MUD41" s="7"/>
      <c r="MUE41" s="7"/>
      <c r="MUF41" s="7"/>
      <c r="MUG41" s="7"/>
      <c r="MUH41" s="7"/>
      <c r="MUI41" s="7"/>
      <c r="MUJ41" s="7"/>
      <c r="MUK41" s="7"/>
      <c r="MUL41" s="7"/>
      <c r="MUM41" s="7"/>
      <c r="MUN41" s="7"/>
      <c r="MUO41" s="7"/>
      <c r="MUP41" s="7"/>
      <c r="MUQ41" s="7"/>
      <c r="MUR41" s="7"/>
      <c r="MUS41" s="7"/>
      <c r="MUT41" s="7"/>
      <c r="MUU41" s="7"/>
      <c r="MUV41" s="7"/>
      <c r="MUW41" s="7"/>
      <c r="MUX41" s="7"/>
      <c r="MUY41" s="7"/>
      <c r="MUZ41" s="7"/>
      <c r="MVA41" s="7"/>
      <c r="MVB41" s="7"/>
      <c r="MVC41" s="7"/>
      <c r="MVD41" s="7"/>
      <c r="MVE41" s="7"/>
      <c r="MVF41" s="7"/>
      <c r="MVG41" s="7"/>
      <c r="MVH41" s="7"/>
      <c r="MVI41" s="7"/>
      <c r="MVJ41" s="7"/>
      <c r="MVK41" s="7"/>
      <c r="MVL41" s="7"/>
      <c r="MVM41" s="7"/>
      <c r="MVN41" s="7"/>
      <c r="MVO41" s="7"/>
      <c r="MVP41" s="7"/>
      <c r="MVQ41" s="7"/>
      <c r="MVR41" s="7"/>
      <c r="MVS41" s="7"/>
      <c r="MVT41" s="7"/>
      <c r="MVU41" s="7"/>
      <c r="MVV41" s="7"/>
      <c r="MVW41" s="7"/>
      <c r="MVX41" s="7"/>
      <c r="MVY41" s="7"/>
      <c r="MVZ41" s="7"/>
      <c r="MWA41" s="7"/>
      <c r="MWB41" s="7"/>
      <c r="MWC41" s="7"/>
      <c r="MWD41" s="7"/>
      <c r="MWE41" s="7"/>
      <c r="MWF41" s="7"/>
      <c r="MWG41" s="7"/>
      <c r="MWH41" s="7"/>
      <c r="MWI41" s="7"/>
      <c r="MWJ41" s="7"/>
      <c r="MWK41" s="7"/>
      <c r="MWL41" s="7"/>
      <c r="MWM41" s="7"/>
      <c r="MWN41" s="7"/>
      <c r="MWO41" s="7"/>
      <c r="MWP41" s="7"/>
      <c r="MWQ41" s="7"/>
      <c r="MWR41" s="7"/>
      <c r="MWS41" s="7"/>
      <c r="MWT41" s="7"/>
      <c r="MWU41" s="7"/>
      <c r="MWV41" s="7"/>
      <c r="MWW41" s="7"/>
      <c r="MWX41" s="7"/>
      <c r="MWY41" s="7"/>
      <c r="MWZ41" s="7"/>
      <c r="MXA41" s="7"/>
      <c r="MXB41" s="7"/>
      <c r="MXC41" s="7"/>
      <c r="MXD41" s="7"/>
      <c r="MXE41" s="7"/>
      <c r="MXF41" s="7"/>
      <c r="MXG41" s="7"/>
      <c r="MXH41" s="7"/>
      <c r="MXI41" s="7"/>
      <c r="MXJ41" s="7"/>
      <c r="MXK41" s="7"/>
      <c r="MXL41" s="7"/>
      <c r="MXM41" s="7"/>
      <c r="MXN41" s="7"/>
      <c r="MXO41" s="7"/>
      <c r="MXP41" s="7"/>
      <c r="MXQ41" s="7"/>
      <c r="MXR41" s="7"/>
      <c r="MXS41" s="7"/>
      <c r="MXT41" s="7"/>
      <c r="MXU41" s="7"/>
      <c r="MXV41" s="7"/>
      <c r="MXW41" s="7"/>
      <c r="MXX41" s="7"/>
      <c r="MXY41" s="7"/>
      <c r="MXZ41" s="7"/>
      <c r="MYA41" s="7"/>
      <c r="MYB41" s="7"/>
      <c r="MYC41" s="7"/>
      <c r="MYD41" s="7"/>
      <c r="MYE41" s="7"/>
      <c r="MYF41" s="7"/>
      <c r="MYG41" s="7"/>
      <c r="MYH41" s="7"/>
      <c r="MYI41" s="7"/>
      <c r="MYJ41" s="7"/>
      <c r="MYK41" s="7"/>
      <c r="MYL41" s="7"/>
      <c r="MYM41" s="7"/>
      <c r="MYN41" s="7"/>
      <c r="MYO41" s="7"/>
      <c r="MYP41" s="7"/>
      <c r="MYQ41" s="7"/>
      <c r="MYR41" s="7"/>
      <c r="MYS41" s="7"/>
      <c r="MYT41" s="7"/>
      <c r="MYU41" s="7"/>
      <c r="MYV41" s="7"/>
      <c r="MYW41" s="7"/>
      <c r="MYX41" s="7"/>
      <c r="MYY41" s="7"/>
      <c r="MYZ41" s="7"/>
      <c r="MZA41" s="7"/>
      <c r="MZB41" s="7"/>
      <c r="MZC41" s="7"/>
      <c r="MZD41" s="7"/>
      <c r="MZE41" s="7"/>
      <c r="MZF41" s="7"/>
      <c r="MZG41" s="7"/>
      <c r="MZH41" s="7"/>
      <c r="MZI41" s="7"/>
      <c r="MZJ41" s="7"/>
      <c r="MZK41" s="7"/>
      <c r="MZL41" s="7"/>
      <c r="MZM41" s="7"/>
      <c r="MZN41" s="7"/>
      <c r="MZO41" s="7"/>
      <c r="MZP41" s="7"/>
      <c r="MZQ41" s="7"/>
      <c r="MZR41" s="7"/>
      <c r="MZS41" s="7"/>
      <c r="MZT41" s="7"/>
      <c r="MZU41" s="7"/>
      <c r="MZV41" s="7"/>
      <c r="MZW41" s="7"/>
      <c r="MZX41" s="7"/>
      <c r="MZY41" s="7"/>
      <c r="MZZ41" s="7"/>
      <c r="NAA41" s="7"/>
      <c r="NAB41" s="7"/>
      <c r="NAC41" s="7"/>
      <c r="NAD41" s="7"/>
      <c r="NAE41" s="7"/>
      <c r="NAF41" s="7"/>
      <c r="NAG41" s="7"/>
      <c r="NAH41" s="7"/>
      <c r="NAI41" s="7"/>
      <c r="NAJ41" s="7"/>
      <c r="NAK41" s="7"/>
      <c r="NAL41" s="7"/>
      <c r="NAM41" s="7"/>
      <c r="NAN41" s="7"/>
      <c r="NAO41" s="7"/>
      <c r="NAP41" s="7"/>
      <c r="NAQ41" s="7"/>
      <c r="NAR41" s="7"/>
      <c r="NAS41" s="7"/>
      <c r="NAT41" s="7"/>
      <c r="NAU41" s="7"/>
      <c r="NAV41" s="7"/>
      <c r="NAW41" s="7"/>
      <c r="NAX41" s="7"/>
      <c r="NAY41" s="7"/>
      <c r="NAZ41" s="7"/>
      <c r="NBA41" s="7"/>
      <c r="NBB41" s="7"/>
      <c r="NBC41" s="7"/>
      <c r="NBD41" s="7"/>
      <c r="NBE41" s="7"/>
      <c r="NBF41" s="7"/>
      <c r="NBG41" s="7"/>
      <c r="NBH41" s="7"/>
      <c r="NBI41" s="7"/>
      <c r="NBJ41" s="7"/>
      <c r="NBK41" s="7"/>
      <c r="NBL41" s="7"/>
      <c r="NBM41" s="7"/>
      <c r="NBN41" s="7"/>
      <c r="NBO41" s="7"/>
      <c r="NBP41" s="7"/>
      <c r="NBQ41" s="7"/>
      <c r="NBR41" s="7"/>
      <c r="NBS41" s="7"/>
      <c r="NBT41" s="7"/>
      <c r="NBU41" s="7"/>
      <c r="NBV41" s="7"/>
      <c r="NBW41" s="7"/>
      <c r="NBX41" s="7"/>
      <c r="NBY41" s="7"/>
      <c r="NBZ41" s="7"/>
      <c r="NCA41" s="7"/>
      <c r="NCB41" s="7"/>
      <c r="NCC41" s="7"/>
      <c r="NCD41" s="7"/>
      <c r="NCE41" s="7"/>
      <c r="NCF41" s="7"/>
      <c r="NCG41" s="7"/>
      <c r="NCH41" s="7"/>
      <c r="NCI41" s="7"/>
      <c r="NCJ41" s="7"/>
      <c r="NCK41" s="7"/>
      <c r="NCL41" s="7"/>
      <c r="NCM41" s="7"/>
      <c r="NCN41" s="7"/>
      <c r="NCO41" s="7"/>
      <c r="NCP41" s="7"/>
      <c r="NCQ41" s="7"/>
      <c r="NCR41" s="7"/>
      <c r="NCS41" s="7"/>
      <c r="NCT41" s="7"/>
      <c r="NCU41" s="7"/>
      <c r="NCV41" s="7"/>
      <c r="NCW41" s="7"/>
      <c r="NCX41" s="7"/>
      <c r="NCY41" s="7"/>
      <c r="NCZ41" s="7"/>
      <c r="NDA41" s="7"/>
      <c r="NDB41" s="7"/>
      <c r="NDC41" s="7"/>
      <c r="NDD41" s="7"/>
      <c r="NDE41" s="7"/>
      <c r="NDF41" s="7"/>
      <c r="NDG41" s="7"/>
      <c r="NDH41" s="7"/>
      <c r="NDI41" s="7"/>
      <c r="NDJ41" s="7"/>
      <c r="NDK41" s="7"/>
      <c r="NDL41" s="7"/>
      <c r="NDM41" s="7"/>
      <c r="NDN41" s="7"/>
      <c r="NDO41" s="7"/>
      <c r="NDP41" s="7"/>
      <c r="NDQ41" s="7"/>
      <c r="NDR41" s="7"/>
      <c r="NDS41" s="7"/>
      <c r="NDT41" s="7"/>
      <c r="NDU41" s="7"/>
      <c r="NDV41" s="7"/>
      <c r="NDW41" s="7"/>
      <c r="NDX41" s="7"/>
      <c r="NDY41" s="7"/>
      <c r="NDZ41" s="7"/>
      <c r="NEA41" s="7"/>
      <c r="NEB41" s="7"/>
      <c r="NEC41" s="7"/>
      <c r="NED41" s="7"/>
      <c r="NEE41" s="7"/>
      <c r="NEF41" s="7"/>
      <c r="NEG41" s="7"/>
      <c r="NEH41" s="7"/>
      <c r="NEI41" s="7"/>
      <c r="NEJ41" s="7"/>
      <c r="NEK41" s="7"/>
      <c r="NEL41" s="7"/>
      <c r="NEM41" s="7"/>
      <c r="NEN41" s="7"/>
      <c r="NEO41" s="7"/>
      <c r="NEP41" s="7"/>
      <c r="NEQ41" s="7"/>
      <c r="NER41" s="7"/>
      <c r="NES41" s="7"/>
      <c r="NET41" s="7"/>
      <c r="NEU41" s="7"/>
      <c r="NEV41" s="7"/>
      <c r="NEW41" s="7"/>
      <c r="NEX41" s="7"/>
      <c r="NEY41" s="7"/>
      <c r="NEZ41" s="7"/>
      <c r="NFA41" s="7"/>
      <c r="NFB41" s="7"/>
      <c r="NFC41" s="7"/>
      <c r="NFD41" s="7"/>
      <c r="NFE41" s="7"/>
      <c r="NFF41" s="7"/>
      <c r="NFG41" s="7"/>
      <c r="NFH41" s="7"/>
      <c r="NFI41" s="7"/>
      <c r="NFJ41" s="7"/>
      <c r="NFK41" s="7"/>
      <c r="NFL41" s="7"/>
      <c r="NFM41" s="7"/>
      <c r="NFN41" s="7"/>
      <c r="NFO41" s="7"/>
      <c r="NFP41" s="7"/>
      <c r="NFQ41" s="7"/>
      <c r="NFR41" s="7"/>
      <c r="NFS41" s="7"/>
      <c r="NFT41" s="7"/>
      <c r="NFU41" s="7"/>
      <c r="NFV41" s="7"/>
      <c r="NFW41" s="7"/>
      <c r="NFX41" s="7"/>
      <c r="NFY41" s="7"/>
      <c r="NFZ41" s="7"/>
      <c r="NGA41" s="7"/>
      <c r="NGB41" s="7"/>
      <c r="NGC41" s="7"/>
      <c r="NGD41" s="7"/>
      <c r="NGE41" s="7"/>
      <c r="NGF41" s="7"/>
      <c r="NGG41" s="7"/>
      <c r="NGH41" s="7"/>
      <c r="NGI41" s="7"/>
      <c r="NGJ41" s="7"/>
      <c r="NGK41" s="7"/>
      <c r="NGL41" s="7"/>
      <c r="NGM41" s="7"/>
      <c r="NGN41" s="7"/>
      <c r="NGO41" s="7"/>
      <c r="NGP41" s="7"/>
      <c r="NGQ41" s="7"/>
      <c r="NGR41" s="7"/>
      <c r="NGS41" s="7"/>
      <c r="NGT41" s="7"/>
      <c r="NGU41" s="7"/>
      <c r="NGV41" s="7"/>
      <c r="NGW41" s="7"/>
      <c r="NGX41" s="7"/>
      <c r="NGY41" s="7"/>
      <c r="NGZ41" s="7"/>
      <c r="NHA41" s="7"/>
      <c r="NHB41" s="7"/>
      <c r="NHC41" s="7"/>
      <c r="NHD41" s="7"/>
      <c r="NHE41" s="7"/>
      <c r="NHF41" s="7"/>
      <c r="NHG41" s="7"/>
      <c r="NHH41" s="7"/>
      <c r="NHI41" s="7"/>
      <c r="NHJ41" s="7"/>
      <c r="NHK41" s="7"/>
      <c r="NHL41" s="7"/>
      <c r="NHM41" s="7"/>
      <c r="NHN41" s="7"/>
      <c r="NHO41" s="7"/>
      <c r="NHP41" s="7"/>
      <c r="NHQ41" s="7"/>
      <c r="NHR41" s="7"/>
      <c r="NHS41" s="7"/>
      <c r="NHT41" s="7"/>
      <c r="NHU41" s="7"/>
      <c r="NHV41" s="7"/>
      <c r="NHW41" s="7"/>
      <c r="NHX41" s="7"/>
      <c r="NHY41" s="7"/>
      <c r="NHZ41" s="7"/>
      <c r="NIA41" s="7"/>
      <c r="NIB41" s="7"/>
      <c r="NIC41" s="7"/>
      <c r="NID41" s="7"/>
      <c r="NIE41" s="7"/>
      <c r="NIF41" s="7"/>
      <c r="NIG41" s="7"/>
      <c r="NIH41" s="7"/>
      <c r="NII41" s="7"/>
      <c r="NIJ41" s="7"/>
      <c r="NIK41" s="7"/>
      <c r="NIL41" s="7"/>
      <c r="NIM41" s="7"/>
      <c r="NIN41" s="7"/>
      <c r="NIO41" s="7"/>
      <c r="NIP41" s="7"/>
      <c r="NIQ41" s="7"/>
      <c r="NIR41" s="7"/>
      <c r="NIS41" s="7"/>
      <c r="NIT41" s="7"/>
      <c r="NIU41" s="7"/>
      <c r="NIV41" s="7"/>
      <c r="NIW41" s="7"/>
      <c r="NIX41" s="7"/>
      <c r="NIY41" s="7"/>
      <c r="NIZ41" s="7"/>
      <c r="NJA41" s="7"/>
      <c r="NJB41" s="7"/>
      <c r="NJC41" s="7"/>
      <c r="NJD41" s="7"/>
      <c r="NJE41" s="7"/>
      <c r="NJF41" s="7"/>
      <c r="NJG41" s="7"/>
      <c r="NJH41" s="7"/>
      <c r="NJI41" s="7"/>
      <c r="NJJ41" s="7"/>
      <c r="NJK41" s="7"/>
      <c r="NJL41" s="7"/>
      <c r="NJM41" s="7"/>
      <c r="NJN41" s="7"/>
      <c r="NJO41" s="7"/>
      <c r="NJP41" s="7"/>
      <c r="NJQ41" s="7"/>
      <c r="NJR41" s="7"/>
      <c r="NJS41" s="7"/>
      <c r="NJT41" s="7"/>
      <c r="NJU41" s="7"/>
      <c r="NJV41" s="7"/>
      <c r="NJW41" s="7"/>
      <c r="NJX41" s="7"/>
      <c r="NJY41" s="7"/>
      <c r="NJZ41" s="7"/>
      <c r="NKA41" s="7"/>
      <c r="NKB41" s="7"/>
      <c r="NKC41" s="7"/>
      <c r="NKD41" s="7"/>
      <c r="NKE41" s="7"/>
      <c r="NKF41" s="7"/>
      <c r="NKG41" s="7"/>
      <c r="NKH41" s="7"/>
      <c r="NKI41" s="7"/>
      <c r="NKJ41" s="7"/>
      <c r="NKK41" s="7"/>
      <c r="NKL41" s="7"/>
      <c r="NKM41" s="7"/>
      <c r="NKN41" s="7"/>
      <c r="NKO41" s="7"/>
      <c r="NKP41" s="7"/>
      <c r="NKQ41" s="7"/>
      <c r="NKR41" s="7"/>
      <c r="NKS41" s="7"/>
      <c r="NKT41" s="7"/>
      <c r="NKU41" s="7"/>
      <c r="NKV41" s="7"/>
      <c r="NKW41" s="7"/>
      <c r="NKX41" s="7"/>
      <c r="NKY41" s="7"/>
      <c r="NKZ41" s="7"/>
      <c r="NLA41" s="7"/>
      <c r="NLB41" s="7"/>
      <c r="NLC41" s="7"/>
      <c r="NLD41" s="7"/>
      <c r="NLE41" s="7"/>
      <c r="NLF41" s="7"/>
      <c r="NLG41" s="7"/>
      <c r="NLH41" s="7"/>
      <c r="NLI41" s="7"/>
      <c r="NLJ41" s="7"/>
      <c r="NLK41" s="7"/>
      <c r="NLL41" s="7"/>
      <c r="NLM41" s="7"/>
      <c r="NLN41" s="7"/>
      <c r="NLO41" s="7"/>
      <c r="NLP41" s="7"/>
      <c r="NLQ41" s="7"/>
      <c r="NLR41" s="7"/>
      <c r="NLS41" s="7"/>
      <c r="NLT41" s="7"/>
      <c r="NLU41" s="7"/>
      <c r="NLV41" s="7"/>
      <c r="NLW41" s="7"/>
      <c r="NLX41" s="7"/>
      <c r="NLY41" s="7"/>
      <c r="NLZ41" s="7"/>
      <c r="NMA41" s="7"/>
      <c r="NMB41" s="7"/>
      <c r="NMC41" s="7"/>
      <c r="NMD41" s="7"/>
      <c r="NME41" s="7"/>
      <c r="NMF41" s="7"/>
      <c r="NMG41" s="7"/>
      <c r="NMH41" s="7"/>
      <c r="NMI41" s="7"/>
      <c r="NMJ41" s="7"/>
      <c r="NMK41" s="7"/>
      <c r="NML41" s="7"/>
      <c r="NMM41" s="7"/>
      <c r="NMN41" s="7"/>
      <c r="NMO41" s="7"/>
      <c r="NMP41" s="7"/>
      <c r="NMQ41" s="7"/>
      <c r="NMR41" s="7"/>
      <c r="NMS41" s="7"/>
      <c r="NMT41" s="7"/>
      <c r="NMU41" s="7"/>
      <c r="NMV41" s="7"/>
      <c r="NMW41" s="7"/>
      <c r="NMX41" s="7"/>
      <c r="NMY41" s="7"/>
      <c r="NMZ41" s="7"/>
      <c r="NNA41" s="7"/>
      <c r="NNB41" s="7"/>
      <c r="NNC41" s="7"/>
      <c r="NND41" s="7"/>
      <c r="NNE41" s="7"/>
      <c r="NNF41" s="7"/>
      <c r="NNG41" s="7"/>
      <c r="NNH41" s="7"/>
      <c r="NNI41" s="7"/>
      <c r="NNJ41" s="7"/>
      <c r="NNK41" s="7"/>
      <c r="NNL41" s="7"/>
      <c r="NNM41" s="7"/>
      <c r="NNN41" s="7"/>
      <c r="NNO41" s="7"/>
      <c r="NNP41" s="7"/>
      <c r="NNQ41" s="7"/>
      <c r="NNR41" s="7"/>
      <c r="NNS41" s="7"/>
      <c r="NNT41" s="7"/>
      <c r="NNU41" s="7"/>
      <c r="NNV41" s="7"/>
      <c r="NNW41" s="7"/>
      <c r="NNX41" s="7"/>
      <c r="NNY41" s="7"/>
      <c r="NNZ41" s="7"/>
      <c r="NOA41" s="7"/>
      <c r="NOB41" s="7"/>
      <c r="NOC41" s="7"/>
      <c r="NOD41" s="7"/>
      <c r="NOE41" s="7"/>
      <c r="NOF41" s="7"/>
      <c r="NOG41" s="7"/>
      <c r="NOH41" s="7"/>
      <c r="NOI41" s="7"/>
      <c r="NOJ41" s="7"/>
      <c r="NOK41" s="7"/>
      <c r="NOL41" s="7"/>
      <c r="NOM41" s="7"/>
      <c r="NON41" s="7"/>
      <c r="NOO41" s="7"/>
      <c r="NOP41" s="7"/>
      <c r="NOQ41" s="7"/>
      <c r="NOR41" s="7"/>
      <c r="NOS41" s="7"/>
      <c r="NOT41" s="7"/>
      <c r="NOU41" s="7"/>
      <c r="NOV41" s="7"/>
      <c r="NOW41" s="7"/>
      <c r="NOX41" s="7"/>
      <c r="NOY41" s="7"/>
      <c r="NOZ41" s="7"/>
      <c r="NPA41" s="7"/>
      <c r="NPB41" s="7"/>
      <c r="NPC41" s="7"/>
      <c r="NPD41" s="7"/>
      <c r="NPE41" s="7"/>
      <c r="NPF41" s="7"/>
      <c r="NPG41" s="7"/>
      <c r="NPH41" s="7"/>
      <c r="NPI41" s="7"/>
      <c r="NPJ41" s="7"/>
      <c r="NPK41" s="7"/>
      <c r="NPL41" s="7"/>
      <c r="NPM41" s="7"/>
      <c r="NPN41" s="7"/>
      <c r="NPO41" s="7"/>
      <c r="NPP41" s="7"/>
      <c r="NPQ41" s="7"/>
      <c r="NPR41" s="7"/>
      <c r="NPS41" s="7"/>
      <c r="NPT41" s="7"/>
      <c r="NPU41" s="7"/>
      <c r="NPV41" s="7"/>
      <c r="NPW41" s="7"/>
      <c r="NPX41" s="7"/>
      <c r="NPY41" s="7"/>
      <c r="NPZ41" s="7"/>
      <c r="NQA41" s="7"/>
      <c r="NQB41" s="7"/>
      <c r="NQC41" s="7"/>
      <c r="NQD41" s="7"/>
      <c r="NQE41" s="7"/>
      <c r="NQF41" s="7"/>
      <c r="NQG41" s="7"/>
      <c r="NQH41" s="7"/>
      <c r="NQI41" s="7"/>
      <c r="NQJ41" s="7"/>
      <c r="NQK41" s="7"/>
      <c r="NQL41" s="7"/>
      <c r="NQM41" s="7"/>
      <c r="NQN41" s="7"/>
      <c r="NQO41" s="7"/>
      <c r="NQP41" s="7"/>
      <c r="NQQ41" s="7"/>
      <c r="NQR41" s="7"/>
      <c r="NQS41" s="7"/>
      <c r="NQT41" s="7"/>
      <c r="NQU41" s="7"/>
      <c r="NQV41" s="7"/>
      <c r="NQW41" s="7"/>
      <c r="NQX41" s="7"/>
      <c r="NQY41" s="7"/>
      <c r="NQZ41" s="7"/>
      <c r="NRA41" s="7"/>
      <c r="NRB41" s="7"/>
      <c r="NRC41" s="7"/>
      <c r="NRD41" s="7"/>
      <c r="NRE41" s="7"/>
      <c r="NRF41" s="7"/>
      <c r="NRG41" s="7"/>
      <c r="NRH41" s="7"/>
      <c r="NRI41" s="7"/>
      <c r="NRJ41" s="7"/>
      <c r="NRK41" s="7"/>
      <c r="NRL41" s="7"/>
      <c r="NRM41" s="7"/>
      <c r="NRN41" s="7"/>
      <c r="NRO41" s="7"/>
      <c r="NRP41" s="7"/>
      <c r="NRQ41" s="7"/>
      <c r="NRR41" s="7"/>
      <c r="NRS41" s="7"/>
      <c r="NRT41" s="7"/>
      <c r="NRU41" s="7"/>
      <c r="NRV41" s="7"/>
      <c r="NRW41" s="7"/>
      <c r="NRX41" s="7"/>
      <c r="NRY41" s="7"/>
      <c r="NRZ41" s="7"/>
      <c r="NSA41" s="7"/>
      <c r="NSB41" s="7"/>
      <c r="NSC41" s="7"/>
      <c r="NSD41" s="7"/>
      <c r="NSE41" s="7"/>
      <c r="NSF41" s="7"/>
      <c r="NSG41" s="7"/>
      <c r="NSH41" s="7"/>
      <c r="NSI41" s="7"/>
      <c r="NSJ41" s="7"/>
      <c r="NSK41" s="7"/>
      <c r="NSL41" s="7"/>
      <c r="NSM41" s="7"/>
      <c r="NSN41" s="7"/>
      <c r="NSO41" s="7"/>
      <c r="NSP41" s="7"/>
      <c r="NSQ41" s="7"/>
      <c r="NSR41" s="7"/>
      <c r="NSS41" s="7"/>
      <c r="NST41" s="7"/>
      <c r="NSU41" s="7"/>
      <c r="NSV41" s="7"/>
      <c r="NSW41" s="7"/>
      <c r="NSX41" s="7"/>
      <c r="NSY41" s="7"/>
      <c r="NSZ41" s="7"/>
      <c r="NTA41" s="7"/>
      <c r="NTB41" s="7"/>
      <c r="NTC41" s="7"/>
      <c r="NTD41" s="7"/>
      <c r="NTE41" s="7"/>
      <c r="NTF41" s="7"/>
      <c r="NTG41" s="7"/>
      <c r="NTH41" s="7"/>
      <c r="NTI41" s="7"/>
      <c r="NTJ41" s="7"/>
      <c r="NTK41" s="7"/>
      <c r="NTL41" s="7"/>
      <c r="NTM41" s="7"/>
      <c r="NTN41" s="7"/>
      <c r="NTO41" s="7"/>
      <c r="NTP41" s="7"/>
      <c r="NTQ41" s="7"/>
      <c r="NTR41" s="7"/>
      <c r="NTS41" s="7"/>
      <c r="NTT41" s="7"/>
      <c r="NTU41" s="7"/>
      <c r="NTV41" s="7"/>
      <c r="NTW41" s="7"/>
      <c r="NTX41" s="7"/>
      <c r="NTY41" s="7"/>
      <c r="NTZ41" s="7"/>
      <c r="NUA41" s="7"/>
      <c r="NUB41" s="7"/>
      <c r="NUC41" s="7"/>
      <c r="NUD41" s="7"/>
      <c r="NUE41" s="7"/>
      <c r="NUF41" s="7"/>
      <c r="NUG41" s="7"/>
      <c r="NUH41" s="7"/>
      <c r="NUI41" s="7"/>
      <c r="NUJ41" s="7"/>
      <c r="NUK41" s="7"/>
      <c r="NUL41" s="7"/>
      <c r="NUM41" s="7"/>
      <c r="NUN41" s="7"/>
      <c r="NUO41" s="7"/>
      <c r="NUP41" s="7"/>
      <c r="NUQ41" s="7"/>
      <c r="NUR41" s="7"/>
      <c r="NUS41" s="7"/>
      <c r="NUT41" s="7"/>
      <c r="NUU41" s="7"/>
      <c r="NUV41" s="7"/>
      <c r="NUW41" s="7"/>
      <c r="NUX41" s="7"/>
      <c r="NUY41" s="7"/>
      <c r="NUZ41" s="7"/>
      <c r="NVA41" s="7"/>
      <c r="NVB41" s="7"/>
      <c r="NVC41" s="7"/>
      <c r="NVD41" s="7"/>
      <c r="NVE41" s="7"/>
      <c r="NVF41" s="7"/>
      <c r="NVG41" s="7"/>
      <c r="NVH41" s="7"/>
      <c r="NVI41" s="7"/>
      <c r="NVJ41" s="7"/>
      <c r="NVK41" s="7"/>
      <c r="NVL41" s="7"/>
      <c r="NVM41" s="7"/>
      <c r="NVN41" s="7"/>
      <c r="NVO41" s="7"/>
      <c r="NVP41" s="7"/>
      <c r="NVQ41" s="7"/>
      <c r="NVR41" s="7"/>
      <c r="NVS41" s="7"/>
      <c r="NVT41" s="7"/>
      <c r="NVU41" s="7"/>
      <c r="NVV41" s="7"/>
      <c r="NVW41" s="7"/>
      <c r="NVX41" s="7"/>
      <c r="NVY41" s="7"/>
      <c r="NVZ41" s="7"/>
      <c r="NWA41" s="7"/>
      <c r="NWB41" s="7"/>
      <c r="NWC41" s="7"/>
      <c r="NWD41" s="7"/>
      <c r="NWE41" s="7"/>
      <c r="NWF41" s="7"/>
      <c r="NWG41" s="7"/>
      <c r="NWH41" s="7"/>
      <c r="NWI41" s="7"/>
      <c r="NWJ41" s="7"/>
      <c r="NWK41" s="7"/>
      <c r="NWL41" s="7"/>
      <c r="NWM41" s="7"/>
      <c r="NWN41" s="7"/>
      <c r="NWO41" s="7"/>
      <c r="NWP41" s="7"/>
      <c r="NWQ41" s="7"/>
      <c r="NWR41" s="7"/>
      <c r="NWS41" s="7"/>
      <c r="NWT41" s="7"/>
      <c r="NWU41" s="7"/>
      <c r="NWV41" s="7"/>
      <c r="NWW41" s="7"/>
      <c r="NWX41" s="7"/>
      <c r="NWY41" s="7"/>
      <c r="NWZ41" s="7"/>
      <c r="NXA41" s="7"/>
      <c r="NXB41" s="7"/>
      <c r="NXC41" s="7"/>
      <c r="NXD41" s="7"/>
      <c r="NXE41" s="7"/>
      <c r="NXF41" s="7"/>
      <c r="NXG41" s="7"/>
      <c r="NXH41" s="7"/>
      <c r="NXI41" s="7"/>
      <c r="NXJ41" s="7"/>
      <c r="NXK41" s="7"/>
      <c r="NXL41" s="7"/>
      <c r="NXM41" s="7"/>
      <c r="NXN41" s="7"/>
      <c r="NXO41" s="7"/>
      <c r="NXP41" s="7"/>
      <c r="NXQ41" s="7"/>
      <c r="NXR41" s="7"/>
      <c r="NXS41" s="7"/>
      <c r="NXT41" s="7"/>
      <c r="NXU41" s="7"/>
      <c r="NXV41" s="7"/>
      <c r="NXW41" s="7"/>
      <c r="NXX41" s="7"/>
      <c r="NXY41" s="7"/>
      <c r="NXZ41" s="7"/>
      <c r="NYA41" s="7"/>
      <c r="NYB41" s="7"/>
      <c r="NYC41" s="7"/>
      <c r="NYD41" s="7"/>
      <c r="NYE41" s="7"/>
      <c r="NYF41" s="7"/>
      <c r="NYG41" s="7"/>
      <c r="NYH41" s="7"/>
      <c r="NYI41" s="7"/>
      <c r="NYJ41" s="7"/>
      <c r="NYK41" s="7"/>
      <c r="NYL41" s="7"/>
      <c r="NYM41" s="7"/>
      <c r="NYN41" s="7"/>
      <c r="NYO41" s="7"/>
      <c r="NYP41" s="7"/>
      <c r="NYQ41" s="7"/>
      <c r="NYR41" s="7"/>
      <c r="NYS41" s="7"/>
      <c r="NYT41" s="7"/>
      <c r="NYU41" s="7"/>
      <c r="NYV41" s="7"/>
      <c r="NYW41" s="7"/>
      <c r="NYX41" s="7"/>
      <c r="NYY41" s="7"/>
      <c r="NYZ41" s="7"/>
      <c r="NZA41" s="7"/>
      <c r="NZB41" s="7"/>
      <c r="NZC41" s="7"/>
      <c r="NZD41" s="7"/>
      <c r="NZE41" s="7"/>
      <c r="NZF41" s="7"/>
      <c r="NZG41" s="7"/>
      <c r="NZH41" s="7"/>
      <c r="NZI41" s="7"/>
      <c r="NZJ41" s="7"/>
      <c r="NZK41" s="7"/>
      <c r="NZL41" s="7"/>
      <c r="NZM41" s="7"/>
      <c r="NZN41" s="7"/>
      <c r="NZO41" s="7"/>
      <c r="NZP41" s="7"/>
      <c r="NZQ41" s="7"/>
      <c r="NZR41" s="7"/>
      <c r="NZS41" s="7"/>
      <c r="NZT41" s="7"/>
      <c r="NZU41" s="7"/>
      <c r="NZV41" s="7"/>
      <c r="NZW41" s="7"/>
      <c r="NZX41" s="7"/>
      <c r="NZY41" s="7"/>
      <c r="NZZ41" s="7"/>
      <c r="OAA41" s="7"/>
      <c r="OAB41" s="7"/>
      <c r="OAC41" s="7"/>
      <c r="OAD41" s="7"/>
      <c r="OAE41" s="7"/>
      <c r="OAF41" s="7"/>
      <c r="OAG41" s="7"/>
      <c r="OAH41" s="7"/>
      <c r="OAI41" s="7"/>
      <c r="OAJ41" s="7"/>
      <c r="OAK41" s="7"/>
      <c r="OAL41" s="7"/>
      <c r="OAM41" s="7"/>
      <c r="OAN41" s="7"/>
      <c r="OAO41" s="7"/>
      <c r="OAP41" s="7"/>
      <c r="OAQ41" s="7"/>
      <c r="OAR41" s="7"/>
      <c r="OAS41" s="7"/>
      <c r="OAT41" s="7"/>
      <c r="OAU41" s="7"/>
      <c r="OAV41" s="7"/>
      <c r="OAW41" s="7"/>
      <c r="OAX41" s="7"/>
      <c r="OAY41" s="7"/>
      <c r="OAZ41" s="7"/>
      <c r="OBA41" s="7"/>
      <c r="OBB41" s="7"/>
      <c r="OBC41" s="7"/>
      <c r="OBD41" s="7"/>
      <c r="OBE41" s="7"/>
      <c r="OBF41" s="7"/>
      <c r="OBG41" s="7"/>
      <c r="OBH41" s="7"/>
      <c r="OBI41" s="7"/>
      <c r="OBJ41" s="7"/>
      <c r="OBK41" s="7"/>
      <c r="OBL41" s="7"/>
      <c r="OBM41" s="7"/>
      <c r="OBN41" s="7"/>
      <c r="OBO41" s="7"/>
      <c r="OBP41" s="7"/>
      <c r="OBQ41" s="7"/>
      <c r="OBR41" s="7"/>
      <c r="OBS41" s="7"/>
      <c r="OBT41" s="7"/>
      <c r="OBU41" s="7"/>
      <c r="OBV41" s="7"/>
      <c r="OBW41" s="7"/>
      <c r="OBX41" s="7"/>
      <c r="OBY41" s="7"/>
      <c r="OBZ41" s="7"/>
      <c r="OCA41" s="7"/>
      <c r="OCB41" s="7"/>
      <c r="OCC41" s="7"/>
      <c r="OCD41" s="7"/>
      <c r="OCE41" s="7"/>
      <c r="OCF41" s="7"/>
      <c r="OCG41" s="7"/>
      <c r="OCH41" s="7"/>
      <c r="OCI41" s="7"/>
      <c r="OCJ41" s="7"/>
      <c r="OCK41" s="7"/>
      <c r="OCL41" s="7"/>
      <c r="OCM41" s="7"/>
      <c r="OCN41" s="7"/>
      <c r="OCO41" s="7"/>
      <c r="OCP41" s="7"/>
      <c r="OCQ41" s="7"/>
      <c r="OCR41" s="7"/>
      <c r="OCS41" s="7"/>
      <c r="OCT41" s="7"/>
      <c r="OCU41" s="7"/>
      <c r="OCV41" s="7"/>
      <c r="OCW41" s="7"/>
      <c r="OCX41" s="7"/>
      <c r="OCY41" s="7"/>
      <c r="OCZ41" s="7"/>
      <c r="ODA41" s="7"/>
      <c r="ODB41" s="7"/>
      <c r="ODC41" s="7"/>
      <c r="ODD41" s="7"/>
      <c r="ODE41" s="7"/>
      <c r="ODF41" s="7"/>
      <c r="ODG41" s="7"/>
      <c r="ODH41" s="7"/>
      <c r="ODI41" s="7"/>
      <c r="ODJ41" s="7"/>
      <c r="ODK41" s="7"/>
      <c r="ODL41" s="7"/>
      <c r="ODM41" s="7"/>
      <c r="ODN41" s="7"/>
      <c r="ODO41" s="7"/>
      <c r="ODP41" s="7"/>
      <c r="ODQ41" s="7"/>
      <c r="ODR41" s="7"/>
      <c r="ODS41" s="7"/>
      <c r="ODT41" s="7"/>
      <c r="ODU41" s="7"/>
      <c r="ODV41" s="7"/>
      <c r="ODW41" s="7"/>
      <c r="ODX41" s="7"/>
      <c r="ODY41" s="7"/>
      <c r="ODZ41" s="7"/>
      <c r="OEA41" s="7"/>
      <c r="OEB41" s="7"/>
      <c r="OEC41" s="7"/>
      <c r="OED41" s="7"/>
      <c r="OEE41" s="7"/>
      <c r="OEF41" s="7"/>
      <c r="OEG41" s="7"/>
      <c r="OEH41" s="7"/>
      <c r="OEI41" s="7"/>
      <c r="OEJ41" s="7"/>
      <c r="OEK41" s="7"/>
      <c r="OEL41" s="7"/>
      <c r="OEM41" s="7"/>
      <c r="OEN41" s="7"/>
      <c r="OEO41" s="7"/>
      <c r="OEP41" s="7"/>
      <c r="OEQ41" s="7"/>
      <c r="OER41" s="7"/>
      <c r="OES41" s="7"/>
      <c r="OET41" s="7"/>
      <c r="OEU41" s="7"/>
      <c r="OEV41" s="7"/>
      <c r="OEW41" s="7"/>
      <c r="OEX41" s="7"/>
      <c r="OEY41" s="7"/>
      <c r="OEZ41" s="7"/>
      <c r="OFA41" s="7"/>
      <c r="OFB41" s="7"/>
      <c r="OFC41" s="7"/>
      <c r="OFD41" s="7"/>
      <c r="OFE41" s="7"/>
      <c r="OFF41" s="7"/>
      <c r="OFG41" s="7"/>
      <c r="OFH41" s="7"/>
      <c r="OFI41" s="7"/>
      <c r="OFJ41" s="7"/>
      <c r="OFK41" s="7"/>
      <c r="OFL41" s="7"/>
      <c r="OFM41" s="7"/>
      <c r="OFN41" s="7"/>
      <c r="OFO41" s="7"/>
      <c r="OFP41" s="7"/>
      <c r="OFQ41" s="7"/>
      <c r="OFR41" s="7"/>
      <c r="OFS41" s="7"/>
      <c r="OFT41" s="7"/>
      <c r="OFU41" s="7"/>
      <c r="OFV41" s="7"/>
      <c r="OFW41" s="7"/>
      <c r="OFX41" s="7"/>
      <c r="OFY41" s="7"/>
      <c r="OFZ41" s="7"/>
      <c r="OGA41" s="7"/>
      <c r="OGB41" s="7"/>
      <c r="OGC41" s="7"/>
      <c r="OGD41" s="7"/>
      <c r="OGE41" s="7"/>
      <c r="OGF41" s="7"/>
      <c r="OGG41" s="7"/>
      <c r="OGH41" s="7"/>
      <c r="OGI41" s="7"/>
      <c r="OGJ41" s="7"/>
      <c r="OGK41" s="7"/>
      <c r="OGL41" s="7"/>
      <c r="OGM41" s="7"/>
      <c r="OGN41" s="7"/>
      <c r="OGO41" s="7"/>
      <c r="OGP41" s="7"/>
      <c r="OGQ41" s="7"/>
      <c r="OGR41" s="7"/>
      <c r="OGS41" s="7"/>
      <c r="OGT41" s="7"/>
      <c r="OGU41" s="7"/>
      <c r="OGV41" s="7"/>
      <c r="OGW41" s="7"/>
      <c r="OGX41" s="7"/>
      <c r="OGY41" s="7"/>
      <c r="OGZ41" s="7"/>
      <c r="OHA41" s="7"/>
      <c r="OHB41" s="7"/>
      <c r="OHC41" s="7"/>
      <c r="OHD41" s="7"/>
      <c r="OHE41" s="7"/>
      <c r="OHF41" s="7"/>
      <c r="OHG41" s="7"/>
      <c r="OHH41" s="7"/>
      <c r="OHI41" s="7"/>
      <c r="OHJ41" s="7"/>
      <c r="OHK41" s="7"/>
      <c r="OHL41" s="7"/>
      <c r="OHM41" s="7"/>
      <c r="OHN41" s="7"/>
      <c r="OHO41" s="7"/>
      <c r="OHP41" s="7"/>
      <c r="OHQ41" s="7"/>
      <c r="OHR41" s="7"/>
      <c r="OHS41" s="7"/>
      <c r="OHT41" s="7"/>
      <c r="OHU41" s="7"/>
      <c r="OHV41" s="7"/>
      <c r="OHW41" s="7"/>
      <c r="OHX41" s="7"/>
      <c r="OHY41" s="7"/>
      <c r="OHZ41" s="7"/>
      <c r="OIA41" s="7"/>
      <c r="OIB41" s="7"/>
      <c r="OIC41" s="7"/>
      <c r="OID41" s="7"/>
      <c r="OIE41" s="7"/>
      <c r="OIF41" s="7"/>
      <c r="OIG41" s="7"/>
      <c r="OIH41" s="7"/>
      <c r="OII41" s="7"/>
      <c r="OIJ41" s="7"/>
      <c r="OIK41" s="7"/>
      <c r="OIL41" s="7"/>
      <c r="OIM41" s="7"/>
      <c r="OIN41" s="7"/>
      <c r="OIO41" s="7"/>
      <c r="OIP41" s="7"/>
      <c r="OIQ41" s="7"/>
      <c r="OIR41" s="7"/>
      <c r="OIS41" s="7"/>
      <c r="OIT41" s="7"/>
      <c r="OIU41" s="7"/>
      <c r="OIV41" s="7"/>
      <c r="OIW41" s="7"/>
      <c r="OIX41" s="7"/>
      <c r="OIY41" s="7"/>
      <c r="OIZ41" s="7"/>
      <c r="OJA41" s="7"/>
      <c r="OJB41" s="7"/>
      <c r="OJC41" s="7"/>
      <c r="OJD41" s="7"/>
      <c r="OJE41" s="7"/>
      <c r="OJF41" s="7"/>
      <c r="OJG41" s="7"/>
      <c r="OJH41" s="7"/>
      <c r="OJI41" s="7"/>
      <c r="OJJ41" s="7"/>
      <c r="OJK41" s="7"/>
      <c r="OJL41" s="7"/>
      <c r="OJM41" s="7"/>
      <c r="OJN41" s="7"/>
      <c r="OJO41" s="7"/>
      <c r="OJP41" s="7"/>
      <c r="OJQ41" s="7"/>
      <c r="OJR41" s="7"/>
      <c r="OJS41" s="7"/>
      <c r="OJT41" s="7"/>
      <c r="OJU41" s="7"/>
      <c r="OJV41" s="7"/>
      <c r="OJW41" s="7"/>
      <c r="OJX41" s="7"/>
      <c r="OJY41" s="7"/>
      <c r="OJZ41" s="7"/>
      <c r="OKA41" s="7"/>
      <c r="OKB41" s="7"/>
      <c r="OKC41" s="7"/>
      <c r="OKD41" s="7"/>
      <c r="OKE41" s="7"/>
      <c r="OKF41" s="7"/>
      <c r="OKG41" s="7"/>
      <c r="OKH41" s="7"/>
      <c r="OKI41" s="7"/>
      <c r="OKJ41" s="7"/>
      <c r="OKK41" s="7"/>
      <c r="OKL41" s="7"/>
      <c r="OKM41" s="7"/>
      <c r="OKN41" s="7"/>
      <c r="OKO41" s="7"/>
      <c r="OKP41" s="7"/>
      <c r="OKQ41" s="7"/>
      <c r="OKR41" s="7"/>
      <c r="OKS41" s="7"/>
      <c r="OKT41" s="7"/>
      <c r="OKU41" s="7"/>
      <c r="OKV41" s="7"/>
      <c r="OKW41" s="7"/>
      <c r="OKX41" s="7"/>
      <c r="OKY41" s="7"/>
      <c r="OKZ41" s="7"/>
      <c r="OLA41" s="7"/>
      <c r="OLB41" s="7"/>
      <c r="OLC41" s="7"/>
      <c r="OLD41" s="7"/>
      <c r="OLE41" s="7"/>
      <c r="OLF41" s="7"/>
      <c r="OLG41" s="7"/>
      <c r="OLH41" s="7"/>
      <c r="OLI41" s="7"/>
      <c r="OLJ41" s="7"/>
      <c r="OLK41" s="7"/>
      <c r="OLL41" s="7"/>
      <c r="OLM41" s="7"/>
      <c r="OLN41" s="7"/>
      <c r="OLO41" s="7"/>
      <c r="OLP41" s="7"/>
      <c r="OLQ41" s="7"/>
      <c r="OLR41" s="7"/>
      <c r="OLS41" s="7"/>
      <c r="OLT41" s="7"/>
      <c r="OLU41" s="7"/>
      <c r="OLV41" s="7"/>
      <c r="OLW41" s="7"/>
      <c r="OLX41" s="7"/>
      <c r="OLY41" s="7"/>
      <c r="OLZ41" s="7"/>
      <c r="OMA41" s="7"/>
      <c r="OMB41" s="7"/>
      <c r="OMC41" s="7"/>
      <c r="OMD41" s="7"/>
      <c r="OME41" s="7"/>
      <c r="OMF41" s="7"/>
      <c r="OMG41" s="7"/>
      <c r="OMH41" s="7"/>
      <c r="OMI41" s="7"/>
      <c r="OMJ41" s="7"/>
      <c r="OMK41" s="7"/>
      <c r="OML41" s="7"/>
      <c r="OMM41" s="7"/>
      <c r="OMN41" s="7"/>
      <c r="OMO41" s="7"/>
      <c r="OMP41" s="7"/>
      <c r="OMQ41" s="7"/>
      <c r="OMR41" s="7"/>
      <c r="OMS41" s="7"/>
      <c r="OMT41" s="7"/>
      <c r="OMU41" s="7"/>
      <c r="OMV41" s="7"/>
      <c r="OMW41" s="7"/>
      <c r="OMX41" s="7"/>
      <c r="OMY41" s="7"/>
      <c r="OMZ41" s="7"/>
      <c r="ONA41" s="7"/>
      <c r="ONB41" s="7"/>
      <c r="ONC41" s="7"/>
      <c r="OND41" s="7"/>
      <c r="ONE41" s="7"/>
      <c r="ONF41" s="7"/>
      <c r="ONG41" s="7"/>
      <c r="ONH41" s="7"/>
      <c r="ONI41" s="7"/>
      <c r="ONJ41" s="7"/>
      <c r="ONK41" s="7"/>
      <c r="ONL41" s="7"/>
      <c r="ONM41" s="7"/>
      <c r="ONN41" s="7"/>
      <c r="ONO41" s="7"/>
      <c r="ONP41" s="7"/>
      <c r="ONQ41" s="7"/>
      <c r="ONR41" s="7"/>
      <c r="ONS41" s="7"/>
      <c r="ONT41" s="7"/>
      <c r="ONU41" s="7"/>
      <c r="ONV41" s="7"/>
      <c r="ONW41" s="7"/>
      <c r="ONX41" s="7"/>
      <c r="ONY41" s="7"/>
      <c r="ONZ41" s="7"/>
      <c r="OOA41" s="7"/>
      <c r="OOB41" s="7"/>
      <c r="OOC41" s="7"/>
      <c r="OOD41" s="7"/>
      <c r="OOE41" s="7"/>
      <c r="OOF41" s="7"/>
      <c r="OOG41" s="7"/>
      <c r="OOH41" s="7"/>
      <c r="OOI41" s="7"/>
      <c r="OOJ41" s="7"/>
      <c r="OOK41" s="7"/>
      <c r="OOL41" s="7"/>
      <c r="OOM41" s="7"/>
      <c r="OON41" s="7"/>
      <c r="OOO41" s="7"/>
      <c r="OOP41" s="7"/>
      <c r="OOQ41" s="7"/>
      <c r="OOR41" s="7"/>
      <c r="OOS41" s="7"/>
      <c r="OOT41" s="7"/>
      <c r="OOU41" s="7"/>
      <c r="OOV41" s="7"/>
      <c r="OOW41" s="7"/>
      <c r="OOX41" s="7"/>
      <c r="OOY41" s="7"/>
      <c r="OOZ41" s="7"/>
      <c r="OPA41" s="7"/>
      <c r="OPB41" s="7"/>
      <c r="OPC41" s="7"/>
      <c r="OPD41" s="7"/>
      <c r="OPE41" s="7"/>
      <c r="OPF41" s="7"/>
      <c r="OPG41" s="7"/>
      <c r="OPH41" s="7"/>
      <c r="OPI41" s="7"/>
      <c r="OPJ41" s="7"/>
      <c r="OPK41" s="7"/>
      <c r="OPL41" s="7"/>
      <c r="OPM41" s="7"/>
      <c r="OPN41" s="7"/>
      <c r="OPO41" s="7"/>
      <c r="OPP41" s="7"/>
      <c r="OPQ41" s="7"/>
      <c r="OPR41" s="7"/>
      <c r="OPS41" s="7"/>
      <c r="OPT41" s="7"/>
      <c r="OPU41" s="7"/>
      <c r="OPV41" s="7"/>
      <c r="OPW41" s="7"/>
      <c r="OPX41" s="7"/>
      <c r="OPY41" s="7"/>
      <c r="OPZ41" s="7"/>
      <c r="OQA41" s="7"/>
      <c r="OQB41" s="7"/>
      <c r="OQC41" s="7"/>
      <c r="OQD41" s="7"/>
      <c r="OQE41" s="7"/>
      <c r="OQF41" s="7"/>
      <c r="OQG41" s="7"/>
      <c r="OQH41" s="7"/>
      <c r="OQI41" s="7"/>
      <c r="OQJ41" s="7"/>
      <c r="OQK41" s="7"/>
      <c r="OQL41" s="7"/>
      <c r="OQM41" s="7"/>
      <c r="OQN41" s="7"/>
      <c r="OQO41" s="7"/>
      <c r="OQP41" s="7"/>
      <c r="OQQ41" s="7"/>
      <c r="OQR41" s="7"/>
      <c r="OQS41" s="7"/>
      <c r="OQT41" s="7"/>
      <c r="OQU41" s="7"/>
      <c r="OQV41" s="7"/>
      <c r="OQW41" s="7"/>
      <c r="OQX41" s="7"/>
      <c r="OQY41" s="7"/>
      <c r="OQZ41" s="7"/>
      <c r="ORA41" s="7"/>
      <c r="ORB41" s="7"/>
      <c r="ORC41" s="7"/>
      <c r="ORD41" s="7"/>
      <c r="ORE41" s="7"/>
      <c r="ORF41" s="7"/>
      <c r="ORG41" s="7"/>
      <c r="ORH41" s="7"/>
      <c r="ORI41" s="7"/>
      <c r="ORJ41" s="7"/>
      <c r="ORK41" s="7"/>
      <c r="ORL41" s="7"/>
      <c r="ORM41" s="7"/>
      <c r="ORN41" s="7"/>
      <c r="ORO41" s="7"/>
      <c r="ORP41" s="7"/>
      <c r="ORQ41" s="7"/>
      <c r="ORR41" s="7"/>
      <c r="ORS41" s="7"/>
      <c r="ORT41" s="7"/>
      <c r="ORU41" s="7"/>
      <c r="ORV41" s="7"/>
      <c r="ORW41" s="7"/>
      <c r="ORX41" s="7"/>
      <c r="ORY41" s="7"/>
      <c r="ORZ41" s="7"/>
      <c r="OSA41" s="7"/>
      <c r="OSB41" s="7"/>
      <c r="OSC41" s="7"/>
      <c r="OSD41" s="7"/>
      <c r="OSE41" s="7"/>
      <c r="OSF41" s="7"/>
      <c r="OSG41" s="7"/>
      <c r="OSH41" s="7"/>
      <c r="OSI41" s="7"/>
      <c r="OSJ41" s="7"/>
      <c r="OSK41" s="7"/>
      <c r="OSL41" s="7"/>
      <c r="OSM41" s="7"/>
      <c r="OSN41" s="7"/>
      <c r="OSO41" s="7"/>
      <c r="OSP41" s="7"/>
      <c r="OSQ41" s="7"/>
      <c r="OSR41" s="7"/>
      <c r="OSS41" s="7"/>
      <c r="OST41" s="7"/>
      <c r="OSU41" s="7"/>
      <c r="OSV41" s="7"/>
      <c r="OSW41" s="7"/>
      <c r="OSX41" s="7"/>
      <c r="OSY41" s="7"/>
      <c r="OSZ41" s="7"/>
      <c r="OTA41" s="7"/>
      <c r="OTB41" s="7"/>
      <c r="OTC41" s="7"/>
      <c r="OTD41" s="7"/>
      <c r="OTE41" s="7"/>
      <c r="OTF41" s="7"/>
      <c r="OTG41" s="7"/>
      <c r="OTH41" s="7"/>
      <c r="OTI41" s="7"/>
      <c r="OTJ41" s="7"/>
      <c r="OTK41" s="7"/>
      <c r="OTL41" s="7"/>
      <c r="OTM41" s="7"/>
      <c r="OTN41" s="7"/>
      <c r="OTO41" s="7"/>
      <c r="OTP41" s="7"/>
      <c r="OTQ41" s="7"/>
      <c r="OTR41" s="7"/>
      <c r="OTS41" s="7"/>
      <c r="OTT41" s="7"/>
      <c r="OTU41" s="7"/>
      <c r="OTV41" s="7"/>
      <c r="OTW41" s="7"/>
      <c r="OTX41" s="7"/>
      <c r="OTY41" s="7"/>
      <c r="OTZ41" s="7"/>
      <c r="OUA41" s="7"/>
      <c r="OUB41" s="7"/>
      <c r="OUC41" s="7"/>
      <c r="OUD41" s="7"/>
      <c r="OUE41" s="7"/>
      <c r="OUF41" s="7"/>
      <c r="OUG41" s="7"/>
      <c r="OUH41" s="7"/>
      <c r="OUI41" s="7"/>
      <c r="OUJ41" s="7"/>
      <c r="OUK41" s="7"/>
      <c r="OUL41" s="7"/>
      <c r="OUM41" s="7"/>
      <c r="OUN41" s="7"/>
      <c r="OUO41" s="7"/>
      <c r="OUP41" s="7"/>
      <c r="OUQ41" s="7"/>
      <c r="OUR41" s="7"/>
      <c r="OUS41" s="7"/>
      <c r="OUT41" s="7"/>
      <c r="OUU41" s="7"/>
      <c r="OUV41" s="7"/>
      <c r="OUW41" s="7"/>
      <c r="OUX41" s="7"/>
      <c r="OUY41" s="7"/>
      <c r="OUZ41" s="7"/>
      <c r="OVA41" s="7"/>
      <c r="OVB41" s="7"/>
      <c r="OVC41" s="7"/>
      <c r="OVD41" s="7"/>
      <c r="OVE41" s="7"/>
      <c r="OVF41" s="7"/>
      <c r="OVG41" s="7"/>
      <c r="OVH41" s="7"/>
      <c r="OVI41" s="7"/>
      <c r="OVJ41" s="7"/>
      <c r="OVK41" s="7"/>
      <c r="OVL41" s="7"/>
      <c r="OVM41" s="7"/>
      <c r="OVN41" s="7"/>
      <c r="OVO41" s="7"/>
      <c r="OVP41" s="7"/>
      <c r="OVQ41" s="7"/>
      <c r="OVR41" s="7"/>
      <c r="OVS41" s="7"/>
      <c r="OVT41" s="7"/>
      <c r="OVU41" s="7"/>
      <c r="OVV41" s="7"/>
      <c r="OVW41" s="7"/>
      <c r="OVX41" s="7"/>
      <c r="OVY41" s="7"/>
      <c r="OVZ41" s="7"/>
      <c r="OWA41" s="7"/>
      <c r="OWB41" s="7"/>
      <c r="OWC41" s="7"/>
      <c r="OWD41" s="7"/>
      <c r="OWE41" s="7"/>
      <c r="OWF41" s="7"/>
      <c r="OWG41" s="7"/>
      <c r="OWH41" s="7"/>
      <c r="OWI41" s="7"/>
      <c r="OWJ41" s="7"/>
      <c r="OWK41" s="7"/>
      <c r="OWL41" s="7"/>
      <c r="OWM41" s="7"/>
      <c r="OWN41" s="7"/>
      <c r="OWO41" s="7"/>
      <c r="OWP41" s="7"/>
      <c r="OWQ41" s="7"/>
      <c r="OWR41" s="7"/>
      <c r="OWS41" s="7"/>
      <c r="OWT41" s="7"/>
      <c r="OWU41" s="7"/>
      <c r="OWV41" s="7"/>
      <c r="OWW41" s="7"/>
      <c r="OWX41" s="7"/>
      <c r="OWY41" s="7"/>
      <c r="OWZ41" s="7"/>
      <c r="OXA41" s="7"/>
      <c r="OXB41" s="7"/>
      <c r="OXC41" s="7"/>
      <c r="OXD41" s="7"/>
      <c r="OXE41" s="7"/>
      <c r="OXF41" s="7"/>
      <c r="OXG41" s="7"/>
      <c r="OXH41" s="7"/>
      <c r="OXI41" s="7"/>
      <c r="OXJ41" s="7"/>
      <c r="OXK41" s="7"/>
      <c r="OXL41" s="7"/>
      <c r="OXM41" s="7"/>
      <c r="OXN41" s="7"/>
      <c r="OXO41" s="7"/>
      <c r="OXP41" s="7"/>
      <c r="OXQ41" s="7"/>
      <c r="OXR41" s="7"/>
      <c r="OXS41" s="7"/>
      <c r="OXT41" s="7"/>
      <c r="OXU41" s="7"/>
      <c r="OXV41" s="7"/>
      <c r="OXW41" s="7"/>
      <c r="OXX41" s="7"/>
      <c r="OXY41" s="7"/>
      <c r="OXZ41" s="7"/>
      <c r="OYA41" s="7"/>
      <c r="OYB41" s="7"/>
      <c r="OYC41" s="7"/>
      <c r="OYD41" s="7"/>
      <c r="OYE41" s="7"/>
      <c r="OYF41" s="7"/>
      <c r="OYG41" s="7"/>
      <c r="OYH41" s="7"/>
      <c r="OYI41" s="7"/>
      <c r="OYJ41" s="7"/>
      <c r="OYK41" s="7"/>
      <c r="OYL41" s="7"/>
      <c r="OYM41" s="7"/>
      <c r="OYN41" s="7"/>
      <c r="OYO41" s="7"/>
      <c r="OYP41" s="7"/>
      <c r="OYQ41" s="7"/>
      <c r="OYR41" s="7"/>
      <c r="OYS41" s="7"/>
      <c r="OYT41" s="7"/>
      <c r="OYU41" s="7"/>
      <c r="OYV41" s="7"/>
      <c r="OYW41" s="7"/>
      <c r="OYX41" s="7"/>
      <c r="OYY41" s="7"/>
      <c r="OYZ41" s="7"/>
      <c r="OZA41" s="7"/>
      <c r="OZB41" s="7"/>
      <c r="OZC41" s="7"/>
      <c r="OZD41" s="7"/>
      <c r="OZE41" s="7"/>
      <c r="OZF41" s="7"/>
      <c r="OZG41" s="7"/>
      <c r="OZH41" s="7"/>
      <c r="OZI41" s="7"/>
      <c r="OZJ41" s="7"/>
      <c r="OZK41" s="7"/>
      <c r="OZL41" s="7"/>
      <c r="OZM41" s="7"/>
      <c r="OZN41" s="7"/>
      <c r="OZO41" s="7"/>
      <c r="OZP41" s="7"/>
      <c r="OZQ41" s="7"/>
      <c r="OZR41" s="7"/>
      <c r="OZS41" s="7"/>
      <c r="OZT41" s="7"/>
      <c r="OZU41" s="7"/>
      <c r="OZV41" s="7"/>
      <c r="OZW41" s="7"/>
      <c r="OZX41" s="7"/>
      <c r="OZY41" s="7"/>
      <c r="OZZ41" s="7"/>
      <c r="PAA41" s="7"/>
      <c r="PAB41" s="7"/>
      <c r="PAC41" s="7"/>
      <c r="PAD41" s="7"/>
      <c r="PAE41" s="7"/>
      <c r="PAF41" s="7"/>
      <c r="PAG41" s="7"/>
      <c r="PAH41" s="7"/>
      <c r="PAI41" s="7"/>
      <c r="PAJ41" s="7"/>
      <c r="PAK41" s="7"/>
      <c r="PAL41" s="7"/>
      <c r="PAM41" s="7"/>
      <c r="PAN41" s="7"/>
      <c r="PAO41" s="7"/>
      <c r="PAP41" s="7"/>
      <c r="PAQ41" s="7"/>
      <c r="PAR41" s="7"/>
      <c r="PAS41" s="7"/>
      <c r="PAT41" s="7"/>
      <c r="PAU41" s="7"/>
      <c r="PAV41" s="7"/>
      <c r="PAW41" s="7"/>
      <c r="PAX41" s="7"/>
      <c r="PAY41" s="7"/>
      <c r="PAZ41" s="7"/>
      <c r="PBA41" s="7"/>
      <c r="PBB41" s="7"/>
      <c r="PBC41" s="7"/>
      <c r="PBD41" s="7"/>
      <c r="PBE41" s="7"/>
      <c r="PBF41" s="7"/>
      <c r="PBG41" s="7"/>
      <c r="PBH41" s="7"/>
      <c r="PBI41" s="7"/>
      <c r="PBJ41" s="7"/>
      <c r="PBK41" s="7"/>
      <c r="PBL41" s="7"/>
      <c r="PBM41" s="7"/>
      <c r="PBN41" s="7"/>
      <c r="PBO41" s="7"/>
      <c r="PBP41" s="7"/>
      <c r="PBQ41" s="7"/>
      <c r="PBR41" s="7"/>
      <c r="PBS41" s="7"/>
      <c r="PBT41" s="7"/>
      <c r="PBU41" s="7"/>
      <c r="PBV41" s="7"/>
      <c r="PBW41" s="7"/>
      <c r="PBX41" s="7"/>
      <c r="PBY41" s="7"/>
      <c r="PBZ41" s="7"/>
      <c r="PCA41" s="7"/>
      <c r="PCB41" s="7"/>
      <c r="PCC41" s="7"/>
      <c r="PCD41" s="7"/>
      <c r="PCE41" s="7"/>
      <c r="PCF41" s="7"/>
      <c r="PCG41" s="7"/>
      <c r="PCH41" s="7"/>
      <c r="PCI41" s="7"/>
      <c r="PCJ41" s="7"/>
      <c r="PCK41" s="7"/>
      <c r="PCL41" s="7"/>
      <c r="PCM41" s="7"/>
      <c r="PCN41" s="7"/>
      <c r="PCO41" s="7"/>
      <c r="PCP41" s="7"/>
      <c r="PCQ41" s="7"/>
      <c r="PCR41" s="7"/>
      <c r="PCS41" s="7"/>
      <c r="PCT41" s="7"/>
      <c r="PCU41" s="7"/>
      <c r="PCV41" s="7"/>
      <c r="PCW41" s="7"/>
      <c r="PCX41" s="7"/>
      <c r="PCY41" s="7"/>
      <c r="PCZ41" s="7"/>
      <c r="PDA41" s="7"/>
      <c r="PDB41" s="7"/>
      <c r="PDC41" s="7"/>
      <c r="PDD41" s="7"/>
      <c r="PDE41" s="7"/>
      <c r="PDF41" s="7"/>
      <c r="PDG41" s="7"/>
      <c r="PDH41" s="7"/>
      <c r="PDI41" s="7"/>
      <c r="PDJ41" s="7"/>
      <c r="PDK41" s="7"/>
      <c r="PDL41" s="7"/>
      <c r="PDM41" s="7"/>
      <c r="PDN41" s="7"/>
      <c r="PDO41" s="7"/>
      <c r="PDP41" s="7"/>
      <c r="PDQ41" s="7"/>
      <c r="PDR41" s="7"/>
      <c r="PDS41" s="7"/>
      <c r="PDT41" s="7"/>
      <c r="PDU41" s="7"/>
      <c r="PDV41" s="7"/>
      <c r="PDW41" s="7"/>
      <c r="PDX41" s="7"/>
      <c r="PDY41" s="7"/>
      <c r="PDZ41" s="7"/>
      <c r="PEA41" s="7"/>
      <c r="PEB41" s="7"/>
      <c r="PEC41" s="7"/>
      <c r="PED41" s="7"/>
      <c r="PEE41" s="7"/>
      <c r="PEF41" s="7"/>
      <c r="PEG41" s="7"/>
      <c r="PEH41" s="7"/>
      <c r="PEI41" s="7"/>
      <c r="PEJ41" s="7"/>
      <c r="PEK41" s="7"/>
      <c r="PEL41" s="7"/>
      <c r="PEM41" s="7"/>
      <c r="PEN41" s="7"/>
      <c r="PEO41" s="7"/>
      <c r="PEP41" s="7"/>
      <c r="PEQ41" s="7"/>
      <c r="PER41" s="7"/>
      <c r="PES41" s="7"/>
      <c r="PET41" s="7"/>
      <c r="PEU41" s="7"/>
      <c r="PEV41" s="7"/>
      <c r="PEW41" s="7"/>
      <c r="PEX41" s="7"/>
      <c r="PEY41" s="7"/>
      <c r="PEZ41" s="7"/>
      <c r="PFA41" s="7"/>
      <c r="PFB41" s="7"/>
      <c r="PFC41" s="7"/>
      <c r="PFD41" s="7"/>
      <c r="PFE41" s="7"/>
      <c r="PFF41" s="7"/>
      <c r="PFG41" s="7"/>
      <c r="PFH41" s="7"/>
      <c r="PFI41" s="7"/>
      <c r="PFJ41" s="7"/>
      <c r="PFK41" s="7"/>
      <c r="PFL41" s="7"/>
      <c r="PFM41" s="7"/>
      <c r="PFN41" s="7"/>
      <c r="PFO41" s="7"/>
      <c r="PFP41" s="7"/>
      <c r="PFQ41" s="7"/>
      <c r="PFR41" s="7"/>
      <c r="PFS41" s="7"/>
      <c r="PFT41" s="7"/>
      <c r="PFU41" s="7"/>
      <c r="PFV41" s="7"/>
      <c r="PFW41" s="7"/>
      <c r="PFX41" s="7"/>
      <c r="PFY41" s="7"/>
      <c r="PFZ41" s="7"/>
      <c r="PGA41" s="7"/>
      <c r="PGB41" s="7"/>
      <c r="PGC41" s="7"/>
      <c r="PGD41" s="7"/>
      <c r="PGE41" s="7"/>
      <c r="PGF41" s="7"/>
      <c r="PGG41" s="7"/>
      <c r="PGH41" s="7"/>
      <c r="PGI41" s="7"/>
      <c r="PGJ41" s="7"/>
      <c r="PGK41" s="7"/>
      <c r="PGL41" s="7"/>
      <c r="PGM41" s="7"/>
      <c r="PGN41" s="7"/>
      <c r="PGO41" s="7"/>
      <c r="PGP41" s="7"/>
      <c r="PGQ41" s="7"/>
      <c r="PGR41" s="7"/>
      <c r="PGS41" s="7"/>
      <c r="PGT41" s="7"/>
      <c r="PGU41" s="7"/>
      <c r="PGV41" s="7"/>
      <c r="PGW41" s="7"/>
      <c r="PGX41" s="7"/>
      <c r="PGY41" s="7"/>
      <c r="PGZ41" s="7"/>
      <c r="PHA41" s="7"/>
      <c r="PHB41" s="7"/>
      <c r="PHC41" s="7"/>
      <c r="PHD41" s="7"/>
      <c r="PHE41" s="7"/>
      <c r="PHF41" s="7"/>
      <c r="PHG41" s="7"/>
      <c r="PHH41" s="7"/>
      <c r="PHI41" s="7"/>
      <c r="PHJ41" s="7"/>
      <c r="PHK41" s="7"/>
      <c r="PHL41" s="7"/>
      <c r="PHM41" s="7"/>
      <c r="PHN41" s="7"/>
      <c r="PHO41" s="7"/>
      <c r="PHP41" s="7"/>
      <c r="PHQ41" s="7"/>
      <c r="PHR41" s="7"/>
      <c r="PHS41" s="7"/>
      <c r="PHT41" s="7"/>
      <c r="PHU41" s="7"/>
      <c r="PHV41" s="7"/>
      <c r="PHW41" s="7"/>
      <c r="PHX41" s="7"/>
      <c r="PHY41" s="7"/>
      <c r="PHZ41" s="7"/>
      <c r="PIA41" s="7"/>
      <c r="PIB41" s="7"/>
      <c r="PIC41" s="7"/>
      <c r="PID41" s="7"/>
      <c r="PIE41" s="7"/>
      <c r="PIF41" s="7"/>
      <c r="PIG41" s="7"/>
      <c r="PIH41" s="7"/>
      <c r="PII41" s="7"/>
      <c r="PIJ41" s="7"/>
      <c r="PIK41" s="7"/>
      <c r="PIL41" s="7"/>
      <c r="PIM41" s="7"/>
      <c r="PIN41" s="7"/>
      <c r="PIO41" s="7"/>
      <c r="PIP41" s="7"/>
      <c r="PIQ41" s="7"/>
      <c r="PIR41" s="7"/>
      <c r="PIS41" s="7"/>
      <c r="PIT41" s="7"/>
      <c r="PIU41" s="7"/>
      <c r="PIV41" s="7"/>
      <c r="PIW41" s="7"/>
      <c r="PIX41" s="7"/>
      <c r="PIY41" s="7"/>
      <c r="PIZ41" s="7"/>
      <c r="PJA41" s="7"/>
      <c r="PJB41" s="7"/>
      <c r="PJC41" s="7"/>
      <c r="PJD41" s="7"/>
      <c r="PJE41" s="7"/>
      <c r="PJF41" s="7"/>
      <c r="PJG41" s="7"/>
      <c r="PJH41" s="7"/>
      <c r="PJI41" s="7"/>
      <c r="PJJ41" s="7"/>
      <c r="PJK41" s="7"/>
      <c r="PJL41" s="7"/>
      <c r="PJM41" s="7"/>
      <c r="PJN41" s="7"/>
      <c r="PJO41" s="7"/>
      <c r="PJP41" s="7"/>
      <c r="PJQ41" s="7"/>
      <c r="PJR41" s="7"/>
      <c r="PJS41" s="7"/>
      <c r="PJT41" s="7"/>
      <c r="PJU41" s="7"/>
      <c r="PJV41" s="7"/>
      <c r="PJW41" s="7"/>
      <c r="PJX41" s="7"/>
      <c r="PJY41" s="7"/>
      <c r="PJZ41" s="7"/>
      <c r="PKA41" s="7"/>
      <c r="PKB41" s="7"/>
      <c r="PKC41" s="7"/>
      <c r="PKD41" s="7"/>
      <c r="PKE41" s="7"/>
      <c r="PKF41" s="7"/>
      <c r="PKG41" s="7"/>
      <c r="PKH41" s="7"/>
      <c r="PKI41" s="7"/>
      <c r="PKJ41" s="7"/>
      <c r="PKK41" s="7"/>
      <c r="PKL41" s="7"/>
      <c r="PKM41" s="7"/>
      <c r="PKN41" s="7"/>
      <c r="PKO41" s="7"/>
      <c r="PKP41" s="7"/>
      <c r="PKQ41" s="7"/>
      <c r="PKR41" s="7"/>
      <c r="PKS41" s="7"/>
      <c r="PKT41" s="7"/>
      <c r="PKU41" s="7"/>
      <c r="PKV41" s="7"/>
      <c r="PKW41" s="7"/>
      <c r="PKX41" s="7"/>
      <c r="PKY41" s="7"/>
      <c r="PKZ41" s="7"/>
      <c r="PLA41" s="7"/>
      <c r="PLB41" s="7"/>
      <c r="PLC41" s="7"/>
      <c r="PLD41" s="7"/>
      <c r="PLE41" s="7"/>
      <c r="PLF41" s="7"/>
      <c r="PLG41" s="7"/>
      <c r="PLH41" s="7"/>
      <c r="PLI41" s="7"/>
      <c r="PLJ41" s="7"/>
      <c r="PLK41" s="7"/>
      <c r="PLL41" s="7"/>
      <c r="PLM41" s="7"/>
      <c r="PLN41" s="7"/>
      <c r="PLO41" s="7"/>
      <c r="PLP41" s="7"/>
      <c r="PLQ41" s="7"/>
      <c r="PLR41" s="7"/>
      <c r="PLS41" s="7"/>
      <c r="PLT41" s="7"/>
      <c r="PLU41" s="7"/>
      <c r="PLV41" s="7"/>
      <c r="PLW41" s="7"/>
      <c r="PLX41" s="7"/>
      <c r="PLY41" s="7"/>
      <c r="PLZ41" s="7"/>
      <c r="PMA41" s="7"/>
      <c r="PMB41" s="7"/>
      <c r="PMC41" s="7"/>
      <c r="PMD41" s="7"/>
      <c r="PME41" s="7"/>
      <c r="PMF41" s="7"/>
      <c r="PMG41" s="7"/>
      <c r="PMH41" s="7"/>
      <c r="PMI41" s="7"/>
      <c r="PMJ41" s="7"/>
      <c r="PMK41" s="7"/>
      <c r="PML41" s="7"/>
      <c r="PMM41" s="7"/>
      <c r="PMN41" s="7"/>
      <c r="PMO41" s="7"/>
      <c r="PMP41" s="7"/>
      <c r="PMQ41" s="7"/>
      <c r="PMR41" s="7"/>
      <c r="PMS41" s="7"/>
      <c r="PMT41" s="7"/>
      <c r="PMU41" s="7"/>
      <c r="PMV41" s="7"/>
      <c r="PMW41" s="7"/>
      <c r="PMX41" s="7"/>
      <c r="PMY41" s="7"/>
      <c r="PMZ41" s="7"/>
      <c r="PNA41" s="7"/>
      <c r="PNB41" s="7"/>
      <c r="PNC41" s="7"/>
      <c r="PND41" s="7"/>
      <c r="PNE41" s="7"/>
      <c r="PNF41" s="7"/>
      <c r="PNG41" s="7"/>
      <c r="PNH41" s="7"/>
      <c r="PNI41" s="7"/>
      <c r="PNJ41" s="7"/>
      <c r="PNK41" s="7"/>
      <c r="PNL41" s="7"/>
      <c r="PNM41" s="7"/>
      <c r="PNN41" s="7"/>
      <c r="PNO41" s="7"/>
      <c r="PNP41" s="7"/>
      <c r="PNQ41" s="7"/>
      <c r="PNR41" s="7"/>
      <c r="PNS41" s="7"/>
      <c r="PNT41" s="7"/>
      <c r="PNU41" s="7"/>
      <c r="PNV41" s="7"/>
      <c r="PNW41" s="7"/>
      <c r="PNX41" s="7"/>
      <c r="PNY41" s="7"/>
      <c r="PNZ41" s="7"/>
      <c r="POA41" s="7"/>
      <c r="POB41" s="7"/>
      <c r="POC41" s="7"/>
      <c r="POD41" s="7"/>
      <c r="POE41" s="7"/>
      <c r="POF41" s="7"/>
      <c r="POG41" s="7"/>
      <c r="POH41" s="7"/>
      <c r="POI41" s="7"/>
      <c r="POJ41" s="7"/>
      <c r="POK41" s="7"/>
      <c r="POL41" s="7"/>
      <c r="POM41" s="7"/>
      <c r="PON41" s="7"/>
      <c r="POO41" s="7"/>
      <c r="POP41" s="7"/>
      <c r="POQ41" s="7"/>
      <c r="POR41" s="7"/>
      <c r="POS41" s="7"/>
      <c r="POT41" s="7"/>
      <c r="POU41" s="7"/>
      <c r="POV41" s="7"/>
      <c r="POW41" s="7"/>
      <c r="POX41" s="7"/>
      <c r="POY41" s="7"/>
      <c r="POZ41" s="7"/>
      <c r="PPA41" s="7"/>
      <c r="PPB41" s="7"/>
      <c r="PPC41" s="7"/>
      <c r="PPD41" s="7"/>
      <c r="PPE41" s="7"/>
      <c r="PPF41" s="7"/>
      <c r="PPG41" s="7"/>
      <c r="PPH41" s="7"/>
      <c r="PPI41" s="7"/>
      <c r="PPJ41" s="7"/>
      <c r="PPK41" s="7"/>
      <c r="PPL41" s="7"/>
      <c r="PPM41" s="7"/>
      <c r="PPN41" s="7"/>
      <c r="PPO41" s="7"/>
      <c r="PPP41" s="7"/>
      <c r="PPQ41" s="7"/>
      <c r="PPR41" s="7"/>
      <c r="PPS41" s="7"/>
      <c r="PPT41" s="7"/>
      <c r="PPU41" s="7"/>
      <c r="PPV41" s="7"/>
      <c r="PPW41" s="7"/>
      <c r="PPX41" s="7"/>
      <c r="PPY41" s="7"/>
      <c r="PPZ41" s="7"/>
      <c r="PQA41" s="7"/>
      <c r="PQB41" s="7"/>
      <c r="PQC41" s="7"/>
      <c r="PQD41" s="7"/>
      <c r="PQE41" s="7"/>
      <c r="PQF41" s="7"/>
      <c r="PQG41" s="7"/>
      <c r="PQH41" s="7"/>
      <c r="PQI41" s="7"/>
      <c r="PQJ41" s="7"/>
      <c r="PQK41" s="7"/>
      <c r="PQL41" s="7"/>
      <c r="PQM41" s="7"/>
      <c r="PQN41" s="7"/>
      <c r="PQO41" s="7"/>
      <c r="PQP41" s="7"/>
      <c r="PQQ41" s="7"/>
      <c r="PQR41" s="7"/>
      <c r="PQS41" s="7"/>
      <c r="PQT41" s="7"/>
      <c r="PQU41" s="7"/>
      <c r="PQV41" s="7"/>
      <c r="PQW41" s="7"/>
      <c r="PQX41" s="7"/>
      <c r="PQY41" s="7"/>
      <c r="PQZ41" s="7"/>
      <c r="PRA41" s="7"/>
      <c r="PRB41" s="7"/>
      <c r="PRC41" s="7"/>
      <c r="PRD41" s="7"/>
      <c r="PRE41" s="7"/>
      <c r="PRF41" s="7"/>
      <c r="PRG41" s="7"/>
      <c r="PRH41" s="7"/>
      <c r="PRI41" s="7"/>
      <c r="PRJ41" s="7"/>
      <c r="PRK41" s="7"/>
      <c r="PRL41" s="7"/>
      <c r="PRM41" s="7"/>
      <c r="PRN41" s="7"/>
      <c r="PRO41" s="7"/>
      <c r="PRP41" s="7"/>
      <c r="PRQ41" s="7"/>
      <c r="PRR41" s="7"/>
      <c r="PRS41" s="7"/>
      <c r="PRT41" s="7"/>
      <c r="PRU41" s="7"/>
      <c r="PRV41" s="7"/>
      <c r="PRW41" s="7"/>
      <c r="PRX41" s="7"/>
      <c r="PRY41" s="7"/>
      <c r="PRZ41" s="7"/>
      <c r="PSA41" s="7"/>
      <c r="PSB41" s="7"/>
      <c r="PSC41" s="7"/>
      <c r="PSD41" s="7"/>
      <c r="PSE41" s="7"/>
      <c r="PSF41" s="7"/>
      <c r="PSG41" s="7"/>
      <c r="PSH41" s="7"/>
      <c r="PSI41" s="7"/>
      <c r="PSJ41" s="7"/>
      <c r="PSK41" s="7"/>
      <c r="PSL41" s="7"/>
      <c r="PSM41" s="7"/>
      <c r="PSN41" s="7"/>
      <c r="PSO41" s="7"/>
      <c r="PSP41" s="7"/>
      <c r="PSQ41" s="7"/>
      <c r="PSR41" s="7"/>
      <c r="PSS41" s="7"/>
      <c r="PST41" s="7"/>
      <c r="PSU41" s="7"/>
      <c r="PSV41" s="7"/>
      <c r="PSW41" s="7"/>
      <c r="PSX41" s="7"/>
      <c r="PSY41" s="7"/>
      <c r="PSZ41" s="7"/>
      <c r="PTA41" s="7"/>
      <c r="PTB41" s="7"/>
      <c r="PTC41" s="7"/>
      <c r="PTD41" s="7"/>
      <c r="PTE41" s="7"/>
      <c r="PTF41" s="7"/>
      <c r="PTG41" s="7"/>
      <c r="PTH41" s="7"/>
      <c r="PTI41" s="7"/>
      <c r="PTJ41" s="7"/>
      <c r="PTK41" s="7"/>
      <c r="PTL41" s="7"/>
      <c r="PTM41" s="7"/>
      <c r="PTN41" s="7"/>
      <c r="PTO41" s="7"/>
      <c r="PTP41" s="7"/>
      <c r="PTQ41" s="7"/>
      <c r="PTR41" s="7"/>
      <c r="PTS41" s="7"/>
      <c r="PTT41" s="7"/>
      <c r="PTU41" s="7"/>
      <c r="PTV41" s="7"/>
      <c r="PTW41" s="7"/>
      <c r="PTX41" s="7"/>
      <c r="PTY41" s="7"/>
      <c r="PTZ41" s="7"/>
      <c r="PUA41" s="7"/>
      <c r="PUB41" s="7"/>
      <c r="PUC41" s="7"/>
      <c r="PUD41" s="7"/>
      <c r="PUE41" s="7"/>
      <c r="PUF41" s="7"/>
      <c r="PUG41" s="7"/>
      <c r="PUH41" s="7"/>
      <c r="PUI41" s="7"/>
      <c r="PUJ41" s="7"/>
      <c r="PUK41" s="7"/>
      <c r="PUL41" s="7"/>
      <c r="PUM41" s="7"/>
      <c r="PUN41" s="7"/>
      <c r="PUO41" s="7"/>
      <c r="PUP41" s="7"/>
      <c r="PUQ41" s="7"/>
      <c r="PUR41" s="7"/>
      <c r="PUS41" s="7"/>
      <c r="PUT41" s="7"/>
      <c r="PUU41" s="7"/>
      <c r="PUV41" s="7"/>
      <c r="PUW41" s="7"/>
      <c r="PUX41" s="7"/>
      <c r="PUY41" s="7"/>
      <c r="PUZ41" s="7"/>
      <c r="PVA41" s="7"/>
      <c r="PVB41" s="7"/>
      <c r="PVC41" s="7"/>
      <c r="PVD41" s="7"/>
      <c r="PVE41" s="7"/>
      <c r="PVF41" s="7"/>
      <c r="PVG41" s="7"/>
      <c r="PVH41" s="7"/>
      <c r="PVI41" s="7"/>
      <c r="PVJ41" s="7"/>
      <c r="PVK41" s="7"/>
      <c r="PVL41" s="7"/>
      <c r="PVM41" s="7"/>
      <c r="PVN41" s="7"/>
      <c r="PVO41" s="7"/>
      <c r="PVP41" s="7"/>
      <c r="PVQ41" s="7"/>
      <c r="PVR41" s="7"/>
      <c r="PVS41" s="7"/>
      <c r="PVT41" s="7"/>
      <c r="PVU41" s="7"/>
      <c r="PVV41" s="7"/>
      <c r="PVW41" s="7"/>
      <c r="PVX41" s="7"/>
      <c r="PVY41" s="7"/>
      <c r="PVZ41" s="7"/>
      <c r="PWA41" s="7"/>
      <c r="PWB41" s="7"/>
      <c r="PWC41" s="7"/>
      <c r="PWD41" s="7"/>
      <c r="PWE41" s="7"/>
      <c r="PWF41" s="7"/>
      <c r="PWG41" s="7"/>
      <c r="PWH41" s="7"/>
      <c r="PWI41" s="7"/>
      <c r="PWJ41" s="7"/>
      <c r="PWK41" s="7"/>
      <c r="PWL41" s="7"/>
      <c r="PWM41" s="7"/>
      <c r="PWN41" s="7"/>
      <c r="PWO41" s="7"/>
      <c r="PWP41" s="7"/>
      <c r="PWQ41" s="7"/>
      <c r="PWR41" s="7"/>
      <c r="PWS41" s="7"/>
      <c r="PWT41" s="7"/>
      <c r="PWU41" s="7"/>
      <c r="PWV41" s="7"/>
      <c r="PWW41" s="7"/>
      <c r="PWX41" s="7"/>
      <c r="PWY41" s="7"/>
      <c r="PWZ41" s="7"/>
      <c r="PXA41" s="7"/>
      <c r="PXB41" s="7"/>
      <c r="PXC41" s="7"/>
      <c r="PXD41" s="7"/>
      <c r="PXE41" s="7"/>
      <c r="PXF41" s="7"/>
      <c r="PXG41" s="7"/>
      <c r="PXH41" s="7"/>
      <c r="PXI41" s="7"/>
      <c r="PXJ41" s="7"/>
      <c r="PXK41" s="7"/>
      <c r="PXL41" s="7"/>
      <c r="PXM41" s="7"/>
      <c r="PXN41" s="7"/>
      <c r="PXO41" s="7"/>
      <c r="PXP41" s="7"/>
      <c r="PXQ41" s="7"/>
      <c r="PXR41" s="7"/>
      <c r="PXS41" s="7"/>
      <c r="PXT41" s="7"/>
      <c r="PXU41" s="7"/>
      <c r="PXV41" s="7"/>
      <c r="PXW41" s="7"/>
      <c r="PXX41" s="7"/>
      <c r="PXY41" s="7"/>
      <c r="PXZ41" s="7"/>
      <c r="PYA41" s="7"/>
      <c r="PYB41" s="7"/>
      <c r="PYC41" s="7"/>
      <c r="PYD41" s="7"/>
      <c r="PYE41" s="7"/>
      <c r="PYF41" s="7"/>
      <c r="PYG41" s="7"/>
      <c r="PYH41" s="7"/>
      <c r="PYI41" s="7"/>
      <c r="PYJ41" s="7"/>
      <c r="PYK41" s="7"/>
      <c r="PYL41" s="7"/>
      <c r="PYM41" s="7"/>
      <c r="PYN41" s="7"/>
      <c r="PYO41" s="7"/>
      <c r="PYP41" s="7"/>
      <c r="PYQ41" s="7"/>
      <c r="PYR41" s="7"/>
      <c r="PYS41" s="7"/>
      <c r="PYT41" s="7"/>
      <c r="PYU41" s="7"/>
      <c r="PYV41" s="7"/>
      <c r="PYW41" s="7"/>
      <c r="PYX41" s="7"/>
      <c r="PYY41" s="7"/>
      <c r="PYZ41" s="7"/>
      <c r="PZA41" s="7"/>
      <c r="PZB41" s="7"/>
      <c r="PZC41" s="7"/>
      <c r="PZD41" s="7"/>
      <c r="PZE41" s="7"/>
      <c r="PZF41" s="7"/>
      <c r="PZG41" s="7"/>
      <c r="PZH41" s="7"/>
      <c r="PZI41" s="7"/>
      <c r="PZJ41" s="7"/>
      <c r="PZK41" s="7"/>
      <c r="PZL41" s="7"/>
      <c r="PZM41" s="7"/>
      <c r="PZN41" s="7"/>
      <c r="PZO41" s="7"/>
      <c r="PZP41" s="7"/>
      <c r="PZQ41" s="7"/>
      <c r="PZR41" s="7"/>
      <c r="PZS41" s="7"/>
      <c r="PZT41" s="7"/>
      <c r="PZU41" s="7"/>
      <c r="PZV41" s="7"/>
      <c r="PZW41" s="7"/>
      <c r="PZX41" s="7"/>
      <c r="PZY41" s="7"/>
      <c r="PZZ41" s="7"/>
      <c r="QAA41" s="7"/>
      <c r="QAB41" s="7"/>
      <c r="QAC41" s="7"/>
      <c r="QAD41" s="7"/>
      <c r="QAE41" s="7"/>
      <c r="QAF41" s="7"/>
      <c r="QAG41" s="7"/>
      <c r="QAH41" s="7"/>
      <c r="QAI41" s="7"/>
      <c r="QAJ41" s="7"/>
      <c r="QAK41" s="7"/>
      <c r="QAL41" s="7"/>
      <c r="QAM41" s="7"/>
      <c r="QAN41" s="7"/>
      <c r="QAO41" s="7"/>
      <c r="QAP41" s="7"/>
      <c r="QAQ41" s="7"/>
      <c r="QAR41" s="7"/>
      <c r="QAS41" s="7"/>
      <c r="QAT41" s="7"/>
      <c r="QAU41" s="7"/>
      <c r="QAV41" s="7"/>
      <c r="QAW41" s="7"/>
      <c r="QAX41" s="7"/>
      <c r="QAY41" s="7"/>
      <c r="QAZ41" s="7"/>
      <c r="QBA41" s="7"/>
      <c r="QBB41" s="7"/>
      <c r="QBC41" s="7"/>
      <c r="QBD41" s="7"/>
      <c r="QBE41" s="7"/>
      <c r="QBF41" s="7"/>
      <c r="QBG41" s="7"/>
      <c r="QBH41" s="7"/>
      <c r="QBI41" s="7"/>
      <c r="QBJ41" s="7"/>
      <c r="QBK41" s="7"/>
      <c r="QBL41" s="7"/>
      <c r="QBM41" s="7"/>
      <c r="QBN41" s="7"/>
      <c r="QBO41" s="7"/>
      <c r="QBP41" s="7"/>
      <c r="QBQ41" s="7"/>
      <c r="QBR41" s="7"/>
      <c r="QBS41" s="7"/>
      <c r="QBT41" s="7"/>
      <c r="QBU41" s="7"/>
      <c r="QBV41" s="7"/>
      <c r="QBW41" s="7"/>
      <c r="QBX41" s="7"/>
      <c r="QBY41" s="7"/>
      <c r="QBZ41" s="7"/>
      <c r="QCA41" s="7"/>
      <c r="QCB41" s="7"/>
      <c r="QCC41" s="7"/>
      <c r="QCD41" s="7"/>
      <c r="QCE41" s="7"/>
      <c r="QCF41" s="7"/>
      <c r="QCG41" s="7"/>
      <c r="QCH41" s="7"/>
      <c r="QCI41" s="7"/>
      <c r="QCJ41" s="7"/>
      <c r="QCK41" s="7"/>
      <c r="QCL41" s="7"/>
      <c r="QCM41" s="7"/>
      <c r="QCN41" s="7"/>
      <c r="QCO41" s="7"/>
      <c r="QCP41" s="7"/>
      <c r="QCQ41" s="7"/>
      <c r="QCR41" s="7"/>
      <c r="QCS41" s="7"/>
      <c r="QCT41" s="7"/>
      <c r="QCU41" s="7"/>
      <c r="QCV41" s="7"/>
      <c r="QCW41" s="7"/>
      <c r="QCX41" s="7"/>
      <c r="QCY41" s="7"/>
      <c r="QCZ41" s="7"/>
      <c r="QDA41" s="7"/>
      <c r="QDB41" s="7"/>
      <c r="QDC41" s="7"/>
      <c r="QDD41" s="7"/>
      <c r="QDE41" s="7"/>
      <c r="QDF41" s="7"/>
      <c r="QDG41" s="7"/>
      <c r="QDH41" s="7"/>
      <c r="QDI41" s="7"/>
      <c r="QDJ41" s="7"/>
      <c r="QDK41" s="7"/>
      <c r="QDL41" s="7"/>
      <c r="QDM41" s="7"/>
      <c r="QDN41" s="7"/>
      <c r="QDO41" s="7"/>
      <c r="QDP41" s="7"/>
      <c r="QDQ41" s="7"/>
      <c r="QDR41" s="7"/>
      <c r="QDS41" s="7"/>
      <c r="QDT41" s="7"/>
      <c r="QDU41" s="7"/>
      <c r="QDV41" s="7"/>
      <c r="QDW41" s="7"/>
      <c r="QDX41" s="7"/>
      <c r="QDY41" s="7"/>
      <c r="QDZ41" s="7"/>
      <c r="QEA41" s="7"/>
      <c r="QEB41" s="7"/>
      <c r="QEC41" s="7"/>
      <c r="QED41" s="7"/>
      <c r="QEE41" s="7"/>
      <c r="QEF41" s="7"/>
      <c r="QEG41" s="7"/>
      <c r="QEH41" s="7"/>
      <c r="QEI41" s="7"/>
      <c r="QEJ41" s="7"/>
      <c r="QEK41" s="7"/>
      <c r="QEL41" s="7"/>
      <c r="QEM41" s="7"/>
      <c r="QEN41" s="7"/>
      <c r="QEO41" s="7"/>
      <c r="QEP41" s="7"/>
      <c r="QEQ41" s="7"/>
      <c r="QER41" s="7"/>
      <c r="QES41" s="7"/>
      <c r="QET41" s="7"/>
      <c r="QEU41" s="7"/>
      <c r="QEV41" s="7"/>
      <c r="QEW41" s="7"/>
      <c r="QEX41" s="7"/>
      <c r="QEY41" s="7"/>
      <c r="QEZ41" s="7"/>
      <c r="QFA41" s="7"/>
      <c r="QFB41" s="7"/>
      <c r="QFC41" s="7"/>
      <c r="QFD41" s="7"/>
      <c r="QFE41" s="7"/>
      <c r="QFF41" s="7"/>
      <c r="QFG41" s="7"/>
      <c r="QFH41" s="7"/>
      <c r="QFI41" s="7"/>
      <c r="QFJ41" s="7"/>
      <c r="QFK41" s="7"/>
      <c r="QFL41" s="7"/>
      <c r="QFM41" s="7"/>
      <c r="QFN41" s="7"/>
      <c r="QFO41" s="7"/>
      <c r="QFP41" s="7"/>
      <c r="QFQ41" s="7"/>
      <c r="QFR41" s="7"/>
      <c r="QFS41" s="7"/>
      <c r="QFT41" s="7"/>
      <c r="QFU41" s="7"/>
      <c r="QFV41" s="7"/>
      <c r="QFW41" s="7"/>
      <c r="QFX41" s="7"/>
      <c r="QFY41" s="7"/>
      <c r="QFZ41" s="7"/>
      <c r="QGA41" s="7"/>
      <c r="QGB41" s="7"/>
      <c r="QGC41" s="7"/>
      <c r="QGD41" s="7"/>
      <c r="QGE41" s="7"/>
      <c r="QGF41" s="7"/>
      <c r="QGG41" s="7"/>
      <c r="QGH41" s="7"/>
      <c r="QGI41" s="7"/>
      <c r="QGJ41" s="7"/>
      <c r="QGK41" s="7"/>
      <c r="QGL41" s="7"/>
      <c r="QGM41" s="7"/>
      <c r="QGN41" s="7"/>
      <c r="QGO41" s="7"/>
      <c r="QGP41" s="7"/>
      <c r="QGQ41" s="7"/>
      <c r="QGR41" s="7"/>
      <c r="QGS41" s="7"/>
      <c r="QGT41" s="7"/>
      <c r="QGU41" s="7"/>
      <c r="QGV41" s="7"/>
      <c r="QGW41" s="7"/>
      <c r="QGX41" s="7"/>
      <c r="QGY41" s="7"/>
      <c r="QGZ41" s="7"/>
      <c r="QHA41" s="7"/>
      <c r="QHB41" s="7"/>
      <c r="QHC41" s="7"/>
      <c r="QHD41" s="7"/>
      <c r="QHE41" s="7"/>
      <c r="QHF41" s="7"/>
      <c r="QHG41" s="7"/>
      <c r="QHH41" s="7"/>
      <c r="QHI41" s="7"/>
      <c r="QHJ41" s="7"/>
      <c r="QHK41" s="7"/>
      <c r="QHL41" s="7"/>
      <c r="QHM41" s="7"/>
      <c r="QHN41" s="7"/>
      <c r="QHO41" s="7"/>
      <c r="QHP41" s="7"/>
      <c r="QHQ41" s="7"/>
      <c r="QHR41" s="7"/>
      <c r="QHS41" s="7"/>
      <c r="QHT41" s="7"/>
      <c r="QHU41" s="7"/>
      <c r="QHV41" s="7"/>
      <c r="QHW41" s="7"/>
      <c r="QHX41" s="7"/>
      <c r="QHY41" s="7"/>
      <c r="QHZ41" s="7"/>
      <c r="QIA41" s="7"/>
      <c r="QIB41" s="7"/>
      <c r="QIC41" s="7"/>
      <c r="QID41" s="7"/>
      <c r="QIE41" s="7"/>
      <c r="QIF41" s="7"/>
      <c r="QIG41" s="7"/>
      <c r="QIH41" s="7"/>
      <c r="QII41" s="7"/>
      <c r="QIJ41" s="7"/>
      <c r="QIK41" s="7"/>
      <c r="QIL41" s="7"/>
      <c r="QIM41" s="7"/>
      <c r="QIN41" s="7"/>
      <c r="QIO41" s="7"/>
      <c r="QIP41" s="7"/>
      <c r="QIQ41" s="7"/>
      <c r="QIR41" s="7"/>
      <c r="QIS41" s="7"/>
      <c r="QIT41" s="7"/>
      <c r="QIU41" s="7"/>
      <c r="QIV41" s="7"/>
      <c r="QIW41" s="7"/>
      <c r="QIX41" s="7"/>
      <c r="QIY41" s="7"/>
      <c r="QIZ41" s="7"/>
      <c r="QJA41" s="7"/>
      <c r="QJB41" s="7"/>
      <c r="QJC41" s="7"/>
      <c r="QJD41" s="7"/>
      <c r="QJE41" s="7"/>
      <c r="QJF41" s="7"/>
      <c r="QJG41" s="7"/>
      <c r="QJH41" s="7"/>
      <c r="QJI41" s="7"/>
      <c r="QJJ41" s="7"/>
      <c r="QJK41" s="7"/>
      <c r="QJL41" s="7"/>
      <c r="QJM41" s="7"/>
      <c r="QJN41" s="7"/>
      <c r="QJO41" s="7"/>
      <c r="QJP41" s="7"/>
      <c r="QJQ41" s="7"/>
      <c r="QJR41" s="7"/>
      <c r="QJS41" s="7"/>
      <c r="QJT41" s="7"/>
      <c r="QJU41" s="7"/>
      <c r="QJV41" s="7"/>
      <c r="QJW41" s="7"/>
      <c r="QJX41" s="7"/>
      <c r="QJY41" s="7"/>
      <c r="QJZ41" s="7"/>
      <c r="QKA41" s="7"/>
      <c r="QKB41" s="7"/>
      <c r="QKC41" s="7"/>
      <c r="QKD41" s="7"/>
      <c r="QKE41" s="7"/>
      <c r="QKF41" s="7"/>
      <c r="QKG41" s="7"/>
      <c r="QKH41" s="7"/>
      <c r="QKI41" s="7"/>
      <c r="QKJ41" s="7"/>
      <c r="QKK41" s="7"/>
      <c r="QKL41" s="7"/>
      <c r="QKM41" s="7"/>
      <c r="QKN41" s="7"/>
      <c r="QKO41" s="7"/>
      <c r="QKP41" s="7"/>
      <c r="QKQ41" s="7"/>
      <c r="QKR41" s="7"/>
      <c r="QKS41" s="7"/>
      <c r="QKT41" s="7"/>
      <c r="QKU41" s="7"/>
      <c r="QKV41" s="7"/>
      <c r="QKW41" s="7"/>
      <c r="QKX41" s="7"/>
      <c r="QKY41" s="7"/>
      <c r="QKZ41" s="7"/>
      <c r="QLA41" s="7"/>
      <c r="QLB41" s="7"/>
      <c r="QLC41" s="7"/>
      <c r="QLD41" s="7"/>
      <c r="QLE41" s="7"/>
      <c r="QLF41" s="7"/>
      <c r="QLG41" s="7"/>
      <c r="QLH41" s="7"/>
      <c r="QLI41" s="7"/>
      <c r="QLJ41" s="7"/>
      <c r="QLK41" s="7"/>
      <c r="QLL41" s="7"/>
      <c r="QLM41" s="7"/>
      <c r="QLN41" s="7"/>
      <c r="QLO41" s="7"/>
      <c r="QLP41" s="7"/>
      <c r="QLQ41" s="7"/>
      <c r="QLR41" s="7"/>
      <c r="QLS41" s="7"/>
      <c r="QLT41" s="7"/>
      <c r="QLU41" s="7"/>
      <c r="QLV41" s="7"/>
      <c r="QLW41" s="7"/>
      <c r="QLX41" s="7"/>
      <c r="QLY41" s="7"/>
      <c r="QLZ41" s="7"/>
      <c r="QMA41" s="7"/>
      <c r="QMB41" s="7"/>
      <c r="QMC41" s="7"/>
      <c r="QMD41" s="7"/>
      <c r="QME41" s="7"/>
      <c r="QMF41" s="7"/>
      <c r="QMG41" s="7"/>
      <c r="QMH41" s="7"/>
      <c r="QMI41" s="7"/>
      <c r="QMJ41" s="7"/>
      <c r="QMK41" s="7"/>
      <c r="QML41" s="7"/>
      <c r="QMM41" s="7"/>
      <c r="QMN41" s="7"/>
      <c r="QMO41" s="7"/>
      <c r="QMP41" s="7"/>
      <c r="QMQ41" s="7"/>
      <c r="QMR41" s="7"/>
      <c r="QMS41" s="7"/>
      <c r="QMT41" s="7"/>
      <c r="QMU41" s="7"/>
      <c r="QMV41" s="7"/>
      <c r="QMW41" s="7"/>
      <c r="QMX41" s="7"/>
      <c r="QMY41" s="7"/>
      <c r="QMZ41" s="7"/>
      <c r="QNA41" s="7"/>
      <c r="QNB41" s="7"/>
      <c r="QNC41" s="7"/>
      <c r="QND41" s="7"/>
      <c r="QNE41" s="7"/>
      <c r="QNF41" s="7"/>
      <c r="QNG41" s="7"/>
      <c r="QNH41" s="7"/>
      <c r="QNI41" s="7"/>
      <c r="QNJ41" s="7"/>
      <c r="QNK41" s="7"/>
      <c r="QNL41" s="7"/>
      <c r="QNM41" s="7"/>
      <c r="QNN41" s="7"/>
      <c r="QNO41" s="7"/>
      <c r="QNP41" s="7"/>
      <c r="QNQ41" s="7"/>
      <c r="QNR41" s="7"/>
      <c r="QNS41" s="7"/>
      <c r="QNT41" s="7"/>
      <c r="QNU41" s="7"/>
      <c r="QNV41" s="7"/>
      <c r="QNW41" s="7"/>
      <c r="QNX41" s="7"/>
      <c r="QNY41" s="7"/>
      <c r="QNZ41" s="7"/>
      <c r="QOA41" s="7"/>
      <c r="QOB41" s="7"/>
      <c r="QOC41" s="7"/>
      <c r="QOD41" s="7"/>
      <c r="QOE41" s="7"/>
      <c r="QOF41" s="7"/>
      <c r="QOG41" s="7"/>
      <c r="QOH41" s="7"/>
      <c r="QOI41" s="7"/>
      <c r="QOJ41" s="7"/>
      <c r="QOK41" s="7"/>
      <c r="QOL41" s="7"/>
      <c r="QOM41" s="7"/>
      <c r="QON41" s="7"/>
      <c r="QOO41" s="7"/>
      <c r="QOP41" s="7"/>
      <c r="QOQ41" s="7"/>
      <c r="QOR41" s="7"/>
      <c r="QOS41" s="7"/>
      <c r="QOT41" s="7"/>
      <c r="QOU41" s="7"/>
      <c r="QOV41" s="7"/>
      <c r="QOW41" s="7"/>
      <c r="QOX41" s="7"/>
      <c r="QOY41" s="7"/>
      <c r="QOZ41" s="7"/>
      <c r="QPA41" s="7"/>
      <c r="QPB41" s="7"/>
      <c r="QPC41" s="7"/>
      <c r="QPD41" s="7"/>
      <c r="QPE41" s="7"/>
      <c r="QPF41" s="7"/>
      <c r="QPG41" s="7"/>
      <c r="QPH41" s="7"/>
      <c r="QPI41" s="7"/>
      <c r="QPJ41" s="7"/>
      <c r="QPK41" s="7"/>
      <c r="QPL41" s="7"/>
      <c r="QPM41" s="7"/>
      <c r="QPN41" s="7"/>
      <c r="QPO41" s="7"/>
      <c r="QPP41" s="7"/>
      <c r="QPQ41" s="7"/>
      <c r="QPR41" s="7"/>
      <c r="QPS41" s="7"/>
      <c r="QPT41" s="7"/>
      <c r="QPU41" s="7"/>
      <c r="QPV41" s="7"/>
      <c r="QPW41" s="7"/>
      <c r="QPX41" s="7"/>
      <c r="QPY41" s="7"/>
      <c r="QPZ41" s="7"/>
      <c r="QQA41" s="7"/>
      <c r="QQB41" s="7"/>
      <c r="QQC41" s="7"/>
      <c r="QQD41" s="7"/>
      <c r="QQE41" s="7"/>
      <c r="QQF41" s="7"/>
      <c r="QQG41" s="7"/>
      <c r="QQH41" s="7"/>
      <c r="QQI41" s="7"/>
      <c r="QQJ41" s="7"/>
      <c r="QQK41" s="7"/>
      <c r="QQL41" s="7"/>
      <c r="QQM41" s="7"/>
      <c r="QQN41" s="7"/>
      <c r="QQO41" s="7"/>
      <c r="QQP41" s="7"/>
      <c r="QQQ41" s="7"/>
      <c r="QQR41" s="7"/>
      <c r="QQS41" s="7"/>
      <c r="QQT41" s="7"/>
      <c r="QQU41" s="7"/>
      <c r="QQV41" s="7"/>
      <c r="QQW41" s="7"/>
      <c r="QQX41" s="7"/>
      <c r="QQY41" s="7"/>
      <c r="QQZ41" s="7"/>
      <c r="QRA41" s="7"/>
      <c r="QRB41" s="7"/>
      <c r="QRC41" s="7"/>
      <c r="QRD41" s="7"/>
      <c r="QRE41" s="7"/>
      <c r="QRF41" s="7"/>
      <c r="QRG41" s="7"/>
      <c r="QRH41" s="7"/>
      <c r="QRI41" s="7"/>
      <c r="QRJ41" s="7"/>
      <c r="QRK41" s="7"/>
      <c r="QRL41" s="7"/>
      <c r="QRM41" s="7"/>
      <c r="QRN41" s="7"/>
      <c r="QRO41" s="7"/>
      <c r="QRP41" s="7"/>
      <c r="QRQ41" s="7"/>
      <c r="QRR41" s="7"/>
      <c r="QRS41" s="7"/>
      <c r="QRT41" s="7"/>
      <c r="QRU41" s="7"/>
      <c r="QRV41" s="7"/>
      <c r="QRW41" s="7"/>
      <c r="QRX41" s="7"/>
      <c r="QRY41" s="7"/>
      <c r="QRZ41" s="7"/>
      <c r="QSA41" s="7"/>
      <c r="QSB41" s="7"/>
      <c r="QSC41" s="7"/>
      <c r="QSD41" s="7"/>
      <c r="QSE41" s="7"/>
      <c r="QSF41" s="7"/>
      <c r="QSG41" s="7"/>
      <c r="QSH41" s="7"/>
      <c r="QSI41" s="7"/>
      <c r="QSJ41" s="7"/>
      <c r="QSK41" s="7"/>
      <c r="QSL41" s="7"/>
      <c r="QSM41" s="7"/>
      <c r="QSN41" s="7"/>
      <c r="QSO41" s="7"/>
      <c r="QSP41" s="7"/>
      <c r="QSQ41" s="7"/>
      <c r="QSR41" s="7"/>
      <c r="QSS41" s="7"/>
      <c r="QST41" s="7"/>
      <c r="QSU41" s="7"/>
      <c r="QSV41" s="7"/>
      <c r="QSW41" s="7"/>
      <c r="QSX41" s="7"/>
      <c r="QSY41" s="7"/>
      <c r="QSZ41" s="7"/>
      <c r="QTA41" s="7"/>
      <c r="QTB41" s="7"/>
      <c r="QTC41" s="7"/>
      <c r="QTD41" s="7"/>
      <c r="QTE41" s="7"/>
      <c r="QTF41" s="7"/>
      <c r="QTG41" s="7"/>
      <c r="QTH41" s="7"/>
      <c r="QTI41" s="7"/>
      <c r="QTJ41" s="7"/>
      <c r="QTK41" s="7"/>
      <c r="QTL41" s="7"/>
      <c r="QTM41" s="7"/>
      <c r="QTN41" s="7"/>
      <c r="QTO41" s="7"/>
      <c r="QTP41" s="7"/>
      <c r="QTQ41" s="7"/>
      <c r="QTR41" s="7"/>
      <c r="QTS41" s="7"/>
      <c r="QTT41" s="7"/>
      <c r="QTU41" s="7"/>
      <c r="QTV41" s="7"/>
      <c r="QTW41" s="7"/>
      <c r="QTX41" s="7"/>
      <c r="QTY41" s="7"/>
      <c r="QTZ41" s="7"/>
      <c r="QUA41" s="7"/>
      <c r="QUB41" s="7"/>
      <c r="QUC41" s="7"/>
      <c r="QUD41" s="7"/>
      <c r="QUE41" s="7"/>
      <c r="QUF41" s="7"/>
      <c r="QUG41" s="7"/>
      <c r="QUH41" s="7"/>
      <c r="QUI41" s="7"/>
      <c r="QUJ41" s="7"/>
      <c r="QUK41" s="7"/>
      <c r="QUL41" s="7"/>
      <c r="QUM41" s="7"/>
      <c r="QUN41" s="7"/>
      <c r="QUO41" s="7"/>
      <c r="QUP41" s="7"/>
      <c r="QUQ41" s="7"/>
      <c r="QUR41" s="7"/>
      <c r="QUS41" s="7"/>
      <c r="QUT41" s="7"/>
      <c r="QUU41" s="7"/>
      <c r="QUV41" s="7"/>
      <c r="QUW41" s="7"/>
      <c r="QUX41" s="7"/>
      <c r="QUY41" s="7"/>
      <c r="QUZ41" s="7"/>
      <c r="QVA41" s="7"/>
      <c r="QVB41" s="7"/>
      <c r="QVC41" s="7"/>
      <c r="QVD41" s="7"/>
      <c r="QVE41" s="7"/>
      <c r="QVF41" s="7"/>
      <c r="QVG41" s="7"/>
      <c r="QVH41" s="7"/>
      <c r="QVI41" s="7"/>
      <c r="QVJ41" s="7"/>
      <c r="QVK41" s="7"/>
      <c r="QVL41" s="7"/>
      <c r="QVM41" s="7"/>
      <c r="QVN41" s="7"/>
      <c r="QVO41" s="7"/>
      <c r="QVP41" s="7"/>
      <c r="QVQ41" s="7"/>
      <c r="QVR41" s="7"/>
      <c r="QVS41" s="7"/>
      <c r="QVT41" s="7"/>
      <c r="QVU41" s="7"/>
      <c r="QVV41" s="7"/>
      <c r="QVW41" s="7"/>
      <c r="QVX41" s="7"/>
      <c r="QVY41" s="7"/>
      <c r="QVZ41" s="7"/>
      <c r="QWA41" s="7"/>
      <c r="QWB41" s="7"/>
      <c r="QWC41" s="7"/>
      <c r="QWD41" s="7"/>
      <c r="QWE41" s="7"/>
      <c r="QWF41" s="7"/>
      <c r="QWG41" s="7"/>
      <c r="QWH41" s="7"/>
      <c r="QWI41" s="7"/>
      <c r="QWJ41" s="7"/>
      <c r="QWK41" s="7"/>
      <c r="QWL41" s="7"/>
      <c r="QWM41" s="7"/>
      <c r="QWN41" s="7"/>
      <c r="QWO41" s="7"/>
      <c r="QWP41" s="7"/>
      <c r="QWQ41" s="7"/>
      <c r="QWR41" s="7"/>
      <c r="QWS41" s="7"/>
      <c r="QWT41" s="7"/>
      <c r="QWU41" s="7"/>
      <c r="QWV41" s="7"/>
      <c r="QWW41" s="7"/>
      <c r="QWX41" s="7"/>
      <c r="QWY41" s="7"/>
      <c r="QWZ41" s="7"/>
      <c r="QXA41" s="7"/>
      <c r="QXB41" s="7"/>
      <c r="QXC41" s="7"/>
      <c r="QXD41" s="7"/>
      <c r="QXE41" s="7"/>
      <c r="QXF41" s="7"/>
      <c r="QXG41" s="7"/>
      <c r="QXH41" s="7"/>
      <c r="QXI41" s="7"/>
      <c r="QXJ41" s="7"/>
      <c r="QXK41" s="7"/>
      <c r="QXL41" s="7"/>
      <c r="QXM41" s="7"/>
      <c r="QXN41" s="7"/>
      <c r="QXO41" s="7"/>
      <c r="QXP41" s="7"/>
      <c r="QXQ41" s="7"/>
      <c r="QXR41" s="7"/>
      <c r="QXS41" s="7"/>
      <c r="QXT41" s="7"/>
      <c r="QXU41" s="7"/>
      <c r="QXV41" s="7"/>
      <c r="QXW41" s="7"/>
      <c r="QXX41" s="7"/>
      <c r="QXY41" s="7"/>
      <c r="QXZ41" s="7"/>
      <c r="QYA41" s="7"/>
      <c r="QYB41" s="7"/>
      <c r="QYC41" s="7"/>
      <c r="QYD41" s="7"/>
      <c r="QYE41" s="7"/>
      <c r="QYF41" s="7"/>
      <c r="QYG41" s="7"/>
      <c r="QYH41" s="7"/>
      <c r="QYI41" s="7"/>
      <c r="QYJ41" s="7"/>
      <c r="QYK41" s="7"/>
      <c r="QYL41" s="7"/>
      <c r="QYM41" s="7"/>
      <c r="QYN41" s="7"/>
      <c r="QYO41" s="7"/>
      <c r="QYP41" s="7"/>
      <c r="QYQ41" s="7"/>
      <c r="QYR41" s="7"/>
      <c r="QYS41" s="7"/>
      <c r="QYT41" s="7"/>
      <c r="QYU41" s="7"/>
      <c r="QYV41" s="7"/>
      <c r="QYW41" s="7"/>
      <c r="QYX41" s="7"/>
      <c r="QYY41" s="7"/>
      <c r="QYZ41" s="7"/>
      <c r="QZA41" s="7"/>
      <c r="QZB41" s="7"/>
      <c r="QZC41" s="7"/>
      <c r="QZD41" s="7"/>
      <c r="QZE41" s="7"/>
      <c r="QZF41" s="7"/>
      <c r="QZG41" s="7"/>
      <c r="QZH41" s="7"/>
      <c r="QZI41" s="7"/>
      <c r="QZJ41" s="7"/>
      <c r="QZK41" s="7"/>
      <c r="QZL41" s="7"/>
      <c r="QZM41" s="7"/>
      <c r="QZN41" s="7"/>
      <c r="QZO41" s="7"/>
      <c r="QZP41" s="7"/>
      <c r="QZQ41" s="7"/>
      <c r="QZR41" s="7"/>
      <c r="QZS41" s="7"/>
      <c r="QZT41" s="7"/>
      <c r="QZU41" s="7"/>
      <c r="QZV41" s="7"/>
      <c r="QZW41" s="7"/>
      <c r="QZX41" s="7"/>
      <c r="QZY41" s="7"/>
      <c r="QZZ41" s="7"/>
      <c r="RAA41" s="7"/>
      <c r="RAB41" s="7"/>
      <c r="RAC41" s="7"/>
      <c r="RAD41" s="7"/>
      <c r="RAE41" s="7"/>
      <c r="RAF41" s="7"/>
      <c r="RAG41" s="7"/>
      <c r="RAH41" s="7"/>
      <c r="RAI41" s="7"/>
      <c r="RAJ41" s="7"/>
      <c r="RAK41" s="7"/>
      <c r="RAL41" s="7"/>
      <c r="RAM41" s="7"/>
      <c r="RAN41" s="7"/>
      <c r="RAO41" s="7"/>
      <c r="RAP41" s="7"/>
      <c r="RAQ41" s="7"/>
      <c r="RAR41" s="7"/>
      <c r="RAS41" s="7"/>
      <c r="RAT41" s="7"/>
      <c r="RAU41" s="7"/>
      <c r="RAV41" s="7"/>
      <c r="RAW41" s="7"/>
      <c r="RAX41" s="7"/>
      <c r="RAY41" s="7"/>
      <c r="RAZ41" s="7"/>
      <c r="RBA41" s="7"/>
      <c r="RBB41" s="7"/>
      <c r="RBC41" s="7"/>
      <c r="RBD41" s="7"/>
      <c r="RBE41" s="7"/>
      <c r="RBF41" s="7"/>
      <c r="RBG41" s="7"/>
      <c r="RBH41" s="7"/>
      <c r="RBI41" s="7"/>
      <c r="RBJ41" s="7"/>
      <c r="RBK41" s="7"/>
      <c r="RBL41" s="7"/>
      <c r="RBM41" s="7"/>
      <c r="RBN41" s="7"/>
      <c r="RBO41" s="7"/>
      <c r="RBP41" s="7"/>
      <c r="RBQ41" s="7"/>
      <c r="RBR41" s="7"/>
      <c r="RBS41" s="7"/>
      <c r="RBT41" s="7"/>
      <c r="RBU41" s="7"/>
      <c r="RBV41" s="7"/>
      <c r="RBW41" s="7"/>
      <c r="RBX41" s="7"/>
      <c r="RBY41" s="7"/>
      <c r="RBZ41" s="7"/>
      <c r="RCA41" s="7"/>
      <c r="RCB41" s="7"/>
      <c r="RCC41" s="7"/>
      <c r="RCD41" s="7"/>
      <c r="RCE41" s="7"/>
      <c r="RCF41" s="7"/>
      <c r="RCG41" s="7"/>
      <c r="RCH41" s="7"/>
      <c r="RCI41" s="7"/>
      <c r="RCJ41" s="7"/>
      <c r="RCK41" s="7"/>
      <c r="RCL41" s="7"/>
      <c r="RCM41" s="7"/>
      <c r="RCN41" s="7"/>
      <c r="RCO41" s="7"/>
      <c r="RCP41" s="7"/>
      <c r="RCQ41" s="7"/>
      <c r="RCR41" s="7"/>
      <c r="RCS41" s="7"/>
      <c r="RCT41" s="7"/>
      <c r="RCU41" s="7"/>
      <c r="RCV41" s="7"/>
      <c r="RCW41" s="7"/>
      <c r="RCX41" s="7"/>
      <c r="RCY41" s="7"/>
      <c r="RCZ41" s="7"/>
      <c r="RDA41" s="7"/>
      <c r="RDB41" s="7"/>
      <c r="RDC41" s="7"/>
      <c r="RDD41" s="7"/>
      <c r="RDE41" s="7"/>
      <c r="RDF41" s="7"/>
      <c r="RDG41" s="7"/>
      <c r="RDH41" s="7"/>
      <c r="RDI41" s="7"/>
      <c r="RDJ41" s="7"/>
      <c r="RDK41" s="7"/>
      <c r="RDL41" s="7"/>
      <c r="RDM41" s="7"/>
      <c r="RDN41" s="7"/>
      <c r="RDO41" s="7"/>
      <c r="RDP41" s="7"/>
      <c r="RDQ41" s="7"/>
      <c r="RDR41" s="7"/>
      <c r="RDS41" s="7"/>
      <c r="RDT41" s="7"/>
      <c r="RDU41" s="7"/>
      <c r="RDV41" s="7"/>
      <c r="RDW41" s="7"/>
      <c r="RDX41" s="7"/>
      <c r="RDY41" s="7"/>
      <c r="RDZ41" s="7"/>
      <c r="REA41" s="7"/>
      <c r="REB41" s="7"/>
      <c r="REC41" s="7"/>
      <c r="RED41" s="7"/>
      <c r="REE41" s="7"/>
      <c r="REF41" s="7"/>
      <c r="REG41" s="7"/>
      <c r="REH41" s="7"/>
      <c r="REI41" s="7"/>
      <c r="REJ41" s="7"/>
      <c r="REK41" s="7"/>
      <c r="REL41" s="7"/>
      <c r="REM41" s="7"/>
      <c r="REN41" s="7"/>
      <c r="REO41" s="7"/>
      <c r="REP41" s="7"/>
      <c r="REQ41" s="7"/>
      <c r="RER41" s="7"/>
      <c r="RES41" s="7"/>
      <c r="RET41" s="7"/>
      <c r="REU41" s="7"/>
      <c r="REV41" s="7"/>
      <c r="REW41" s="7"/>
      <c r="REX41" s="7"/>
      <c r="REY41" s="7"/>
      <c r="REZ41" s="7"/>
      <c r="RFA41" s="7"/>
      <c r="RFB41" s="7"/>
      <c r="RFC41" s="7"/>
      <c r="RFD41" s="7"/>
      <c r="RFE41" s="7"/>
      <c r="RFF41" s="7"/>
      <c r="RFG41" s="7"/>
      <c r="RFH41" s="7"/>
      <c r="RFI41" s="7"/>
      <c r="RFJ41" s="7"/>
      <c r="RFK41" s="7"/>
      <c r="RFL41" s="7"/>
      <c r="RFM41" s="7"/>
      <c r="RFN41" s="7"/>
      <c r="RFO41" s="7"/>
      <c r="RFP41" s="7"/>
      <c r="RFQ41" s="7"/>
      <c r="RFR41" s="7"/>
      <c r="RFS41" s="7"/>
      <c r="RFT41" s="7"/>
      <c r="RFU41" s="7"/>
      <c r="RFV41" s="7"/>
      <c r="RFW41" s="7"/>
      <c r="RFX41" s="7"/>
      <c r="RFY41" s="7"/>
      <c r="RFZ41" s="7"/>
      <c r="RGA41" s="7"/>
      <c r="RGB41" s="7"/>
      <c r="RGC41" s="7"/>
      <c r="RGD41" s="7"/>
      <c r="RGE41" s="7"/>
      <c r="RGF41" s="7"/>
      <c r="RGG41" s="7"/>
      <c r="RGH41" s="7"/>
      <c r="RGI41" s="7"/>
      <c r="RGJ41" s="7"/>
      <c r="RGK41" s="7"/>
      <c r="RGL41" s="7"/>
      <c r="RGM41" s="7"/>
      <c r="RGN41" s="7"/>
      <c r="RGO41" s="7"/>
      <c r="RGP41" s="7"/>
      <c r="RGQ41" s="7"/>
      <c r="RGR41" s="7"/>
      <c r="RGS41" s="7"/>
      <c r="RGT41" s="7"/>
      <c r="RGU41" s="7"/>
      <c r="RGV41" s="7"/>
      <c r="RGW41" s="7"/>
      <c r="RGX41" s="7"/>
      <c r="RGY41" s="7"/>
      <c r="RGZ41" s="7"/>
      <c r="RHA41" s="7"/>
      <c r="RHB41" s="7"/>
      <c r="RHC41" s="7"/>
      <c r="RHD41" s="7"/>
      <c r="RHE41" s="7"/>
      <c r="RHF41" s="7"/>
      <c r="RHG41" s="7"/>
      <c r="RHH41" s="7"/>
      <c r="RHI41" s="7"/>
      <c r="RHJ41" s="7"/>
      <c r="RHK41" s="7"/>
      <c r="RHL41" s="7"/>
      <c r="RHM41" s="7"/>
      <c r="RHN41" s="7"/>
      <c r="RHO41" s="7"/>
      <c r="RHP41" s="7"/>
      <c r="RHQ41" s="7"/>
      <c r="RHR41" s="7"/>
      <c r="RHS41" s="7"/>
      <c r="RHT41" s="7"/>
      <c r="RHU41" s="7"/>
      <c r="RHV41" s="7"/>
      <c r="RHW41" s="7"/>
      <c r="RHX41" s="7"/>
      <c r="RHY41" s="7"/>
      <c r="RHZ41" s="7"/>
      <c r="RIA41" s="7"/>
      <c r="RIB41" s="7"/>
      <c r="RIC41" s="7"/>
      <c r="RID41" s="7"/>
      <c r="RIE41" s="7"/>
      <c r="RIF41" s="7"/>
      <c r="RIG41" s="7"/>
      <c r="RIH41" s="7"/>
      <c r="RII41" s="7"/>
      <c r="RIJ41" s="7"/>
      <c r="RIK41" s="7"/>
      <c r="RIL41" s="7"/>
      <c r="RIM41" s="7"/>
      <c r="RIN41" s="7"/>
      <c r="RIO41" s="7"/>
      <c r="RIP41" s="7"/>
      <c r="RIQ41" s="7"/>
      <c r="RIR41" s="7"/>
      <c r="RIS41" s="7"/>
      <c r="RIT41" s="7"/>
      <c r="RIU41" s="7"/>
      <c r="RIV41" s="7"/>
      <c r="RIW41" s="7"/>
      <c r="RIX41" s="7"/>
      <c r="RIY41" s="7"/>
      <c r="RIZ41" s="7"/>
      <c r="RJA41" s="7"/>
      <c r="RJB41" s="7"/>
      <c r="RJC41" s="7"/>
      <c r="RJD41" s="7"/>
      <c r="RJE41" s="7"/>
      <c r="RJF41" s="7"/>
      <c r="RJG41" s="7"/>
      <c r="RJH41" s="7"/>
      <c r="RJI41" s="7"/>
      <c r="RJJ41" s="7"/>
      <c r="RJK41" s="7"/>
      <c r="RJL41" s="7"/>
      <c r="RJM41" s="7"/>
      <c r="RJN41" s="7"/>
      <c r="RJO41" s="7"/>
      <c r="RJP41" s="7"/>
      <c r="RJQ41" s="7"/>
      <c r="RJR41" s="7"/>
      <c r="RJS41" s="7"/>
      <c r="RJT41" s="7"/>
      <c r="RJU41" s="7"/>
      <c r="RJV41" s="7"/>
      <c r="RJW41" s="7"/>
      <c r="RJX41" s="7"/>
      <c r="RJY41" s="7"/>
      <c r="RJZ41" s="7"/>
      <c r="RKA41" s="7"/>
      <c r="RKB41" s="7"/>
      <c r="RKC41" s="7"/>
      <c r="RKD41" s="7"/>
      <c r="RKE41" s="7"/>
      <c r="RKF41" s="7"/>
      <c r="RKG41" s="7"/>
      <c r="RKH41" s="7"/>
      <c r="RKI41" s="7"/>
      <c r="RKJ41" s="7"/>
      <c r="RKK41" s="7"/>
      <c r="RKL41" s="7"/>
      <c r="RKM41" s="7"/>
      <c r="RKN41" s="7"/>
      <c r="RKO41" s="7"/>
      <c r="RKP41" s="7"/>
      <c r="RKQ41" s="7"/>
      <c r="RKR41" s="7"/>
      <c r="RKS41" s="7"/>
      <c r="RKT41" s="7"/>
      <c r="RKU41" s="7"/>
      <c r="RKV41" s="7"/>
      <c r="RKW41" s="7"/>
      <c r="RKX41" s="7"/>
      <c r="RKY41" s="7"/>
      <c r="RKZ41" s="7"/>
      <c r="RLA41" s="7"/>
      <c r="RLB41" s="7"/>
      <c r="RLC41" s="7"/>
      <c r="RLD41" s="7"/>
      <c r="RLE41" s="7"/>
      <c r="RLF41" s="7"/>
      <c r="RLG41" s="7"/>
      <c r="RLH41" s="7"/>
      <c r="RLI41" s="7"/>
      <c r="RLJ41" s="7"/>
      <c r="RLK41" s="7"/>
      <c r="RLL41" s="7"/>
      <c r="RLM41" s="7"/>
      <c r="RLN41" s="7"/>
      <c r="RLO41" s="7"/>
      <c r="RLP41" s="7"/>
      <c r="RLQ41" s="7"/>
      <c r="RLR41" s="7"/>
      <c r="RLS41" s="7"/>
      <c r="RLT41" s="7"/>
      <c r="RLU41" s="7"/>
      <c r="RLV41" s="7"/>
      <c r="RLW41" s="7"/>
      <c r="RLX41" s="7"/>
      <c r="RLY41" s="7"/>
      <c r="RLZ41" s="7"/>
      <c r="RMA41" s="7"/>
      <c r="RMB41" s="7"/>
      <c r="RMC41" s="7"/>
      <c r="RMD41" s="7"/>
      <c r="RME41" s="7"/>
      <c r="RMF41" s="7"/>
      <c r="RMG41" s="7"/>
      <c r="RMH41" s="7"/>
      <c r="RMI41" s="7"/>
      <c r="RMJ41" s="7"/>
      <c r="RMK41" s="7"/>
      <c r="RML41" s="7"/>
      <c r="RMM41" s="7"/>
      <c r="RMN41" s="7"/>
      <c r="RMO41" s="7"/>
      <c r="RMP41" s="7"/>
      <c r="RMQ41" s="7"/>
      <c r="RMR41" s="7"/>
      <c r="RMS41" s="7"/>
      <c r="RMT41" s="7"/>
      <c r="RMU41" s="7"/>
      <c r="RMV41" s="7"/>
      <c r="RMW41" s="7"/>
      <c r="RMX41" s="7"/>
      <c r="RMY41" s="7"/>
      <c r="RMZ41" s="7"/>
      <c r="RNA41" s="7"/>
      <c r="RNB41" s="7"/>
      <c r="RNC41" s="7"/>
      <c r="RND41" s="7"/>
      <c r="RNE41" s="7"/>
      <c r="RNF41" s="7"/>
      <c r="RNG41" s="7"/>
      <c r="RNH41" s="7"/>
      <c r="RNI41" s="7"/>
      <c r="RNJ41" s="7"/>
      <c r="RNK41" s="7"/>
      <c r="RNL41" s="7"/>
      <c r="RNM41" s="7"/>
      <c r="RNN41" s="7"/>
      <c r="RNO41" s="7"/>
      <c r="RNP41" s="7"/>
      <c r="RNQ41" s="7"/>
      <c r="RNR41" s="7"/>
      <c r="RNS41" s="7"/>
      <c r="RNT41" s="7"/>
      <c r="RNU41" s="7"/>
      <c r="RNV41" s="7"/>
      <c r="RNW41" s="7"/>
      <c r="RNX41" s="7"/>
      <c r="RNY41" s="7"/>
      <c r="RNZ41" s="7"/>
      <c r="ROA41" s="7"/>
      <c r="ROB41" s="7"/>
      <c r="ROC41" s="7"/>
      <c r="ROD41" s="7"/>
      <c r="ROE41" s="7"/>
      <c r="ROF41" s="7"/>
      <c r="ROG41" s="7"/>
      <c r="ROH41" s="7"/>
      <c r="ROI41" s="7"/>
      <c r="ROJ41" s="7"/>
      <c r="ROK41" s="7"/>
      <c r="ROL41" s="7"/>
      <c r="ROM41" s="7"/>
      <c r="RON41" s="7"/>
      <c r="ROO41" s="7"/>
      <c r="ROP41" s="7"/>
      <c r="ROQ41" s="7"/>
      <c r="ROR41" s="7"/>
      <c r="ROS41" s="7"/>
      <c r="ROT41" s="7"/>
      <c r="ROU41" s="7"/>
      <c r="ROV41" s="7"/>
      <c r="ROW41" s="7"/>
      <c r="ROX41" s="7"/>
      <c r="ROY41" s="7"/>
      <c r="ROZ41" s="7"/>
      <c r="RPA41" s="7"/>
      <c r="RPB41" s="7"/>
      <c r="RPC41" s="7"/>
      <c r="RPD41" s="7"/>
      <c r="RPE41" s="7"/>
      <c r="RPF41" s="7"/>
      <c r="RPG41" s="7"/>
      <c r="RPH41" s="7"/>
      <c r="RPI41" s="7"/>
      <c r="RPJ41" s="7"/>
      <c r="RPK41" s="7"/>
      <c r="RPL41" s="7"/>
      <c r="RPM41" s="7"/>
      <c r="RPN41" s="7"/>
      <c r="RPO41" s="7"/>
      <c r="RPP41" s="7"/>
      <c r="RPQ41" s="7"/>
      <c r="RPR41" s="7"/>
      <c r="RPS41" s="7"/>
      <c r="RPT41" s="7"/>
      <c r="RPU41" s="7"/>
      <c r="RPV41" s="7"/>
      <c r="RPW41" s="7"/>
      <c r="RPX41" s="7"/>
      <c r="RPY41" s="7"/>
      <c r="RPZ41" s="7"/>
      <c r="RQA41" s="7"/>
      <c r="RQB41" s="7"/>
      <c r="RQC41" s="7"/>
      <c r="RQD41" s="7"/>
      <c r="RQE41" s="7"/>
      <c r="RQF41" s="7"/>
      <c r="RQG41" s="7"/>
      <c r="RQH41" s="7"/>
      <c r="RQI41" s="7"/>
      <c r="RQJ41" s="7"/>
      <c r="RQK41" s="7"/>
      <c r="RQL41" s="7"/>
      <c r="RQM41" s="7"/>
      <c r="RQN41" s="7"/>
      <c r="RQO41" s="7"/>
      <c r="RQP41" s="7"/>
      <c r="RQQ41" s="7"/>
      <c r="RQR41" s="7"/>
      <c r="RQS41" s="7"/>
      <c r="RQT41" s="7"/>
      <c r="RQU41" s="7"/>
      <c r="RQV41" s="7"/>
      <c r="RQW41" s="7"/>
      <c r="RQX41" s="7"/>
      <c r="RQY41" s="7"/>
      <c r="RQZ41" s="7"/>
      <c r="RRA41" s="7"/>
      <c r="RRB41" s="7"/>
      <c r="RRC41" s="7"/>
      <c r="RRD41" s="7"/>
      <c r="RRE41" s="7"/>
      <c r="RRF41" s="7"/>
      <c r="RRG41" s="7"/>
      <c r="RRH41" s="7"/>
      <c r="RRI41" s="7"/>
      <c r="RRJ41" s="7"/>
      <c r="RRK41" s="7"/>
      <c r="RRL41" s="7"/>
      <c r="RRM41" s="7"/>
      <c r="RRN41" s="7"/>
      <c r="RRO41" s="7"/>
      <c r="RRP41" s="7"/>
      <c r="RRQ41" s="7"/>
      <c r="RRR41" s="7"/>
      <c r="RRS41" s="7"/>
      <c r="RRT41" s="7"/>
      <c r="RRU41" s="7"/>
      <c r="RRV41" s="7"/>
      <c r="RRW41" s="7"/>
      <c r="RRX41" s="7"/>
      <c r="RRY41" s="7"/>
      <c r="RRZ41" s="7"/>
      <c r="RSA41" s="7"/>
      <c r="RSB41" s="7"/>
      <c r="RSC41" s="7"/>
      <c r="RSD41" s="7"/>
      <c r="RSE41" s="7"/>
      <c r="RSF41" s="7"/>
      <c r="RSG41" s="7"/>
      <c r="RSH41" s="7"/>
      <c r="RSI41" s="7"/>
      <c r="RSJ41" s="7"/>
      <c r="RSK41" s="7"/>
      <c r="RSL41" s="7"/>
      <c r="RSM41" s="7"/>
      <c r="RSN41" s="7"/>
      <c r="RSO41" s="7"/>
      <c r="RSP41" s="7"/>
      <c r="RSQ41" s="7"/>
      <c r="RSR41" s="7"/>
      <c r="RSS41" s="7"/>
      <c r="RST41" s="7"/>
      <c r="RSU41" s="7"/>
      <c r="RSV41" s="7"/>
      <c r="RSW41" s="7"/>
      <c r="RSX41" s="7"/>
      <c r="RSY41" s="7"/>
      <c r="RSZ41" s="7"/>
      <c r="RTA41" s="7"/>
      <c r="RTB41" s="7"/>
      <c r="RTC41" s="7"/>
      <c r="RTD41" s="7"/>
      <c r="RTE41" s="7"/>
      <c r="RTF41" s="7"/>
      <c r="RTG41" s="7"/>
      <c r="RTH41" s="7"/>
      <c r="RTI41" s="7"/>
      <c r="RTJ41" s="7"/>
      <c r="RTK41" s="7"/>
      <c r="RTL41" s="7"/>
      <c r="RTM41" s="7"/>
      <c r="RTN41" s="7"/>
      <c r="RTO41" s="7"/>
      <c r="RTP41" s="7"/>
      <c r="RTQ41" s="7"/>
      <c r="RTR41" s="7"/>
      <c r="RTS41" s="7"/>
      <c r="RTT41" s="7"/>
      <c r="RTU41" s="7"/>
      <c r="RTV41" s="7"/>
      <c r="RTW41" s="7"/>
      <c r="RTX41" s="7"/>
      <c r="RTY41" s="7"/>
      <c r="RTZ41" s="7"/>
      <c r="RUA41" s="7"/>
      <c r="RUB41" s="7"/>
      <c r="RUC41" s="7"/>
      <c r="RUD41" s="7"/>
      <c r="RUE41" s="7"/>
      <c r="RUF41" s="7"/>
      <c r="RUG41" s="7"/>
      <c r="RUH41" s="7"/>
      <c r="RUI41" s="7"/>
      <c r="RUJ41" s="7"/>
      <c r="RUK41" s="7"/>
      <c r="RUL41" s="7"/>
      <c r="RUM41" s="7"/>
      <c r="RUN41" s="7"/>
      <c r="RUO41" s="7"/>
      <c r="RUP41" s="7"/>
      <c r="RUQ41" s="7"/>
      <c r="RUR41" s="7"/>
      <c r="RUS41" s="7"/>
      <c r="RUT41" s="7"/>
      <c r="RUU41" s="7"/>
      <c r="RUV41" s="7"/>
      <c r="RUW41" s="7"/>
      <c r="RUX41" s="7"/>
      <c r="RUY41" s="7"/>
      <c r="RUZ41" s="7"/>
      <c r="RVA41" s="7"/>
      <c r="RVB41" s="7"/>
      <c r="RVC41" s="7"/>
      <c r="RVD41" s="7"/>
      <c r="RVE41" s="7"/>
      <c r="RVF41" s="7"/>
      <c r="RVG41" s="7"/>
      <c r="RVH41" s="7"/>
      <c r="RVI41" s="7"/>
      <c r="RVJ41" s="7"/>
      <c r="RVK41" s="7"/>
      <c r="RVL41" s="7"/>
      <c r="RVM41" s="7"/>
      <c r="RVN41" s="7"/>
      <c r="RVO41" s="7"/>
      <c r="RVP41" s="7"/>
      <c r="RVQ41" s="7"/>
      <c r="RVR41" s="7"/>
      <c r="RVS41" s="7"/>
      <c r="RVT41" s="7"/>
      <c r="RVU41" s="7"/>
      <c r="RVV41" s="7"/>
      <c r="RVW41" s="7"/>
      <c r="RVX41" s="7"/>
      <c r="RVY41" s="7"/>
      <c r="RVZ41" s="7"/>
      <c r="RWA41" s="7"/>
      <c r="RWB41" s="7"/>
      <c r="RWC41" s="7"/>
      <c r="RWD41" s="7"/>
      <c r="RWE41" s="7"/>
      <c r="RWF41" s="7"/>
      <c r="RWG41" s="7"/>
      <c r="RWH41" s="7"/>
      <c r="RWI41" s="7"/>
      <c r="RWJ41" s="7"/>
      <c r="RWK41" s="7"/>
      <c r="RWL41" s="7"/>
      <c r="RWM41" s="7"/>
      <c r="RWN41" s="7"/>
      <c r="RWO41" s="7"/>
      <c r="RWP41" s="7"/>
      <c r="RWQ41" s="7"/>
      <c r="RWR41" s="7"/>
      <c r="RWS41" s="7"/>
      <c r="RWT41" s="7"/>
      <c r="RWU41" s="7"/>
      <c r="RWV41" s="7"/>
      <c r="RWW41" s="7"/>
      <c r="RWX41" s="7"/>
      <c r="RWY41" s="7"/>
      <c r="RWZ41" s="7"/>
      <c r="RXA41" s="7"/>
      <c r="RXB41" s="7"/>
      <c r="RXC41" s="7"/>
      <c r="RXD41" s="7"/>
      <c r="RXE41" s="7"/>
      <c r="RXF41" s="7"/>
      <c r="RXG41" s="7"/>
      <c r="RXH41" s="7"/>
      <c r="RXI41" s="7"/>
      <c r="RXJ41" s="7"/>
      <c r="RXK41" s="7"/>
      <c r="RXL41" s="7"/>
      <c r="RXM41" s="7"/>
      <c r="RXN41" s="7"/>
      <c r="RXO41" s="7"/>
      <c r="RXP41" s="7"/>
      <c r="RXQ41" s="7"/>
      <c r="RXR41" s="7"/>
      <c r="RXS41" s="7"/>
      <c r="RXT41" s="7"/>
      <c r="RXU41" s="7"/>
      <c r="RXV41" s="7"/>
      <c r="RXW41" s="7"/>
      <c r="RXX41" s="7"/>
      <c r="RXY41" s="7"/>
      <c r="RXZ41" s="7"/>
      <c r="RYA41" s="7"/>
      <c r="RYB41" s="7"/>
      <c r="RYC41" s="7"/>
      <c r="RYD41" s="7"/>
      <c r="RYE41" s="7"/>
      <c r="RYF41" s="7"/>
      <c r="RYG41" s="7"/>
      <c r="RYH41" s="7"/>
      <c r="RYI41" s="7"/>
      <c r="RYJ41" s="7"/>
      <c r="RYK41" s="7"/>
      <c r="RYL41" s="7"/>
      <c r="RYM41" s="7"/>
      <c r="RYN41" s="7"/>
      <c r="RYO41" s="7"/>
      <c r="RYP41" s="7"/>
      <c r="RYQ41" s="7"/>
      <c r="RYR41" s="7"/>
      <c r="RYS41" s="7"/>
      <c r="RYT41" s="7"/>
      <c r="RYU41" s="7"/>
      <c r="RYV41" s="7"/>
      <c r="RYW41" s="7"/>
      <c r="RYX41" s="7"/>
      <c r="RYY41" s="7"/>
      <c r="RYZ41" s="7"/>
      <c r="RZA41" s="7"/>
      <c r="RZB41" s="7"/>
      <c r="RZC41" s="7"/>
      <c r="RZD41" s="7"/>
      <c r="RZE41" s="7"/>
      <c r="RZF41" s="7"/>
      <c r="RZG41" s="7"/>
      <c r="RZH41" s="7"/>
      <c r="RZI41" s="7"/>
      <c r="RZJ41" s="7"/>
      <c r="RZK41" s="7"/>
      <c r="RZL41" s="7"/>
      <c r="RZM41" s="7"/>
      <c r="RZN41" s="7"/>
      <c r="RZO41" s="7"/>
      <c r="RZP41" s="7"/>
      <c r="RZQ41" s="7"/>
      <c r="RZR41" s="7"/>
      <c r="RZS41" s="7"/>
      <c r="RZT41" s="7"/>
      <c r="RZU41" s="7"/>
      <c r="RZV41" s="7"/>
      <c r="RZW41" s="7"/>
      <c r="RZX41" s="7"/>
      <c r="RZY41" s="7"/>
      <c r="RZZ41" s="7"/>
      <c r="SAA41" s="7"/>
      <c r="SAB41" s="7"/>
      <c r="SAC41" s="7"/>
      <c r="SAD41" s="7"/>
      <c r="SAE41" s="7"/>
      <c r="SAF41" s="7"/>
      <c r="SAG41" s="7"/>
      <c r="SAH41" s="7"/>
      <c r="SAI41" s="7"/>
      <c r="SAJ41" s="7"/>
      <c r="SAK41" s="7"/>
      <c r="SAL41" s="7"/>
      <c r="SAM41" s="7"/>
      <c r="SAN41" s="7"/>
      <c r="SAO41" s="7"/>
      <c r="SAP41" s="7"/>
      <c r="SAQ41" s="7"/>
      <c r="SAR41" s="7"/>
      <c r="SAS41" s="7"/>
      <c r="SAT41" s="7"/>
      <c r="SAU41" s="7"/>
      <c r="SAV41" s="7"/>
      <c r="SAW41" s="7"/>
      <c r="SAX41" s="7"/>
      <c r="SAY41" s="7"/>
      <c r="SAZ41" s="7"/>
      <c r="SBA41" s="7"/>
      <c r="SBB41" s="7"/>
      <c r="SBC41" s="7"/>
      <c r="SBD41" s="7"/>
      <c r="SBE41" s="7"/>
      <c r="SBF41" s="7"/>
      <c r="SBG41" s="7"/>
      <c r="SBH41" s="7"/>
      <c r="SBI41" s="7"/>
      <c r="SBJ41" s="7"/>
      <c r="SBK41" s="7"/>
      <c r="SBL41" s="7"/>
      <c r="SBM41" s="7"/>
      <c r="SBN41" s="7"/>
      <c r="SBO41" s="7"/>
      <c r="SBP41" s="7"/>
      <c r="SBQ41" s="7"/>
      <c r="SBR41" s="7"/>
      <c r="SBS41" s="7"/>
      <c r="SBT41" s="7"/>
      <c r="SBU41" s="7"/>
      <c r="SBV41" s="7"/>
      <c r="SBW41" s="7"/>
      <c r="SBX41" s="7"/>
      <c r="SBY41" s="7"/>
      <c r="SBZ41" s="7"/>
      <c r="SCA41" s="7"/>
      <c r="SCB41" s="7"/>
      <c r="SCC41" s="7"/>
      <c r="SCD41" s="7"/>
      <c r="SCE41" s="7"/>
      <c r="SCF41" s="7"/>
      <c r="SCG41" s="7"/>
      <c r="SCH41" s="7"/>
      <c r="SCI41" s="7"/>
      <c r="SCJ41" s="7"/>
      <c r="SCK41" s="7"/>
      <c r="SCL41" s="7"/>
      <c r="SCM41" s="7"/>
      <c r="SCN41" s="7"/>
      <c r="SCO41" s="7"/>
      <c r="SCP41" s="7"/>
      <c r="SCQ41" s="7"/>
      <c r="SCR41" s="7"/>
      <c r="SCS41" s="7"/>
      <c r="SCT41" s="7"/>
      <c r="SCU41" s="7"/>
      <c r="SCV41" s="7"/>
      <c r="SCW41" s="7"/>
      <c r="SCX41" s="7"/>
      <c r="SCY41" s="7"/>
      <c r="SCZ41" s="7"/>
      <c r="SDA41" s="7"/>
      <c r="SDB41" s="7"/>
      <c r="SDC41" s="7"/>
      <c r="SDD41" s="7"/>
      <c r="SDE41" s="7"/>
      <c r="SDF41" s="7"/>
      <c r="SDG41" s="7"/>
      <c r="SDH41" s="7"/>
      <c r="SDI41" s="7"/>
      <c r="SDJ41" s="7"/>
      <c r="SDK41" s="7"/>
      <c r="SDL41" s="7"/>
      <c r="SDM41" s="7"/>
      <c r="SDN41" s="7"/>
      <c r="SDO41" s="7"/>
      <c r="SDP41" s="7"/>
      <c r="SDQ41" s="7"/>
      <c r="SDR41" s="7"/>
      <c r="SDS41" s="7"/>
      <c r="SDT41" s="7"/>
      <c r="SDU41" s="7"/>
      <c r="SDV41" s="7"/>
      <c r="SDW41" s="7"/>
      <c r="SDX41" s="7"/>
      <c r="SDY41" s="7"/>
      <c r="SDZ41" s="7"/>
      <c r="SEA41" s="7"/>
      <c r="SEB41" s="7"/>
      <c r="SEC41" s="7"/>
      <c r="SED41" s="7"/>
      <c r="SEE41" s="7"/>
      <c r="SEF41" s="7"/>
      <c r="SEG41" s="7"/>
      <c r="SEH41" s="7"/>
      <c r="SEI41" s="7"/>
      <c r="SEJ41" s="7"/>
      <c r="SEK41" s="7"/>
      <c r="SEL41" s="7"/>
      <c r="SEM41" s="7"/>
      <c r="SEN41" s="7"/>
      <c r="SEO41" s="7"/>
      <c r="SEP41" s="7"/>
      <c r="SEQ41" s="7"/>
      <c r="SER41" s="7"/>
      <c r="SES41" s="7"/>
      <c r="SET41" s="7"/>
      <c r="SEU41" s="7"/>
      <c r="SEV41" s="7"/>
      <c r="SEW41" s="7"/>
      <c r="SEX41" s="7"/>
      <c r="SEY41" s="7"/>
      <c r="SEZ41" s="7"/>
      <c r="SFA41" s="7"/>
      <c r="SFB41" s="7"/>
      <c r="SFC41" s="7"/>
      <c r="SFD41" s="7"/>
      <c r="SFE41" s="7"/>
      <c r="SFF41" s="7"/>
      <c r="SFG41" s="7"/>
      <c r="SFH41" s="7"/>
      <c r="SFI41" s="7"/>
      <c r="SFJ41" s="7"/>
      <c r="SFK41" s="7"/>
      <c r="SFL41" s="7"/>
      <c r="SFM41" s="7"/>
      <c r="SFN41" s="7"/>
      <c r="SFO41" s="7"/>
      <c r="SFP41" s="7"/>
      <c r="SFQ41" s="7"/>
      <c r="SFR41" s="7"/>
      <c r="SFS41" s="7"/>
      <c r="SFT41" s="7"/>
      <c r="SFU41" s="7"/>
      <c r="SFV41" s="7"/>
      <c r="SFW41" s="7"/>
      <c r="SFX41" s="7"/>
      <c r="SFY41" s="7"/>
      <c r="SFZ41" s="7"/>
      <c r="SGA41" s="7"/>
      <c r="SGB41" s="7"/>
      <c r="SGC41" s="7"/>
      <c r="SGD41" s="7"/>
      <c r="SGE41" s="7"/>
      <c r="SGF41" s="7"/>
      <c r="SGG41" s="7"/>
      <c r="SGH41" s="7"/>
      <c r="SGI41" s="7"/>
      <c r="SGJ41" s="7"/>
      <c r="SGK41" s="7"/>
      <c r="SGL41" s="7"/>
      <c r="SGM41" s="7"/>
      <c r="SGN41" s="7"/>
      <c r="SGO41" s="7"/>
      <c r="SGP41" s="7"/>
      <c r="SGQ41" s="7"/>
      <c r="SGR41" s="7"/>
      <c r="SGS41" s="7"/>
      <c r="SGT41" s="7"/>
      <c r="SGU41" s="7"/>
      <c r="SGV41" s="7"/>
      <c r="SGW41" s="7"/>
      <c r="SGX41" s="7"/>
      <c r="SGY41" s="7"/>
      <c r="SGZ41" s="7"/>
      <c r="SHA41" s="7"/>
      <c r="SHB41" s="7"/>
      <c r="SHC41" s="7"/>
      <c r="SHD41" s="7"/>
      <c r="SHE41" s="7"/>
      <c r="SHF41" s="7"/>
      <c r="SHG41" s="7"/>
      <c r="SHH41" s="7"/>
      <c r="SHI41" s="7"/>
      <c r="SHJ41" s="7"/>
      <c r="SHK41" s="7"/>
      <c r="SHL41" s="7"/>
      <c r="SHM41" s="7"/>
      <c r="SHN41" s="7"/>
      <c r="SHO41" s="7"/>
      <c r="SHP41" s="7"/>
      <c r="SHQ41" s="7"/>
      <c r="SHR41" s="7"/>
      <c r="SHS41" s="7"/>
      <c r="SHT41" s="7"/>
      <c r="SHU41" s="7"/>
      <c r="SHV41" s="7"/>
      <c r="SHW41" s="7"/>
      <c r="SHX41" s="7"/>
      <c r="SHY41" s="7"/>
      <c r="SHZ41" s="7"/>
      <c r="SIA41" s="7"/>
      <c r="SIB41" s="7"/>
      <c r="SIC41" s="7"/>
      <c r="SID41" s="7"/>
      <c r="SIE41" s="7"/>
      <c r="SIF41" s="7"/>
      <c r="SIG41" s="7"/>
      <c r="SIH41" s="7"/>
      <c r="SII41" s="7"/>
      <c r="SIJ41" s="7"/>
      <c r="SIK41" s="7"/>
      <c r="SIL41" s="7"/>
      <c r="SIM41" s="7"/>
      <c r="SIN41" s="7"/>
      <c r="SIO41" s="7"/>
      <c r="SIP41" s="7"/>
      <c r="SIQ41" s="7"/>
      <c r="SIR41" s="7"/>
      <c r="SIS41" s="7"/>
      <c r="SIT41" s="7"/>
      <c r="SIU41" s="7"/>
      <c r="SIV41" s="7"/>
      <c r="SIW41" s="7"/>
      <c r="SIX41" s="7"/>
      <c r="SIY41" s="7"/>
      <c r="SIZ41" s="7"/>
      <c r="SJA41" s="7"/>
      <c r="SJB41" s="7"/>
      <c r="SJC41" s="7"/>
      <c r="SJD41" s="7"/>
      <c r="SJE41" s="7"/>
      <c r="SJF41" s="7"/>
      <c r="SJG41" s="7"/>
      <c r="SJH41" s="7"/>
      <c r="SJI41" s="7"/>
      <c r="SJJ41" s="7"/>
      <c r="SJK41" s="7"/>
      <c r="SJL41" s="7"/>
      <c r="SJM41" s="7"/>
      <c r="SJN41" s="7"/>
      <c r="SJO41" s="7"/>
      <c r="SJP41" s="7"/>
      <c r="SJQ41" s="7"/>
      <c r="SJR41" s="7"/>
      <c r="SJS41" s="7"/>
      <c r="SJT41" s="7"/>
      <c r="SJU41" s="7"/>
      <c r="SJV41" s="7"/>
      <c r="SJW41" s="7"/>
      <c r="SJX41" s="7"/>
      <c r="SJY41" s="7"/>
      <c r="SJZ41" s="7"/>
      <c r="SKA41" s="7"/>
      <c r="SKB41" s="7"/>
      <c r="SKC41" s="7"/>
      <c r="SKD41" s="7"/>
      <c r="SKE41" s="7"/>
      <c r="SKF41" s="7"/>
      <c r="SKG41" s="7"/>
      <c r="SKH41" s="7"/>
      <c r="SKI41" s="7"/>
      <c r="SKJ41" s="7"/>
      <c r="SKK41" s="7"/>
      <c r="SKL41" s="7"/>
      <c r="SKM41" s="7"/>
      <c r="SKN41" s="7"/>
      <c r="SKO41" s="7"/>
      <c r="SKP41" s="7"/>
      <c r="SKQ41" s="7"/>
      <c r="SKR41" s="7"/>
      <c r="SKS41" s="7"/>
      <c r="SKT41" s="7"/>
      <c r="SKU41" s="7"/>
      <c r="SKV41" s="7"/>
      <c r="SKW41" s="7"/>
      <c r="SKX41" s="7"/>
      <c r="SKY41" s="7"/>
      <c r="SKZ41" s="7"/>
      <c r="SLA41" s="7"/>
      <c r="SLB41" s="7"/>
      <c r="SLC41" s="7"/>
      <c r="SLD41" s="7"/>
      <c r="SLE41" s="7"/>
      <c r="SLF41" s="7"/>
      <c r="SLG41" s="7"/>
      <c r="SLH41" s="7"/>
      <c r="SLI41" s="7"/>
      <c r="SLJ41" s="7"/>
      <c r="SLK41" s="7"/>
      <c r="SLL41" s="7"/>
      <c r="SLM41" s="7"/>
      <c r="SLN41" s="7"/>
      <c r="SLO41" s="7"/>
      <c r="SLP41" s="7"/>
      <c r="SLQ41" s="7"/>
      <c r="SLR41" s="7"/>
      <c r="SLS41" s="7"/>
      <c r="SLT41" s="7"/>
      <c r="SLU41" s="7"/>
      <c r="SLV41" s="7"/>
      <c r="SLW41" s="7"/>
      <c r="SLX41" s="7"/>
      <c r="SLY41" s="7"/>
      <c r="SLZ41" s="7"/>
      <c r="SMA41" s="7"/>
      <c r="SMB41" s="7"/>
      <c r="SMC41" s="7"/>
      <c r="SMD41" s="7"/>
      <c r="SME41" s="7"/>
      <c r="SMF41" s="7"/>
      <c r="SMG41" s="7"/>
      <c r="SMH41" s="7"/>
      <c r="SMI41" s="7"/>
      <c r="SMJ41" s="7"/>
      <c r="SMK41" s="7"/>
      <c r="SML41" s="7"/>
      <c r="SMM41" s="7"/>
      <c r="SMN41" s="7"/>
      <c r="SMO41" s="7"/>
      <c r="SMP41" s="7"/>
      <c r="SMQ41" s="7"/>
      <c r="SMR41" s="7"/>
      <c r="SMS41" s="7"/>
      <c r="SMT41" s="7"/>
      <c r="SMU41" s="7"/>
      <c r="SMV41" s="7"/>
      <c r="SMW41" s="7"/>
      <c r="SMX41" s="7"/>
      <c r="SMY41" s="7"/>
      <c r="SMZ41" s="7"/>
      <c r="SNA41" s="7"/>
      <c r="SNB41" s="7"/>
      <c r="SNC41" s="7"/>
      <c r="SND41" s="7"/>
      <c r="SNE41" s="7"/>
      <c r="SNF41" s="7"/>
      <c r="SNG41" s="7"/>
      <c r="SNH41" s="7"/>
      <c r="SNI41" s="7"/>
      <c r="SNJ41" s="7"/>
      <c r="SNK41" s="7"/>
      <c r="SNL41" s="7"/>
      <c r="SNM41" s="7"/>
      <c r="SNN41" s="7"/>
      <c r="SNO41" s="7"/>
      <c r="SNP41" s="7"/>
      <c r="SNQ41" s="7"/>
      <c r="SNR41" s="7"/>
      <c r="SNS41" s="7"/>
      <c r="SNT41" s="7"/>
      <c r="SNU41" s="7"/>
      <c r="SNV41" s="7"/>
      <c r="SNW41" s="7"/>
      <c r="SNX41" s="7"/>
      <c r="SNY41" s="7"/>
      <c r="SNZ41" s="7"/>
      <c r="SOA41" s="7"/>
      <c r="SOB41" s="7"/>
      <c r="SOC41" s="7"/>
      <c r="SOD41" s="7"/>
      <c r="SOE41" s="7"/>
      <c r="SOF41" s="7"/>
      <c r="SOG41" s="7"/>
      <c r="SOH41" s="7"/>
      <c r="SOI41" s="7"/>
      <c r="SOJ41" s="7"/>
      <c r="SOK41" s="7"/>
      <c r="SOL41" s="7"/>
      <c r="SOM41" s="7"/>
      <c r="SON41" s="7"/>
      <c r="SOO41" s="7"/>
      <c r="SOP41" s="7"/>
      <c r="SOQ41" s="7"/>
      <c r="SOR41" s="7"/>
      <c r="SOS41" s="7"/>
      <c r="SOT41" s="7"/>
      <c r="SOU41" s="7"/>
      <c r="SOV41" s="7"/>
      <c r="SOW41" s="7"/>
      <c r="SOX41" s="7"/>
      <c r="SOY41" s="7"/>
      <c r="SOZ41" s="7"/>
      <c r="SPA41" s="7"/>
      <c r="SPB41" s="7"/>
      <c r="SPC41" s="7"/>
      <c r="SPD41" s="7"/>
      <c r="SPE41" s="7"/>
      <c r="SPF41" s="7"/>
      <c r="SPG41" s="7"/>
      <c r="SPH41" s="7"/>
      <c r="SPI41" s="7"/>
      <c r="SPJ41" s="7"/>
      <c r="SPK41" s="7"/>
      <c r="SPL41" s="7"/>
      <c r="SPM41" s="7"/>
      <c r="SPN41" s="7"/>
      <c r="SPO41" s="7"/>
      <c r="SPP41" s="7"/>
      <c r="SPQ41" s="7"/>
      <c r="SPR41" s="7"/>
      <c r="SPS41" s="7"/>
      <c r="SPT41" s="7"/>
      <c r="SPU41" s="7"/>
      <c r="SPV41" s="7"/>
      <c r="SPW41" s="7"/>
      <c r="SPX41" s="7"/>
      <c r="SPY41" s="7"/>
      <c r="SPZ41" s="7"/>
      <c r="SQA41" s="7"/>
      <c r="SQB41" s="7"/>
      <c r="SQC41" s="7"/>
      <c r="SQD41" s="7"/>
      <c r="SQE41" s="7"/>
      <c r="SQF41" s="7"/>
      <c r="SQG41" s="7"/>
      <c r="SQH41" s="7"/>
      <c r="SQI41" s="7"/>
      <c r="SQJ41" s="7"/>
      <c r="SQK41" s="7"/>
      <c r="SQL41" s="7"/>
      <c r="SQM41" s="7"/>
      <c r="SQN41" s="7"/>
      <c r="SQO41" s="7"/>
      <c r="SQP41" s="7"/>
      <c r="SQQ41" s="7"/>
      <c r="SQR41" s="7"/>
      <c r="SQS41" s="7"/>
      <c r="SQT41" s="7"/>
      <c r="SQU41" s="7"/>
      <c r="SQV41" s="7"/>
      <c r="SQW41" s="7"/>
      <c r="SQX41" s="7"/>
      <c r="SQY41" s="7"/>
      <c r="SQZ41" s="7"/>
      <c r="SRA41" s="7"/>
      <c r="SRB41" s="7"/>
      <c r="SRC41" s="7"/>
      <c r="SRD41" s="7"/>
      <c r="SRE41" s="7"/>
      <c r="SRF41" s="7"/>
      <c r="SRG41" s="7"/>
      <c r="SRH41" s="7"/>
      <c r="SRI41" s="7"/>
      <c r="SRJ41" s="7"/>
      <c r="SRK41" s="7"/>
      <c r="SRL41" s="7"/>
      <c r="SRM41" s="7"/>
      <c r="SRN41" s="7"/>
      <c r="SRO41" s="7"/>
      <c r="SRP41" s="7"/>
      <c r="SRQ41" s="7"/>
      <c r="SRR41" s="7"/>
      <c r="SRS41" s="7"/>
      <c r="SRT41" s="7"/>
      <c r="SRU41" s="7"/>
      <c r="SRV41" s="7"/>
      <c r="SRW41" s="7"/>
      <c r="SRX41" s="7"/>
      <c r="SRY41" s="7"/>
      <c r="SRZ41" s="7"/>
      <c r="SSA41" s="7"/>
      <c r="SSB41" s="7"/>
      <c r="SSC41" s="7"/>
      <c r="SSD41" s="7"/>
      <c r="SSE41" s="7"/>
      <c r="SSF41" s="7"/>
      <c r="SSG41" s="7"/>
      <c r="SSH41" s="7"/>
      <c r="SSI41" s="7"/>
      <c r="SSJ41" s="7"/>
      <c r="SSK41" s="7"/>
      <c r="SSL41" s="7"/>
      <c r="SSM41" s="7"/>
      <c r="SSN41" s="7"/>
      <c r="SSO41" s="7"/>
      <c r="SSP41" s="7"/>
      <c r="SSQ41" s="7"/>
      <c r="SSR41" s="7"/>
      <c r="SSS41" s="7"/>
      <c r="SST41" s="7"/>
      <c r="SSU41" s="7"/>
      <c r="SSV41" s="7"/>
      <c r="SSW41" s="7"/>
      <c r="SSX41" s="7"/>
      <c r="SSY41" s="7"/>
      <c r="SSZ41" s="7"/>
      <c r="STA41" s="7"/>
      <c r="STB41" s="7"/>
      <c r="STC41" s="7"/>
      <c r="STD41" s="7"/>
      <c r="STE41" s="7"/>
      <c r="STF41" s="7"/>
      <c r="STG41" s="7"/>
      <c r="STH41" s="7"/>
      <c r="STI41" s="7"/>
      <c r="STJ41" s="7"/>
      <c r="STK41" s="7"/>
      <c r="STL41" s="7"/>
      <c r="STM41" s="7"/>
      <c r="STN41" s="7"/>
      <c r="STO41" s="7"/>
      <c r="STP41" s="7"/>
      <c r="STQ41" s="7"/>
      <c r="STR41" s="7"/>
      <c r="STS41" s="7"/>
      <c r="STT41" s="7"/>
      <c r="STU41" s="7"/>
      <c r="STV41" s="7"/>
      <c r="STW41" s="7"/>
      <c r="STX41" s="7"/>
      <c r="STY41" s="7"/>
      <c r="STZ41" s="7"/>
      <c r="SUA41" s="7"/>
      <c r="SUB41" s="7"/>
      <c r="SUC41" s="7"/>
      <c r="SUD41" s="7"/>
      <c r="SUE41" s="7"/>
      <c r="SUF41" s="7"/>
      <c r="SUG41" s="7"/>
      <c r="SUH41" s="7"/>
      <c r="SUI41" s="7"/>
      <c r="SUJ41" s="7"/>
      <c r="SUK41" s="7"/>
      <c r="SUL41" s="7"/>
      <c r="SUM41" s="7"/>
      <c r="SUN41" s="7"/>
      <c r="SUO41" s="7"/>
      <c r="SUP41" s="7"/>
      <c r="SUQ41" s="7"/>
      <c r="SUR41" s="7"/>
      <c r="SUS41" s="7"/>
      <c r="SUT41" s="7"/>
      <c r="SUU41" s="7"/>
      <c r="SUV41" s="7"/>
      <c r="SUW41" s="7"/>
      <c r="SUX41" s="7"/>
      <c r="SUY41" s="7"/>
      <c r="SUZ41" s="7"/>
      <c r="SVA41" s="7"/>
      <c r="SVB41" s="7"/>
      <c r="SVC41" s="7"/>
      <c r="SVD41" s="7"/>
      <c r="SVE41" s="7"/>
      <c r="SVF41" s="7"/>
      <c r="SVG41" s="7"/>
      <c r="SVH41" s="7"/>
      <c r="SVI41" s="7"/>
      <c r="SVJ41" s="7"/>
      <c r="SVK41" s="7"/>
      <c r="SVL41" s="7"/>
      <c r="SVM41" s="7"/>
      <c r="SVN41" s="7"/>
      <c r="SVO41" s="7"/>
      <c r="SVP41" s="7"/>
      <c r="SVQ41" s="7"/>
      <c r="SVR41" s="7"/>
      <c r="SVS41" s="7"/>
      <c r="SVT41" s="7"/>
      <c r="SVU41" s="7"/>
      <c r="SVV41" s="7"/>
      <c r="SVW41" s="7"/>
      <c r="SVX41" s="7"/>
      <c r="SVY41" s="7"/>
      <c r="SVZ41" s="7"/>
      <c r="SWA41" s="7"/>
      <c r="SWB41" s="7"/>
      <c r="SWC41" s="7"/>
      <c r="SWD41" s="7"/>
      <c r="SWE41" s="7"/>
      <c r="SWF41" s="7"/>
      <c r="SWG41" s="7"/>
      <c r="SWH41" s="7"/>
      <c r="SWI41" s="7"/>
      <c r="SWJ41" s="7"/>
      <c r="SWK41" s="7"/>
      <c r="SWL41" s="7"/>
      <c r="SWM41" s="7"/>
      <c r="SWN41" s="7"/>
      <c r="SWO41" s="7"/>
      <c r="SWP41" s="7"/>
      <c r="SWQ41" s="7"/>
      <c r="SWR41" s="7"/>
      <c r="SWS41" s="7"/>
      <c r="SWT41" s="7"/>
      <c r="SWU41" s="7"/>
      <c r="SWV41" s="7"/>
      <c r="SWW41" s="7"/>
      <c r="SWX41" s="7"/>
      <c r="SWY41" s="7"/>
      <c r="SWZ41" s="7"/>
      <c r="SXA41" s="7"/>
      <c r="SXB41" s="7"/>
      <c r="SXC41" s="7"/>
      <c r="SXD41" s="7"/>
      <c r="SXE41" s="7"/>
      <c r="SXF41" s="7"/>
      <c r="SXG41" s="7"/>
      <c r="SXH41" s="7"/>
      <c r="SXI41" s="7"/>
      <c r="SXJ41" s="7"/>
      <c r="SXK41" s="7"/>
      <c r="SXL41" s="7"/>
      <c r="SXM41" s="7"/>
      <c r="SXN41" s="7"/>
      <c r="SXO41" s="7"/>
      <c r="SXP41" s="7"/>
      <c r="SXQ41" s="7"/>
      <c r="SXR41" s="7"/>
      <c r="SXS41" s="7"/>
      <c r="SXT41" s="7"/>
      <c r="SXU41" s="7"/>
      <c r="SXV41" s="7"/>
      <c r="SXW41" s="7"/>
      <c r="SXX41" s="7"/>
      <c r="SXY41" s="7"/>
      <c r="SXZ41" s="7"/>
      <c r="SYA41" s="7"/>
      <c r="SYB41" s="7"/>
      <c r="SYC41" s="7"/>
      <c r="SYD41" s="7"/>
      <c r="SYE41" s="7"/>
      <c r="SYF41" s="7"/>
      <c r="SYG41" s="7"/>
      <c r="SYH41" s="7"/>
      <c r="SYI41" s="7"/>
      <c r="SYJ41" s="7"/>
      <c r="SYK41" s="7"/>
      <c r="SYL41" s="7"/>
      <c r="SYM41" s="7"/>
      <c r="SYN41" s="7"/>
      <c r="SYO41" s="7"/>
      <c r="SYP41" s="7"/>
      <c r="SYQ41" s="7"/>
      <c r="SYR41" s="7"/>
      <c r="SYS41" s="7"/>
      <c r="SYT41" s="7"/>
      <c r="SYU41" s="7"/>
      <c r="SYV41" s="7"/>
      <c r="SYW41" s="7"/>
      <c r="SYX41" s="7"/>
      <c r="SYY41" s="7"/>
      <c r="SYZ41" s="7"/>
      <c r="SZA41" s="7"/>
      <c r="SZB41" s="7"/>
      <c r="SZC41" s="7"/>
      <c r="SZD41" s="7"/>
      <c r="SZE41" s="7"/>
      <c r="SZF41" s="7"/>
      <c r="SZG41" s="7"/>
      <c r="SZH41" s="7"/>
      <c r="SZI41" s="7"/>
      <c r="SZJ41" s="7"/>
      <c r="SZK41" s="7"/>
      <c r="SZL41" s="7"/>
      <c r="SZM41" s="7"/>
      <c r="SZN41" s="7"/>
      <c r="SZO41" s="7"/>
      <c r="SZP41" s="7"/>
      <c r="SZQ41" s="7"/>
      <c r="SZR41" s="7"/>
      <c r="SZS41" s="7"/>
      <c r="SZT41" s="7"/>
      <c r="SZU41" s="7"/>
      <c r="SZV41" s="7"/>
      <c r="SZW41" s="7"/>
      <c r="SZX41" s="7"/>
      <c r="SZY41" s="7"/>
      <c r="SZZ41" s="7"/>
      <c r="TAA41" s="7"/>
      <c r="TAB41" s="7"/>
      <c r="TAC41" s="7"/>
      <c r="TAD41" s="7"/>
      <c r="TAE41" s="7"/>
      <c r="TAF41" s="7"/>
      <c r="TAG41" s="7"/>
      <c r="TAH41" s="7"/>
      <c r="TAI41" s="7"/>
      <c r="TAJ41" s="7"/>
      <c r="TAK41" s="7"/>
      <c r="TAL41" s="7"/>
      <c r="TAM41" s="7"/>
      <c r="TAN41" s="7"/>
      <c r="TAO41" s="7"/>
      <c r="TAP41" s="7"/>
      <c r="TAQ41" s="7"/>
      <c r="TAR41" s="7"/>
      <c r="TAS41" s="7"/>
      <c r="TAT41" s="7"/>
      <c r="TAU41" s="7"/>
      <c r="TAV41" s="7"/>
      <c r="TAW41" s="7"/>
      <c r="TAX41" s="7"/>
      <c r="TAY41" s="7"/>
      <c r="TAZ41" s="7"/>
      <c r="TBA41" s="7"/>
      <c r="TBB41" s="7"/>
      <c r="TBC41" s="7"/>
      <c r="TBD41" s="7"/>
      <c r="TBE41" s="7"/>
      <c r="TBF41" s="7"/>
      <c r="TBG41" s="7"/>
      <c r="TBH41" s="7"/>
      <c r="TBI41" s="7"/>
      <c r="TBJ41" s="7"/>
      <c r="TBK41" s="7"/>
      <c r="TBL41" s="7"/>
      <c r="TBM41" s="7"/>
      <c r="TBN41" s="7"/>
      <c r="TBO41" s="7"/>
      <c r="TBP41" s="7"/>
      <c r="TBQ41" s="7"/>
      <c r="TBR41" s="7"/>
      <c r="TBS41" s="7"/>
      <c r="TBT41" s="7"/>
      <c r="TBU41" s="7"/>
      <c r="TBV41" s="7"/>
      <c r="TBW41" s="7"/>
      <c r="TBX41" s="7"/>
      <c r="TBY41" s="7"/>
      <c r="TBZ41" s="7"/>
      <c r="TCA41" s="7"/>
      <c r="TCB41" s="7"/>
      <c r="TCC41" s="7"/>
      <c r="TCD41" s="7"/>
      <c r="TCE41" s="7"/>
      <c r="TCF41" s="7"/>
      <c r="TCG41" s="7"/>
      <c r="TCH41" s="7"/>
      <c r="TCI41" s="7"/>
      <c r="TCJ41" s="7"/>
      <c r="TCK41" s="7"/>
      <c r="TCL41" s="7"/>
      <c r="TCM41" s="7"/>
      <c r="TCN41" s="7"/>
      <c r="TCO41" s="7"/>
      <c r="TCP41" s="7"/>
      <c r="TCQ41" s="7"/>
      <c r="TCR41" s="7"/>
      <c r="TCS41" s="7"/>
      <c r="TCT41" s="7"/>
      <c r="TCU41" s="7"/>
      <c r="TCV41" s="7"/>
      <c r="TCW41" s="7"/>
      <c r="TCX41" s="7"/>
      <c r="TCY41" s="7"/>
      <c r="TCZ41" s="7"/>
      <c r="TDA41" s="7"/>
      <c r="TDB41" s="7"/>
      <c r="TDC41" s="7"/>
      <c r="TDD41" s="7"/>
      <c r="TDE41" s="7"/>
      <c r="TDF41" s="7"/>
      <c r="TDG41" s="7"/>
      <c r="TDH41" s="7"/>
      <c r="TDI41" s="7"/>
      <c r="TDJ41" s="7"/>
      <c r="TDK41" s="7"/>
      <c r="TDL41" s="7"/>
      <c r="TDM41" s="7"/>
      <c r="TDN41" s="7"/>
      <c r="TDO41" s="7"/>
      <c r="TDP41" s="7"/>
      <c r="TDQ41" s="7"/>
      <c r="TDR41" s="7"/>
      <c r="TDS41" s="7"/>
      <c r="TDT41" s="7"/>
      <c r="TDU41" s="7"/>
      <c r="TDV41" s="7"/>
      <c r="TDW41" s="7"/>
      <c r="TDX41" s="7"/>
      <c r="TDY41" s="7"/>
      <c r="TDZ41" s="7"/>
      <c r="TEA41" s="7"/>
      <c r="TEB41" s="7"/>
      <c r="TEC41" s="7"/>
      <c r="TED41" s="7"/>
      <c r="TEE41" s="7"/>
      <c r="TEF41" s="7"/>
      <c r="TEG41" s="7"/>
      <c r="TEH41" s="7"/>
      <c r="TEI41" s="7"/>
      <c r="TEJ41" s="7"/>
      <c r="TEK41" s="7"/>
      <c r="TEL41" s="7"/>
      <c r="TEM41" s="7"/>
      <c r="TEN41" s="7"/>
      <c r="TEO41" s="7"/>
      <c r="TEP41" s="7"/>
      <c r="TEQ41" s="7"/>
      <c r="TER41" s="7"/>
      <c r="TES41" s="7"/>
      <c r="TET41" s="7"/>
      <c r="TEU41" s="7"/>
      <c r="TEV41" s="7"/>
      <c r="TEW41" s="7"/>
      <c r="TEX41" s="7"/>
      <c r="TEY41" s="7"/>
      <c r="TEZ41" s="7"/>
      <c r="TFA41" s="7"/>
      <c r="TFB41" s="7"/>
      <c r="TFC41" s="7"/>
      <c r="TFD41" s="7"/>
      <c r="TFE41" s="7"/>
      <c r="TFF41" s="7"/>
      <c r="TFG41" s="7"/>
      <c r="TFH41" s="7"/>
      <c r="TFI41" s="7"/>
      <c r="TFJ41" s="7"/>
      <c r="TFK41" s="7"/>
      <c r="TFL41" s="7"/>
      <c r="TFM41" s="7"/>
      <c r="TFN41" s="7"/>
      <c r="TFO41" s="7"/>
      <c r="TFP41" s="7"/>
      <c r="TFQ41" s="7"/>
      <c r="TFR41" s="7"/>
      <c r="TFS41" s="7"/>
      <c r="TFT41" s="7"/>
      <c r="TFU41" s="7"/>
      <c r="TFV41" s="7"/>
      <c r="TFW41" s="7"/>
      <c r="TFX41" s="7"/>
      <c r="TFY41" s="7"/>
      <c r="TFZ41" s="7"/>
      <c r="TGA41" s="7"/>
      <c r="TGB41" s="7"/>
      <c r="TGC41" s="7"/>
      <c r="TGD41" s="7"/>
      <c r="TGE41" s="7"/>
      <c r="TGF41" s="7"/>
      <c r="TGG41" s="7"/>
      <c r="TGH41" s="7"/>
      <c r="TGI41" s="7"/>
      <c r="TGJ41" s="7"/>
      <c r="TGK41" s="7"/>
      <c r="TGL41" s="7"/>
      <c r="TGM41" s="7"/>
      <c r="TGN41" s="7"/>
      <c r="TGO41" s="7"/>
      <c r="TGP41" s="7"/>
      <c r="TGQ41" s="7"/>
      <c r="TGR41" s="7"/>
      <c r="TGS41" s="7"/>
      <c r="TGT41" s="7"/>
      <c r="TGU41" s="7"/>
      <c r="TGV41" s="7"/>
      <c r="TGW41" s="7"/>
      <c r="TGX41" s="7"/>
      <c r="TGY41" s="7"/>
      <c r="TGZ41" s="7"/>
      <c r="THA41" s="7"/>
      <c r="THB41" s="7"/>
      <c r="THC41" s="7"/>
      <c r="THD41" s="7"/>
      <c r="THE41" s="7"/>
      <c r="THF41" s="7"/>
      <c r="THG41" s="7"/>
      <c r="THH41" s="7"/>
      <c r="THI41" s="7"/>
      <c r="THJ41" s="7"/>
      <c r="THK41" s="7"/>
      <c r="THL41" s="7"/>
      <c r="THM41" s="7"/>
      <c r="THN41" s="7"/>
      <c r="THO41" s="7"/>
      <c r="THP41" s="7"/>
      <c r="THQ41" s="7"/>
      <c r="THR41" s="7"/>
      <c r="THS41" s="7"/>
      <c r="THT41" s="7"/>
      <c r="THU41" s="7"/>
      <c r="THV41" s="7"/>
      <c r="THW41" s="7"/>
      <c r="THX41" s="7"/>
      <c r="THY41" s="7"/>
      <c r="THZ41" s="7"/>
      <c r="TIA41" s="7"/>
      <c r="TIB41" s="7"/>
      <c r="TIC41" s="7"/>
      <c r="TID41" s="7"/>
      <c r="TIE41" s="7"/>
      <c r="TIF41" s="7"/>
      <c r="TIG41" s="7"/>
      <c r="TIH41" s="7"/>
      <c r="TII41" s="7"/>
      <c r="TIJ41" s="7"/>
      <c r="TIK41" s="7"/>
      <c r="TIL41" s="7"/>
      <c r="TIM41" s="7"/>
      <c r="TIN41" s="7"/>
      <c r="TIO41" s="7"/>
      <c r="TIP41" s="7"/>
      <c r="TIQ41" s="7"/>
      <c r="TIR41" s="7"/>
      <c r="TIS41" s="7"/>
      <c r="TIT41" s="7"/>
      <c r="TIU41" s="7"/>
      <c r="TIV41" s="7"/>
      <c r="TIW41" s="7"/>
      <c r="TIX41" s="7"/>
      <c r="TIY41" s="7"/>
      <c r="TIZ41" s="7"/>
      <c r="TJA41" s="7"/>
      <c r="TJB41" s="7"/>
      <c r="TJC41" s="7"/>
      <c r="TJD41" s="7"/>
      <c r="TJE41" s="7"/>
      <c r="TJF41" s="7"/>
      <c r="TJG41" s="7"/>
      <c r="TJH41" s="7"/>
      <c r="TJI41" s="7"/>
      <c r="TJJ41" s="7"/>
      <c r="TJK41" s="7"/>
      <c r="TJL41" s="7"/>
      <c r="TJM41" s="7"/>
      <c r="TJN41" s="7"/>
      <c r="TJO41" s="7"/>
      <c r="TJP41" s="7"/>
      <c r="TJQ41" s="7"/>
      <c r="TJR41" s="7"/>
      <c r="TJS41" s="7"/>
      <c r="TJT41" s="7"/>
      <c r="TJU41" s="7"/>
      <c r="TJV41" s="7"/>
      <c r="TJW41" s="7"/>
      <c r="TJX41" s="7"/>
      <c r="TJY41" s="7"/>
      <c r="TJZ41" s="7"/>
      <c r="TKA41" s="7"/>
      <c r="TKB41" s="7"/>
      <c r="TKC41" s="7"/>
      <c r="TKD41" s="7"/>
      <c r="TKE41" s="7"/>
      <c r="TKF41" s="7"/>
      <c r="TKG41" s="7"/>
      <c r="TKH41" s="7"/>
      <c r="TKI41" s="7"/>
      <c r="TKJ41" s="7"/>
      <c r="TKK41" s="7"/>
      <c r="TKL41" s="7"/>
      <c r="TKM41" s="7"/>
      <c r="TKN41" s="7"/>
      <c r="TKO41" s="7"/>
      <c r="TKP41" s="7"/>
      <c r="TKQ41" s="7"/>
      <c r="TKR41" s="7"/>
      <c r="TKS41" s="7"/>
      <c r="TKT41" s="7"/>
      <c r="TKU41" s="7"/>
      <c r="TKV41" s="7"/>
      <c r="TKW41" s="7"/>
      <c r="TKX41" s="7"/>
      <c r="TKY41" s="7"/>
      <c r="TKZ41" s="7"/>
      <c r="TLA41" s="7"/>
      <c r="TLB41" s="7"/>
      <c r="TLC41" s="7"/>
      <c r="TLD41" s="7"/>
      <c r="TLE41" s="7"/>
      <c r="TLF41" s="7"/>
      <c r="TLG41" s="7"/>
      <c r="TLH41" s="7"/>
      <c r="TLI41" s="7"/>
      <c r="TLJ41" s="7"/>
      <c r="TLK41" s="7"/>
      <c r="TLL41" s="7"/>
      <c r="TLM41" s="7"/>
      <c r="TLN41" s="7"/>
      <c r="TLO41" s="7"/>
      <c r="TLP41" s="7"/>
      <c r="TLQ41" s="7"/>
      <c r="TLR41" s="7"/>
      <c r="TLS41" s="7"/>
      <c r="TLT41" s="7"/>
      <c r="TLU41" s="7"/>
      <c r="TLV41" s="7"/>
      <c r="TLW41" s="7"/>
      <c r="TLX41" s="7"/>
      <c r="TLY41" s="7"/>
      <c r="TLZ41" s="7"/>
      <c r="TMA41" s="7"/>
      <c r="TMB41" s="7"/>
      <c r="TMC41" s="7"/>
      <c r="TMD41" s="7"/>
      <c r="TME41" s="7"/>
      <c r="TMF41" s="7"/>
      <c r="TMG41" s="7"/>
      <c r="TMH41" s="7"/>
      <c r="TMI41" s="7"/>
      <c r="TMJ41" s="7"/>
      <c r="TMK41" s="7"/>
      <c r="TML41" s="7"/>
      <c r="TMM41" s="7"/>
      <c r="TMN41" s="7"/>
      <c r="TMO41" s="7"/>
      <c r="TMP41" s="7"/>
      <c r="TMQ41" s="7"/>
      <c r="TMR41" s="7"/>
      <c r="TMS41" s="7"/>
      <c r="TMT41" s="7"/>
      <c r="TMU41" s="7"/>
      <c r="TMV41" s="7"/>
      <c r="TMW41" s="7"/>
      <c r="TMX41" s="7"/>
      <c r="TMY41" s="7"/>
      <c r="TMZ41" s="7"/>
      <c r="TNA41" s="7"/>
      <c r="TNB41" s="7"/>
      <c r="TNC41" s="7"/>
      <c r="TND41" s="7"/>
      <c r="TNE41" s="7"/>
      <c r="TNF41" s="7"/>
      <c r="TNG41" s="7"/>
      <c r="TNH41" s="7"/>
      <c r="TNI41" s="7"/>
      <c r="TNJ41" s="7"/>
      <c r="TNK41" s="7"/>
      <c r="TNL41" s="7"/>
      <c r="TNM41" s="7"/>
      <c r="TNN41" s="7"/>
      <c r="TNO41" s="7"/>
      <c r="TNP41" s="7"/>
      <c r="TNQ41" s="7"/>
      <c r="TNR41" s="7"/>
      <c r="TNS41" s="7"/>
      <c r="TNT41" s="7"/>
      <c r="TNU41" s="7"/>
      <c r="TNV41" s="7"/>
      <c r="TNW41" s="7"/>
      <c r="TNX41" s="7"/>
      <c r="TNY41" s="7"/>
      <c r="TNZ41" s="7"/>
      <c r="TOA41" s="7"/>
      <c r="TOB41" s="7"/>
      <c r="TOC41" s="7"/>
      <c r="TOD41" s="7"/>
      <c r="TOE41" s="7"/>
      <c r="TOF41" s="7"/>
      <c r="TOG41" s="7"/>
      <c r="TOH41" s="7"/>
      <c r="TOI41" s="7"/>
      <c r="TOJ41" s="7"/>
      <c r="TOK41" s="7"/>
      <c r="TOL41" s="7"/>
      <c r="TOM41" s="7"/>
      <c r="TON41" s="7"/>
      <c r="TOO41" s="7"/>
      <c r="TOP41" s="7"/>
      <c r="TOQ41" s="7"/>
      <c r="TOR41" s="7"/>
      <c r="TOS41" s="7"/>
      <c r="TOT41" s="7"/>
      <c r="TOU41" s="7"/>
      <c r="TOV41" s="7"/>
      <c r="TOW41" s="7"/>
      <c r="TOX41" s="7"/>
      <c r="TOY41" s="7"/>
      <c r="TOZ41" s="7"/>
      <c r="TPA41" s="7"/>
      <c r="TPB41" s="7"/>
      <c r="TPC41" s="7"/>
      <c r="TPD41" s="7"/>
      <c r="TPE41" s="7"/>
      <c r="TPF41" s="7"/>
      <c r="TPG41" s="7"/>
      <c r="TPH41" s="7"/>
      <c r="TPI41" s="7"/>
      <c r="TPJ41" s="7"/>
      <c r="TPK41" s="7"/>
      <c r="TPL41" s="7"/>
      <c r="TPM41" s="7"/>
      <c r="TPN41" s="7"/>
      <c r="TPO41" s="7"/>
      <c r="TPP41" s="7"/>
      <c r="TPQ41" s="7"/>
      <c r="TPR41" s="7"/>
      <c r="TPS41" s="7"/>
      <c r="TPT41" s="7"/>
      <c r="TPU41" s="7"/>
      <c r="TPV41" s="7"/>
      <c r="TPW41" s="7"/>
      <c r="TPX41" s="7"/>
      <c r="TPY41" s="7"/>
      <c r="TPZ41" s="7"/>
      <c r="TQA41" s="7"/>
      <c r="TQB41" s="7"/>
      <c r="TQC41" s="7"/>
      <c r="TQD41" s="7"/>
      <c r="TQE41" s="7"/>
      <c r="TQF41" s="7"/>
      <c r="TQG41" s="7"/>
      <c r="TQH41" s="7"/>
      <c r="TQI41" s="7"/>
      <c r="TQJ41" s="7"/>
      <c r="TQK41" s="7"/>
      <c r="TQL41" s="7"/>
      <c r="TQM41" s="7"/>
      <c r="TQN41" s="7"/>
      <c r="TQO41" s="7"/>
      <c r="TQP41" s="7"/>
      <c r="TQQ41" s="7"/>
      <c r="TQR41" s="7"/>
      <c r="TQS41" s="7"/>
      <c r="TQT41" s="7"/>
      <c r="TQU41" s="7"/>
      <c r="TQV41" s="7"/>
      <c r="TQW41" s="7"/>
      <c r="TQX41" s="7"/>
      <c r="TQY41" s="7"/>
      <c r="TQZ41" s="7"/>
      <c r="TRA41" s="7"/>
      <c r="TRB41" s="7"/>
      <c r="TRC41" s="7"/>
      <c r="TRD41" s="7"/>
      <c r="TRE41" s="7"/>
      <c r="TRF41" s="7"/>
      <c r="TRG41" s="7"/>
      <c r="TRH41" s="7"/>
      <c r="TRI41" s="7"/>
      <c r="TRJ41" s="7"/>
      <c r="TRK41" s="7"/>
      <c r="TRL41" s="7"/>
      <c r="TRM41" s="7"/>
      <c r="TRN41" s="7"/>
      <c r="TRO41" s="7"/>
      <c r="TRP41" s="7"/>
      <c r="TRQ41" s="7"/>
      <c r="TRR41" s="7"/>
      <c r="TRS41" s="7"/>
      <c r="TRT41" s="7"/>
      <c r="TRU41" s="7"/>
      <c r="TRV41" s="7"/>
      <c r="TRW41" s="7"/>
      <c r="TRX41" s="7"/>
      <c r="TRY41" s="7"/>
      <c r="TRZ41" s="7"/>
      <c r="TSA41" s="7"/>
      <c r="TSB41" s="7"/>
      <c r="TSC41" s="7"/>
      <c r="TSD41" s="7"/>
      <c r="TSE41" s="7"/>
      <c r="TSF41" s="7"/>
      <c r="TSG41" s="7"/>
      <c r="TSH41" s="7"/>
      <c r="TSI41" s="7"/>
      <c r="TSJ41" s="7"/>
      <c r="TSK41" s="7"/>
      <c r="TSL41" s="7"/>
      <c r="TSM41" s="7"/>
      <c r="TSN41" s="7"/>
      <c r="TSO41" s="7"/>
      <c r="TSP41" s="7"/>
      <c r="TSQ41" s="7"/>
      <c r="TSR41" s="7"/>
      <c r="TSS41" s="7"/>
      <c r="TST41" s="7"/>
      <c r="TSU41" s="7"/>
      <c r="TSV41" s="7"/>
      <c r="TSW41" s="7"/>
      <c r="TSX41" s="7"/>
      <c r="TSY41" s="7"/>
      <c r="TSZ41" s="7"/>
      <c r="TTA41" s="7"/>
      <c r="TTB41" s="7"/>
      <c r="TTC41" s="7"/>
      <c r="TTD41" s="7"/>
      <c r="TTE41" s="7"/>
      <c r="TTF41" s="7"/>
      <c r="TTG41" s="7"/>
      <c r="TTH41" s="7"/>
      <c r="TTI41" s="7"/>
      <c r="TTJ41" s="7"/>
      <c r="TTK41" s="7"/>
      <c r="TTL41" s="7"/>
      <c r="TTM41" s="7"/>
      <c r="TTN41" s="7"/>
      <c r="TTO41" s="7"/>
      <c r="TTP41" s="7"/>
      <c r="TTQ41" s="7"/>
      <c r="TTR41" s="7"/>
      <c r="TTS41" s="7"/>
      <c r="TTT41" s="7"/>
      <c r="TTU41" s="7"/>
      <c r="TTV41" s="7"/>
      <c r="TTW41" s="7"/>
      <c r="TTX41" s="7"/>
      <c r="TTY41" s="7"/>
      <c r="TTZ41" s="7"/>
      <c r="TUA41" s="7"/>
      <c r="TUB41" s="7"/>
      <c r="TUC41" s="7"/>
      <c r="TUD41" s="7"/>
      <c r="TUE41" s="7"/>
      <c r="TUF41" s="7"/>
      <c r="TUG41" s="7"/>
      <c r="TUH41" s="7"/>
      <c r="TUI41" s="7"/>
      <c r="TUJ41" s="7"/>
      <c r="TUK41" s="7"/>
      <c r="TUL41" s="7"/>
      <c r="TUM41" s="7"/>
      <c r="TUN41" s="7"/>
      <c r="TUO41" s="7"/>
      <c r="TUP41" s="7"/>
      <c r="TUQ41" s="7"/>
      <c r="TUR41" s="7"/>
      <c r="TUS41" s="7"/>
      <c r="TUT41" s="7"/>
      <c r="TUU41" s="7"/>
      <c r="TUV41" s="7"/>
      <c r="TUW41" s="7"/>
      <c r="TUX41" s="7"/>
      <c r="TUY41" s="7"/>
      <c r="TUZ41" s="7"/>
      <c r="TVA41" s="7"/>
      <c r="TVB41" s="7"/>
      <c r="TVC41" s="7"/>
      <c r="TVD41" s="7"/>
      <c r="TVE41" s="7"/>
      <c r="TVF41" s="7"/>
      <c r="TVG41" s="7"/>
      <c r="TVH41" s="7"/>
      <c r="TVI41" s="7"/>
      <c r="TVJ41" s="7"/>
      <c r="TVK41" s="7"/>
      <c r="TVL41" s="7"/>
      <c r="TVM41" s="7"/>
      <c r="TVN41" s="7"/>
      <c r="TVO41" s="7"/>
      <c r="TVP41" s="7"/>
      <c r="TVQ41" s="7"/>
      <c r="TVR41" s="7"/>
      <c r="TVS41" s="7"/>
      <c r="TVT41" s="7"/>
      <c r="TVU41" s="7"/>
      <c r="TVV41" s="7"/>
      <c r="TVW41" s="7"/>
      <c r="TVX41" s="7"/>
      <c r="TVY41" s="7"/>
      <c r="TVZ41" s="7"/>
      <c r="TWA41" s="7"/>
      <c r="TWB41" s="7"/>
      <c r="TWC41" s="7"/>
      <c r="TWD41" s="7"/>
      <c r="TWE41" s="7"/>
      <c r="TWF41" s="7"/>
      <c r="TWG41" s="7"/>
      <c r="TWH41" s="7"/>
      <c r="TWI41" s="7"/>
      <c r="TWJ41" s="7"/>
      <c r="TWK41" s="7"/>
      <c r="TWL41" s="7"/>
      <c r="TWM41" s="7"/>
      <c r="TWN41" s="7"/>
      <c r="TWO41" s="7"/>
      <c r="TWP41" s="7"/>
      <c r="TWQ41" s="7"/>
      <c r="TWR41" s="7"/>
      <c r="TWS41" s="7"/>
      <c r="TWT41" s="7"/>
      <c r="TWU41" s="7"/>
      <c r="TWV41" s="7"/>
      <c r="TWW41" s="7"/>
      <c r="TWX41" s="7"/>
      <c r="TWY41" s="7"/>
      <c r="TWZ41" s="7"/>
      <c r="TXA41" s="7"/>
      <c r="TXB41" s="7"/>
      <c r="TXC41" s="7"/>
      <c r="TXD41" s="7"/>
      <c r="TXE41" s="7"/>
      <c r="TXF41" s="7"/>
      <c r="TXG41" s="7"/>
      <c r="TXH41" s="7"/>
      <c r="TXI41" s="7"/>
      <c r="TXJ41" s="7"/>
      <c r="TXK41" s="7"/>
      <c r="TXL41" s="7"/>
      <c r="TXM41" s="7"/>
      <c r="TXN41" s="7"/>
      <c r="TXO41" s="7"/>
      <c r="TXP41" s="7"/>
      <c r="TXQ41" s="7"/>
      <c r="TXR41" s="7"/>
      <c r="TXS41" s="7"/>
      <c r="TXT41" s="7"/>
      <c r="TXU41" s="7"/>
      <c r="TXV41" s="7"/>
      <c r="TXW41" s="7"/>
      <c r="TXX41" s="7"/>
      <c r="TXY41" s="7"/>
      <c r="TXZ41" s="7"/>
      <c r="TYA41" s="7"/>
      <c r="TYB41" s="7"/>
      <c r="TYC41" s="7"/>
      <c r="TYD41" s="7"/>
      <c r="TYE41" s="7"/>
      <c r="TYF41" s="7"/>
      <c r="TYG41" s="7"/>
      <c r="TYH41" s="7"/>
      <c r="TYI41" s="7"/>
      <c r="TYJ41" s="7"/>
      <c r="TYK41" s="7"/>
      <c r="TYL41" s="7"/>
      <c r="TYM41" s="7"/>
      <c r="TYN41" s="7"/>
      <c r="TYO41" s="7"/>
      <c r="TYP41" s="7"/>
      <c r="TYQ41" s="7"/>
      <c r="TYR41" s="7"/>
      <c r="TYS41" s="7"/>
      <c r="TYT41" s="7"/>
      <c r="TYU41" s="7"/>
      <c r="TYV41" s="7"/>
      <c r="TYW41" s="7"/>
      <c r="TYX41" s="7"/>
      <c r="TYY41" s="7"/>
      <c r="TYZ41" s="7"/>
      <c r="TZA41" s="7"/>
      <c r="TZB41" s="7"/>
      <c r="TZC41" s="7"/>
      <c r="TZD41" s="7"/>
      <c r="TZE41" s="7"/>
      <c r="TZF41" s="7"/>
      <c r="TZG41" s="7"/>
      <c r="TZH41" s="7"/>
      <c r="TZI41" s="7"/>
      <c r="TZJ41" s="7"/>
      <c r="TZK41" s="7"/>
      <c r="TZL41" s="7"/>
      <c r="TZM41" s="7"/>
      <c r="TZN41" s="7"/>
      <c r="TZO41" s="7"/>
      <c r="TZP41" s="7"/>
      <c r="TZQ41" s="7"/>
      <c r="TZR41" s="7"/>
      <c r="TZS41" s="7"/>
      <c r="TZT41" s="7"/>
      <c r="TZU41" s="7"/>
      <c r="TZV41" s="7"/>
      <c r="TZW41" s="7"/>
      <c r="TZX41" s="7"/>
      <c r="TZY41" s="7"/>
      <c r="TZZ41" s="7"/>
      <c r="UAA41" s="7"/>
      <c r="UAB41" s="7"/>
      <c r="UAC41" s="7"/>
      <c r="UAD41" s="7"/>
      <c r="UAE41" s="7"/>
      <c r="UAF41" s="7"/>
      <c r="UAG41" s="7"/>
      <c r="UAH41" s="7"/>
      <c r="UAI41" s="7"/>
      <c r="UAJ41" s="7"/>
      <c r="UAK41" s="7"/>
      <c r="UAL41" s="7"/>
      <c r="UAM41" s="7"/>
      <c r="UAN41" s="7"/>
      <c r="UAO41" s="7"/>
      <c r="UAP41" s="7"/>
      <c r="UAQ41" s="7"/>
      <c r="UAR41" s="7"/>
      <c r="UAS41" s="7"/>
      <c r="UAT41" s="7"/>
      <c r="UAU41" s="7"/>
      <c r="UAV41" s="7"/>
      <c r="UAW41" s="7"/>
      <c r="UAX41" s="7"/>
      <c r="UAY41" s="7"/>
      <c r="UAZ41" s="7"/>
      <c r="UBA41" s="7"/>
      <c r="UBB41" s="7"/>
      <c r="UBC41" s="7"/>
      <c r="UBD41" s="7"/>
      <c r="UBE41" s="7"/>
      <c r="UBF41" s="7"/>
      <c r="UBG41" s="7"/>
      <c r="UBH41" s="7"/>
      <c r="UBI41" s="7"/>
      <c r="UBJ41" s="7"/>
      <c r="UBK41" s="7"/>
      <c r="UBL41" s="7"/>
      <c r="UBM41" s="7"/>
      <c r="UBN41" s="7"/>
      <c r="UBO41" s="7"/>
      <c r="UBP41" s="7"/>
      <c r="UBQ41" s="7"/>
      <c r="UBR41" s="7"/>
      <c r="UBS41" s="7"/>
      <c r="UBT41" s="7"/>
      <c r="UBU41" s="7"/>
      <c r="UBV41" s="7"/>
      <c r="UBW41" s="7"/>
      <c r="UBX41" s="7"/>
      <c r="UBY41" s="7"/>
      <c r="UBZ41" s="7"/>
      <c r="UCA41" s="7"/>
      <c r="UCB41" s="7"/>
      <c r="UCC41" s="7"/>
      <c r="UCD41" s="7"/>
      <c r="UCE41" s="7"/>
      <c r="UCF41" s="7"/>
      <c r="UCG41" s="7"/>
      <c r="UCH41" s="7"/>
      <c r="UCI41" s="7"/>
      <c r="UCJ41" s="7"/>
      <c r="UCK41" s="7"/>
      <c r="UCL41" s="7"/>
      <c r="UCM41" s="7"/>
      <c r="UCN41" s="7"/>
      <c r="UCO41" s="7"/>
      <c r="UCP41" s="7"/>
      <c r="UCQ41" s="7"/>
      <c r="UCR41" s="7"/>
      <c r="UCS41" s="7"/>
      <c r="UCT41" s="7"/>
      <c r="UCU41" s="7"/>
      <c r="UCV41" s="7"/>
      <c r="UCW41" s="7"/>
      <c r="UCX41" s="7"/>
      <c r="UCY41" s="7"/>
      <c r="UCZ41" s="7"/>
      <c r="UDA41" s="7"/>
      <c r="UDB41" s="7"/>
      <c r="UDC41" s="7"/>
      <c r="UDD41" s="7"/>
      <c r="UDE41" s="7"/>
      <c r="UDF41" s="7"/>
      <c r="UDG41" s="7"/>
      <c r="UDH41" s="7"/>
      <c r="UDI41" s="7"/>
      <c r="UDJ41" s="7"/>
      <c r="UDK41" s="7"/>
      <c r="UDL41" s="7"/>
      <c r="UDM41" s="7"/>
      <c r="UDN41" s="7"/>
      <c r="UDO41" s="7"/>
      <c r="UDP41" s="7"/>
      <c r="UDQ41" s="7"/>
      <c r="UDR41" s="7"/>
      <c r="UDS41" s="7"/>
      <c r="UDT41" s="7"/>
      <c r="UDU41" s="7"/>
      <c r="UDV41" s="7"/>
      <c r="UDW41" s="7"/>
      <c r="UDX41" s="7"/>
      <c r="UDY41" s="7"/>
      <c r="UDZ41" s="7"/>
      <c r="UEA41" s="7"/>
      <c r="UEB41" s="7"/>
      <c r="UEC41" s="7"/>
      <c r="UED41" s="7"/>
      <c r="UEE41" s="7"/>
      <c r="UEF41" s="7"/>
      <c r="UEG41" s="7"/>
      <c r="UEH41" s="7"/>
      <c r="UEI41" s="7"/>
      <c r="UEJ41" s="7"/>
      <c r="UEK41" s="7"/>
      <c r="UEL41" s="7"/>
      <c r="UEM41" s="7"/>
      <c r="UEN41" s="7"/>
      <c r="UEO41" s="7"/>
      <c r="UEP41" s="7"/>
      <c r="UEQ41" s="7"/>
      <c r="UER41" s="7"/>
      <c r="UES41" s="7"/>
      <c r="UET41" s="7"/>
      <c r="UEU41" s="7"/>
      <c r="UEV41" s="7"/>
      <c r="UEW41" s="7"/>
      <c r="UEX41" s="7"/>
      <c r="UEY41" s="7"/>
      <c r="UEZ41" s="7"/>
      <c r="UFA41" s="7"/>
      <c r="UFB41" s="7"/>
      <c r="UFC41" s="7"/>
      <c r="UFD41" s="7"/>
      <c r="UFE41" s="7"/>
      <c r="UFF41" s="7"/>
      <c r="UFG41" s="7"/>
      <c r="UFH41" s="7"/>
      <c r="UFI41" s="7"/>
      <c r="UFJ41" s="7"/>
      <c r="UFK41" s="7"/>
      <c r="UFL41" s="7"/>
      <c r="UFM41" s="7"/>
      <c r="UFN41" s="7"/>
      <c r="UFO41" s="7"/>
      <c r="UFP41" s="7"/>
      <c r="UFQ41" s="7"/>
      <c r="UFR41" s="7"/>
      <c r="UFS41" s="7"/>
      <c r="UFT41" s="7"/>
      <c r="UFU41" s="7"/>
      <c r="UFV41" s="7"/>
      <c r="UFW41" s="7"/>
      <c r="UFX41" s="7"/>
      <c r="UFY41" s="7"/>
      <c r="UFZ41" s="7"/>
      <c r="UGA41" s="7"/>
      <c r="UGB41" s="7"/>
      <c r="UGC41" s="7"/>
      <c r="UGD41" s="7"/>
      <c r="UGE41" s="7"/>
      <c r="UGF41" s="7"/>
      <c r="UGG41" s="7"/>
      <c r="UGH41" s="7"/>
      <c r="UGI41" s="7"/>
      <c r="UGJ41" s="7"/>
      <c r="UGK41" s="7"/>
      <c r="UGL41" s="7"/>
      <c r="UGM41" s="7"/>
      <c r="UGN41" s="7"/>
      <c r="UGO41" s="7"/>
      <c r="UGP41" s="7"/>
      <c r="UGQ41" s="7"/>
      <c r="UGR41" s="7"/>
      <c r="UGS41" s="7"/>
      <c r="UGT41" s="7"/>
      <c r="UGU41" s="7"/>
      <c r="UGV41" s="7"/>
      <c r="UGW41" s="7"/>
      <c r="UGX41" s="7"/>
      <c r="UGY41" s="7"/>
      <c r="UGZ41" s="7"/>
      <c r="UHA41" s="7"/>
      <c r="UHB41" s="7"/>
      <c r="UHC41" s="7"/>
      <c r="UHD41" s="7"/>
      <c r="UHE41" s="7"/>
      <c r="UHF41" s="7"/>
      <c r="UHG41" s="7"/>
      <c r="UHH41" s="7"/>
      <c r="UHI41" s="7"/>
      <c r="UHJ41" s="7"/>
      <c r="UHK41" s="7"/>
      <c r="UHL41" s="7"/>
      <c r="UHM41" s="7"/>
      <c r="UHN41" s="7"/>
      <c r="UHO41" s="7"/>
      <c r="UHP41" s="7"/>
      <c r="UHQ41" s="7"/>
      <c r="UHR41" s="7"/>
      <c r="UHS41" s="7"/>
      <c r="UHT41" s="7"/>
      <c r="UHU41" s="7"/>
      <c r="UHV41" s="7"/>
      <c r="UHW41" s="7"/>
      <c r="UHX41" s="7"/>
      <c r="UHY41" s="7"/>
      <c r="UHZ41" s="7"/>
      <c r="UIA41" s="7"/>
      <c r="UIB41" s="7"/>
      <c r="UIC41" s="7"/>
      <c r="UID41" s="7"/>
      <c r="UIE41" s="7"/>
      <c r="UIF41" s="7"/>
      <c r="UIG41" s="7"/>
      <c r="UIH41" s="7"/>
      <c r="UII41" s="7"/>
      <c r="UIJ41" s="7"/>
      <c r="UIK41" s="7"/>
      <c r="UIL41" s="7"/>
      <c r="UIM41" s="7"/>
      <c r="UIN41" s="7"/>
      <c r="UIO41" s="7"/>
      <c r="UIP41" s="7"/>
      <c r="UIQ41" s="7"/>
      <c r="UIR41" s="7"/>
      <c r="UIS41" s="7"/>
      <c r="UIT41" s="7"/>
      <c r="UIU41" s="7"/>
      <c r="UIV41" s="7"/>
      <c r="UIW41" s="7"/>
      <c r="UIX41" s="7"/>
      <c r="UIY41" s="7"/>
      <c r="UIZ41" s="7"/>
      <c r="UJA41" s="7"/>
      <c r="UJB41" s="7"/>
      <c r="UJC41" s="7"/>
      <c r="UJD41" s="7"/>
      <c r="UJE41" s="7"/>
      <c r="UJF41" s="7"/>
      <c r="UJG41" s="7"/>
      <c r="UJH41" s="7"/>
      <c r="UJI41" s="7"/>
      <c r="UJJ41" s="7"/>
      <c r="UJK41" s="7"/>
      <c r="UJL41" s="7"/>
      <c r="UJM41" s="7"/>
      <c r="UJN41" s="7"/>
      <c r="UJO41" s="7"/>
      <c r="UJP41" s="7"/>
      <c r="UJQ41" s="7"/>
      <c r="UJR41" s="7"/>
      <c r="UJS41" s="7"/>
      <c r="UJT41" s="7"/>
      <c r="UJU41" s="7"/>
      <c r="UJV41" s="7"/>
      <c r="UJW41" s="7"/>
      <c r="UJX41" s="7"/>
      <c r="UJY41" s="7"/>
      <c r="UJZ41" s="7"/>
      <c r="UKA41" s="7"/>
      <c r="UKB41" s="7"/>
      <c r="UKC41" s="7"/>
      <c r="UKD41" s="7"/>
      <c r="UKE41" s="7"/>
      <c r="UKF41" s="7"/>
      <c r="UKG41" s="7"/>
      <c r="UKH41" s="7"/>
      <c r="UKI41" s="7"/>
      <c r="UKJ41" s="7"/>
      <c r="UKK41" s="7"/>
      <c r="UKL41" s="7"/>
      <c r="UKM41" s="7"/>
      <c r="UKN41" s="7"/>
      <c r="UKO41" s="7"/>
      <c r="UKP41" s="7"/>
      <c r="UKQ41" s="7"/>
      <c r="UKR41" s="7"/>
      <c r="UKS41" s="7"/>
      <c r="UKT41" s="7"/>
      <c r="UKU41" s="7"/>
      <c r="UKV41" s="7"/>
      <c r="UKW41" s="7"/>
      <c r="UKX41" s="7"/>
      <c r="UKY41" s="7"/>
      <c r="UKZ41" s="7"/>
      <c r="ULA41" s="7"/>
      <c r="ULB41" s="7"/>
      <c r="ULC41" s="7"/>
      <c r="ULD41" s="7"/>
      <c r="ULE41" s="7"/>
      <c r="ULF41" s="7"/>
      <c r="ULG41" s="7"/>
      <c r="ULH41" s="7"/>
      <c r="ULI41" s="7"/>
      <c r="ULJ41" s="7"/>
      <c r="ULK41" s="7"/>
      <c r="ULL41" s="7"/>
      <c r="ULM41" s="7"/>
      <c r="ULN41" s="7"/>
      <c r="ULO41" s="7"/>
      <c r="ULP41" s="7"/>
      <c r="ULQ41" s="7"/>
      <c r="ULR41" s="7"/>
      <c r="ULS41" s="7"/>
      <c r="ULT41" s="7"/>
      <c r="ULU41" s="7"/>
      <c r="ULV41" s="7"/>
      <c r="ULW41" s="7"/>
      <c r="ULX41" s="7"/>
      <c r="ULY41" s="7"/>
      <c r="ULZ41" s="7"/>
      <c r="UMA41" s="7"/>
      <c r="UMB41" s="7"/>
      <c r="UMC41" s="7"/>
      <c r="UMD41" s="7"/>
      <c r="UME41" s="7"/>
      <c r="UMF41" s="7"/>
      <c r="UMG41" s="7"/>
      <c r="UMH41" s="7"/>
      <c r="UMI41" s="7"/>
      <c r="UMJ41" s="7"/>
      <c r="UMK41" s="7"/>
      <c r="UML41" s="7"/>
      <c r="UMM41" s="7"/>
      <c r="UMN41" s="7"/>
      <c r="UMO41" s="7"/>
      <c r="UMP41" s="7"/>
      <c r="UMQ41" s="7"/>
      <c r="UMR41" s="7"/>
      <c r="UMS41" s="7"/>
      <c r="UMT41" s="7"/>
      <c r="UMU41" s="7"/>
      <c r="UMV41" s="7"/>
      <c r="UMW41" s="7"/>
      <c r="UMX41" s="7"/>
      <c r="UMY41" s="7"/>
      <c r="UMZ41" s="7"/>
      <c r="UNA41" s="7"/>
      <c r="UNB41" s="7"/>
      <c r="UNC41" s="7"/>
      <c r="UND41" s="7"/>
      <c r="UNE41" s="7"/>
      <c r="UNF41" s="7"/>
      <c r="UNG41" s="7"/>
      <c r="UNH41" s="7"/>
      <c r="UNI41" s="7"/>
      <c r="UNJ41" s="7"/>
      <c r="UNK41" s="7"/>
      <c r="UNL41" s="7"/>
      <c r="UNM41" s="7"/>
      <c r="UNN41" s="7"/>
      <c r="UNO41" s="7"/>
      <c r="UNP41" s="7"/>
      <c r="UNQ41" s="7"/>
      <c r="UNR41" s="7"/>
      <c r="UNS41" s="7"/>
      <c r="UNT41" s="7"/>
      <c r="UNU41" s="7"/>
      <c r="UNV41" s="7"/>
      <c r="UNW41" s="7"/>
      <c r="UNX41" s="7"/>
      <c r="UNY41" s="7"/>
      <c r="UNZ41" s="7"/>
      <c r="UOA41" s="7"/>
      <c r="UOB41" s="7"/>
      <c r="UOC41" s="7"/>
      <c r="UOD41" s="7"/>
      <c r="UOE41" s="7"/>
      <c r="UOF41" s="7"/>
      <c r="UOG41" s="7"/>
      <c r="UOH41" s="7"/>
      <c r="UOI41" s="7"/>
      <c r="UOJ41" s="7"/>
      <c r="UOK41" s="7"/>
      <c r="UOL41" s="7"/>
      <c r="UOM41" s="7"/>
      <c r="UON41" s="7"/>
      <c r="UOO41" s="7"/>
      <c r="UOP41" s="7"/>
      <c r="UOQ41" s="7"/>
      <c r="UOR41" s="7"/>
      <c r="UOS41" s="7"/>
      <c r="UOT41" s="7"/>
      <c r="UOU41" s="7"/>
      <c r="UOV41" s="7"/>
      <c r="UOW41" s="7"/>
      <c r="UOX41" s="7"/>
      <c r="UOY41" s="7"/>
      <c r="UOZ41" s="7"/>
      <c r="UPA41" s="7"/>
      <c r="UPB41" s="7"/>
      <c r="UPC41" s="7"/>
      <c r="UPD41" s="7"/>
      <c r="UPE41" s="7"/>
      <c r="UPF41" s="7"/>
      <c r="UPG41" s="7"/>
      <c r="UPH41" s="7"/>
      <c r="UPI41" s="7"/>
      <c r="UPJ41" s="7"/>
      <c r="UPK41" s="7"/>
      <c r="UPL41" s="7"/>
      <c r="UPM41" s="7"/>
      <c r="UPN41" s="7"/>
      <c r="UPO41" s="7"/>
      <c r="UPP41" s="7"/>
      <c r="UPQ41" s="7"/>
      <c r="UPR41" s="7"/>
      <c r="UPS41" s="7"/>
      <c r="UPT41" s="7"/>
      <c r="UPU41" s="7"/>
      <c r="UPV41" s="7"/>
      <c r="UPW41" s="7"/>
      <c r="UPX41" s="7"/>
      <c r="UPY41" s="7"/>
      <c r="UPZ41" s="7"/>
      <c r="UQA41" s="7"/>
      <c r="UQB41" s="7"/>
      <c r="UQC41" s="7"/>
      <c r="UQD41" s="7"/>
      <c r="UQE41" s="7"/>
      <c r="UQF41" s="7"/>
      <c r="UQG41" s="7"/>
      <c r="UQH41" s="7"/>
      <c r="UQI41" s="7"/>
      <c r="UQJ41" s="7"/>
      <c r="UQK41" s="7"/>
      <c r="UQL41" s="7"/>
      <c r="UQM41" s="7"/>
      <c r="UQN41" s="7"/>
      <c r="UQO41" s="7"/>
      <c r="UQP41" s="7"/>
      <c r="UQQ41" s="7"/>
      <c r="UQR41" s="7"/>
      <c r="UQS41" s="7"/>
      <c r="UQT41" s="7"/>
      <c r="UQU41" s="7"/>
      <c r="UQV41" s="7"/>
      <c r="UQW41" s="7"/>
      <c r="UQX41" s="7"/>
      <c r="UQY41" s="7"/>
      <c r="UQZ41" s="7"/>
      <c r="URA41" s="7"/>
      <c r="URB41" s="7"/>
      <c r="URC41" s="7"/>
      <c r="URD41" s="7"/>
      <c r="URE41" s="7"/>
      <c r="URF41" s="7"/>
      <c r="URG41" s="7"/>
      <c r="URH41" s="7"/>
      <c r="URI41" s="7"/>
      <c r="URJ41" s="7"/>
      <c r="URK41" s="7"/>
      <c r="URL41" s="7"/>
      <c r="URM41" s="7"/>
      <c r="URN41" s="7"/>
      <c r="URO41" s="7"/>
      <c r="URP41" s="7"/>
      <c r="URQ41" s="7"/>
      <c r="URR41" s="7"/>
      <c r="URS41" s="7"/>
      <c r="URT41" s="7"/>
      <c r="URU41" s="7"/>
      <c r="URV41" s="7"/>
      <c r="URW41" s="7"/>
      <c r="URX41" s="7"/>
      <c r="URY41" s="7"/>
      <c r="URZ41" s="7"/>
      <c r="USA41" s="7"/>
      <c r="USB41" s="7"/>
      <c r="USC41" s="7"/>
      <c r="USD41" s="7"/>
      <c r="USE41" s="7"/>
      <c r="USF41" s="7"/>
      <c r="USG41" s="7"/>
      <c r="USH41" s="7"/>
      <c r="USI41" s="7"/>
      <c r="USJ41" s="7"/>
      <c r="USK41" s="7"/>
      <c r="USL41" s="7"/>
      <c r="USM41" s="7"/>
      <c r="USN41" s="7"/>
      <c r="USO41" s="7"/>
      <c r="USP41" s="7"/>
      <c r="USQ41" s="7"/>
      <c r="USR41" s="7"/>
      <c r="USS41" s="7"/>
      <c r="UST41" s="7"/>
      <c r="USU41" s="7"/>
      <c r="USV41" s="7"/>
      <c r="USW41" s="7"/>
      <c r="USX41" s="7"/>
      <c r="USY41" s="7"/>
      <c r="USZ41" s="7"/>
      <c r="UTA41" s="7"/>
      <c r="UTB41" s="7"/>
      <c r="UTC41" s="7"/>
      <c r="UTD41" s="7"/>
      <c r="UTE41" s="7"/>
      <c r="UTF41" s="7"/>
      <c r="UTG41" s="7"/>
      <c r="UTH41" s="7"/>
      <c r="UTI41" s="7"/>
      <c r="UTJ41" s="7"/>
      <c r="UTK41" s="7"/>
      <c r="UTL41" s="7"/>
      <c r="UTM41" s="7"/>
      <c r="UTN41" s="7"/>
      <c r="UTO41" s="7"/>
      <c r="UTP41" s="7"/>
      <c r="UTQ41" s="7"/>
      <c r="UTR41" s="7"/>
      <c r="UTS41" s="7"/>
      <c r="UTT41" s="7"/>
      <c r="UTU41" s="7"/>
      <c r="UTV41" s="7"/>
      <c r="UTW41" s="7"/>
      <c r="UTX41" s="7"/>
      <c r="UTY41" s="7"/>
      <c r="UTZ41" s="7"/>
      <c r="UUA41" s="7"/>
      <c r="UUB41" s="7"/>
      <c r="UUC41" s="7"/>
      <c r="UUD41" s="7"/>
      <c r="UUE41" s="7"/>
      <c r="UUF41" s="7"/>
      <c r="UUG41" s="7"/>
      <c r="UUH41" s="7"/>
      <c r="UUI41" s="7"/>
      <c r="UUJ41" s="7"/>
      <c r="UUK41" s="7"/>
      <c r="UUL41" s="7"/>
      <c r="UUM41" s="7"/>
      <c r="UUN41" s="7"/>
      <c r="UUO41" s="7"/>
      <c r="UUP41" s="7"/>
      <c r="UUQ41" s="7"/>
      <c r="UUR41" s="7"/>
      <c r="UUS41" s="7"/>
      <c r="UUT41" s="7"/>
      <c r="UUU41" s="7"/>
      <c r="UUV41" s="7"/>
      <c r="UUW41" s="7"/>
      <c r="UUX41" s="7"/>
      <c r="UUY41" s="7"/>
      <c r="UUZ41" s="7"/>
      <c r="UVA41" s="7"/>
      <c r="UVB41" s="7"/>
      <c r="UVC41" s="7"/>
      <c r="UVD41" s="7"/>
      <c r="UVE41" s="7"/>
      <c r="UVF41" s="7"/>
      <c r="UVG41" s="7"/>
      <c r="UVH41" s="7"/>
      <c r="UVI41" s="7"/>
      <c r="UVJ41" s="7"/>
      <c r="UVK41" s="7"/>
      <c r="UVL41" s="7"/>
      <c r="UVM41" s="7"/>
      <c r="UVN41" s="7"/>
      <c r="UVO41" s="7"/>
      <c r="UVP41" s="7"/>
      <c r="UVQ41" s="7"/>
      <c r="UVR41" s="7"/>
      <c r="UVS41" s="7"/>
      <c r="UVT41" s="7"/>
      <c r="UVU41" s="7"/>
      <c r="UVV41" s="7"/>
      <c r="UVW41" s="7"/>
      <c r="UVX41" s="7"/>
      <c r="UVY41" s="7"/>
      <c r="UVZ41" s="7"/>
      <c r="UWA41" s="7"/>
      <c r="UWB41" s="7"/>
      <c r="UWC41" s="7"/>
      <c r="UWD41" s="7"/>
      <c r="UWE41" s="7"/>
      <c r="UWF41" s="7"/>
      <c r="UWG41" s="7"/>
      <c r="UWH41" s="7"/>
      <c r="UWI41" s="7"/>
      <c r="UWJ41" s="7"/>
      <c r="UWK41" s="7"/>
      <c r="UWL41" s="7"/>
      <c r="UWM41" s="7"/>
      <c r="UWN41" s="7"/>
      <c r="UWO41" s="7"/>
      <c r="UWP41" s="7"/>
      <c r="UWQ41" s="7"/>
      <c r="UWR41" s="7"/>
      <c r="UWS41" s="7"/>
      <c r="UWT41" s="7"/>
      <c r="UWU41" s="7"/>
      <c r="UWV41" s="7"/>
      <c r="UWW41" s="7"/>
      <c r="UWX41" s="7"/>
      <c r="UWY41" s="7"/>
      <c r="UWZ41" s="7"/>
      <c r="UXA41" s="7"/>
      <c r="UXB41" s="7"/>
      <c r="UXC41" s="7"/>
      <c r="UXD41" s="7"/>
      <c r="UXE41" s="7"/>
      <c r="UXF41" s="7"/>
      <c r="UXG41" s="7"/>
      <c r="UXH41" s="7"/>
      <c r="UXI41" s="7"/>
      <c r="UXJ41" s="7"/>
      <c r="UXK41" s="7"/>
      <c r="UXL41" s="7"/>
      <c r="UXM41" s="7"/>
      <c r="UXN41" s="7"/>
      <c r="UXO41" s="7"/>
      <c r="UXP41" s="7"/>
      <c r="UXQ41" s="7"/>
      <c r="UXR41" s="7"/>
      <c r="UXS41" s="7"/>
      <c r="UXT41" s="7"/>
      <c r="UXU41" s="7"/>
      <c r="UXV41" s="7"/>
      <c r="UXW41" s="7"/>
      <c r="UXX41" s="7"/>
      <c r="UXY41" s="7"/>
      <c r="UXZ41" s="7"/>
      <c r="UYA41" s="7"/>
      <c r="UYB41" s="7"/>
      <c r="UYC41" s="7"/>
      <c r="UYD41" s="7"/>
      <c r="UYE41" s="7"/>
      <c r="UYF41" s="7"/>
      <c r="UYG41" s="7"/>
      <c r="UYH41" s="7"/>
      <c r="UYI41" s="7"/>
      <c r="UYJ41" s="7"/>
      <c r="UYK41" s="7"/>
      <c r="UYL41" s="7"/>
      <c r="UYM41" s="7"/>
      <c r="UYN41" s="7"/>
      <c r="UYO41" s="7"/>
      <c r="UYP41" s="7"/>
      <c r="UYQ41" s="7"/>
      <c r="UYR41" s="7"/>
      <c r="UYS41" s="7"/>
      <c r="UYT41" s="7"/>
      <c r="UYU41" s="7"/>
      <c r="UYV41" s="7"/>
      <c r="UYW41" s="7"/>
      <c r="UYX41" s="7"/>
      <c r="UYY41" s="7"/>
      <c r="UYZ41" s="7"/>
      <c r="UZA41" s="7"/>
      <c r="UZB41" s="7"/>
      <c r="UZC41" s="7"/>
      <c r="UZD41" s="7"/>
      <c r="UZE41" s="7"/>
      <c r="UZF41" s="7"/>
      <c r="UZG41" s="7"/>
      <c r="UZH41" s="7"/>
      <c r="UZI41" s="7"/>
      <c r="UZJ41" s="7"/>
      <c r="UZK41" s="7"/>
      <c r="UZL41" s="7"/>
      <c r="UZM41" s="7"/>
      <c r="UZN41" s="7"/>
      <c r="UZO41" s="7"/>
      <c r="UZP41" s="7"/>
      <c r="UZQ41" s="7"/>
      <c r="UZR41" s="7"/>
      <c r="UZS41" s="7"/>
      <c r="UZT41" s="7"/>
      <c r="UZU41" s="7"/>
      <c r="UZV41" s="7"/>
      <c r="UZW41" s="7"/>
      <c r="UZX41" s="7"/>
      <c r="UZY41" s="7"/>
      <c r="UZZ41" s="7"/>
      <c r="VAA41" s="7"/>
      <c r="VAB41" s="7"/>
      <c r="VAC41" s="7"/>
      <c r="VAD41" s="7"/>
      <c r="VAE41" s="7"/>
      <c r="VAF41" s="7"/>
      <c r="VAG41" s="7"/>
      <c r="VAH41" s="7"/>
      <c r="VAI41" s="7"/>
      <c r="VAJ41" s="7"/>
      <c r="VAK41" s="7"/>
      <c r="VAL41" s="7"/>
      <c r="VAM41" s="7"/>
      <c r="VAN41" s="7"/>
      <c r="VAO41" s="7"/>
      <c r="VAP41" s="7"/>
      <c r="VAQ41" s="7"/>
      <c r="VAR41" s="7"/>
      <c r="VAS41" s="7"/>
      <c r="VAT41" s="7"/>
      <c r="VAU41" s="7"/>
      <c r="VAV41" s="7"/>
      <c r="VAW41" s="7"/>
      <c r="VAX41" s="7"/>
      <c r="VAY41" s="7"/>
      <c r="VAZ41" s="7"/>
      <c r="VBA41" s="7"/>
      <c r="VBB41" s="7"/>
      <c r="VBC41" s="7"/>
      <c r="VBD41" s="7"/>
      <c r="VBE41" s="7"/>
      <c r="VBF41" s="7"/>
      <c r="VBG41" s="7"/>
      <c r="VBH41" s="7"/>
      <c r="VBI41" s="7"/>
      <c r="VBJ41" s="7"/>
      <c r="VBK41" s="7"/>
      <c r="VBL41" s="7"/>
      <c r="VBM41" s="7"/>
      <c r="VBN41" s="7"/>
      <c r="VBO41" s="7"/>
      <c r="VBP41" s="7"/>
      <c r="VBQ41" s="7"/>
      <c r="VBR41" s="7"/>
      <c r="VBS41" s="7"/>
      <c r="VBT41" s="7"/>
      <c r="VBU41" s="7"/>
      <c r="VBV41" s="7"/>
      <c r="VBW41" s="7"/>
      <c r="VBX41" s="7"/>
      <c r="VBY41" s="7"/>
      <c r="VBZ41" s="7"/>
      <c r="VCA41" s="7"/>
      <c r="VCB41" s="7"/>
      <c r="VCC41" s="7"/>
      <c r="VCD41" s="7"/>
      <c r="VCE41" s="7"/>
      <c r="VCF41" s="7"/>
      <c r="VCG41" s="7"/>
      <c r="VCH41" s="7"/>
      <c r="VCI41" s="7"/>
      <c r="VCJ41" s="7"/>
      <c r="VCK41" s="7"/>
      <c r="VCL41" s="7"/>
      <c r="VCM41" s="7"/>
      <c r="VCN41" s="7"/>
      <c r="VCO41" s="7"/>
      <c r="VCP41" s="7"/>
      <c r="VCQ41" s="7"/>
      <c r="VCR41" s="7"/>
      <c r="VCS41" s="7"/>
      <c r="VCT41" s="7"/>
      <c r="VCU41" s="7"/>
      <c r="VCV41" s="7"/>
      <c r="VCW41" s="7"/>
      <c r="VCX41" s="7"/>
      <c r="VCY41" s="7"/>
      <c r="VCZ41" s="7"/>
      <c r="VDA41" s="7"/>
      <c r="VDB41" s="7"/>
      <c r="VDC41" s="7"/>
      <c r="VDD41" s="7"/>
      <c r="VDE41" s="7"/>
      <c r="VDF41" s="7"/>
      <c r="VDG41" s="7"/>
      <c r="VDH41" s="7"/>
      <c r="VDI41" s="7"/>
      <c r="VDJ41" s="7"/>
      <c r="VDK41" s="7"/>
      <c r="VDL41" s="7"/>
      <c r="VDM41" s="7"/>
      <c r="VDN41" s="7"/>
      <c r="VDO41" s="7"/>
      <c r="VDP41" s="7"/>
      <c r="VDQ41" s="7"/>
      <c r="VDR41" s="7"/>
      <c r="VDS41" s="7"/>
      <c r="VDT41" s="7"/>
      <c r="VDU41" s="7"/>
      <c r="VDV41" s="7"/>
      <c r="VDW41" s="7"/>
      <c r="VDX41" s="7"/>
      <c r="VDY41" s="7"/>
      <c r="VDZ41" s="7"/>
      <c r="VEA41" s="7"/>
      <c r="VEB41" s="7"/>
      <c r="VEC41" s="7"/>
      <c r="VED41" s="7"/>
      <c r="VEE41" s="7"/>
      <c r="VEF41" s="7"/>
      <c r="VEG41" s="7"/>
      <c r="VEH41" s="7"/>
      <c r="VEI41" s="7"/>
      <c r="VEJ41" s="7"/>
      <c r="VEK41" s="7"/>
      <c r="VEL41" s="7"/>
      <c r="VEM41" s="7"/>
      <c r="VEN41" s="7"/>
      <c r="VEO41" s="7"/>
      <c r="VEP41" s="7"/>
      <c r="VEQ41" s="7"/>
      <c r="VER41" s="7"/>
      <c r="VES41" s="7"/>
      <c r="VET41" s="7"/>
      <c r="VEU41" s="7"/>
      <c r="VEV41" s="7"/>
      <c r="VEW41" s="7"/>
      <c r="VEX41" s="7"/>
      <c r="VEY41" s="7"/>
      <c r="VEZ41" s="7"/>
      <c r="VFA41" s="7"/>
      <c r="VFB41" s="7"/>
      <c r="VFC41" s="7"/>
      <c r="VFD41" s="7"/>
      <c r="VFE41" s="7"/>
      <c r="VFF41" s="7"/>
      <c r="VFG41" s="7"/>
      <c r="VFH41" s="7"/>
      <c r="VFI41" s="7"/>
      <c r="VFJ41" s="7"/>
      <c r="VFK41" s="7"/>
      <c r="VFL41" s="7"/>
      <c r="VFM41" s="7"/>
      <c r="VFN41" s="7"/>
      <c r="VFO41" s="7"/>
      <c r="VFP41" s="7"/>
      <c r="VFQ41" s="7"/>
      <c r="VFR41" s="7"/>
      <c r="VFS41" s="7"/>
      <c r="VFT41" s="7"/>
      <c r="VFU41" s="7"/>
      <c r="VFV41" s="7"/>
      <c r="VFW41" s="7"/>
      <c r="VFX41" s="7"/>
      <c r="VFY41" s="7"/>
      <c r="VFZ41" s="7"/>
      <c r="VGA41" s="7"/>
      <c r="VGB41" s="7"/>
      <c r="VGC41" s="7"/>
      <c r="VGD41" s="7"/>
      <c r="VGE41" s="7"/>
      <c r="VGF41" s="7"/>
      <c r="VGG41" s="7"/>
      <c r="VGH41" s="7"/>
      <c r="VGI41" s="7"/>
      <c r="VGJ41" s="7"/>
      <c r="VGK41" s="7"/>
      <c r="VGL41" s="7"/>
      <c r="VGM41" s="7"/>
      <c r="VGN41" s="7"/>
      <c r="VGO41" s="7"/>
      <c r="VGP41" s="7"/>
      <c r="VGQ41" s="7"/>
      <c r="VGR41" s="7"/>
      <c r="VGS41" s="7"/>
      <c r="VGT41" s="7"/>
      <c r="VGU41" s="7"/>
      <c r="VGV41" s="7"/>
      <c r="VGW41" s="7"/>
      <c r="VGX41" s="7"/>
      <c r="VGY41" s="7"/>
      <c r="VGZ41" s="7"/>
      <c r="VHA41" s="7"/>
      <c r="VHB41" s="7"/>
      <c r="VHC41" s="7"/>
      <c r="VHD41" s="7"/>
      <c r="VHE41" s="7"/>
      <c r="VHF41" s="7"/>
      <c r="VHG41" s="7"/>
      <c r="VHH41" s="7"/>
      <c r="VHI41" s="7"/>
      <c r="VHJ41" s="7"/>
      <c r="VHK41" s="7"/>
      <c r="VHL41" s="7"/>
      <c r="VHM41" s="7"/>
      <c r="VHN41" s="7"/>
      <c r="VHO41" s="7"/>
      <c r="VHP41" s="7"/>
      <c r="VHQ41" s="7"/>
      <c r="VHR41" s="7"/>
      <c r="VHS41" s="7"/>
      <c r="VHT41" s="7"/>
      <c r="VHU41" s="7"/>
      <c r="VHV41" s="7"/>
      <c r="VHW41" s="7"/>
      <c r="VHX41" s="7"/>
      <c r="VHY41" s="7"/>
      <c r="VHZ41" s="7"/>
      <c r="VIA41" s="7"/>
      <c r="VIB41" s="7"/>
      <c r="VIC41" s="7"/>
      <c r="VID41" s="7"/>
      <c r="VIE41" s="7"/>
      <c r="VIF41" s="7"/>
      <c r="VIG41" s="7"/>
      <c r="VIH41" s="7"/>
      <c r="VII41" s="7"/>
      <c r="VIJ41" s="7"/>
      <c r="VIK41" s="7"/>
      <c r="VIL41" s="7"/>
      <c r="VIM41" s="7"/>
      <c r="VIN41" s="7"/>
      <c r="VIO41" s="7"/>
      <c r="VIP41" s="7"/>
      <c r="VIQ41" s="7"/>
      <c r="VIR41" s="7"/>
      <c r="VIS41" s="7"/>
      <c r="VIT41" s="7"/>
      <c r="VIU41" s="7"/>
      <c r="VIV41" s="7"/>
      <c r="VIW41" s="7"/>
      <c r="VIX41" s="7"/>
      <c r="VIY41" s="7"/>
      <c r="VIZ41" s="7"/>
      <c r="VJA41" s="7"/>
      <c r="VJB41" s="7"/>
      <c r="VJC41" s="7"/>
      <c r="VJD41" s="7"/>
      <c r="VJE41" s="7"/>
      <c r="VJF41" s="7"/>
      <c r="VJG41" s="7"/>
      <c r="VJH41" s="7"/>
      <c r="VJI41" s="7"/>
      <c r="VJJ41" s="7"/>
      <c r="VJK41" s="7"/>
      <c r="VJL41" s="7"/>
      <c r="VJM41" s="7"/>
      <c r="VJN41" s="7"/>
      <c r="VJO41" s="7"/>
      <c r="VJP41" s="7"/>
      <c r="VJQ41" s="7"/>
      <c r="VJR41" s="7"/>
      <c r="VJS41" s="7"/>
      <c r="VJT41" s="7"/>
      <c r="VJU41" s="7"/>
      <c r="VJV41" s="7"/>
      <c r="VJW41" s="7"/>
      <c r="VJX41" s="7"/>
      <c r="VJY41" s="7"/>
      <c r="VJZ41" s="7"/>
      <c r="VKA41" s="7"/>
      <c r="VKB41" s="7"/>
      <c r="VKC41" s="7"/>
      <c r="VKD41" s="7"/>
      <c r="VKE41" s="7"/>
      <c r="VKF41" s="7"/>
      <c r="VKG41" s="7"/>
      <c r="VKH41" s="7"/>
      <c r="VKI41" s="7"/>
      <c r="VKJ41" s="7"/>
      <c r="VKK41" s="7"/>
      <c r="VKL41" s="7"/>
      <c r="VKM41" s="7"/>
      <c r="VKN41" s="7"/>
      <c r="VKO41" s="7"/>
      <c r="VKP41" s="7"/>
      <c r="VKQ41" s="7"/>
      <c r="VKR41" s="7"/>
      <c r="VKS41" s="7"/>
      <c r="VKT41" s="7"/>
      <c r="VKU41" s="7"/>
      <c r="VKV41" s="7"/>
      <c r="VKW41" s="7"/>
      <c r="VKX41" s="7"/>
      <c r="VKY41" s="7"/>
      <c r="VKZ41" s="7"/>
      <c r="VLA41" s="7"/>
      <c r="VLB41" s="7"/>
      <c r="VLC41" s="7"/>
      <c r="VLD41" s="7"/>
      <c r="VLE41" s="7"/>
      <c r="VLF41" s="7"/>
      <c r="VLG41" s="7"/>
      <c r="VLH41" s="7"/>
      <c r="VLI41" s="7"/>
      <c r="VLJ41" s="7"/>
      <c r="VLK41" s="7"/>
      <c r="VLL41" s="7"/>
      <c r="VLM41" s="7"/>
      <c r="VLN41" s="7"/>
      <c r="VLO41" s="7"/>
      <c r="VLP41" s="7"/>
      <c r="VLQ41" s="7"/>
      <c r="VLR41" s="7"/>
      <c r="VLS41" s="7"/>
      <c r="VLT41" s="7"/>
      <c r="VLU41" s="7"/>
      <c r="VLV41" s="7"/>
      <c r="VLW41" s="7"/>
      <c r="VLX41" s="7"/>
      <c r="VLY41" s="7"/>
      <c r="VLZ41" s="7"/>
      <c r="VMA41" s="7"/>
      <c r="VMB41" s="7"/>
      <c r="VMC41" s="7"/>
      <c r="VMD41" s="7"/>
      <c r="VME41" s="7"/>
      <c r="VMF41" s="7"/>
      <c r="VMG41" s="7"/>
      <c r="VMH41" s="7"/>
      <c r="VMI41" s="7"/>
      <c r="VMJ41" s="7"/>
      <c r="VMK41" s="7"/>
      <c r="VML41" s="7"/>
      <c r="VMM41" s="7"/>
      <c r="VMN41" s="7"/>
      <c r="VMO41" s="7"/>
      <c r="VMP41" s="7"/>
      <c r="VMQ41" s="7"/>
      <c r="VMR41" s="7"/>
      <c r="VMS41" s="7"/>
      <c r="VMT41" s="7"/>
      <c r="VMU41" s="7"/>
      <c r="VMV41" s="7"/>
      <c r="VMW41" s="7"/>
      <c r="VMX41" s="7"/>
      <c r="VMY41" s="7"/>
      <c r="VMZ41" s="7"/>
      <c r="VNA41" s="7"/>
      <c r="VNB41" s="7"/>
      <c r="VNC41" s="7"/>
      <c r="VND41" s="7"/>
      <c r="VNE41" s="7"/>
      <c r="VNF41" s="7"/>
      <c r="VNG41" s="7"/>
      <c r="VNH41" s="7"/>
      <c r="VNI41" s="7"/>
      <c r="VNJ41" s="7"/>
      <c r="VNK41" s="7"/>
      <c r="VNL41" s="7"/>
      <c r="VNM41" s="7"/>
      <c r="VNN41" s="7"/>
      <c r="VNO41" s="7"/>
      <c r="VNP41" s="7"/>
      <c r="VNQ41" s="7"/>
      <c r="VNR41" s="7"/>
      <c r="VNS41" s="7"/>
      <c r="VNT41" s="7"/>
      <c r="VNU41" s="7"/>
      <c r="VNV41" s="7"/>
      <c r="VNW41" s="7"/>
      <c r="VNX41" s="7"/>
      <c r="VNY41" s="7"/>
      <c r="VNZ41" s="7"/>
      <c r="VOA41" s="7"/>
      <c r="VOB41" s="7"/>
      <c r="VOC41" s="7"/>
      <c r="VOD41" s="7"/>
      <c r="VOE41" s="7"/>
      <c r="VOF41" s="7"/>
      <c r="VOG41" s="7"/>
      <c r="VOH41" s="7"/>
      <c r="VOI41" s="7"/>
      <c r="VOJ41" s="7"/>
      <c r="VOK41" s="7"/>
      <c r="VOL41" s="7"/>
      <c r="VOM41" s="7"/>
      <c r="VON41" s="7"/>
      <c r="VOO41" s="7"/>
      <c r="VOP41" s="7"/>
      <c r="VOQ41" s="7"/>
      <c r="VOR41" s="7"/>
      <c r="VOS41" s="7"/>
      <c r="VOT41" s="7"/>
      <c r="VOU41" s="7"/>
      <c r="VOV41" s="7"/>
      <c r="VOW41" s="7"/>
      <c r="VOX41" s="7"/>
      <c r="VOY41" s="7"/>
      <c r="VOZ41" s="7"/>
      <c r="VPA41" s="7"/>
      <c r="VPB41" s="7"/>
      <c r="VPC41" s="7"/>
      <c r="VPD41" s="7"/>
      <c r="VPE41" s="7"/>
      <c r="VPF41" s="7"/>
      <c r="VPG41" s="7"/>
      <c r="VPH41" s="7"/>
      <c r="VPI41" s="7"/>
      <c r="VPJ41" s="7"/>
      <c r="VPK41" s="7"/>
      <c r="VPL41" s="7"/>
      <c r="VPM41" s="7"/>
      <c r="VPN41" s="7"/>
      <c r="VPO41" s="7"/>
      <c r="VPP41" s="7"/>
      <c r="VPQ41" s="7"/>
      <c r="VPR41" s="7"/>
      <c r="VPS41" s="7"/>
      <c r="VPT41" s="7"/>
      <c r="VPU41" s="7"/>
      <c r="VPV41" s="7"/>
      <c r="VPW41" s="7"/>
      <c r="VPX41" s="7"/>
      <c r="VPY41" s="7"/>
      <c r="VPZ41" s="7"/>
      <c r="VQA41" s="7"/>
      <c r="VQB41" s="7"/>
      <c r="VQC41" s="7"/>
      <c r="VQD41" s="7"/>
      <c r="VQE41" s="7"/>
      <c r="VQF41" s="7"/>
      <c r="VQG41" s="7"/>
      <c r="VQH41" s="7"/>
      <c r="VQI41" s="7"/>
      <c r="VQJ41" s="7"/>
      <c r="VQK41" s="7"/>
      <c r="VQL41" s="7"/>
      <c r="VQM41" s="7"/>
      <c r="VQN41" s="7"/>
      <c r="VQO41" s="7"/>
      <c r="VQP41" s="7"/>
      <c r="VQQ41" s="7"/>
      <c r="VQR41" s="7"/>
      <c r="VQS41" s="7"/>
      <c r="VQT41" s="7"/>
      <c r="VQU41" s="7"/>
      <c r="VQV41" s="7"/>
      <c r="VQW41" s="7"/>
      <c r="VQX41" s="7"/>
      <c r="VQY41" s="7"/>
      <c r="VQZ41" s="7"/>
      <c r="VRA41" s="7"/>
      <c r="VRB41" s="7"/>
      <c r="VRC41" s="7"/>
      <c r="VRD41" s="7"/>
      <c r="VRE41" s="7"/>
      <c r="VRF41" s="7"/>
      <c r="VRG41" s="7"/>
      <c r="VRH41" s="7"/>
      <c r="VRI41" s="7"/>
      <c r="VRJ41" s="7"/>
      <c r="VRK41" s="7"/>
      <c r="VRL41" s="7"/>
      <c r="VRM41" s="7"/>
      <c r="VRN41" s="7"/>
      <c r="VRO41" s="7"/>
      <c r="VRP41" s="7"/>
      <c r="VRQ41" s="7"/>
      <c r="VRR41" s="7"/>
      <c r="VRS41" s="7"/>
      <c r="VRT41" s="7"/>
      <c r="VRU41" s="7"/>
      <c r="VRV41" s="7"/>
      <c r="VRW41" s="7"/>
      <c r="VRX41" s="7"/>
      <c r="VRY41" s="7"/>
      <c r="VRZ41" s="7"/>
      <c r="VSA41" s="7"/>
      <c r="VSB41" s="7"/>
      <c r="VSC41" s="7"/>
      <c r="VSD41" s="7"/>
      <c r="VSE41" s="7"/>
      <c r="VSF41" s="7"/>
      <c r="VSG41" s="7"/>
      <c r="VSH41" s="7"/>
      <c r="VSI41" s="7"/>
      <c r="VSJ41" s="7"/>
      <c r="VSK41" s="7"/>
      <c r="VSL41" s="7"/>
      <c r="VSM41" s="7"/>
      <c r="VSN41" s="7"/>
      <c r="VSO41" s="7"/>
      <c r="VSP41" s="7"/>
      <c r="VSQ41" s="7"/>
      <c r="VSR41" s="7"/>
      <c r="VSS41" s="7"/>
      <c r="VST41" s="7"/>
      <c r="VSU41" s="7"/>
      <c r="VSV41" s="7"/>
      <c r="VSW41" s="7"/>
      <c r="VSX41" s="7"/>
      <c r="VSY41" s="7"/>
      <c r="VSZ41" s="7"/>
      <c r="VTA41" s="7"/>
      <c r="VTB41" s="7"/>
      <c r="VTC41" s="7"/>
      <c r="VTD41" s="7"/>
      <c r="VTE41" s="7"/>
      <c r="VTF41" s="7"/>
      <c r="VTG41" s="7"/>
      <c r="VTH41" s="7"/>
      <c r="VTI41" s="7"/>
      <c r="VTJ41" s="7"/>
      <c r="VTK41" s="7"/>
      <c r="VTL41" s="7"/>
      <c r="VTM41" s="7"/>
      <c r="VTN41" s="7"/>
      <c r="VTO41" s="7"/>
      <c r="VTP41" s="7"/>
      <c r="VTQ41" s="7"/>
      <c r="VTR41" s="7"/>
      <c r="VTS41" s="7"/>
      <c r="VTT41" s="7"/>
      <c r="VTU41" s="7"/>
      <c r="VTV41" s="7"/>
      <c r="VTW41" s="7"/>
      <c r="VTX41" s="7"/>
      <c r="VTY41" s="7"/>
      <c r="VTZ41" s="7"/>
      <c r="VUA41" s="7"/>
      <c r="VUB41" s="7"/>
      <c r="VUC41" s="7"/>
      <c r="VUD41" s="7"/>
      <c r="VUE41" s="7"/>
      <c r="VUF41" s="7"/>
      <c r="VUG41" s="7"/>
      <c r="VUH41" s="7"/>
      <c r="VUI41" s="7"/>
      <c r="VUJ41" s="7"/>
      <c r="VUK41" s="7"/>
      <c r="VUL41" s="7"/>
      <c r="VUM41" s="7"/>
      <c r="VUN41" s="7"/>
      <c r="VUO41" s="7"/>
      <c r="VUP41" s="7"/>
      <c r="VUQ41" s="7"/>
      <c r="VUR41" s="7"/>
      <c r="VUS41" s="7"/>
      <c r="VUT41" s="7"/>
      <c r="VUU41" s="7"/>
      <c r="VUV41" s="7"/>
      <c r="VUW41" s="7"/>
      <c r="VUX41" s="7"/>
      <c r="VUY41" s="7"/>
      <c r="VUZ41" s="7"/>
      <c r="VVA41" s="7"/>
      <c r="VVB41" s="7"/>
      <c r="VVC41" s="7"/>
      <c r="VVD41" s="7"/>
      <c r="VVE41" s="7"/>
      <c r="VVF41" s="7"/>
      <c r="VVG41" s="7"/>
      <c r="VVH41" s="7"/>
      <c r="VVI41" s="7"/>
      <c r="VVJ41" s="7"/>
      <c r="VVK41" s="7"/>
      <c r="VVL41" s="7"/>
      <c r="VVM41" s="7"/>
      <c r="VVN41" s="7"/>
      <c r="VVO41" s="7"/>
      <c r="VVP41" s="7"/>
      <c r="VVQ41" s="7"/>
      <c r="VVR41" s="7"/>
      <c r="VVS41" s="7"/>
      <c r="VVT41" s="7"/>
      <c r="VVU41" s="7"/>
      <c r="VVV41" s="7"/>
      <c r="VVW41" s="7"/>
      <c r="VVX41" s="7"/>
      <c r="VVY41" s="7"/>
      <c r="VVZ41" s="7"/>
      <c r="VWA41" s="7"/>
      <c r="VWB41" s="7"/>
      <c r="VWC41" s="7"/>
      <c r="VWD41" s="7"/>
      <c r="VWE41" s="7"/>
      <c r="VWF41" s="7"/>
      <c r="VWG41" s="7"/>
      <c r="VWH41" s="7"/>
      <c r="VWI41" s="7"/>
      <c r="VWJ41" s="7"/>
      <c r="VWK41" s="7"/>
      <c r="VWL41" s="7"/>
      <c r="VWM41" s="7"/>
      <c r="VWN41" s="7"/>
      <c r="VWO41" s="7"/>
      <c r="VWP41" s="7"/>
      <c r="VWQ41" s="7"/>
      <c r="VWR41" s="7"/>
      <c r="VWS41" s="7"/>
      <c r="VWT41" s="7"/>
      <c r="VWU41" s="7"/>
      <c r="VWV41" s="7"/>
      <c r="VWW41" s="7"/>
      <c r="VWX41" s="7"/>
      <c r="VWY41" s="7"/>
      <c r="VWZ41" s="7"/>
      <c r="VXA41" s="7"/>
      <c r="VXB41" s="7"/>
      <c r="VXC41" s="7"/>
      <c r="VXD41" s="7"/>
      <c r="VXE41" s="7"/>
      <c r="VXF41" s="7"/>
      <c r="VXG41" s="7"/>
      <c r="VXH41" s="7"/>
      <c r="VXI41" s="7"/>
      <c r="VXJ41" s="7"/>
      <c r="VXK41" s="7"/>
      <c r="VXL41" s="7"/>
      <c r="VXM41" s="7"/>
      <c r="VXN41" s="7"/>
      <c r="VXO41" s="7"/>
      <c r="VXP41" s="7"/>
      <c r="VXQ41" s="7"/>
      <c r="VXR41" s="7"/>
      <c r="VXS41" s="7"/>
      <c r="VXT41" s="7"/>
      <c r="VXU41" s="7"/>
      <c r="VXV41" s="7"/>
      <c r="VXW41" s="7"/>
      <c r="VXX41" s="7"/>
      <c r="VXY41" s="7"/>
      <c r="VXZ41" s="7"/>
      <c r="VYA41" s="7"/>
      <c r="VYB41" s="7"/>
      <c r="VYC41" s="7"/>
      <c r="VYD41" s="7"/>
      <c r="VYE41" s="7"/>
      <c r="VYF41" s="7"/>
      <c r="VYG41" s="7"/>
      <c r="VYH41" s="7"/>
      <c r="VYI41" s="7"/>
      <c r="VYJ41" s="7"/>
      <c r="VYK41" s="7"/>
      <c r="VYL41" s="7"/>
      <c r="VYM41" s="7"/>
      <c r="VYN41" s="7"/>
      <c r="VYO41" s="7"/>
      <c r="VYP41" s="7"/>
      <c r="VYQ41" s="7"/>
      <c r="VYR41" s="7"/>
      <c r="VYS41" s="7"/>
      <c r="VYT41" s="7"/>
      <c r="VYU41" s="7"/>
      <c r="VYV41" s="7"/>
      <c r="VYW41" s="7"/>
      <c r="VYX41" s="7"/>
      <c r="VYY41" s="7"/>
      <c r="VYZ41" s="7"/>
      <c r="VZA41" s="7"/>
      <c r="VZB41" s="7"/>
      <c r="VZC41" s="7"/>
      <c r="VZD41" s="7"/>
      <c r="VZE41" s="7"/>
      <c r="VZF41" s="7"/>
      <c r="VZG41" s="7"/>
      <c r="VZH41" s="7"/>
      <c r="VZI41" s="7"/>
      <c r="VZJ41" s="7"/>
      <c r="VZK41" s="7"/>
      <c r="VZL41" s="7"/>
      <c r="VZM41" s="7"/>
      <c r="VZN41" s="7"/>
      <c r="VZO41" s="7"/>
      <c r="VZP41" s="7"/>
      <c r="VZQ41" s="7"/>
      <c r="VZR41" s="7"/>
      <c r="VZS41" s="7"/>
      <c r="VZT41" s="7"/>
      <c r="VZU41" s="7"/>
      <c r="VZV41" s="7"/>
      <c r="VZW41" s="7"/>
      <c r="VZX41" s="7"/>
      <c r="VZY41" s="7"/>
      <c r="VZZ41" s="7"/>
      <c r="WAA41" s="7"/>
      <c r="WAB41" s="7"/>
      <c r="WAC41" s="7"/>
      <c r="WAD41" s="7"/>
      <c r="WAE41" s="7"/>
      <c r="WAF41" s="7"/>
      <c r="WAG41" s="7"/>
      <c r="WAH41" s="7"/>
      <c r="WAI41" s="7"/>
      <c r="WAJ41" s="7"/>
      <c r="WAK41" s="7"/>
      <c r="WAL41" s="7"/>
      <c r="WAM41" s="7"/>
      <c r="WAN41" s="7"/>
      <c r="WAO41" s="7"/>
      <c r="WAP41" s="7"/>
      <c r="WAQ41" s="7"/>
      <c r="WAR41" s="7"/>
      <c r="WAS41" s="7"/>
      <c r="WAT41" s="7"/>
      <c r="WAU41" s="7"/>
      <c r="WAV41" s="7"/>
      <c r="WAW41" s="7"/>
      <c r="WAX41" s="7"/>
      <c r="WAY41" s="7"/>
      <c r="WAZ41" s="7"/>
      <c r="WBA41" s="7"/>
      <c r="WBB41" s="7"/>
      <c r="WBC41" s="7"/>
      <c r="WBD41" s="7"/>
      <c r="WBE41" s="7"/>
      <c r="WBF41" s="7"/>
      <c r="WBG41" s="7"/>
      <c r="WBH41" s="7"/>
      <c r="WBI41" s="7"/>
      <c r="WBJ41" s="7"/>
      <c r="WBK41" s="7"/>
      <c r="WBL41" s="7"/>
      <c r="WBM41" s="7"/>
      <c r="WBN41" s="7"/>
      <c r="WBO41" s="7"/>
      <c r="WBP41" s="7"/>
      <c r="WBQ41" s="7"/>
      <c r="WBR41" s="7"/>
      <c r="WBS41" s="7"/>
      <c r="WBT41" s="7"/>
      <c r="WBU41" s="7"/>
      <c r="WBV41" s="7"/>
      <c r="WBW41" s="7"/>
      <c r="WBX41" s="7"/>
      <c r="WBY41" s="7"/>
      <c r="WBZ41" s="7"/>
      <c r="WCA41" s="7"/>
      <c r="WCB41" s="7"/>
      <c r="WCC41" s="7"/>
      <c r="WCD41" s="7"/>
      <c r="WCE41" s="7"/>
      <c r="WCF41" s="7"/>
      <c r="WCG41" s="7"/>
      <c r="WCH41" s="7"/>
      <c r="WCI41" s="7"/>
      <c r="WCJ41" s="7"/>
      <c r="WCK41" s="7"/>
      <c r="WCL41" s="7"/>
      <c r="WCM41" s="7"/>
      <c r="WCN41" s="7"/>
      <c r="WCO41" s="7"/>
      <c r="WCP41" s="7"/>
      <c r="WCQ41" s="7"/>
      <c r="WCR41" s="7"/>
      <c r="WCS41" s="7"/>
      <c r="WCT41" s="7"/>
      <c r="WCU41" s="7"/>
      <c r="WCV41" s="7"/>
      <c r="WCW41" s="7"/>
      <c r="WCX41" s="7"/>
      <c r="WCY41" s="7"/>
      <c r="WCZ41" s="7"/>
      <c r="WDA41" s="7"/>
      <c r="WDB41" s="7"/>
      <c r="WDC41" s="7"/>
      <c r="WDD41" s="7"/>
      <c r="WDE41" s="7"/>
      <c r="WDF41" s="7"/>
      <c r="WDG41" s="7"/>
      <c r="WDH41" s="7"/>
      <c r="WDI41" s="7"/>
      <c r="WDJ41" s="7"/>
      <c r="WDK41" s="7"/>
      <c r="WDL41" s="7"/>
      <c r="WDM41" s="7"/>
      <c r="WDN41" s="7"/>
      <c r="WDO41" s="7"/>
      <c r="WDP41" s="7"/>
      <c r="WDQ41" s="7"/>
      <c r="WDR41" s="7"/>
      <c r="WDS41" s="7"/>
      <c r="WDT41" s="7"/>
      <c r="WDU41" s="7"/>
      <c r="WDV41" s="7"/>
      <c r="WDW41" s="7"/>
      <c r="WDX41" s="7"/>
      <c r="WDY41" s="7"/>
      <c r="WDZ41" s="7"/>
      <c r="WEA41" s="7"/>
      <c r="WEB41" s="7"/>
      <c r="WEC41" s="7"/>
      <c r="WED41" s="7"/>
      <c r="WEE41" s="7"/>
      <c r="WEF41" s="7"/>
      <c r="WEG41" s="7"/>
      <c r="WEH41" s="7"/>
      <c r="WEI41" s="7"/>
      <c r="WEJ41" s="7"/>
      <c r="WEK41" s="7"/>
      <c r="WEL41" s="7"/>
      <c r="WEM41" s="7"/>
      <c r="WEN41" s="7"/>
      <c r="WEO41" s="7"/>
      <c r="WEP41" s="7"/>
      <c r="WEQ41" s="7"/>
      <c r="WER41" s="7"/>
      <c r="WES41" s="7"/>
      <c r="WET41" s="7"/>
      <c r="WEU41" s="7"/>
      <c r="WEV41" s="7"/>
      <c r="WEW41" s="7"/>
      <c r="WEX41" s="7"/>
      <c r="WEY41" s="7"/>
      <c r="WEZ41" s="7"/>
      <c r="WFA41" s="7"/>
      <c r="WFB41" s="7"/>
      <c r="WFC41" s="7"/>
      <c r="WFD41" s="7"/>
      <c r="WFE41" s="7"/>
      <c r="WFF41" s="7"/>
      <c r="WFG41" s="7"/>
      <c r="WFH41" s="7"/>
      <c r="WFI41" s="7"/>
      <c r="WFJ41" s="7"/>
      <c r="WFK41" s="7"/>
      <c r="WFL41" s="7"/>
      <c r="WFM41" s="7"/>
      <c r="WFN41" s="7"/>
      <c r="WFO41" s="7"/>
      <c r="WFP41" s="7"/>
      <c r="WFQ41" s="7"/>
      <c r="WFR41" s="7"/>
      <c r="WFS41" s="7"/>
      <c r="WFT41" s="7"/>
      <c r="WFU41" s="7"/>
      <c r="WFV41" s="7"/>
      <c r="WFW41" s="7"/>
      <c r="WFX41" s="7"/>
      <c r="WFY41" s="7"/>
      <c r="WFZ41" s="7"/>
      <c r="WGA41" s="7"/>
      <c r="WGB41" s="7"/>
      <c r="WGC41" s="7"/>
      <c r="WGD41" s="7"/>
      <c r="WGE41" s="7"/>
      <c r="WGF41" s="7"/>
      <c r="WGG41" s="7"/>
      <c r="WGH41" s="7"/>
      <c r="WGI41" s="7"/>
      <c r="WGJ41" s="7"/>
      <c r="WGK41" s="7"/>
      <c r="WGL41" s="7"/>
      <c r="WGM41" s="7"/>
      <c r="WGN41" s="7"/>
      <c r="WGO41" s="7"/>
      <c r="WGP41" s="7"/>
      <c r="WGQ41" s="7"/>
      <c r="WGR41" s="7"/>
      <c r="WGS41" s="7"/>
      <c r="WGT41" s="7"/>
      <c r="WGU41" s="7"/>
      <c r="WGV41" s="7"/>
      <c r="WGW41" s="7"/>
      <c r="WGX41" s="7"/>
      <c r="WGY41" s="7"/>
      <c r="WGZ41" s="7"/>
      <c r="WHA41" s="7"/>
      <c r="WHB41" s="7"/>
      <c r="WHC41" s="7"/>
      <c r="WHD41" s="7"/>
      <c r="WHE41" s="7"/>
      <c r="WHF41" s="7"/>
      <c r="WHG41" s="7"/>
      <c r="WHH41" s="7"/>
      <c r="WHI41" s="7"/>
      <c r="WHJ41" s="7"/>
      <c r="WHK41" s="7"/>
      <c r="WHL41" s="7"/>
      <c r="WHM41" s="7"/>
      <c r="WHN41" s="7"/>
      <c r="WHO41" s="7"/>
      <c r="WHP41" s="7"/>
      <c r="WHQ41" s="7"/>
      <c r="WHR41" s="7"/>
      <c r="WHS41" s="7"/>
      <c r="WHT41" s="7"/>
      <c r="WHU41" s="7"/>
      <c r="WHV41" s="7"/>
      <c r="WHW41" s="7"/>
      <c r="WHX41" s="7"/>
      <c r="WHY41" s="7"/>
      <c r="WHZ41" s="7"/>
      <c r="WIA41" s="7"/>
      <c r="WIB41" s="7"/>
      <c r="WIC41" s="7"/>
      <c r="WID41" s="7"/>
      <c r="WIE41" s="7"/>
      <c r="WIF41" s="7"/>
      <c r="WIG41" s="7"/>
      <c r="WIH41" s="7"/>
      <c r="WII41" s="7"/>
      <c r="WIJ41" s="7"/>
      <c r="WIK41" s="7"/>
      <c r="WIL41" s="7"/>
      <c r="WIM41" s="7"/>
      <c r="WIN41" s="7"/>
      <c r="WIO41" s="7"/>
      <c r="WIP41" s="7"/>
      <c r="WIQ41" s="7"/>
      <c r="WIR41" s="7"/>
      <c r="WIS41" s="7"/>
      <c r="WIT41" s="7"/>
      <c r="WIU41" s="7"/>
      <c r="WIV41" s="7"/>
      <c r="WIW41" s="7"/>
      <c r="WIX41" s="7"/>
      <c r="WIY41" s="7"/>
      <c r="WIZ41" s="7"/>
      <c r="WJA41" s="7"/>
      <c r="WJB41" s="7"/>
      <c r="WJC41" s="7"/>
      <c r="WJD41" s="7"/>
      <c r="WJE41" s="7"/>
      <c r="WJF41" s="7"/>
      <c r="WJG41" s="7"/>
      <c r="WJH41" s="7"/>
      <c r="WJI41" s="7"/>
      <c r="WJJ41" s="7"/>
      <c r="WJK41" s="7"/>
      <c r="WJL41" s="7"/>
      <c r="WJM41" s="7"/>
      <c r="WJN41" s="7"/>
      <c r="WJO41" s="7"/>
      <c r="WJP41" s="7"/>
      <c r="WJQ41" s="7"/>
      <c r="WJR41" s="7"/>
      <c r="WJS41" s="7"/>
      <c r="WJT41" s="7"/>
      <c r="WJU41" s="7"/>
      <c r="WJV41" s="7"/>
      <c r="WJW41" s="7"/>
      <c r="WJX41" s="7"/>
      <c r="WJY41" s="7"/>
      <c r="WJZ41" s="7"/>
      <c r="WKA41" s="7"/>
      <c r="WKB41" s="7"/>
      <c r="WKC41" s="7"/>
      <c r="WKD41" s="7"/>
      <c r="WKE41" s="7"/>
      <c r="WKF41" s="7"/>
      <c r="WKG41" s="7"/>
      <c r="WKH41" s="7"/>
      <c r="WKI41" s="7"/>
      <c r="WKJ41" s="7"/>
      <c r="WKK41" s="7"/>
      <c r="WKL41" s="7"/>
      <c r="WKM41" s="7"/>
      <c r="WKN41" s="7"/>
      <c r="WKO41" s="7"/>
      <c r="WKP41" s="7"/>
      <c r="WKQ41" s="7"/>
      <c r="WKR41" s="7"/>
      <c r="WKS41" s="7"/>
      <c r="WKT41" s="7"/>
      <c r="WKU41" s="7"/>
      <c r="WKV41" s="7"/>
      <c r="WKW41" s="7"/>
      <c r="WKX41" s="7"/>
      <c r="WKY41" s="7"/>
      <c r="WKZ41" s="7"/>
      <c r="WLA41" s="7"/>
      <c r="WLB41" s="7"/>
      <c r="WLC41" s="7"/>
      <c r="WLD41" s="7"/>
      <c r="WLE41" s="7"/>
      <c r="WLF41" s="7"/>
      <c r="WLG41" s="7"/>
      <c r="WLH41" s="7"/>
      <c r="WLI41" s="7"/>
      <c r="WLJ41" s="7"/>
      <c r="WLK41" s="7"/>
      <c r="WLL41" s="7"/>
      <c r="WLM41" s="7"/>
      <c r="WLN41" s="7"/>
      <c r="WLO41" s="7"/>
      <c r="WLP41" s="7"/>
      <c r="WLQ41" s="7"/>
      <c r="WLR41" s="7"/>
      <c r="WLS41" s="7"/>
      <c r="WLT41" s="7"/>
      <c r="WLU41" s="7"/>
      <c r="WLV41" s="7"/>
      <c r="WLW41" s="7"/>
      <c r="WLX41" s="7"/>
      <c r="WLY41" s="7"/>
      <c r="WLZ41" s="7"/>
      <c r="WMA41" s="7"/>
      <c r="WMB41" s="7"/>
      <c r="WMC41" s="7"/>
      <c r="WMD41" s="7"/>
      <c r="WME41" s="7"/>
      <c r="WMF41" s="7"/>
      <c r="WMG41" s="7"/>
      <c r="WMH41" s="7"/>
      <c r="WMI41" s="7"/>
      <c r="WMJ41" s="7"/>
      <c r="WMK41" s="7"/>
      <c r="WML41" s="7"/>
      <c r="WMM41" s="7"/>
      <c r="WMN41" s="7"/>
      <c r="WMO41" s="7"/>
      <c r="WMP41" s="7"/>
      <c r="WMQ41" s="7"/>
      <c r="WMR41" s="7"/>
      <c r="WMS41" s="7"/>
      <c r="WMT41" s="7"/>
      <c r="WMU41" s="7"/>
      <c r="WMV41" s="7"/>
      <c r="WMW41" s="7"/>
      <c r="WMX41" s="7"/>
      <c r="WMY41" s="7"/>
      <c r="WMZ41" s="7"/>
      <c r="WNA41" s="7"/>
      <c r="WNB41" s="7"/>
      <c r="WNC41" s="7"/>
      <c r="WND41" s="7"/>
      <c r="WNE41" s="7"/>
      <c r="WNF41" s="7"/>
      <c r="WNG41" s="7"/>
      <c r="WNH41" s="7"/>
      <c r="WNI41" s="7"/>
      <c r="WNJ41" s="7"/>
      <c r="WNK41" s="7"/>
      <c r="WNL41" s="7"/>
      <c r="WNM41" s="7"/>
      <c r="WNN41" s="7"/>
      <c r="WNO41" s="7"/>
      <c r="WNP41" s="7"/>
      <c r="WNQ41" s="7"/>
      <c r="WNR41" s="7"/>
      <c r="WNS41" s="7"/>
      <c r="WNT41" s="7"/>
      <c r="WNU41" s="7"/>
      <c r="WNV41" s="7"/>
      <c r="WNW41" s="7"/>
      <c r="WNX41" s="7"/>
      <c r="WNY41" s="7"/>
      <c r="WNZ41" s="7"/>
      <c r="WOA41" s="7"/>
      <c r="WOB41" s="7"/>
      <c r="WOC41" s="7"/>
      <c r="WOD41" s="7"/>
      <c r="WOE41" s="7"/>
      <c r="WOF41" s="7"/>
      <c r="WOG41" s="7"/>
      <c r="WOH41" s="7"/>
      <c r="WOI41" s="7"/>
      <c r="WOJ41" s="7"/>
      <c r="WOK41" s="7"/>
      <c r="WOL41" s="7"/>
      <c r="WOM41" s="7"/>
      <c r="WON41" s="7"/>
      <c r="WOO41" s="7"/>
      <c r="WOP41" s="7"/>
      <c r="WOQ41" s="7"/>
      <c r="WOR41" s="7"/>
      <c r="WOS41" s="7"/>
      <c r="WOT41" s="7"/>
      <c r="WOU41" s="7"/>
      <c r="WOV41" s="7"/>
      <c r="WOW41" s="7"/>
      <c r="WOX41" s="7"/>
      <c r="WOY41" s="7"/>
      <c r="WOZ41" s="7"/>
      <c r="WPA41" s="7"/>
      <c r="WPB41" s="7"/>
      <c r="WPC41" s="7"/>
      <c r="WPD41" s="7"/>
      <c r="WPE41" s="7"/>
      <c r="WPF41" s="7"/>
      <c r="WPG41" s="7"/>
      <c r="WPH41" s="7"/>
      <c r="WPI41" s="7"/>
      <c r="WPJ41" s="7"/>
      <c r="WPK41" s="7"/>
      <c r="WPL41" s="7"/>
      <c r="WPM41" s="7"/>
      <c r="WPN41" s="7"/>
      <c r="WPO41" s="7"/>
      <c r="WPP41" s="7"/>
      <c r="WPQ41" s="7"/>
      <c r="WPR41" s="7"/>
      <c r="WPS41" s="7"/>
      <c r="WPT41" s="7"/>
      <c r="WPU41" s="7"/>
      <c r="WPV41" s="7"/>
      <c r="WPW41" s="7"/>
      <c r="WPX41" s="7"/>
      <c r="WPY41" s="7"/>
      <c r="WPZ41" s="7"/>
      <c r="WQA41" s="7"/>
      <c r="WQB41" s="7"/>
      <c r="WQC41" s="7"/>
      <c r="WQD41" s="7"/>
      <c r="WQE41" s="7"/>
      <c r="WQF41" s="7"/>
      <c r="WQG41" s="7"/>
      <c r="WQH41" s="7"/>
      <c r="WQI41" s="7"/>
      <c r="WQJ41" s="7"/>
      <c r="WQK41" s="7"/>
      <c r="WQL41" s="7"/>
      <c r="WQM41" s="7"/>
      <c r="WQN41" s="7"/>
      <c r="WQO41" s="7"/>
      <c r="WQP41" s="7"/>
      <c r="WQQ41" s="7"/>
      <c r="WQR41" s="7"/>
      <c r="WQS41" s="7"/>
      <c r="WQT41" s="7"/>
      <c r="WQU41" s="7"/>
      <c r="WQV41" s="7"/>
      <c r="WQW41" s="7"/>
      <c r="WQX41" s="7"/>
      <c r="WQY41" s="7"/>
      <c r="WQZ41" s="7"/>
      <c r="WRA41" s="7"/>
      <c r="WRB41" s="7"/>
      <c r="WRC41" s="7"/>
      <c r="WRD41" s="7"/>
      <c r="WRE41" s="7"/>
      <c r="WRF41" s="7"/>
      <c r="WRG41" s="7"/>
      <c r="WRH41" s="7"/>
      <c r="WRI41" s="7"/>
      <c r="WRJ41" s="7"/>
      <c r="WRK41" s="7"/>
      <c r="WRL41" s="7"/>
      <c r="WRM41" s="7"/>
      <c r="WRN41" s="7"/>
      <c r="WRO41" s="7"/>
      <c r="WRP41" s="7"/>
      <c r="WRQ41" s="7"/>
      <c r="WRR41" s="7"/>
      <c r="WRS41" s="7"/>
      <c r="WRT41" s="7"/>
      <c r="WRU41" s="7"/>
      <c r="WRV41" s="7"/>
      <c r="WRW41" s="7"/>
      <c r="WRX41" s="7"/>
      <c r="WRY41" s="7"/>
      <c r="WRZ41" s="7"/>
      <c r="WSA41" s="7"/>
      <c r="WSB41" s="7"/>
      <c r="WSC41" s="7"/>
      <c r="WSD41" s="7"/>
      <c r="WSE41" s="7"/>
      <c r="WSF41" s="7"/>
      <c r="WSG41" s="7"/>
      <c r="WSH41" s="7"/>
      <c r="WSI41" s="7"/>
      <c r="WSJ41" s="7"/>
      <c r="WSK41" s="7"/>
      <c r="WSL41" s="7"/>
      <c r="WSM41" s="7"/>
      <c r="WSN41" s="7"/>
      <c r="WSO41" s="7"/>
      <c r="WSP41" s="7"/>
      <c r="WSQ41" s="7"/>
      <c r="WSR41" s="7"/>
      <c r="WSS41" s="7"/>
      <c r="WST41" s="7"/>
      <c r="WSU41" s="7"/>
      <c r="WSV41" s="7"/>
      <c r="WSW41" s="7"/>
      <c r="WSX41" s="7"/>
      <c r="WSY41" s="7"/>
      <c r="WSZ41" s="7"/>
      <c r="WTA41" s="7"/>
      <c r="WTB41" s="7"/>
      <c r="WTC41" s="7"/>
      <c r="WTD41" s="7"/>
      <c r="WTE41" s="7"/>
      <c r="WTF41" s="7"/>
      <c r="WTG41" s="7"/>
      <c r="WTH41" s="7"/>
      <c r="WTI41" s="7"/>
      <c r="WTJ41" s="7"/>
      <c r="WTK41" s="7"/>
      <c r="WTL41" s="7"/>
      <c r="WTM41" s="7"/>
      <c r="WTN41" s="7"/>
      <c r="WTO41" s="7"/>
      <c r="WTP41" s="7"/>
      <c r="WTQ41" s="7"/>
      <c r="WTR41" s="7"/>
      <c r="WTS41" s="7"/>
      <c r="WTT41" s="7"/>
      <c r="WTU41" s="7"/>
      <c r="WTV41" s="7"/>
      <c r="WTW41" s="7"/>
      <c r="WTX41" s="7"/>
      <c r="WTY41" s="7"/>
      <c r="WTZ41" s="7"/>
      <c r="WUA41" s="7"/>
      <c r="WUB41" s="7"/>
      <c r="WUC41" s="7"/>
      <c r="WUD41" s="7"/>
      <c r="WUE41" s="7"/>
      <c r="WUF41" s="7"/>
      <c r="WUG41" s="7"/>
      <c r="WUH41" s="7"/>
      <c r="WUI41" s="7"/>
      <c r="WUJ41" s="7"/>
      <c r="WUK41" s="7"/>
      <c r="WUL41" s="7"/>
      <c r="WUM41" s="7"/>
      <c r="WUN41" s="7"/>
      <c r="WUO41" s="7"/>
      <c r="WUP41" s="7"/>
      <c r="WUQ41" s="7"/>
      <c r="WUR41" s="7"/>
      <c r="WUS41" s="7"/>
      <c r="WUT41" s="7"/>
      <c r="WUU41" s="7"/>
      <c r="WUV41" s="7"/>
      <c r="WUW41" s="7"/>
      <c r="WUX41" s="7"/>
      <c r="WUY41" s="7"/>
      <c r="WUZ41" s="7"/>
      <c r="WVA41" s="7"/>
      <c r="WVB41" s="7"/>
      <c r="WVC41" s="7"/>
      <c r="WVD41" s="7"/>
      <c r="WVE41" s="7"/>
      <c r="WVF41" s="7"/>
      <c r="WVG41" s="7"/>
      <c r="WVH41" s="7"/>
      <c r="WVI41" s="7"/>
      <c r="WVJ41" s="7"/>
      <c r="WVK41" s="7"/>
      <c r="WVL41" s="7"/>
      <c r="WVM41" s="7"/>
      <c r="WVN41" s="7"/>
      <c r="WVO41" s="7"/>
      <c r="WVP41" s="7"/>
      <c r="WVQ41" s="7"/>
      <c r="WVR41" s="7"/>
      <c r="WVS41" s="7"/>
      <c r="WVT41" s="7"/>
      <c r="WVU41" s="7"/>
      <c r="WVV41" s="7"/>
      <c r="WVW41" s="7"/>
      <c r="WVX41" s="7"/>
      <c r="WVY41" s="7"/>
      <c r="WVZ41" s="7"/>
      <c r="WWA41" s="7"/>
      <c r="WWB41" s="7"/>
      <c r="WWC41" s="7"/>
      <c r="WWD41" s="7"/>
      <c r="WWE41" s="7"/>
      <c r="WWF41" s="7"/>
      <c r="WWG41" s="7"/>
      <c r="WWH41" s="7"/>
      <c r="WWI41" s="7"/>
      <c r="WWJ41" s="7"/>
      <c r="WWK41" s="7"/>
      <c r="WWL41" s="7"/>
      <c r="WWM41" s="7"/>
      <c r="WWN41" s="7"/>
      <c r="WWO41" s="7"/>
      <c r="WWP41" s="7"/>
      <c r="WWQ41" s="7"/>
      <c r="WWR41" s="7"/>
      <c r="WWS41" s="7"/>
      <c r="WWT41" s="7"/>
      <c r="WWU41" s="7"/>
      <c r="WWV41" s="7"/>
      <c r="WWW41" s="7"/>
      <c r="WWX41" s="7"/>
      <c r="WWY41" s="7"/>
      <c r="WWZ41" s="7"/>
      <c r="WXA41" s="7"/>
      <c r="WXB41" s="7"/>
      <c r="WXC41" s="7"/>
      <c r="WXD41" s="7"/>
      <c r="WXE41" s="7"/>
      <c r="WXF41" s="7"/>
      <c r="WXG41" s="7"/>
      <c r="WXH41" s="7"/>
      <c r="WXI41" s="7"/>
      <c r="WXJ41" s="7"/>
      <c r="WXK41" s="7"/>
      <c r="WXL41" s="7"/>
      <c r="WXM41" s="7"/>
      <c r="WXN41" s="7"/>
      <c r="WXO41" s="7"/>
      <c r="WXP41" s="7"/>
      <c r="WXQ41" s="7"/>
      <c r="WXR41" s="7"/>
      <c r="WXS41" s="7"/>
      <c r="WXT41" s="7"/>
      <c r="WXU41" s="7"/>
      <c r="WXV41" s="7"/>
      <c r="WXW41" s="7"/>
      <c r="WXX41" s="7"/>
      <c r="WXY41" s="7"/>
      <c r="WXZ41" s="7"/>
      <c r="WYA41" s="7"/>
      <c r="WYB41" s="7"/>
      <c r="WYC41" s="7"/>
      <c r="WYD41" s="7"/>
      <c r="WYE41" s="7"/>
      <c r="WYF41" s="7"/>
      <c r="WYG41" s="7"/>
      <c r="WYH41" s="7"/>
      <c r="WYI41" s="7"/>
      <c r="WYJ41" s="7"/>
      <c r="WYK41" s="7"/>
      <c r="WYL41" s="7"/>
      <c r="WYM41" s="7"/>
      <c r="WYN41" s="7"/>
      <c r="WYO41" s="7"/>
      <c r="WYP41" s="7"/>
      <c r="WYQ41" s="7"/>
      <c r="WYR41" s="7"/>
      <c r="WYS41" s="7"/>
      <c r="WYT41" s="7"/>
      <c r="WYU41" s="7"/>
      <c r="WYV41" s="7"/>
      <c r="WYW41" s="7"/>
      <c r="WYX41" s="7"/>
      <c r="WYY41" s="7"/>
      <c r="WYZ41" s="7"/>
      <c r="WZA41" s="7"/>
      <c r="WZB41" s="7"/>
      <c r="WZC41" s="7"/>
      <c r="WZD41" s="7"/>
      <c r="WZE41" s="7"/>
      <c r="WZF41" s="7"/>
      <c r="WZG41" s="7"/>
      <c r="WZH41" s="7"/>
      <c r="WZI41" s="7"/>
      <c r="WZJ41" s="7"/>
      <c r="WZK41" s="7"/>
      <c r="WZL41" s="7"/>
      <c r="WZM41" s="7"/>
      <c r="WZN41" s="7"/>
      <c r="WZO41" s="7"/>
      <c r="WZP41" s="7"/>
      <c r="WZQ41" s="7"/>
      <c r="WZR41" s="7"/>
      <c r="WZS41" s="7"/>
      <c r="WZT41" s="7"/>
      <c r="WZU41" s="7"/>
      <c r="WZV41" s="7"/>
      <c r="WZW41" s="7"/>
      <c r="WZX41" s="7"/>
      <c r="WZY41" s="7"/>
      <c r="WZZ41" s="7"/>
      <c r="XAA41" s="7"/>
      <c r="XAB41" s="7"/>
      <c r="XAC41" s="7"/>
      <c r="XAD41" s="7"/>
      <c r="XAE41" s="7"/>
      <c r="XAF41" s="7"/>
      <c r="XAG41" s="7"/>
      <c r="XAH41" s="7"/>
      <c r="XAI41" s="7"/>
      <c r="XAJ41" s="7"/>
      <c r="XAK41" s="7"/>
      <c r="XAL41" s="7"/>
      <c r="XAM41" s="7"/>
      <c r="XAN41" s="7"/>
      <c r="XAO41" s="7"/>
      <c r="XAP41" s="7"/>
      <c r="XAQ41" s="7"/>
      <c r="XAR41" s="7"/>
      <c r="XAS41" s="7"/>
      <c r="XAT41" s="7"/>
      <c r="XAU41" s="7"/>
      <c r="XAV41" s="7"/>
      <c r="XAW41" s="7"/>
      <c r="XAX41" s="7"/>
      <c r="XAY41" s="7"/>
      <c r="XAZ41" s="7"/>
      <c r="XBA41" s="7"/>
      <c r="XBB41" s="7"/>
      <c r="XBC41" s="7"/>
      <c r="XBD41" s="7"/>
      <c r="XBE41" s="7"/>
      <c r="XBF41" s="7"/>
      <c r="XBG41" s="7"/>
      <c r="XBH41" s="7"/>
      <c r="XBI41" s="7"/>
      <c r="XBJ41" s="7"/>
      <c r="XBK41" s="7"/>
      <c r="XBL41" s="7"/>
      <c r="XBM41" s="7"/>
      <c r="XBN41" s="7"/>
      <c r="XBO41" s="7"/>
      <c r="XBP41" s="7"/>
      <c r="XBQ41" s="7"/>
      <c r="XBR41" s="7"/>
      <c r="XBS41" s="7"/>
      <c r="XBT41" s="7"/>
      <c r="XBU41" s="7"/>
      <c r="XBV41" s="7"/>
      <c r="XBW41" s="7"/>
      <c r="XBX41" s="7"/>
      <c r="XBY41" s="7"/>
      <c r="XBZ41" s="7"/>
      <c r="XCA41" s="7"/>
      <c r="XCB41" s="7"/>
      <c r="XCC41" s="7"/>
      <c r="XCD41" s="7"/>
      <c r="XCE41" s="7"/>
      <c r="XCF41" s="7"/>
      <c r="XCG41" s="7"/>
      <c r="XCH41" s="7"/>
      <c r="XCI41" s="7"/>
      <c r="XCJ41" s="7"/>
      <c r="XCK41" s="7"/>
      <c r="XCL41" s="7"/>
      <c r="XCM41" s="7"/>
      <c r="XCN41" s="7"/>
      <c r="XCO41" s="7"/>
      <c r="XCP41" s="7"/>
      <c r="XCQ41" s="7"/>
      <c r="XCR41" s="7"/>
      <c r="XCS41" s="7"/>
      <c r="XCT41" s="7"/>
      <c r="XCU41" s="7"/>
      <c r="XCV41" s="7"/>
      <c r="XCW41" s="7"/>
      <c r="XCX41" s="7"/>
      <c r="XCY41" s="7"/>
      <c r="XCZ41" s="7"/>
      <c r="XDA41" s="7"/>
      <c r="XDB41" s="7"/>
      <c r="XDC41" s="7"/>
      <c r="XDD41" s="7"/>
      <c r="XDE41" s="7"/>
      <c r="XDF41" s="7"/>
      <c r="XDG41" s="7"/>
      <c r="XDH41" s="7"/>
      <c r="XDI41" s="7"/>
      <c r="XDJ41" s="7"/>
      <c r="XDK41" s="7"/>
      <c r="XDL41" s="7"/>
      <c r="XDM41" s="7"/>
      <c r="XDN41" s="7"/>
      <c r="XDO41" s="7"/>
      <c r="XDP41" s="7"/>
      <c r="XDQ41" s="7"/>
      <c r="XDR41" s="7"/>
      <c r="XDS41" s="7"/>
      <c r="XDT41" s="7"/>
      <c r="XDU41" s="7"/>
      <c r="XDV41" s="7"/>
      <c r="XDW41" s="7"/>
      <c r="XDX41" s="7"/>
      <c r="XDY41" s="7"/>
      <c r="XDZ41" s="7"/>
      <c r="XEA41" s="7"/>
      <c r="XEB41" s="7"/>
      <c r="XEC41" s="7"/>
      <c r="XED41" s="7"/>
      <c r="XEE41" s="7"/>
      <c r="XEF41" s="7"/>
      <c r="XEG41" s="7"/>
      <c r="XEH41" s="7"/>
      <c r="XEI41" s="7"/>
      <c r="XEJ41" s="7"/>
      <c r="XEK41" s="7"/>
      <c r="XEL41" s="7"/>
      <c r="XEM41" s="7"/>
      <c r="XEN41" s="7"/>
      <c r="XEO41" s="7"/>
      <c r="XEP41" s="7"/>
      <c r="XEQ41" s="7"/>
      <c r="XER41" s="7"/>
      <c r="XES41" s="7"/>
      <c r="XET41" s="7"/>
      <c r="XEU41" s="7"/>
      <c r="XEV41" s="7"/>
      <c r="XEW41" s="7"/>
      <c r="XEX41" s="7"/>
      <c r="XEY41" s="7"/>
      <c r="XEZ41" s="7"/>
      <c r="XFA41" s="7"/>
      <c r="XFB41" s="7"/>
      <c r="XFC41" s="7"/>
      <c r="XFD41" s="7"/>
    </row>
    <row r="42" spans="1:16384">
      <c r="A42" s="970" t="s">
        <v>106</v>
      </c>
      <c r="B42" s="970" t="s">
        <v>99</v>
      </c>
      <c r="C42" s="950" t="s">
        <v>99</v>
      </c>
    </row>
    <row r="43" spans="1:16384">
      <c r="A43" s="973" t="s">
        <v>873</v>
      </c>
      <c r="B43" s="973" t="s">
        <v>848</v>
      </c>
      <c r="C43" s="950" t="s">
        <v>3153</v>
      </c>
    </row>
    <row r="44" spans="1:16384">
      <c r="A44" s="973" t="s">
        <v>874</v>
      </c>
      <c r="B44" s="973" t="s">
        <v>849</v>
      </c>
      <c r="C44" s="950" t="s">
        <v>3154</v>
      </c>
    </row>
    <row r="45" spans="1:16384">
      <c r="A45" s="973" t="s">
        <v>875</v>
      </c>
      <c r="B45" s="973" t="s">
        <v>850</v>
      </c>
      <c r="C45" s="950" t="s">
        <v>3155</v>
      </c>
    </row>
    <row r="46" spans="1:16384">
      <c r="A46" s="973" t="s">
        <v>876</v>
      </c>
      <c r="B46" s="973" t="s">
        <v>852</v>
      </c>
      <c r="C46" s="950" t="s">
        <v>3156</v>
      </c>
    </row>
    <row r="47" spans="1:16384">
      <c r="A47" s="973" t="s">
        <v>877</v>
      </c>
      <c r="B47" s="973" t="s">
        <v>851</v>
      </c>
      <c r="C47" s="950" t="s">
        <v>3157</v>
      </c>
    </row>
    <row r="48" spans="1:16384">
      <c r="A48" s="973" t="s">
        <v>878</v>
      </c>
      <c r="B48" s="973" t="s">
        <v>853</v>
      </c>
      <c r="C48" s="950" t="s">
        <v>3158</v>
      </c>
    </row>
    <row r="49" spans="1:3">
      <c r="A49" s="974" t="s">
        <v>879</v>
      </c>
      <c r="B49" s="973" t="s">
        <v>855</v>
      </c>
      <c r="C49" s="950" t="s">
        <v>3159</v>
      </c>
    </row>
    <row r="50" spans="1:3">
      <c r="A50" s="974" t="s">
        <v>880</v>
      </c>
      <c r="B50" s="973" t="s">
        <v>857</v>
      </c>
      <c r="C50" s="950" t="s">
        <v>3160</v>
      </c>
    </row>
    <row r="51" spans="1:3" ht="27.6">
      <c r="A51" s="974" t="s">
        <v>881</v>
      </c>
      <c r="B51" s="974" t="s">
        <v>867</v>
      </c>
      <c r="C51" s="950" t="s">
        <v>3161</v>
      </c>
    </row>
    <row r="52" spans="1:3">
      <c r="A52" s="974" t="s">
        <v>882</v>
      </c>
      <c r="B52" s="973" t="s">
        <v>859</v>
      </c>
      <c r="C52" s="950" t="s">
        <v>3162</v>
      </c>
    </row>
    <row r="53" spans="1:3" ht="27.6">
      <c r="A53" s="974" t="s">
        <v>1083</v>
      </c>
      <c r="B53" s="974" t="s">
        <v>1082</v>
      </c>
      <c r="C53" s="950" t="s">
        <v>3163</v>
      </c>
    </row>
    <row r="54" spans="1:3" ht="27.6">
      <c r="A54" s="974" t="s">
        <v>883</v>
      </c>
      <c r="B54" s="974" t="s">
        <v>861</v>
      </c>
      <c r="C54" s="950" t="s">
        <v>3164</v>
      </c>
    </row>
    <row r="55" spans="1:3">
      <c r="A55" s="974" t="s">
        <v>884</v>
      </c>
      <c r="B55" s="974" t="s">
        <v>868</v>
      </c>
      <c r="C55" s="950" t="s">
        <v>3165</v>
      </c>
    </row>
    <row r="56" spans="1:3" ht="27.6">
      <c r="A56" s="974" t="s">
        <v>885</v>
      </c>
      <c r="B56" s="974" t="s">
        <v>862</v>
      </c>
      <c r="C56" s="950" t="s">
        <v>3166</v>
      </c>
    </row>
    <row r="57" spans="1:3" ht="27.6">
      <c r="A57" s="974" t="s">
        <v>886</v>
      </c>
      <c r="B57" s="974" t="s">
        <v>856</v>
      </c>
      <c r="C57" s="950" t="s">
        <v>3167</v>
      </c>
    </row>
    <row r="58" spans="1:3" ht="27.6">
      <c r="A58" s="974" t="s">
        <v>893</v>
      </c>
      <c r="B58" s="974" t="s">
        <v>869</v>
      </c>
      <c r="C58" s="950" t="s">
        <v>3168</v>
      </c>
    </row>
    <row r="59" spans="1:3">
      <c r="A59" s="974" t="s">
        <v>887</v>
      </c>
      <c r="B59" s="973" t="s">
        <v>858</v>
      </c>
      <c r="C59" s="950" t="s">
        <v>3169</v>
      </c>
    </row>
    <row r="60" spans="1:3" ht="27.6">
      <c r="A60" s="974" t="s">
        <v>888</v>
      </c>
      <c r="B60" s="974" t="s">
        <v>860</v>
      </c>
      <c r="C60" s="950" t="s">
        <v>3170</v>
      </c>
    </row>
    <row r="61" spans="1:3">
      <c r="A61" s="974" t="s">
        <v>889</v>
      </c>
      <c r="B61" s="974" t="s">
        <v>863</v>
      </c>
      <c r="C61" s="950" t="s">
        <v>3171</v>
      </c>
    </row>
    <row r="62" spans="1:3">
      <c r="A62" s="974" t="s">
        <v>890</v>
      </c>
      <c r="B62" s="974" t="s">
        <v>864</v>
      </c>
      <c r="C62" s="950" t="s">
        <v>3172</v>
      </c>
    </row>
    <row r="63" spans="1:3">
      <c r="A63" s="974" t="s">
        <v>891</v>
      </c>
      <c r="B63" s="973" t="s">
        <v>865</v>
      </c>
      <c r="C63" s="950" t="s">
        <v>3173</v>
      </c>
    </row>
    <row r="64" spans="1:3">
      <c r="A64" s="974" t="s">
        <v>892</v>
      </c>
      <c r="B64" s="973" t="s">
        <v>866</v>
      </c>
      <c r="C64" s="950" t="s">
        <v>3174</v>
      </c>
    </row>
    <row r="65" spans="1:3">
      <c r="A65" s="974" t="s">
        <v>1105</v>
      </c>
      <c r="B65" s="973" t="s">
        <v>932</v>
      </c>
      <c r="C65" s="950" t="s">
        <v>3175</v>
      </c>
    </row>
    <row r="66" spans="1:3">
      <c r="A66" s="974" t="s">
        <v>1106</v>
      </c>
      <c r="B66" s="973" t="s">
        <v>933</v>
      </c>
      <c r="C66" s="950" t="s">
        <v>3176</v>
      </c>
    </row>
    <row r="67" spans="1:3">
      <c r="A67" s="971" t="s">
        <v>1107</v>
      </c>
      <c r="B67" s="971" t="s">
        <v>1097</v>
      </c>
      <c r="C67" s="951" t="s">
        <v>3177</v>
      </c>
    </row>
    <row r="68" spans="1:3">
      <c r="A68" s="970" t="s">
        <v>453</v>
      </c>
      <c r="B68" s="970" t="s">
        <v>453</v>
      </c>
      <c r="C68" s="950" t="s">
        <v>3178</v>
      </c>
    </row>
    <row r="69" spans="1:3">
      <c r="A69" s="973" t="s">
        <v>50</v>
      </c>
      <c r="B69" s="973" t="s">
        <v>49</v>
      </c>
      <c r="C69" s="950" t="s">
        <v>3179</v>
      </c>
    </row>
    <row r="70" spans="1:3">
      <c r="A70" s="970" t="s">
        <v>787</v>
      </c>
      <c r="B70" s="973" t="s">
        <v>786</v>
      </c>
      <c r="C70" s="950" t="s">
        <v>3180</v>
      </c>
    </row>
    <row r="71" spans="1:3">
      <c r="A71" s="970" t="s">
        <v>501</v>
      </c>
      <c r="B71" s="970" t="s">
        <v>471</v>
      </c>
      <c r="C71" s="950" t="s">
        <v>3181</v>
      </c>
    </row>
    <row r="72" spans="1:3">
      <c r="A72" s="973" t="s">
        <v>834</v>
      </c>
      <c r="B72" s="973" t="s">
        <v>835</v>
      </c>
      <c r="C72" s="950" t="s">
        <v>3182</v>
      </c>
    </row>
    <row r="73" spans="1:3">
      <c r="A73" s="970" t="s">
        <v>836</v>
      </c>
      <c r="B73" s="970" t="s">
        <v>837</v>
      </c>
      <c r="C73" s="950" t="s">
        <v>3183</v>
      </c>
    </row>
    <row r="74" spans="1:3">
      <c r="A74" s="970" t="s">
        <v>359</v>
      </c>
      <c r="B74" s="970" t="s">
        <v>361</v>
      </c>
      <c r="C74" s="950" t="s">
        <v>3184</v>
      </c>
    </row>
    <row r="75" spans="1:3">
      <c r="A75" s="970" t="s">
        <v>358</v>
      </c>
      <c r="B75" s="970" t="s">
        <v>360</v>
      </c>
      <c r="C75" s="950" t="s">
        <v>3185</v>
      </c>
    </row>
    <row r="76" spans="1:3">
      <c r="A76" s="970" t="s">
        <v>502</v>
      </c>
      <c r="B76" s="970" t="s">
        <v>474</v>
      </c>
      <c r="C76" s="950" t="s">
        <v>3186</v>
      </c>
    </row>
    <row r="77" spans="1:3">
      <c r="A77" s="970" t="s">
        <v>35</v>
      </c>
      <c r="B77" s="970" t="s">
        <v>34</v>
      </c>
      <c r="C77" s="950" t="s">
        <v>3187</v>
      </c>
    </row>
    <row r="78" spans="1:3">
      <c r="A78" s="970" t="s">
        <v>37</v>
      </c>
      <c r="B78" s="970" t="s">
        <v>40</v>
      </c>
      <c r="C78" s="950" t="s">
        <v>3188</v>
      </c>
    </row>
    <row r="79" spans="1:3">
      <c r="A79" s="970" t="s">
        <v>39</v>
      </c>
      <c r="B79" s="970" t="s">
        <v>38</v>
      </c>
      <c r="C79" s="950" t="s">
        <v>3189</v>
      </c>
    </row>
    <row r="80" spans="1:3">
      <c r="A80" s="970" t="s">
        <v>493</v>
      </c>
      <c r="B80" s="970" t="s">
        <v>797</v>
      </c>
      <c r="C80" s="950" t="s">
        <v>3190</v>
      </c>
    </row>
    <row r="81" spans="1:3">
      <c r="A81" s="970" t="s">
        <v>1056</v>
      </c>
      <c r="B81" s="970" t="s">
        <v>942</v>
      </c>
      <c r="C81" s="950" t="s">
        <v>3191</v>
      </c>
    </row>
    <row r="82" spans="1:3">
      <c r="A82" s="970" t="s">
        <v>72</v>
      </c>
      <c r="B82" s="970" t="s">
        <v>73</v>
      </c>
      <c r="C82" s="950" t="s">
        <v>2946</v>
      </c>
    </row>
    <row r="83" spans="1:3">
      <c r="A83" s="970" t="s">
        <v>36</v>
      </c>
      <c r="B83" s="970" t="s">
        <v>1</v>
      </c>
      <c r="C83" s="950" t="s">
        <v>3192</v>
      </c>
    </row>
    <row r="84" spans="1:3">
      <c r="A84" s="973" t="s">
        <v>583</v>
      </c>
      <c r="B84" s="973" t="s">
        <v>582</v>
      </c>
      <c r="C84" s="950" t="s">
        <v>3193</v>
      </c>
    </row>
    <row r="85" spans="1:3">
      <c r="A85" s="970" t="s">
        <v>1055</v>
      </c>
      <c r="B85" s="970" t="s">
        <v>450</v>
      </c>
      <c r="C85" s="950" t="s">
        <v>3194</v>
      </c>
    </row>
    <row r="86" spans="1:3">
      <c r="A86" s="970" t="s">
        <v>495</v>
      </c>
      <c r="B86" s="970" t="s">
        <v>452</v>
      </c>
      <c r="C86" s="950" t="s">
        <v>3195</v>
      </c>
    </row>
    <row r="87" spans="1:3">
      <c r="A87" s="970" t="s">
        <v>496</v>
      </c>
      <c r="B87" s="970" t="s">
        <v>494</v>
      </c>
      <c r="C87" s="958" t="s">
        <v>3196</v>
      </c>
    </row>
    <row r="88" spans="1:3">
      <c r="A88" s="970" t="s">
        <v>497</v>
      </c>
      <c r="B88" s="970" t="s">
        <v>451</v>
      </c>
      <c r="C88" s="950" t="s">
        <v>3197</v>
      </c>
    </row>
    <row r="89" spans="1:3">
      <c r="A89" s="970" t="s">
        <v>3341</v>
      </c>
      <c r="B89" s="970" t="s">
        <v>3341</v>
      </c>
      <c r="C89" s="958" t="s">
        <v>3341</v>
      </c>
    </row>
    <row r="90" spans="1:3">
      <c r="A90" s="970" t="s">
        <v>498</v>
      </c>
      <c r="B90" s="970" t="s">
        <v>472</v>
      </c>
      <c r="C90" s="950" t="s">
        <v>3198</v>
      </c>
    </row>
    <row r="91" spans="1:3">
      <c r="A91" s="970" t="s">
        <v>499</v>
      </c>
      <c r="B91" s="970" t="s">
        <v>473</v>
      </c>
      <c r="C91" s="950" t="s">
        <v>3199</v>
      </c>
    </row>
    <row r="92" spans="1:3">
      <c r="A92" s="970" t="s">
        <v>500</v>
      </c>
      <c r="B92" s="970" t="s">
        <v>475</v>
      </c>
      <c r="C92" s="849" t="s">
        <v>3200</v>
      </c>
    </row>
    <row r="93" spans="1:3">
      <c r="A93" s="970" t="s">
        <v>503</v>
      </c>
      <c r="B93" s="970" t="s">
        <v>459</v>
      </c>
      <c r="C93" s="849" t="s">
        <v>3201</v>
      </c>
    </row>
    <row r="94" spans="1:3">
      <c r="A94" s="970" t="s">
        <v>908</v>
      </c>
      <c r="B94" s="970" t="s">
        <v>907</v>
      </c>
      <c r="C94" s="849" t="s">
        <v>3202</v>
      </c>
    </row>
    <row r="95" spans="1:3">
      <c r="A95" s="970" t="s">
        <v>492</v>
      </c>
      <c r="B95" s="970" t="s">
        <v>466</v>
      </c>
      <c r="C95" s="849" t="s">
        <v>3203</v>
      </c>
    </row>
    <row r="96" spans="1:3">
      <c r="A96" s="971" t="s">
        <v>927</v>
      </c>
      <c r="B96" s="975" t="s">
        <v>927</v>
      </c>
      <c r="C96" s="953" t="s">
        <v>2959</v>
      </c>
    </row>
    <row r="97" spans="1:3">
      <c r="A97" s="973" t="s">
        <v>805</v>
      </c>
      <c r="B97" s="972" t="s">
        <v>806</v>
      </c>
      <c r="C97" s="950" t="s">
        <v>3204</v>
      </c>
    </row>
    <row r="98" spans="1:3">
      <c r="A98" s="973" t="s">
        <v>589</v>
      </c>
      <c r="B98" s="970" t="s">
        <v>590</v>
      </c>
      <c r="C98" s="950" t="s">
        <v>3205</v>
      </c>
    </row>
    <row r="99" spans="1:3">
      <c r="A99" s="970" t="s">
        <v>792</v>
      </c>
      <c r="B99" s="976" t="s">
        <v>782</v>
      </c>
      <c r="C99" s="950" t="s">
        <v>3206</v>
      </c>
    </row>
    <row r="100" spans="1:3">
      <c r="A100" s="970" t="s">
        <v>793</v>
      </c>
      <c r="B100" s="976" t="s">
        <v>783</v>
      </c>
      <c r="C100" s="950" t="s">
        <v>3207</v>
      </c>
    </row>
    <row r="101" spans="1:3">
      <c r="A101" s="970" t="s">
        <v>794</v>
      </c>
      <c r="B101" s="976" t="s">
        <v>784</v>
      </c>
      <c r="C101" s="950" t="s">
        <v>3208</v>
      </c>
    </row>
    <row r="102" spans="1:3">
      <c r="A102" s="970" t="s">
        <v>781</v>
      </c>
      <c r="B102" s="973" t="s">
        <v>780</v>
      </c>
      <c r="C102" s="950" t="s">
        <v>3209</v>
      </c>
    </row>
    <row r="103" spans="1:3">
      <c r="A103" s="973" t="s">
        <v>505</v>
      </c>
      <c r="B103" s="970" t="s">
        <v>508</v>
      </c>
      <c r="C103" s="950" t="s">
        <v>3210</v>
      </c>
    </row>
    <row r="104" spans="1:3">
      <c r="A104" s="973" t="s">
        <v>510</v>
      </c>
      <c r="B104" s="970" t="s">
        <v>511</v>
      </c>
      <c r="C104" s="950" t="s">
        <v>3211</v>
      </c>
    </row>
    <row r="105" spans="1:3" ht="27.6">
      <c r="A105" s="977" t="s">
        <v>513</v>
      </c>
      <c r="B105" s="972" t="s">
        <v>481</v>
      </c>
      <c r="C105" s="950" t="s">
        <v>3212</v>
      </c>
    </row>
    <row r="106" spans="1:3">
      <c r="A106" s="978" t="s">
        <v>928</v>
      </c>
      <c r="B106" s="978" t="s">
        <v>929</v>
      </c>
      <c r="C106" s="954" t="s">
        <v>2969</v>
      </c>
    </row>
    <row r="107" spans="1:3">
      <c r="A107" s="973" t="s">
        <v>516</v>
      </c>
      <c r="B107" s="972" t="s">
        <v>515</v>
      </c>
      <c r="C107" s="958" t="s">
        <v>3213</v>
      </c>
    </row>
    <row r="108" spans="1:3">
      <c r="A108" s="970" t="s">
        <v>70</v>
      </c>
      <c r="B108" s="970" t="s">
        <v>71</v>
      </c>
      <c r="C108" s="950" t="s">
        <v>3214</v>
      </c>
    </row>
    <row r="109" spans="1:3">
      <c r="A109" s="973" t="s">
        <v>533</v>
      </c>
      <c r="B109" s="970" t="s">
        <v>444</v>
      </c>
      <c r="C109" s="958" t="s">
        <v>3215</v>
      </c>
    </row>
    <row r="110" spans="1:3" ht="27.6">
      <c r="A110" s="974" t="s">
        <v>534</v>
      </c>
      <c r="B110" s="970" t="s">
        <v>430</v>
      </c>
      <c r="C110" s="950" t="s">
        <v>3216</v>
      </c>
    </row>
    <row r="111" spans="1:3">
      <c r="A111" s="973" t="s">
        <v>535</v>
      </c>
      <c r="B111" s="970" t="s">
        <v>434</v>
      </c>
      <c r="C111" s="950" t="s">
        <v>3217</v>
      </c>
    </row>
    <row r="112" spans="1:3">
      <c r="A112" s="973" t="s">
        <v>536</v>
      </c>
      <c r="B112" s="970" t="s">
        <v>438</v>
      </c>
      <c r="C112" s="950" t="s">
        <v>3218</v>
      </c>
    </row>
    <row r="113" spans="1:3">
      <c r="A113" s="973" t="s">
        <v>538</v>
      </c>
      <c r="B113" s="970" t="s">
        <v>537</v>
      </c>
      <c r="C113" s="950" t="s">
        <v>3219</v>
      </c>
    </row>
    <row r="114" spans="1:3">
      <c r="A114" s="974" t="s">
        <v>539</v>
      </c>
      <c r="B114" s="970" t="s">
        <v>445</v>
      </c>
      <c r="C114" s="950" t="s">
        <v>3220</v>
      </c>
    </row>
    <row r="115" spans="1:3">
      <c r="A115" s="970" t="s">
        <v>24</v>
      </c>
      <c r="B115" s="970" t="s">
        <v>23</v>
      </c>
      <c r="C115" s="950" t="s">
        <v>2978</v>
      </c>
    </row>
    <row r="116" spans="1:3">
      <c r="A116" s="973" t="s">
        <v>517</v>
      </c>
      <c r="B116" s="970" t="s">
        <v>427</v>
      </c>
      <c r="C116" s="950" t="s">
        <v>3221</v>
      </c>
    </row>
    <row r="117" spans="1:3">
      <c r="A117" s="973" t="s">
        <v>518</v>
      </c>
      <c r="B117" s="970" t="s">
        <v>431</v>
      </c>
      <c r="C117" s="950" t="s">
        <v>3222</v>
      </c>
    </row>
    <row r="118" spans="1:3">
      <c r="A118" s="973" t="s">
        <v>519</v>
      </c>
      <c r="B118" s="970" t="s">
        <v>435</v>
      </c>
      <c r="C118" s="950" t="s">
        <v>3223</v>
      </c>
    </row>
    <row r="119" spans="1:3" ht="27.6">
      <c r="A119" s="974" t="s">
        <v>520</v>
      </c>
      <c r="B119" s="974" t="s">
        <v>439</v>
      </c>
      <c r="C119" s="950" t="s">
        <v>3224</v>
      </c>
    </row>
    <row r="120" spans="1:3">
      <c r="A120" s="973" t="s">
        <v>521</v>
      </c>
      <c r="B120" s="970" t="s">
        <v>442</v>
      </c>
      <c r="C120" s="950" t="s">
        <v>3225</v>
      </c>
    </row>
    <row r="121" spans="1:3">
      <c r="A121" s="973" t="s">
        <v>522</v>
      </c>
      <c r="B121" s="970" t="s">
        <v>446</v>
      </c>
      <c r="C121" s="950" t="s">
        <v>3226</v>
      </c>
    </row>
    <row r="122" spans="1:3">
      <c r="A122" s="970" t="s">
        <v>74</v>
      </c>
      <c r="B122" s="970" t="s">
        <v>74</v>
      </c>
      <c r="C122" s="950" t="s">
        <v>74</v>
      </c>
    </row>
    <row r="123" spans="1:3" ht="27.6">
      <c r="A123" s="974" t="s">
        <v>528</v>
      </c>
      <c r="B123" s="970" t="s">
        <v>447</v>
      </c>
      <c r="C123" s="950" t="s">
        <v>3227</v>
      </c>
    </row>
    <row r="124" spans="1:3">
      <c r="A124" s="973" t="s">
        <v>529</v>
      </c>
      <c r="B124" s="970" t="s">
        <v>429</v>
      </c>
      <c r="C124" s="950" t="s">
        <v>3228</v>
      </c>
    </row>
    <row r="125" spans="1:3">
      <c r="A125" s="973" t="s">
        <v>530</v>
      </c>
      <c r="B125" s="970" t="s">
        <v>433</v>
      </c>
      <c r="C125" s="950" t="s">
        <v>3229</v>
      </c>
    </row>
    <row r="126" spans="1:3">
      <c r="A126" s="973" t="s">
        <v>531</v>
      </c>
      <c r="B126" s="970" t="s">
        <v>437</v>
      </c>
      <c r="C126" s="849" t="s">
        <v>3230</v>
      </c>
    </row>
    <row r="127" spans="1:3">
      <c r="A127" s="973" t="s">
        <v>532</v>
      </c>
      <c r="B127" s="970" t="s">
        <v>441</v>
      </c>
      <c r="C127" s="849" t="s">
        <v>3231</v>
      </c>
    </row>
    <row r="128" spans="1:3">
      <c r="A128" s="970" t="s">
        <v>72</v>
      </c>
      <c r="B128" s="970" t="s">
        <v>73</v>
      </c>
      <c r="C128" s="950" t="s">
        <v>2946</v>
      </c>
    </row>
    <row r="129" spans="1:3">
      <c r="A129" s="973" t="s">
        <v>523</v>
      </c>
      <c r="B129" s="970" t="s">
        <v>428</v>
      </c>
      <c r="C129" s="950" t="s">
        <v>3232</v>
      </c>
    </row>
    <row r="130" spans="1:3">
      <c r="A130" s="973" t="s">
        <v>524</v>
      </c>
      <c r="B130" s="970" t="s">
        <v>432</v>
      </c>
      <c r="C130" s="950" t="s">
        <v>3233</v>
      </c>
    </row>
    <row r="131" spans="1:3">
      <c r="A131" s="973" t="s">
        <v>525</v>
      </c>
      <c r="B131" s="970" t="s">
        <v>436</v>
      </c>
      <c r="C131" s="950" t="s">
        <v>3234</v>
      </c>
    </row>
    <row r="132" spans="1:3">
      <c r="A132" s="973" t="s">
        <v>526</v>
      </c>
      <c r="B132" s="970" t="s">
        <v>440</v>
      </c>
      <c r="C132" s="950" t="s">
        <v>3235</v>
      </c>
    </row>
    <row r="133" spans="1:3">
      <c r="A133" s="973" t="s">
        <v>527</v>
      </c>
      <c r="B133" s="970" t="s">
        <v>443</v>
      </c>
      <c r="C133" s="950" t="s">
        <v>3236</v>
      </c>
    </row>
    <row r="134" spans="1:3">
      <c r="A134" s="970" t="s">
        <v>909</v>
      </c>
      <c r="B134" s="970" t="s">
        <v>75</v>
      </c>
      <c r="C134" s="950" t="s">
        <v>3237</v>
      </c>
    </row>
    <row r="135" spans="1:3">
      <c r="A135" s="970" t="s">
        <v>514</v>
      </c>
      <c r="B135" s="970" t="s">
        <v>5</v>
      </c>
      <c r="C135" s="950" t="s">
        <v>3238</v>
      </c>
    </row>
    <row r="136" spans="1:3">
      <c r="A136" s="971" t="s">
        <v>41</v>
      </c>
      <c r="B136" s="971" t="s">
        <v>46</v>
      </c>
      <c r="C136" s="951" t="s">
        <v>2997</v>
      </c>
    </row>
    <row r="137" spans="1:3">
      <c r="A137" s="970" t="s">
        <v>871</v>
      </c>
      <c r="B137" s="970" t="s">
        <v>870</v>
      </c>
      <c r="C137" s="950" t="s">
        <v>3239</v>
      </c>
    </row>
    <row r="138" spans="1:3">
      <c r="A138" s="970" t="s">
        <v>872</v>
      </c>
      <c r="B138" s="970" t="s">
        <v>899</v>
      </c>
      <c r="C138" s="950" t="s">
        <v>3240</v>
      </c>
    </row>
    <row r="139" spans="1:3">
      <c r="A139" s="970" t="s">
        <v>42</v>
      </c>
      <c r="B139" s="970" t="s">
        <v>47</v>
      </c>
      <c r="C139" s="950" t="s">
        <v>3241</v>
      </c>
    </row>
    <row r="140" spans="1:3">
      <c r="A140" s="970" t="s">
        <v>44</v>
      </c>
      <c r="B140" s="970" t="s">
        <v>43</v>
      </c>
      <c r="C140" s="950" t="s">
        <v>3242</v>
      </c>
    </row>
    <row r="141" spans="1:3">
      <c r="A141" s="972" t="s">
        <v>896</v>
      </c>
      <c r="B141" s="970" t="s">
        <v>894</v>
      </c>
      <c r="C141" s="952" t="s">
        <v>3243</v>
      </c>
    </row>
    <row r="142" spans="1:3">
      <c r="A142" s="972" t="s">
        <v>898</v>
      </c>
      <c r="B142" s="972" t="s">
        <v>897</v>
      </c>
      <c r="C142" s="850" t="s">
        <v>3244</v>
      </c>
    </row>
    <row r="143" spans="1:3">
      <c r="A143" s="975" t="s">
        <v>923</v>
      </c>
      <c r="B143" s="971" t="s">
        <v>924</v>
      </c>
      <c r="C143" s="951" t="s">
        <v>3003</v>
      </c>
    </row>
    <row r="144" spans="1:3">
      <c r="A144" s="973" t="s">
        <v>911</v>
      </c>
      <c r="B144" s="970" t="s">
        <v>910</v>
      </c>
      <c r="C144" s="950" t="s">
        <v>3245</v>
      </c>
    </row>
    <row r="145" spans="1:3">
      <c r="A145" s="971" t="s">
        <v>912</v>
      </c>
      <c r="B145" s="971" t="s">
        <v>913</v>
      </c>
      <c r="C145" s="951" t="s">
        <v>3246</v>
      </c>
    </row>
    <row r="146" spans="1:3">
      <c r="A146" s="973" t="s">
        <v>788</v>
      </c>
      <c r="B146" s="973" t="s">
        <v>789</v>
      </c>
      <c r="C146" s="955" t="s">
        <v>3247</v>
      </c>
    </row>
    <row r="147" spans="1:3">
      <c r="A147" s="973" t="s">
        <v>790</v>
      </c>
      <c r="B147" s="973" t="s">
        <v>795</v>
      </c>
      <c r="C147" s="955" t="s">
        <v>3248</v>
      </c>
    </row>
    <row r="148" spans="1:3">
      <c r="A148" s="973" t="s">
        <v>791</v>
      </c>
      <c r="B148" s="973" t="s">
        <v>796</v>
      </c>
      <c r="C148" s="955" t="s">
        <v>3249</v>
      </c>
    </row>
    <row r="149" spans="1:3">
      <c r="A149" s="973" t="s">
        <v>541</v>
      </c>
      <c r="B149" s="970" t="s">
        <v>419</v>
      </c>
      <c r="C149" s="955" t="s">
        <v>3250</v>
      </c>
    </row>
    <row r="150" spans="1:3">
      <c r="A150" s="973" t="s">
        <v>549</v>
      </c>
      <c r="B150" s="970" t="s">
        <v>548</v>
      </c>
      <c r="C150" s="955" t="s">
        <v>3251</v>
      </c>
    </row>
    <row r="151" spans="1:3">
      <c r="A151" s="973" t="s">
        <v>580</v>
      </c>
      <c r="B151" s="970" t="s">
        <v>550</v>
      </c>
      <c r="C151" s="955" t="s">
        <v>3252</v>
      </c>
    </row>
    <row r="152" spans="1:3">
      <c r="A152" s="973" t="s">
        <v>551</v>
      </c>
      <c r="B152" s="970" t="s">
        <v>421</v>
      </c>
      <c r="C152" s="955" t="s">
        <v>3253</v>
      </c>
    </row>
    <row r="153" spans="1:3">
      <c r="A153" s="973" t="s">
        <v>552</v>
      </c>
      <c r="B153" s="970" t="s">
        <v>422</v>
      </c>
      <c r="C153" s="955" t="s">
        <v>3254</v>
      </c>
    </row>
    <row r="154" spans="1:3">
      <c r="A154" s="973" t="s">
        <v>543</v>
      </c>
      <c r="B154" s="970" t="s">
        <v>423</v>
      </c>
      <c r="C154" s="955" t="s">
        <v>3255</v>
      </c>
    </row>
    <row r="155" spans="1:3">
      <c r="A155" s="973" t="s">
        <v>544</v>
      </c>
      <c r="B155" s="970" t="s">
        <v>424</v>
      </c>
      <c r="C155" s="955" t="s">
        <v>3256</v>
      </c>
    </row>
    <row r="156" spans="1:3">
      <c r="A156" s="973" t="s">
        <v>545</v>
      </c>
      <c r="B156" s="970" t="s">
        <v>425</v>
      </c>
      <c r="C156" s="955" t="s">
        <v>3257</v>
      </c>
    </row>
    <row r="157" spans="1:3">
      <c r="A157" s="973" t="s">
        <v>994</v>
      </c>
      <c r="B157" s="973" t="s">
        <v>1075</v>
      </c>
      <c r="C157" s="955" t="s">
        <v>3258</v>
      </c>
    </row>
    <row r="158" spans="1:3">
      <c r="A158" s="973" t="s">
        <v>995</v>
      </c>
      <c r="B158" s="973" t="s">
        <v>1076</v>
      </c>
      <c r="C158" s="955" t="s">
        <v>3259</v>
      </c>
    </row>
    <row r="159" spans="1:3">
      <c r="A159" s="973" t="s">
        <v>1124</v>
      </c>
      <c r="B159" s="973" t="s">
        <v>1123</v>
      </c>
      <c r="C159" s="955" t="s">
        <v>3019</v>
      </c>
    </row>
    <row r="160" spans="1:3">
      <c r="A160" s="973" t="s">
        <v>996</v>
      </c>
      <c r="B160" s="973" t="s">
        <v>1077</v>
      </c>
      <c r="C160" s="955" t="s">
        <v>3260</v>
      </c>
    </row>
    <row r="161" spans="1:3">
      <c r="A161" s="975" t="s">
        <v>540</v>
      </c>
      <c r="B161" s="971" t="s">
        <v>1125</v>
      </c>
      <c r="C161" s="951" t="s">
        <v>3261</v>
      </c>
    </row>
    <row r="162" spans="1:3">
      <c r="A162" s="975" t="s">
        <v>914</v>
      </c>
      <c r="B162" s="971" t="s">
        <v>840</v>
      </c>
      <c r="C162" s="951" t="s">
        <v>3262</v>
      </c>
    </row>
    <row r="163" spans="1:3">
      <c r="A163" s="973" t="s">
        <v>542</v>
      </c>
      <c r="B163" s="970" t="s">
        <v>420</v>
      </c>
      <c r="C163" s="955" t="s">
        <v>3263</v>
      </c>
    </row>
    <row r="164" spans="1:3">
      <c r="A164" s="973" t="s">
        <v>546</v>
      </c>
      <c r="B164" s="970" t="s">
        <v>45</v>
      </c>
      <c r="C164" s="955" t="s">
        <v>3264</v>
      </c>
    </row>
    <row r="165" spans="1:3">
      <c r="A165" s="973" t="s">
        <v>547</v>
      </c>
      <c r="B165" s="970" t="s">
        <v>584</v>
      </c>
      <c r="C165" s="955" t="s">
        <v>3025</v>
      </c>
    </row>
    <row r="166" spans="1:3">
      <c r="A166" s="973" t="s">
        <v>581</v>
      </c>
      <c r="B166" s="973" t="s">
        <v>48</v>
      </c>
      <c r="C166" s="955" t="s">
        <v>3265</v>
      </c>
    </row>
    <row r="167" spans="1:3" ht="27.6">
      <c r="A167" s="979" t="s">
        <v>801</v>
      </c>
      <c r="B167" s="979" t="s">
        <v>802</v>
      </c>
      <c r="C167" s="956" t="s">
        <v>3266</v>
      </c>
    </row>
    <row r="168" spans="1:3">
      <c r="A168" s="973" t="s">
        <v>585</v>
      </c>
      <c r="B168" s="973" t="s">
        <v>426</v>
      </c>
      <c r="C168" s="955" t="s">
        <v>3267</v>
      </c>
    </row>
    <row r="169" spans="1:3">
      <c r="A169" s="973" t="s">
        <v>764</v>
      </c>
      <c r="B169" s="970" t="s">
        <v>764</v>
      </c>
      <c r="C169" s="955" t="s">
        <v>3268</v>
      </c>
    </row>
    <row r="170" spans="1:3" ht="41.4">
      <c r="A170" s="974" t="s">
        <v>765</v>
      </c>
      <c r="B170" s="974" t="s">
        <v>766</v>
      </c>
      <c r="C170" s="957" t="s">
        <v>3269</v>
      </c>
    </row>
    <row r="171" spans="1:3">
      <c r="A171" s="970" t="s">
        <v>768</v>
      </c>
      <c r="B171" s="973" t="s">
        <v>767</v>
      </c>
      <c r="C171" s="955" t="s">
        <v>3270</v>
      </c>
    </row>
    <row r="172" spans="1:3">
      <c r="A172" s="970" t="s">
        <v>586</v>
      </c>
      <c r="B172" s="970" t="s">
        <v>779</v>
      </c>
      <c r="C172" s="955" t="s">
        <v>3271</v>
      </c>
    </row>
    <row r="173" spans="1:3">
      <c r="A173" s="970" t="s">
        <v>770</v>
      </c>
      <c r="B173" s="973" t="s">
        <v>769</v>
      </c>
      <c r="C173" s="955" t="s">
        <v>3272</v>
      </c>
    </row>
    <row r="174" spans="1:3">
      <c r="A174" s="970" t="s">
        <v>592</v>
      </c>
      <c r="B174" s="973" t="s">
        <v>591</v>
      </c>
      <c r="C174" s="955" t="s">
        <v>3273</v>
      </c>
    </row>
    <row r="175" spans="1:3">
      <c r="A175" s="973" t="s">
        <v>1154</v>
      </c>
      <c r="B175" s="970" t="s">
        <v>1058</v>
      </c>
      <c r="C175" s="955" t="s">
        <v>3274</v>
      </c>
    </row>
    <row r="176" spans="1:3" ht="27.6">
      <c r="A176" s="974" t="s">
        <v>1155</v>
      </c>
      <c r="B176" s="974" t="s">
        <v>1059</v>
      </c>
      <c r="C176" s="955" t="s">
        <v>3275</v>
      </c>
    </row>
    <row r="177" spans="1:3">
      <c r="A177" s="980"/>
      <c r="B177" s="981"/>
      <c r="C177" s="955"/>
    </row>
    <row r="178" spans="1:3">
      <c r="A178" s="971" t="s">
        <v>923</v>
      </c>
      <c r="B178" s="971" t="s">
        <v>1128</v>
      </c>
      <c r="C178" s="951" t="s">
        <v>3003</v>
      </c>
    </row>
    <row r="179" spans="1:3">
      <c r="A179" s="970" t="s">
        <v>587</v>
      </c>
      <c r="B179" s="972" t="s">
        <v>588</v>
      </c>
      <c r="C179" s="955" t="s">
        <v>3276</v>
      </c>
    </row>
    <row r="180" spans="1:3">
      <c r="A180" s="970" t="s">
        <v>553</v>
      </c>
      <c r="B180" s="970" t="s">
        <v>455</v>
      </c>
      <c r="C180" s="955" t="s">
        <v>3038</v>
      </c>
    </row>
    <row r="181" spans="1:3">
      <c r="A181" s="970" t="s">
        <v>554</v>
      </c>
      <c r="B181" s="970" t="s">
        <v>456</v>
      </c>
      <c r="C181" s="955" t="s">
        <v>3277</v>
      </c>
    </row>
    <row r="182" spans="1:3">
      <c r="A182" s="970" t="s">
        <v>555</v>
      </c>
      <c r="B182" s="970" t="s">
        <v>476</v>
      </c>
      <c r="C182" s="955" t="s">
        <v>3040</v>
      </c>
    </row>
    <row r="183" spans="1:3">
      <c r="A183" s="970" t="s">
        <v>556</v>
      </c>
      <c r="B183" s="970" t="s">
        <v>477</v>
      </c>
      <c r="C183" s="955" t="s">
        <v>3041</v>
      </c>
    </row>
    <row r="184" spans="1:3">
      <c r="A184" s="970" t="s">
        <v>557</v>
      </c>
      <c r="B184" s="970" t="s">
        <v>478</v>
      </c>
      <c r="C184" s="955" t="s">
        <v>3042</v>
      </c>
    </row>
    <row r="185" spans="1:3">
      <c r="A185" s="970" t="s">
        <v>558</v>
      </c>
      <c r="B185" s="970" t="s">
        <v>479</v>
      </c>
      <c r="C185" s="955" t="s">
        <v>3043</v>
      </c>
    </row>
    <row r="186" spans="1:3">
      <c r="A186" s="970" t="s">
        <v>915</v>
      </c>
      <c r="B186" s="970" t="s">
        <v>595</v>
      </c>
      <c r="C186" s="955" t="s">
        <v>3044</v>
      </c>
    </row>
    <row r="187" spans="1:3">
      <c r="A187" s="970" t="s">
        <v>1746</v>
      </c>
      <c r="B187" s="970" t="s">
        <v>1747</v>
      </c>
      <c r="C187" s="955" t="s">
        <v>3045</v>
      </c>
    </row>
    <row r="188" spans="1:3">
      <c r="A188" s="971" t="s">
        <v>1126</v>
      </c>
      <c r="B188" s="971" t="s">
        <v>1127</v>
      </c>
      <c r="C188" s="951" t="s">
        <v>3046</v>
      </c>
    </row>
    <row r="189" spans="1:3">
      <c r="A189" s="970" t="s">
        <v>916</v>
      </c>
      <c r="B189" s="970" t="s">
        <v>917</v>
      </c>
      <c r="C189" s="955" t="s">
        <v>3278</v>
      </c>
    </row>
    <row r="190" spans="1:3">
      <c r="A190" s="970" t="s">
        <v>570</v>
      </c>
      <c r="B190" s="970" t="s">
        <v>596</v>
      </c>
      <c r="C190" s="955" t="s">
        <v>3279</v>
      </c>
    </row>
    <row r="191" spans="1:3">
      <c r="A191" s="970" t="s">
        <v>119</v>
      </c>
      <c r="B191" s="970" t="s">
        <v>367</v>
      </c>
      <c r="C191" s="955" t="s">
        <v>3280</v>
      </c>
    </row>
    <row r="192" spans="1:3">
      <c r="A192" s="970" t="s">
        <v>1745</v>
      </c>
      <c r="B192" s="970" t="s">
        <v>1744</v>
      </c>
      <c r="C192" s="955" t="s">
        <v>3281</v>
      </c>
    </row>
    <row r="193" spans="1:3">
      <c r="A193" s="971" t="s">
        <v>1108</v>
      </c>
      <c r="B193" s="971" t="s">
        <v>1109</v>
      </c>
      <c r="C193" s="951" t="s">
        <v>3051</v>
      </c>
    </row>
    <row r="194" spans="1:3">
      <c r="A194" s="970" t="s">
        <v>562</v>
      </c>
      <c r="B194" s="970" t="s">
        <v>457</v>
      </c>
      <c r="C194" s="955" t="s">
        <v>3282</v>
      </c>
    </row>
    <row r="195" spans="1:3">
      <c r="A195" s="970" t="s">
        <v>563</v>
      </c>
      <c r="B195" s="970" t="s">
        <v>458</v>
      </c>
      <c r="C195" s="955" t="s">
        <v>3283</v>
      </c>
    </row>
    <row r="196" spans="1:3">
      <c r="A196" s="970" t="s">
        <v>571</v>
      </c>
      <c r="B196" s="970" t="s">
        <v>2</v>
      </c>
      <c r="C196" s="955" t="s">
        <v>3284</v>
      </c>
    </row>
    <row r="197" spans="1:3">
      <c r="A197" s="970" t="s">
        <v>0</v>
      </c>
      <c r="B197" s="970" t="s">
        <v>0</v>
      </c>
      <c r="C197" s="955" t="s">
        <v>0</v>
      </c>
    </row>
    <row r="198" spans="1:3">
      <c r="A198" s="970" t="s">
        <v>52</v>
      </c>
      <c r="B198" s="970" t="s">
        <v>4</v>
      </c>
      <c r="C198" s="955" t="s">
        <v>3285</v>
      </c>
    </row>
    <row r="199" spans="1:3">
      <c r="A199" s="970" t="s">
        <v>51</v>
      </c>
      <c r="B199" s="970" t="s">
        <v>3</v>
      </c>
      <c r="C199" s="955" t="s">
        <v>3286</v>
      </c>
    </row>
    <row r="200" spans="1:3">
      <c r="A200" s="970" t="s">
        <v>564</v>
      </c>
      <c r="B200" s="970" t="s">
        <v>460</v>
      </c>
      <c r="C200" s="955" t="s">
        <v>3287</v>
      </c>
    </row>
    <row r="201" spans="1:3">
      <c r="A201" s="970" t="s">
        <v>565</v>
      </c>
      <c r="B201" s="970" t="s">
        <v>512</v>
      </c>
      <c r="C201" s="955" t="s">
        <v>3288</v>
      </c>
    </row>
    <row r="202" spans="1:3">
      <c r="A202" s="970" t="s">
        <v>566</v>
      </c>
      <c r="B202" s="970" t="s">
        <v>463</v>
      </c>
      <c r="C202" s="955" t="s">
        <v>3289</v>
      </c>
    </row>
    <row r="203" spans="1:3">
      <c r="A203" s="970" t="s">
        <v>567</v>
      </c>
      <c r="B203" s="970" t="s">
        <v>461</v>
      </c>
      <c r="C203" s="955" t="s">
        <v>3290</v>
      </c>
    </row>
    <row r="204" spans="1:3">
      <c r="A204" s="970" t="s">
        <v>572</v>
      </c>
      <c r="B204" s="970" t="s">
        <v>464</v>
      </c>
      <c r="C204" s="955" t="s">
        <v>3291</v>
      </c>
    </row>
    <row r="205" spans="1:3">
      <c r="A205" s="970" t="s">
        <v>568</v>
      </c>
      <c r="B205" s="970" t="s">
        <v>462</v>
      </c>
      <c r="C205" s="955" t="s">
        <v>3292</v>
      </c>
    </row>
    <row r="206" spans="1:3">
      <c r="A206" s="970" t="s">
        <v>807</v>
      </c>
      <c r="B206" s="970" t="s">
        <v>808</v>
      </c>
      <c r="C206" s="955" t="s">
        <v>3293</v>
      </c>
    </row>
    <row r="207" spans="1:3">
      <c r="A207" s="970" t="s">
        <v>918</v>
      </c>
      <c r="B207" s="970" t="s">
        <v>919</v>
      </c>
      <c r="C207" s="955" t="s">
        <v>3294</v>
      </c>
    </row>
    <row r="208" spans="1:3">
      <c r="A208" s="970" t="s">
        <v>569</v>
      </c>
      <c r="B208" s="970" t="s">
        <v>560</v>
      </c>
      <c r="C208" s="955" t="s">
        <v>3295</v>
      </c>
    </row>
    <row r="209" spans="1:3">
      <c r="A209" s="970" t="s">
        <v>920</v>
      </c>
      <c r="B209" s="970" t="s">
        <v>465</v>
      </c>
      <c r="C209" s="955" t="s">
        <v>3296</v>
      </c>
    </row>
    <row r="210" spans="1:3">
      <c r="A210" s="970" t="s">
        <v>559</v>
      </c>
      <c r="B210" s="970" t="s">
        <v>561</v>
      </c>
      <c r="C210" s="955" t="s">
        <v>3297</v>
      </c>
    </row>
    <row r="211" spans="1:3">
      <c r="A211" s="970" t="s">
        <v>107</v>
      </c>
      <c r="B211" s="970" t="s">
        <v>798</v>
      </c>
      <c r="C211" s="955" t="s">
        <v>3298</v>
      </c>
    </row>
    <row r="212" spans="1:3">
      <c r="A212" s="970" t="s">
        <v>920</v>
      </c>
      <c r="B212" s="970" t="s">
        <v>921</v>
      </c>
      <c r="C212" s="955" t="s">
        <v>3296</v>
      </c>
    </row>
    <row r="213" spans="1:3">
      <c r="A213" s="970" t="s">
        <v>559</v>
      </c>
      <c r="B213" s="970" t="s">
        <v>561</v>
      </c>
      <c r="C213" s="955" t="s">
        <v>3297</v>
      </c>
    </row>
    <row r="214" spans="1:3">
      <c r="A214" s="971" t="s">
        <v>1110</v>
      </c>
      <c r="B214" s="971" t="s">
        <v>1111</v>
      </c>
      <c r="C214" s="951" t="s">
        <v>3299</v>
      </c>
    </row>
    <row r="215" spans="1:3">
      <c r="A215" s="970" t="s">
        <v>1112</v>
      </c>
      <c r="B215" s="970" t="s">
        <v>1113</v>
      </c>
      <c r="C215" s="955" t="s">
        <v>3300</v>
      </c>
    </row>
    <row r="216" spans="1:3">
      <c r="A216" s="970" t="s">
        <v>830</v>
      </c>
      <c r="B216" s="970" t="s">
        <v>831</v>
      </c>
      <c r="C216" s="955" t="s">
        <v>3301</v>
      </c>
    </row>
    <row r="217" spans="1:3">
      <c r="A217" s="970" t="s">
        <v>111</v>
      </c>
      <c r="B217" s="970" t="s">
        <v>112</v>
      </c>
      <c r="C217" s="955" t="s">
        <v>3302</v>
      </c>
    </row>
    <row r="218" spans="1:3">
      <c r="A218" s="970" t="s">
        <v>117</v>
      </c>
      <c r="B218" s="970" t="s">
        <v>113</v>
      </c>
      <c r="C218" s="955" t="s">
        <v>3303</v>
      </c>
    </row>
    <row r="219" spans="1:3">
      <c r="A219" s="970" t="s">
        <v>803</v>
      </c>
      <c r="B219" s="970" t="s">
        <v>804</v>
      </c>
      <c r="C219" s="955" t="s">
        <v>3304</v>
      </c>
    </row>
    <row r="220" spans="1:3">
      <c r="A220" s="970" t="s">
        <v>832</v>
      </c>
      <c r="B220" s="970" t="s">
        <v>833</v>
      </c>
      <c r="C220" s="955" t="s">
        <v>3305</v>
      </c>
    </row>
    <row r="221" spans="1:3">
      <c r="A221" s="970" t="s">
        <v>467</v>
      </c>
      <c r="B221" s="970" t="s">
        <v>467</v>
      </c>
      <c r="C221" s="955" t="s">
        <v>3306</v>
      </c>
    </row>
    <row r="222" spans="1:3">
      <c r="A222" s="970" t="s">
        <v>365</v>
      </c>
      <c r="B222" s="970" t="s">
        <v>365</v>
      </c>
      <c r="C222" s="955" t="s">
        <v>365</v>
      </c>
    </row>
    <row r="223" spans="1:3">
      <c r="A223" s="970" t="s">
        <v>53</v>
      </c>
      <c r="B223" s="970" t="s">
        <v>54</v>
      </c>
      <c r="C223" s="955" t="s">
        <v>3307</v>
      </c>
    </row>
    <row r="224" spans="1:3">
      <c r="A224" s="970" t="s">
        <v>355</v>
      </c>
      <c r="B224" s="970" t="s">
        <v>356</v>
      </c>
      <c r="C224" s="955" t="s">
        <v>3308</v>
      </c>
    </row>
    <row r="225" spans="1:3">
      <c r="A225" s="970" t="s">
        <v>17</v>
      </c>
      <c r="B225" s="970" t="s">
        <v>800</v>
      </c>
      <c r="C225" s="955" t="s">
        <v>3309</v>
      </c>
    </row>
    <row r="226" spans="1:3">
      <c r="A226" s="973" t="s">
        <v>799</v>
      </c>
      <c r="B226" s="973" t="s">
        <v>922</v>
      </c>
      <c r="C226" s="955" t="s">
        <v>3310</v>
      </c>
    </row>
    <row r="227" spans="1:3">
      <c r="A227" s="970" t="s">
        <v>771</v>
      </c>
      <c r="B227" s="973" t="s">
        <v>776</v>
      </c>
      <c r="C227" s="955" t="s">
        <v>3311</v>
      </c>
    </row>
    <row r="228" spans="1:3">
      <c r="A228" s="970" t="s">
        <v>774</v>
      </c>
      <c r="B228" s="973" t="s">
        <v>775</v>
      </c>
      <c r="C228" s="955" t="s">
        <v>3312</v>
      </c>
    </row>
    <row r="229" spans="1:3">
      <c r="A229" s="973" t="s">
        <v>772</v>
      </c>
      <c r="B229" s="973" t="s">
        <v>773</v>
      </c>
      <c r="C229" s="955" t="s">
        <v>3313</v>
      </c>
    </row>
    <row r="230" spans="1:3">
      <c r="A230" s="970" t="s">
        <v>925</v>
      </c>
      <c r="B230" s="970" t="s">
        <v>926</v>
      </c>
      <c r="C230" s="955" t="s">
        <v>3314</v>
      </c>
    </row>
    <row r="231" spans="1:3">
      <c r="A231" s="970" t="s">
        <v>829</v>
      </c>
      <c r="B231" s="970" t="s">
        <v>828</v>
      </c>
      <c r="C231" s="955" t="s">
        <v>3315</v>
      </c>
    </row>
    <row r="232" spans="1:3">
      <c r="A232" s="970" t="s">
        <v>1114</v>
      </c>
      <c r="B232" s="970" t="s">
        <v>1084</v>
      </c>
      <c r="C232" s="955" t="s">
        <v>3316</v>
      </c>
    </row>
    <row r="233" spans="1:3">
      <c r="A233" s="971" t="s">
        <v>1100</v>
      </c>
      <c r="B233" s="971" t="s">
        <v>1101</v>
      </c>
      <c r="C233" s="951" t="s">
        <v>3317</v>
      </c>
    </row>
    <row r="234" spans="1:3">
      <c r="A234" s="970" t="s">
        <v>1071</v>
      </c>
      <c r="B234" s="970" t="s">
        <v>956</v>
      </c>
      <c r="C234" s="955" t="s">
        <v>3318</v>
      </c>
    </row>
    <row r="235" spans="1:3">
      <c r="A235" s="970" t="s">
        <v>1070</v>
      </c>
      <c r="B235" s="970" t="s">
        <v>955</v>
      </c>
      <c r="C235" s="955" t="s">
        <v>3319</v>
      </c>
    </row>
    <row r="236" spans="1:3">
      <c r="A236" s="970" t="s">
        <v>1136</v>
      </c>
      <c r="B236" s="973" t="s">
        <v>1060</v>
      </c>
      <c r="C236" s="955" t="s">
        <v>3320</v>
      </c>
    </row>
    <row r="237" spans="1:3">
      <c r="A237" s="970" t="s">
        <v>1137</v>
      </c>
      <c r="B237" s="973" t="s">
        <v>1061</v>
      </c>
      <c r="C237" s="955" t="s">
        <v>3321</v>
      </c>
    </row>
    <row r="238" spans="1:3">
      <c r="A238" s="970" t="s">
        <v>1138</v>
      </c>
      <c r="B238" s="973" t="s">
        <v>1062</v>
      </c>
      <c r="C238" s="955" t="s">
        <v>3322</v>
      </c>
    </row>
    <row r="239" spans="1:3">
      <c r="A239" s="970" t="s">
        <v>1139</v>
      </c>
      <c r="B239" s="973" t="s">
        <v>1063</v>
      </c>
      <c r="C239" s="955" t="s">
        <v>3323</v>
      </c>
    </row>
    <row r="240" spans="1:3">
      <c r="A240" s="970" t="s">
        <v>1140</v>
      </c>
      <c r="B240" s="973" t="s">
        <v>1064</v>
      </c>
      <c r="C240" s="955" t="s">
        <v>3324</v>
      </c>
    </row>
    <row r="241" spans="1:3">
      <c r="A241" s="970" t="s">
        <v>1141</v>
      </c>
      <c r="B241" s="973" t="s">
        <v>1065</v>
      </c>
      <c r="C241" s="955" t="s">
        <v>3325</v>
      </c>
    </row>
    <row r="242" spans="1:3">
      <c r="A242" s="970" t="s">
        <v>1142</v>
      </c>
      <c r="B242" s="973" t="s">
        <v>1066</v>
      </c>
      <c r="C242" s="955" t="s">
        <v>3326</v>
      </c>
    </row>
    <row r="243" spans="1:3">
      <c r="A243" s="970" t="s">
        <v>1143</v>
      </c>
      <c r="B243" s="973" t="s">
        <v>1067</v>
      </c>
      <c r="C243" s="955" t="s">
        <v>3327</v>
      </c>
    </row>
    <row r="244" spans="1:3">
      <c r="A244" s="970" t="s">
        <v>1144</v>
      </c>
      <c r="B244" s="973" t="s">
        <v>1068</v>
      </c>
      <c r="C244" s="955" t="s">
        <v>3328</v>
      </c>
    </row>
    <row r="245" spans="1:3">
      <c r="A245" s="970" t="s">
        <v>1145</v>
      </c>
      <c r="B245" s="973" t="s">
        <v>1069</v>
      </c>
      <c r="C245" s="955" t="s">
        <v>3329</v>
      </c>
    </row>
    <row r="246" spans="1:3">
      <c r="A246" s="970" t="s">
        <v>1115</v>
      </c>
      <c r="B246" s="970" t="s">
        <v>939</v>
      </c>
      <c r="C246" s="955" t="s">
        <v>2490</v>
      </c>
    </row>
    <row r="247" spans="1:3">
      <c r="A247" s="970" t="s">
        <v>1116</v>
      </c>
      <c r="B247" s="973" t="s">
        <v>944</v>
      </c>
      <c r="C247" s="955" t="s">
        <v>3330</v>
      </c>
    </row>
    <row r="248" spans="1:3">
      <c r="A248" s="970" t="s">
        <v>1117</v>
      </c>
      <c r="B248" s="973" t="s">
        <v>949</v>
      </c>
      <c r="C248" s="955" t="s">
        <v>3100</v>
      </c>
    </row>
    <row r="249" spans="1:3">
      <c r="A249" s="970" t="s">
        <v>1118</v>
      </c>
      <c r="B249" s="973" t="s">
        <v>950</v>
      </c>
      <c r="C249" s="955" t="s">
        <v>3101</v>
      </c>
    </row>
    <row r="250" spans="1:3">
      <c r="A250" s="970" t="s">
        <v>1119</v>
      </c>
      <c r="B250" s="973" t="s">
        <v>951</v>
      </c>
      <c r="C250" s="955" t="s">
        <v>3102</v>
      </c>
    </row>
    <row r="251" spans="1:3">
      <c r="A251" s="970" t="s">
        <v>1146</v>
      </c>
      <c r="B251" s="973" t="s">
        <v>945</v>
      </c>
      <c r="C251" s="955" t="s">
        <v>3331</v>
      </c>
    </row>
    <row r="252" spans="1:3">
      <c r="A252" s="970" t="s">
        <v>1149</v>
      </c>
      <c r="B252" s="973" t="s">
        <v>952</v>
      </c>
      <c r="C252" s="955" t="s">
        <v>3332</v>
      </c>
    </row>
    <row r="253" spans="1:3">
      <c r="A253" s="970" t="s">
        <v>1147</v>
      </c>
      <c r="B253" s="973" t="s">
        <v>953</v>
      </c>
      <c r="C253" s="955" t="s">
        <v>3333</v>
      </c>
    </row>
    <row r="254" spans="1:3">
      <c r="A254" s="970" t="s">
        <v>1148</v>
      </c>
      <c r="B254" s="973" t="s">
        <v>954</v>
      </c>
      <c r="C254" s="955" t="s">
        <v>3334</v>
      </c>
    </row>
    <row r="255" spans="1:3">
      <c r="A255" s="970" t="s">
        <v>940</v>
      </c>
      <c r="B255" s="970" t="s">
        <v>940</v>
      </c>
      <c r="C255" s="955" t="s">
        <v>3107</v>
      </c>
    </row>
    <row r="256" spans="1:3">
      <c r="A256" s="970" t="s">
        <v>1120</v>
      </c>
      <c r="B256" s="970" t="s">
        <v>1057</v>
      </c>
      <c r="C256" s="955" t="s">
        <v>3335</v>
      </c>
    </row>
    <row r="257" spans="1:3">
      <c r="A257" s="970" t="s">
        <v>1121</v>
      </c>
      <c r="B257" s="970" t="s">
        <v>1072</v>
      </c>
      <c r="C257" s="955" t="s">
        <v>3336</v>
      </c>
    </row>
    <row r="258" spans="1:3">
      <c r="A258" s="970" t="s">
        <v>1150</v>
      </c>
      <c r="B258" s="970" t="s">
        <v>1073</v>
      </c>
      <c r="C258" s="955" t="s">
        <v>3337</v>
      </c>
    </row>
    <row r="259" spans="1:3">
      <c r="A259" s="970" t="s">
        <v>1129</v>
      </c>
      <c r="B259" s="970" t="s">
        <v>943</v>
      </c>
      <c r="C259" s="955" t="s">
        <v>3111</v>
      </c>
    </row>
    <row r="260" spans="1:3">
      <c r="A260" s="970" t="s">
        <v>1122</v>
      </c>
      <c r="B260" s="970" t="s">
        <v>1074</v>
      </c>
      <c r="C260" s="966" t="s">
        <v>3338</v>
      </c>
    </row>
    <row r="261" spans="1:3">
      <c r="A261" s="971"/>
      <c r="B261" s="971"/>
      <c r="C261" s="955"/>
    </row>
    <row r="262" spans="1:3">
      <c r="A262" s="970" t="s">
        <v>1151</v>
      </c>
      <c r="B262" s="970" t="s">
        <v>1130</v>
      </c>
      <c r="C262" s="966" t="s">
        <v>3339</v>
      </c>
    </row>
    <row r="263" spans="1:3">
      <c r="A263" s="970" t="s">
        <v>1153</v>
      </c>
      <c r="B263" s="970" t="s">
        <v>1131</v>
      </c>
      <c r="C263" s="966" t="s">
        <v>3340</v>
      </c>
    </row>
    <row r="264" spans="1:3">
      <c r="A264" s="970" t="s">
        <v>1152</v>
      </c>
      <c r="B264" s="970" t="s">
        <v>1132</v>
      </c>
      <c r="C264" s="966" t="s">
        <v>3114</v>
      </c>
    </row>
    <row r="265" spans="1:3">
      <c r="A265" s="680" t="s">
        <v>1759</v>
      </c>
      <c r="B265" s="680" t="s">
        <v>1758</v>
      </c>
      <c r="C265" s="680" t="s">
        <v>1758</v>
      </c>
    </row>
    <row r="266" spans="1:3">
      <c r="A266" s="680" t="s">
        <v>1764</v>
      </c>
      <c r="B266" s="680" t="s">
        <v>1760</v>
      </c>
      <c r="C266" s="966" t="s">
        <v>3343</v>
      </c>
    </row>
    <row r="267" spans="1:3">
      <c r="A267" s="680" t="s">
        <v>1765</v>
      </c>
      <c r="B267" s="680" t="s">
        <v>1761</v>
      </c>
      <c r="C267" s="966" t="s">
        <v>3344</v>
      </c>
    </row>
    <row r="268" spans="1:3">
      <c r="A268" s="680" t="s">
        <v>1762</v>
      </c>
      <c r="B268" s="680" t="s">
        <v>1763</v>
      </c>
      <c r="C268" s="966" t="s">
        <v>3345</v>
      </c>
    </row>
    <row r="269" spans="1:3">
      <c r="A269" s="680" t="s">
        <v>2507</v>
      </c>
      <c r="B269" s="680" t="s">
        <v>2508</v>
      </c>
      <c r="C269" s="680" t="s">
        <v>2508</v>
      </c>
    </row>
    <row r="270" spans="1:3">
      <c r="A270" s="985" t="s">
        <v>3348</v>
      </c>
      <c r="B270" s="985" t="s">
        <v>3349</v>
      </c>
      <c r="C270" s="985" t="s">
        <v>3360</v>
      </c>
    </row>
    <row r="271" spans="1:3">
      <c r="A271" s="985" t="s">
        <v>3346</v>
      </c>
      <c r="B271" s="985" t="s">
        <v>3346</v>
      </c>
      <c r="C271" s="985" t="s">
        <v>3346</v>
      </c>
    </row>
  </sheetData>
  <sheetProtection algorithmName="SHA-512" hashValue="dbwnBffZkPjPJ71b+YprcB2m9tM9jyoJ5ptKbeNAirru4fhfbK4pF4CMbro1UkUaKZzpYXO6RYXBC6dH1h6/6g==" saltValue="oFJcNkZa83jNRYnMhBvpUg==" spinCount="100000" sheet="1" objects="1" scenarios="1"/>
  <customSheetViews>
    <customSheetView guid="{727552C9-10E3-4948-B2AE-8FE165517887}" state="hidden" topLeftCell="A7">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1280" priority="135"/>
  </conditionalFormatting>
  <conditionalFormatting sqref="A2">
    <cfRule type="duplicateValues" dxfId="1279" priority="134"/>
  </conditionalFormatting>
  <conditionalFormatting sqref="A4:A5">
    <cfRule type="duplicateValues" dxfId="1278" priority="133"/>
  </conditionalFormatting>
  <conditionalFormatting sqref="A9">
    <cfRule type="duplicateValues" dxfId="1277" priority="132"/>
  </conditionalFormatting>
  <conditionalFormatting sqref="A10:A11">
    <cfRule type="duplicateValues" dxfId="1276" priority="131"/>
  </conditionalFormatting>
  <conditionalFormatting sqref="A12">
    <cfRule type="duplicateValues" dxfId="1275" priority="130"/>
  </conditionalFormatting>
  <conditionalFormatting sqref="A13">
    <cfRule type="duplicateValues" dxfId="1274" priority="129"/>
  </conditionalFormatting>
  <conditionalFormatting sqref="A14:A16">
    <cfRule type="duplicateValues" dxfId="1273" priority="128"/>
  </conditionalFormatting>
  <conditionalFormatting sqref="A19:A20">
    <cfRule type="duplicateValues" dxfId="1272" priority="127"/>
  </conditionalFormatting>
  <conditionalFormatting sqref="A21">
    <cfRule type="duplicateValues" dxfId="1271" priority="126"/>
  </conditionalFormatting>
  <conditionalFormatting sqref="A22">
    <cfRule type="duplicateValues" dxfId="1270" priority="125"/>
  </conditionalFormatting>
  <conditionalFormatting sqref="A27">
    <cfRule type="duplicateValues" dxfId="1269" priority="124"/>
  </conditionalFormatting>
  <conditionalFormatting sqref="A24">
    <cfRule type="duplicateValues" dxfId="1268" priority="123"/>
  </conditionalFormatting>
  <conditionalFormatting sqref="A26">
    <cfRule type="duplicateValues" dxfId="1267" priority="122"/>
  </conditionalFormatting>
  <conditionalFormatting sqref="A28">
    <cfRule type="duplicateValues" dxfId="1266" priority="121"/>
  </conditionalFormatting>
  <conditionalFormatting sqref="A29:A30">
    <cfRule type="duplicateValues" dxfId="1265" priority="120"/>
  </conditionalFormatting>
  <conditionalFormatting sqref="A31">
    <cfRule type="duplicateValues" dxfId="1264" priority="119"/>
  </conditionalFormatting>
  <conditionalFormatting sqref="A32">
    <cfRule type="duplicateValues" dxfId="1263" priority="118"/>
  </conditionalFormatting>
  <conditionalFormatting sqref="A33">
    <cfRule type="duplicateValues" dxfId="1262" priority="117"/>
  </conditionalFormatting>
  <conditionalFormatting sqref="A35:A38">
    <cfRule type="duplicateValues" dxfId="1261" priority="116"/>
  </conditionalFormatting>
  <conditionalFormatting sqref="A34">
    <cfRule type="duplicateValues" dxfId="1260" priority="115"/>
  </conditionalFormatting>
  <conditionalFormatting sqref="A39">
    <cfRule type="duplicateValues" dxfId="1259" priority="114"/>
  </conditionalFormatting>
  <conditionalFormatting sqref="A41:A42">
    <cfRule type="duplicateValues" dxfId="1258" priority="113"/>
  </conditionalFormatting>
  <conditionalFormatting sqref="A43:A44 A69">
    <cfRule type="duplicateValues" dxfId="1257" priority="112"/>
  </conditionalFormatting>
  <conditionalFormatting sqref="A45:A48">
    <cfRule type="duplicateValues" dxfId="1256" priority="111"/>
  </conditionalFormatting>
  <conditionalFormatting sqref="B49:B50">
    <cfRule type="duplicateValues" dxfId="1255" priority="110"/>
  </conditionalFormatting>
  <conditionalFormatting sqref="A49:A51">
    <cfRule type="duplicateValues" dxfId="1254" priority="109"/>
  </conditionalFormatting>
  <conditionalFormatting sqref="A67">
    <cfRule type="duplicateValues" dxfId="1253" priority="108"/>
  </conditionalFormatting>
  <conditionalFormatting sqref="A68">
    <cfRule type="duplicateValues" dxfId="1252" priority="107"/>
  </conditionalFormatting>
  <conditionalFormatting sqref="A71">
    <cfRule type="duplicateValues" dxfId="1251" priority="106"/>
  </conditionalFormatting>
  <conditionalFormatting sqref="A72">
    <cfRule type="duplicateValues" dxfId="1250" priority="105"/>
  </conditionalFormatting>
  <conditionalFormatting sqref="A74:A75">
    <cfRule type="duplicateValues" dxfId="1249" priority="104"/>
  </conditionalFormatting>
  <conditionalFormatting sqref="A73">
    <cfRule type="duplicateValues" dxfId="1248" priority="103"/>
  </conditionalFormatting>
  <conditionalFormatting sqref="A76">
    <cfRule type="duplicateValues" dxfId="1247" priority="102"/>
  </conditionalFormatting>
  <conditionalFormatting sqref="A77">
    <cfRule type="duplicateValues" dxfId="1246" priority="101"/>
  </conditionalFormatting>
  <conditionalFormatting sqref="A78:A79">
    <cfRule type="duplicateValues" dxfId="1245" priority="100"/>
  </conditionalFormatting>
  <conditionalFormatting sqref="A83">
    <cfRule type="duplicateValues" dxfId="1244" priority="99"/>
  </conditionalFormatting>
  <conditionalFormatting sqref="A84">
    <cfRule type="duplicateValues" dxfId="1243" priority="98"/>
  </conditionalFormatting>
  <conditionalFormatting sqref="A80:A82">
    <cfRule type="duplicateValues" dxfId="1242" priority="97"/>
  </conditionalFormatting>
  <conditionalFormatting sqref="A85:A88">
    <cfRule type="duplicateValues" dxfId="1241" priority="96"/>
  </conditionalFormatting>
  <conditionalFormatting sqref="A89">
    <cfRule type="duplicateValues" dxfId="1240" priority="95"/>
  </conditionalFormatting>
  <conditionalFormatting sqref="A90">
    <cfRule type="duplicateValues" dxfId="1239" priority="94"/>
  </conditionalFormatting>
  <conditionalFormatting sqref="A91:A92">
    <cfRule type="duplicateValues" dxfId="1238" priority="93"/>
  </conditionalFormatting>
  <conditionalFormatting sqref="A93:A94">
    <cfRule type="duplicateValues" dxfId="1237" priority="92"/>
  </conditionalFormatting>
  <conditionalFormatting sqref="A95">
    <cfRule type="duplicateValues" dxfId="1236" priority="91"/>
  </conditionalFormatting>
  <conditionalFormatting sqref="A97">
    <cfRule type="duplicateValues" dxfId="1235" priority="90"/>
  </conditionalFormatting>
  <conditionalFormatting sqref="A98">
    <cfRule type="duplicateValues" dxfId="1234" priority="89"/>
  </conditionalFormatting>
  <conditionalFormatting sqref="A103">
    <cfRule type="duplicateValues" dxfId="1233" priority="88"/>
  </conditionalFormatting>
  <conditionalFormatting sqref="A104">
    <cfRule type="duplicateValues" dxfId="1232" priority="87"/>
  </conditionalFormatting>
  <conditionalFormatting sqref="A105">
    <cfRule type="duplicateValues" dxfId="1231" priority="86"/>
  </conditionalFormatting>
  <conditionalFormatting sqref="A106">
    <cfRule type="duplicateValues" dxfId="1230" priority="85"/>
  </conditionalFormatting>
  <conditionalFormatting sqref="A107">
    <cfRule type="duplicateValues" dxfId="1229" priority="84"/>
  </conditionalFormatting>
  <conditionalFormatting sqref="A116:A118 A120:A121">
    <cfRule type="duplicateValues" dxfId="1228" priority="83"/>
  </conditionalFormatting>
  <conditionalFormatting sqref="A124:A127">
    <cfRule type="duplicateValues" dxfId="1227" priority="82"/>
  </conditionalFormatting>
  <conditionalFormatting sqref="A129:A133">
    <cfRule type="duplicateValues" dxfId="1226" priority="136"/>
  </conditionalFormatting>
  <conditionalFormatting sqref="A109 A111:A113">
    <cfRule type="duplicateValues" dxfId="1225" priority="81"/>
  </conditionalFormatting>
  <conditionalFormatting sqref="A108">
    <cfRule type="duplicateValues" dxfId="1224" priority="80"/>
  </conditionalFormatting>
  <conditionalFormatting sqref="A122">
    <cfRule type="duplicateValues" dxfId="1223" priority="79"/>
  </conditionalFormatting>
  <conditionalFormatting sqref="A128">
    <cfRule type="duplicateValues" dxfId="1222" priority="78"/>
  </conditionalFormatting>
  <conditionalFormatting sqref="A135">
    <cfRule type="duplicateValues" dxfId="1221" priority="77"/>
  </conditionalFormatting>
  <conditionalFormatting sqref="A136">
    <cfRule type="duplicateValues" dxfId="1220" priority="76"/>
  </conditionalFormatting>
  <conditionalFormatting sqref="A139:A140">
    <cfRule type="duplicateValues" dxfId="1219" priority="75"/>
  </conditionalFormatting>
  <conditionalFormatting sqref="A137:A138">
    <cfRule type="duplicateValues" dxfId="1218" priority="74"/>
  </conditionalFormatting>
  <conditionalFormatting sqref="A141">
    <cfRule type="duplicateValues" dxfId="1217" priority="73"/>
  </conditionalFormatting>
  <conditionalFormatting sqref="B142">
    <cfRule type="duplicateValues" dxfId="1216" priority="72"/>
  </conditionalFormatting>
  <conditionalFormatting sqref="A142">
    <cfRule type="duplicateValues" dxfId="1215" priority="71"/>
  </conditionalFormatting>
  <conditionalFormatting sqref="A144">
    <cfRule type="duplicateValues" dxfId="1214" priority="70"/>
  </conditionalFormatting>
  <conditionalFormatting sqref="A143">
    <cfRule type="duplicateValues" dxfId="1213" priority="69"/>
  </conditionalFormatting>
  <conditionalFormatting sqref="A145">
    <cfRule type="duplicateValues" dxfId="1212" priority="68"/>
  </conditionalFormatting>
  <conditionalFormatting sqref="A146">
    <cfRule type="duplicateValues" dxfId="1211" priority="67"/>
  </conditionalFormatting>
  <conditionalFormatting sqref="A147:A148">
    <cfRule type="duplicateValues" dxfId="1210" priority="66"/>
  </conditionalFormatting>
  <conditionalFormatting sqref="A149:A150">
    <cfRule type="duplicateValues" dxfId="1209" priority="65"/>
  </conditionalFormatting>
  <conditionalFormatting sqref="A151">
    <cfRule type="duplicateValues" dxfId="1208" priority="64"/>
  </conditionalFormatting>
  <conditionalFormatting sqref="A152:A160">
    <cfRule type="duplicateValues" dxfId="1207" priority="63"/>
  </conditionalFormatting>
  <conditionalFormatting sqref="A161">
    <cfRule type="duplicateValues" dxfId="1206" priority="62"/>
  </conditionalFormatting>
  <conditionalFormatting sqref="A162">
    <cfRule type="duplicateValues" dxfId="1205" priority="61"/>
  </conditionalFormatting>
  <conditionalFormatting sqref="A163">
    <cfRule type="duplicateValues" dxfId="1204" priority="60"/>
  </conditionalFormatting>
  <conditionalFormatting sqref="A164:A166">
    <cfRule type="duplicateValues" dxfId="1203" priority="59"/>
  </conditionalFormatting>
  <conditionalFormatting sqref="A167">
    <cfRule type="duplicateValues" dxfId="1202" priority="58"/>
  </conditionalFormatting>
  <conditionalFormatting sqref="A168">
    <cfRule type="duplicateValues" dxfId="1201" priority="57"/>
  </conditionalFormatting>
  <conditionalFormatting sqref="A175">
    <cfRule type="duplicateValues" dxfId="1200" priority="55"/>
  </conditionalFormatting>
  <conditionalFormatting sqref="A177">
    <cfRule type="duplicateValues" dxfId="1199" priority="54"/>
  </conditionalFormatting>
  <conditionalFormatting sqref="A179">
    <cfRule type="duplicateValues" dxfId="1198" priority="53"/>
  </conditionalFormatting>
  <conditionalFormatting sqref="A180:A186">
    <cfRule type="duplicateValues" dxfId="1197" priority="52"/>
  </conditionalFormatting>
  <conditionalFormatting sqref="A189">
    <cfRule type="duplicateValues" dxfId="1196" priority="51"/>
  </conditionalFormatting>
  <conditionalFormatting sqref="A188">
    <cfRule type="duplicateValues" dxfId="1195" priority="50"/>
  </conditionalFormatting>
  <conditionalFormatting sqref="A190">
    <cfRule type="duplicateValues" dxfId="1194" priority="49"/>
  </conditionalFormatting>
  <conditionalFormatting sqref="A191">
    <cfRule type="duplicateValues" dxfId="1193" priority="48"/>
  </conditionalFormatting>
  <conditionalFormatting sqref="A193">
    <cfRule type="duplicateValues" dxfId="1192" priority="46"/>
  </conditionalFormatting>
  <conditionalFormatting sqref="A194">
    <cfRule type="duplicateValues" dxfId="1191" priority="45"/>
  </conditionalFormatting>
  <conditionalFormatting sqref="A195">
    <cfRule type="duplicateValues" dxfId="1190" priority="44"/>
  </conditionalFormatting>
  <conditionalFormatting sqref="A196">
    <cfRule type="duplicateValues" dxfId="1189" priority="43"/>
  </conditionalFormatting>
  <conditionalFormatting sqref="A197">
    <cfRule type="duplicateValues" dxfId="1188" priority="42"/>
  </conditionalFormatting>
  <conditionalFormatting sqref="A198">
    <cfRule type="duplicateValues" dxfId="1187" priority="41"/>
  </conditionalFormatting>
  <conditionalFormatting sqref="A199">
    <cfRule type="duplicateValues" dxfId="1186" priority="40"/>
  </conditionalFormatting>
  <conditionalFormatting sqref="A200">
    <cfRule type="duplicateValues" dxfId="1185" priority="39"/>
  </conditionalFormatting>
  <conditionalFormatting sqref="A201">
    <cfRule type="duplicateValues" dxfId="1184" priority="38"/>
  </conditionalFormatting>
  <conditionalFormatting sqref="A202">
    <cfRule type="duplicateValues" dxfId="1183" priority="37"/>
  </conditionalFormatting>
  <conditionalFormatting sqref="A203">
    <cfRule type="duplicateValues" dxfId="1182" priority="36"/>
  </conditionalFormatting>
  <conditionalFormatting sqref="A204:A205">
    <cfRule type="duplicateValues" dxfId="1181" priority="35"/>
  </conditionalFormatting>
  <conditionalFormatting sqref="A207:A210">
    <cfRule type="duplicateValues" dxfId="1180" priority="34"/>
  </conditionalFormatting>
  <conditionalFormatting sqref="A211">
    <cfRule type="duplicateValues" dxfId="1179" priority="33"/>
  </conditionalFormatting>
  <conditionalFormatting sqref="A212:A213">
    <cfRule type="duplicateValues" dxfId="1178" priority="32"/>
  </conditionalFormatting>
  <conditionalFormatting sqref="A214:A215">
    <cfRule type="duplicateValues" dxfId="1177" priority="31"/>
  </conditionalFormatting>
  <conditionalFormatting sqref="A221:A222">
    <cfRule type="duplicateValues" dxfId="1176" priority="30"/>
  </conditionalFormatting>
  <conditionalFormatting sqref="A216">
    <cfRule type="duplicateValues" dxfId="1175" priority="29"/>
  </conditionalFormatting>
  <conditionalFormatting sqref="A217">
    <cfRule type="duplicateValues" dxfId="1174" priority="28"/>
  </conditionalFormatting>
  <conditionalFormatting sqref="A218:A220">
    <cfRule type="duplicateValues" dxfId="1173" priority="137"/>
  </conditionalFormatting>
  <conditionalFormatting sqref="A223 A225">
    <cfRule type="duplicateValues" dxfId="1172" priority="27"/>
  </conditionalFormatting>
  <conditionalFormatting sqref="A224">
    <cfRule type="duplicateValues" dxfId="1171" priority="26"/>
  </conditionalFormatting>
  <conditionalFormatting sqref="A226">
    <cfRule type="duplicateValues" dxfId="1170" priority="25"/>
  </conditionalFormatting>
  <conditionalFormatting sqref="A229">
    <cfRule type="duplicateValues" dxfId="1169" priority="24"/>
  </conditionalFormatting>
  <conditionalFormatting sqref="A230">
    <cfRule type="duplicateValues" dxfId="1168" priority="23"/>
  </conditionalFormatting>
  <conditionalFormatting sqref="A40">
    <cfRule type="duplicateValues" dxfId="1167" priority="22"/>
  </conditionalFormatting>
  <conditionalFormatting sqref="A23">
    <cfRule type="duplicateValues" dxfId="1166" priority="21"/>
  </conditionalFormatting>
  <conditionalFormatting sqref="A232">
    <cfRule type="duplicateValues" dxfId="1165" priority="20"/>
  </conditionalFormatting>
  <conditionalFormatting sqref="B233:B234">
    <cfRule type="duplicateValues" dxfId="1164" priority="19"/>
  </conditionalFormatting>
  <conditionalFormatting sqref="B157:B160">
    <cfRule type="duplicateValues" dxfId="1163" priority="18"/>
  </conditionalFormatting>
  <conditionalFormatting sqref="A25">
    <cfRule type="duplicateValues" dxfId="1162" priority="17"/>
  </conditionalFormatting>
  <conditionalFormatting sqref="A192">
    <cfRule type="duplicateValues" dxfId="1161" priority="16"/>
  </conditionalFormatting>
  <conditionalFormatting sqref="A187">
    <cfRule type="duplicateValues" dxfId="1160" priority="15"/>
  </conditionalFormatting>
  <conditionalFormatting sqref="C233">
    <cfRule type="duplicateValues" dxfId="1159" priority="14"/>
  </conditionalFormatting>
  <conditionalFormatting sqref="A268 A266">
    <cfRule type="duplicateValues" dxfId="1158" priority="10"/>
  </conditionalFormatting>
  <conditionalFormatting sqref="A267">
    <cfRule type="duplicateValues" dxfId="1157" priority="9"/>
  </conditionalFormatting>
  <conditionalFormatting sqref="B267">
    <cfRule type="duplicateValues" dxfId="1156" priority="8"/>
  </conditionalFormatting>
  <conditionalFormatting sqref="A269">
    <cfRule type="duplicateValues" dxfId="1155" priority="7"/>
  </conditionalFormatting>
  <conditionalFormatting sqref="A271">
    <cfRule type="duplicateValues" dxfId="1154" priority="3"/>
  </conditionalFormatting>
  <conditionalFormatting sqref="B271">
    <cfRule type="duplicateValues" dxfId="1153" priority="2"/>
  </conditionalFormatting>
  <conditionalFormatting sqref="C271">
    <cfRule type="duplicateValues" dxfId="1152" priority="1"/>
  </conditionalFormatting>
  <pageMargins left="0.7" right="0.7" top="0.78740157499999996" bottom="0.78740157499999996" header="0.3" footer="0.3"/>
  <pageSetup paperSize="9"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A1:C271"/>
  <sheetViews>
    <sheetView topLeftCell="A256" workbookViewId="0">
      <selection activeCell="A270" sqref="A270:C271"/>
    </sheetView>
  </sheetViews>
  <sheetFormatPr defaultColWidth="11.44140625" defaultRowHeight="14.4"/>
  <cols>
    <col min="1" max="1" width="48.44140625" style="680" customWidth="1"/>
    <col min="2" max="2" width="42.88671875" style="680" customWidth="1"/>
    <col min="3" max="3" width="42.88671875" style="832" customWidth="1"/>
  </cols>
  <sheetData>
    <row r="1" spans="1:3">
      <c r="A1" s="827" t="s">
        <v>7</v>
      </c>
      <c r="B1" s="827" t="s">
        <v>9</v>
      </c>
      <c r="C1" s="828" t="s">
        <v>8</v>
      </c>
    </row>
    <row r="2" spans="1:3">
      <c r="A2" s="680" t="s">
        <v>593</v>
      </c>
      <c r="B2" s="680" t="s">
        <v>594</v>
      </c>
      <c r="C2" s="847"/>
    </row>
    <row r="3" spans="1:3">
      <c r="A3" s="680" t="s">
        <v>357</v>
      </c>
      <c r="B3" s="680" t="s">
        <v>357</v>
      </c>
      <c r="C3" s="847"/>
    </row>
    <row r="4" spans="1:3">
      <c r="A4" s="681" t="s">
        <v>482</v>
      </c>
      <c r="B4" s="681" t="s">
        <v>483</v>
      </c>
      <c r="C4" s="847"/>
    </row>
    <row r="5" spans="1:3">
      <c r="A5" s="680" t="s">
        <v>11</v>
      </c>
      <c r="B5" s="680" t="s">
        <v>10</v>
      </c>
      <c r="C5" s="847"/>
    </row>
    <row r="6" spans="1:3">
      <c r="A6" s="680" t="s">
        <v>21</v>
      </c>
      <c r="B6" s="680" t="s">
        <v>20</v>
      </c>
      <c r="C6" s="847"/>
    </row>
    <row r="7" spans="1:3">
      <c r="A7" s="680" t="s">
        <v>903</v>
      </c>
      <c r="B7" s="680" t="s">
        <v>902</v>
      </c>
      <c r="C7" s="847"/>
    </row>
    <row r="8" spans="1:3">
      <c r="A8" s="680" t="s">
        <v>55</v>
      </c>
      <c r="B8" s="680" t="s">
        <v>904</v>
      </c>
      <c r="C8" s="847"/>
    </row>
    <row r="9" spans="1:3">
      <c r="A9" s="680" t="s">
        <v>484</v>
      </c>
      <c r="B9" s="680" t="s">
        <v>480</v>
      </c>
      <c r="C9" s="847"/>
    </row>
    <row r="10" spans="1:3">
      <c r="A10" s="680" t="s">
        <v>485</v>
      </c>
      <c r="B10" s="680" t="s">
        <v>469</v>
      </c>
      <c r="C10" s="847"/>
    </row>
    <row r="11" spans="1:3">
      <c r="A11" s="680" t="s">
        <v>486</v>
      </c>
      <c r="B11" s="680" t="s">
        <v>470</v>
      </c>
      <c r="C11" s="847"/>
    </row>
    <row r="12" spans="1:3">
      <c r="A12" s="680" t="s">
        <v>13</v>
      </c>
      <c r="B12" s="680" t="s">
        <v>12</v>
      </c>
      <c r="C12" s="847"/>
    </row>
    <row r="13" spans="1:3">
      <c r="A13" s="681" t="s">
        <v>490</v>
      </c>
      <c r="B13" s="681" t="s">
        <v>448</v>
      </c>
      <c r="C13" s="847"/>
    </row>
    <row r="14" spans="1:3">
      <c r="A14" s="682" t="s">
        <v>900</v>
      </c>
      <c r="B14" s="682" t="s">
        <v>900</v>
      </c>
      <c r="C14" s="847"/>
    </row>
    <row r="15" spans="1:3">
      <c r="A15" s="680" t="s">
        <v>487</v>
      </c>
      <c r="B15" s="680" t="s">
        <v>488</v>
      </c>
      <c r="C15" s="847"/>
    </row>
    <row r="16" spans="1:3">
      <c r="A16" s="680" t="s">
        <v>468</v>
      </c>
      <c r="B16" s="680" t="s">
        <v>468</v>
      </c>
      <c r="C16" s="847"/>
    </row>
    <row r="17" spans="1:3">
      <c r="A17" s="680" t="s">
        <v>364</v>
      </c>
      <c r="B17" s="680" t="s">
        <v>364</v>
      </c>
      <c r="C17" s="847"/>
    </row>
    <row r="18" spans="1:3">
      <c r="A18" s="680" t="s">
        <v>905</v>
      </c>
      <c r="B18" s="680" t="s">
        <v>905</v>
      </c>
      <c r="C18" s="847"/>
    </row>
    <row r="19" spans="1:3">
      <c r="A19" s="680" t="s">
        <v>18</v>
      </c>
      <c r="B19" s="680" t="s">
        <v>19</v>
      </c>
      <c r="C19" s="848"/>
    </row>
    <row r="20" spans="1:3">
      <c r="A20" s="680" t="s">
        <v>123</v>
      </c>
      <c r="B20" s="680" t="s">
        <v>124</v>
      </c>
      <c r="C20" s="847"/>
    </row>
    <row r="21" spans="1:3">
      <c r="A21" s="680" t="s">
        <v>489</v>
      </c>
      <c r="B21" s="680" t="s">
        <v>22</v>
      </c>
      <c r="C21" s="847"/>
    </row>
    <row r="22" spans="1:3">
      <c r="A22" s="681" t="s">
        <v>1095</v>
      </c>
      <c r="B22" s="681" t="s">
        <v>1095</v>
      </c>
      <c r="C22" s="847"/>
    </row>
    <row r="23" spans="1:3">
      <c r="A23" s="680" t="s">
        <v>1008</v>
      </c>
      <c r="B23" s="680" t="s">
        <v>1007</v>
      </c>
      <c r="C23" s="847"/>
    </row>
    <row r="24" spans="1:3">
      <c r="A24" s="680" t="s">
        <v>33</v>
      </c>
      <c r="B24" s="680" t="s">
        <v>32</v>
      </c>
      <c r="C24" s="847"/>
    </row>
    <row r="25" spans="1:3">
      <c r="A25" s="680" t="s">
        <v>1742</v>
      </c>
      <c r="B25" s="680" t="s">
        <v>1741</v>
      </c>
      <c r="C25" s="847"/>
    </row>
    <row r="26" spans="1:3">
      <c r="A26" s="829" t="s">
        <v>854</v>
      </c>
      <c r="B26" s="829" t="s">
        <v>854</v>
      </c>
      <c r="C26" s="847"/>
    </row>
    <row r="27" spans="1:3">
      <c r="A27" s="680" t="s">
        <v>491</v>
      </c>
      <c r="B27" s="680" t="s">
        <v>449</v>
      </c>
      <c r="C27" s="847"/>
    </row>
    <row r="28" spans="1:3">
      <c r="A28" s="681" t="s">
        <v>1104</v>
      </c>
      <c r="B28" s="681" t="s">
        <v>1096</v>
      </c>
      <c r="C28" s="847"/>
    </row>
    <row r="29" spans="1:3">
      <c r="A29" s="680" t="s">
        <v>577</v>
      </c>
      <c r="B29" s="680" t="s">
        <v>30</v>
      </c>
      <c r="C29" s="847"/>
    </row>
    <row r="30" spans="1:3">
      <c r="A30" s="680" t="s">
        <v>578</v>
      </c>
      <c r="B30" s="680" t="s">
        <v>31</v>
      </c>
      <c r="C30" s="847"/>
    </row>
    <row r="31" spans="1:3">
      <c r="A31" s="680" t="s">
        <v>14</v>
      </c>
      <c r="B31" s="680" t="s">
        <v>778</v>
      </c>
      <c r="C31" s="847"/>
    </row>
    <row r="32" spans="1:3">
      <c r="A32" s="680" t="s">
        <v>15</v>
      </c>
      <c r="B32" s="680" t="s">
        <v>16</v>
      </c>
      <c r="C32" s="847"/>
    </row>
    <row r="33" spans="1:3">
      <c r="A33" s="680" t="s">
        <v>362</v>
      </c>
      <c r="B33" s="680" t="s">
        <v>363</v>
      </c>
      <c r="C33" s="847"/>
    </row>
    <row r="34" spans="1:3">
      <c r="A34" s="680" t="s">
        <v>29</v>
      </c>
      <c r="B34" s="680" t="s">
        <v>28</v>
      </c>
      <c r="C34" s="847"/>
    </row>
    <row r="35" spans="1:3">
      <c r="A35" s="829" t="s">
        <v>504</v>
      </c>
      <c r="B35" s="680" t="s">
        <v>507</v>
      </c>
      <c r="C35" s="847"/>
    </row>
    <row r="36" spans="1:3">
      <c r="A36" s="829" t="s">
        <v>26</v>
      </c>
      <c r="B36" s="680" t="s">
        <v>25</v>
      </c>
      <c r="C36" s="847"/>
    </row>
    <row r="37" spans="1:3">
      <c r="A37" s="829" t="s">
        <v>906</v>
      </c>
      <c r="B37" s="680" t="s">
        <v>27</v>
      </c>
      <c r="C37" s="847"/>
    </row>
    <row r="38" spans="1:3">
      <c r="A38" s="829" t="s">
        <v>89</v>
      </c>
      <c r="B38" s="680" t="s">
        <v>89</v>
      </c>
      <c r="C38" s="847"/>
    </row>
    <row r="39" spans="1:3">
      <c r="A39" s="829" t="s">
        <v>506</v>
      </c>
      <c r="B39" s="680" t="s">
        <v>509</v>
      </c>
      <c r="C39" s="847"/>
    </row>
    <row r="40" spans="1:3">
      <c r="A40" s="680" t="s">
        <v>934</v>
      </c>
      <c r="B40" s="680" t="s">
        <v>935</v>
      </c>
      <c r="C40" s="847"/>
    </row>
    <row r="41" spans="1:3">
      <c r="A41" s="680" t="s">
        <v>105</v>
      </c>
      <c r="B41" s="680" t="s">
        <v>100</v>
      </c>
      <c r="C41" s="849"/>
    </row>
    <row r="42" spans="1:3">
      <c r="A42" s="680" t="s">
        <v>106</v>
      </c>
      <c r="B42" s="680" t="s">
        <v>99</v>
      </c>
      <c r="C42" s="847"/>
    </row>
    <row r="43" spans="1:3">
      <c r="A43" s="829" t="s">
        <v>873</v>
      </c>
      <c r="B43" s="829" t="s">
        <v>848</v>
      </c>
      <c r="C43" s="847"/>
    </row>
    <row r="44" spans="1:3">
      <c r="A44" s="829" t="s">
        <v>874</v>
      </c>
      <c r="B44" s="829" t="s">
        <v>849</v>
      </c>
      <c r="C44" s="847"/>
    </row>
    <row r="45" spans="1:3">
      <c r="A45" s="829" t="s">
        <v>875</v>
      </c>
      <c r="B45" s="829" t="s">
        <v>850</v>
      </c>
      <c r="C45" s="847"/>
    </row>
    <row r="46" spans="1:3">
      <c r="A46" s="829" t="s">
        <v>876</v>
      </c>
      <c r="B46" s="829" t="s">
        <v>852</v>
      </c>
      <c r="C46" s="847"/>
    </row>
    <row r="47" spans="1:3">
      <c r="A47" s="829" t="s">
        <v>877</v>
      </c>
      <c r="B47" s="829" t="s">
        <v>851</v>
      </c>
      <c r="C47" s="847"/>
    </row>
    <row r="48" spans="1:3">
      <c r="A48" s="829" t="s">
        <v>878</v>
      </c>
      <c r="B48" s="829" t="s">
        <v>853</v>
      </c>
      <c r="C48" s="847"/>
    </row>
    <row r="49" spans="1:3">
      <c r="A49" s="830" t="s">
        <v>879</v>
      </c>
      <c r="B49" s="829" t="s">
        <v>855</v>
      </c>
      <c r="C49" s="847"/>
    </row>
    <row r="50" spans="1:3">
      <c r="A50" s="830" t="s">
        <v>880</v>
      </c>
      <c r="B50" s="829" t="s">
        <v>857</v>
      </c>
      <c r="C50" s="847"/>
    </row>
    <row r="51" spans="1:3" ht="27.6">
      <c r="A51" s="830" t="s">
        <v>881</v>
      </c>
      <c r="B51" s="830" t="s">
        <v>867</v>
      </c>
      <c r="C51" s="847"/>
    </row>
    <row r="52" spans="1:3">
      <c r="A52" s="830" t="s">
        <v>882</v>
      </c>
      <c r="B52" s="829" t="s">
        <v>859</v>
      </c>
      <c r="C52" s="847"/>
    </row>
    <row r="53" spans="1:3" ht="27.6">
      <c r="A53" s="830" t="s">
        <v>1083</v>
      </c>
      <c r="B53" s="830" t="s">
        <v>1082</v>
      </c>
      <c r="C53" s="847"/>
    </row>
    <row r="54" spans="1:3" ht="41.4">
      <c r="A54" s="830" t="s">
        <v>883</v>
      </c>
      <c r="B54" s="830" t="s">
        <v>861</v>
      </c>
      <c r="C54" s="847"/>
    </row>
    <row r="55" spans="1:3">
      <c r="A55" s="830" t="s">
        <v>884</v>
      </c>
      <c r="B55" s="830" t="s">
        <v>868</v>
      </c>
      <c r="C55" s="847"/>
    </row>
    <row r="56" spans="1:3" ht="41.4">
      <c r="A56" s="830" t="s">
        <v>885</v>
      </c>
      <c r="B56" s="830" t="s">
        <v>862</v>
      </c>
      <c r="C56" s="847"/>
    </row>
    <row r="57" spans="1:3" ht="27.6">
      <c r="A57" s="830" t="s">
        <v>886</v>
      </c>
      <c r="B57" s="830" t="s">
        <v>856</v>
      </c>
      <c r="C57" s="847"/>
    </row>
    <row r="58" spans="1:3" ht="27.6">
      <c r="A58" s="830" t="s">
        <v>893</v>
      </c>
      <c r="B58" s="830" t="s">
        <v>869</v>
      </c>
      <c r="C58" s="847"/>
    </row>
    <row r="59" spans="1:3">
      <c r="A59" s="830" t="s">
        <v>887</v>
      </c>
      <c r="B59" s="829" t="s">
        <v>858</v>
      </c>
      <c r="C59" s="847"/>
    </row>
    <row r="60" spans="1:3" ht="41.4">
      <c r="A60" s="830" t="s">
        <v>888</v>
      </c>
      <c r="B60" s="830" t="s">
        <v>860</v>
      </c>
      <c r="C60" s="847"/>
    </row>
    <row r="61" spans="1:3" ht="27.6">
      <c r="A61" s="830" t="s">
        <v>889</v>
      </c>
      <c r="B61" s="830" t="s">
        <v>863</v>
      </c>
      <c r="C61" s="847"/>
    </row>
    <row r="62" spans="1:3" ht="27.6">
      <c r="A62" s="830" t="s">
        <v>890</v>
      </c>
      <c r="B62" s="830" t="s">
        <v>864</v>
      </c>
      <c r="C62" s="847"/>
    </row>
    <row r="63" spans="1:3" ht="27.6">
      <c r="A63" s="830" t="s">
        <v>891</v>
      </c>
      <c r="B63" s="829" t="s">
        <v>865</v>
      </c>
      <c r="C63" s="847"/>
    </row>
    <row r="64" spans="1:3" ht="27.6">
      <c r="A64" s="830" t="s">
        <v>892</v>
      </c>
      <c r="B64" s="829" t="s">
        <v>866</v>
      </c>
      <c r="C64" s="847"/>
    </row>
    <row r="65" spans="1:3">
      <c r="A65" s="830" t="s">
        <v>1105</v>
      </c>
      <c r="B65" s="829" t="s">
        <v>932</v>
      </c>
      <c r="C65" s="847"/>
    </row>
    <row r="66" spans="1:3">
      <c r="A66" s="830" t="s">
        <v>1106</v>
      </c>
      <c r="B66" s="829" t="s">
        <v>933</v>
      </c>
      <c r="C66" s="847"/>
    </row>
    <row r="67" spans="1:3">
      <c r="A67" s="681" t="s">
        <v>1107</v>
      </c>
      <c r="B67" s="681" t="s">
        <v>1097</v>
      </c>
      <c r="C67" s="847"/>
    </row>
    <row r="68" spans="1:3">
      <c r="A68" s="680" t="s">
        <v>453</v>
      </c>
      <c r="B68" s="680" t="s">
        <v>453</v>
      </c>
      <c r="C68" s="847"/>
    </row>
    <row r="69" spans="1:3">
      <c r="A69" s="829" t="s">
        <v>50</v>
      </c>
      <c r="B69" s="829" t="s">
        <v>49</v>
      </c>
      <c r="C69" s="847"/>
    </row>
    <row r="70" spans="1:3">
      <c r="A70" s="680" t="s">
        <v>787</v>
      </c>
      <c r="B70" s="829" t="s">
        <v>786</v>
      </c>
      <c r="C70" s="847"/>
    </row>
    <row r="71" spans="1:3">
      <c r="A71" s="680" t="s">
        <v>501</v>
      </c>
      <c r="B71" s="680" t="s">
        <v>471</v>
      </c>
      <c r="C71" s="847"/>
    </row>
    <row r="72" spans="1:3">
      <c r="A72" s="829" t="s">
        <v>834</v>
      </c>
      <c r="B72" s="829" t="s">
        <v>835</v>
      </c>
      <c r="C72" s="847"/>
    </row>
    <row r="73" spans="1:3">
      <c r="A73" s="680" t="s">
        <v>836</v>
      </c>
      <c r="B73" s="680" t="s">
        <v>837</v>
      </c>
      <c r="C73" s="847"/>
    </row>
    <row r="74" spans="1:3">
      <c r="A74" s="680" t="s">
        <v>359</v>
      </c>
      <c r="B74" s="680" t="s">
        <v>361</v>
      </c>
      <c r="C74" s="847"/>
    </row>
    <row r="75" spans="1:3">
      <c r="A75" s="680" t="s">
        <v>358</v>
      </c>
      <c r="B75" s="680" t="s">
        <v>360</v>
      </c>
      <c r="C75" s="847"/>
    </row>
    <row r="76" spans="1:3">
      <c r="A76" s="680" t="s">
        <v>502</v>
      </c>
      <c r="B76" s="680" t="s">
        <v>474</v>
      </c>
      <c r="C76" s="847"/>
    </row>
    <row r="77" spans="1:3">
      <c r="A77" s="680" t="s">
        <v>35</v>
      </c>
      <c r="B77" s="680" t="s">
        <v>34</v>
      </c>
      <c r="C77" s="847"/>
    </row>
    <row r="78" spans="1:3">
      <c r="A78" s="680" t="s">
        <v>37</v>
      </c>
      <c r="B78" s="680" t="s">
        <v>40</v>
      </c>
      <c r="C78" s="847"/>
    </row>
    <row r="79" spans="1:3">
      <c r="A79" s="680" t="s">
        <v>39</v>
      </c>
      <c r="B79" s="680" t="s">
        <v>38</v>
      </c>
      <c r="C79" s="847"/>
    </row>
    <row r="80" spans="1:3">
      <c r="A80" s="680" t="s">
        <v>493</v>
      </c>
      <c r="B80" s="680" t="s">
        <v>797</v>
      </c>
      <c r="C80" s="847"/>
    </row>
    <row r="81" spans="1:3">
      <c r="A81" s="680" t="s">
        <v>1056</v>
      </c>
      <c r="B81" s="680" t="s">
        <v>942</v>
      </c>
      <c r="C81" s="847"/>
    </row>
    <row r="82" spans="1:3">
      <c r="A82" s="680" t="s">
        <v>72</v>
      </c>
      <c r="B82" s="680" t="s">
        <v>73</v>
      </c>
      <c r="C82" s="847"/>
    </row>
    <row r="83" spans="1:3">
      <c r="A83" s="680" t="s">
        <v>36</v>
      </c>
      <c r="B83" s="680" t="s">
        <v>1</v>
      </c>
      <c r="C83" s="847"/>
    </row>
    <row r="84" spans="1:3">
      <c r="A84" s="829" t="s">
        <v>583</v>
      </c>
      <c r="B84" s="829" t="s">
        <v>582</v>
      </c>
      <c r="C84" s="847"/>
    </row>
    <row r="85" spans="1:3">
      <c r="A85" s="680" t="s">
        <v>1055</v>
      </c>
      <c r="B85" s="680" t="s">
        <v>450</v>
      </c>
      <c r="C85" s="847"/>
    </row>
    <row r="86" spans="1:3">
      <c r="A86" s="680" t="s">
        <v>495</v>
      </c>
      <c r="B86" s="680" t="s">
        <v>452</v>
      </c>
      <c r="C86" s="847"/>
    </row>
    <row r="87" spans="1:3">
      <c r="A87" s="680" t="s">
        <v>496</v>
      </c>
      <c r="B87" s="680" t="s">
        <v>494</v>
      </c>
      <c r="C87" s="847"/>
    </row>
    <row r="88" spans="1:3">
      <c r="A88" s="680" t="s">
        <v>497</v>
      </c>
      <c r="B88" s="680" t="s">
        <v>451</v>
      </c>
      <c r="C88" s="847"/>
    </row>
    <row r="89" spans="1:3">
      <c r="A89" s="680" t="s">
        <v>785</v>
      </c>
      <c r="B89" s="680" t="s">
        <v>809</v>
      </c>
      <c r="C89" s="847"/>
    </row>
    <row r="90" spans="1:3">
      <c r="A90" s="680" t="s">
        <v>498</v>
      </c>
      <c r="B90" s="680" t="s">
        <v>472</v>
      </c>
      <c r="C90" s="847"/>
    </row>
    <row r="91" spans="1:3">
      <c r="A91" s="680" t="s">
        <v>499</v>
      </c>
      <c r="B91" s="680" t="s">
        <v>473</v>
      </c>
      <c r="C91" s="847"/>
    </row>
    <row r="92" spans="1:3">
      <c r="A92" s="680" t="s">
        <v>500</v>
      </c>
      <c r="B92" s="680" t="s">
        <v>475</v>
      </c>
      <c r="C92" s="849"/>
    </row>
    <row r="93" spans="1:3">
      <c r="A93" s="680" t="s">
        <v>503</v>
      </c>
      <c r="B93" s="680" t="s">
        <v>459</v>
      </c>
      <c r="C93" s="849"/>
    </row>
    <row r="94" spans="1:3">
      <c r="A94" s="680" t="s">
        <v>908</v>
      </c>
      <c r="B94" s="680" t="s">
        <v>907</v>
      </c>
      <c r="C94" s="849"/>
    </row>
    <row r="95" spans="1:3">
      <c r="A95" s="680" t="s">
        <v>492</v>
      </c>
      <c r="B95" s="680" t="s">
        <v>466</v>
      </c>
      <c r="C95" s="849"/>
    </row>
    <row r="96" spans="1:3">
      <c r="A96" s="681" t="s">
        <v>927</v>
      </c>
      <c r="B96" s="831" t="s">
        <v>927</v>
      </c>
      <c r="C96" s="847"/>
    </row>
    <row r="97" spans="1:3">
      <c r="A97" s="829" t="s">
        <v>805</v>
      </c>
      <c r="B97" s="682" t="s">
        <v>806</v>
      </c>
      <c r="C97" s="847"/>
    </row>
    <row r="98" spans="1:3">
      <c r="A98" s="829" t="s">
        <v>589</v>
      </c>
      <c r="B98" s="680" t="s">
        <v>590</v>
      </c>
      <c r="C98" s="847"/>
    </row>
    <row r="99" spans="1:3">
      <c r="A99" s="680" t="s">
        <v>792</v>
      </c>
      <c r="B99" s="832" t="s">
        <v>782</v>
      </c>
      <c r="C99" s="847"/>
    </row>
    <row r="100" spans="1:3">
      <c r="A100" s="680" t="s">
        <v>793</v>
      </c>
      <c r="B100" s="832" t="s">
        <v>783</v>
      </c>
      <c r="C100" s="847"/>
    </row>
    <row r="101" spans="1:3">
      <c r="A101" s="680" t="s">
        <v>794</v>
      </c>
      <c r="B101" s="832" t="s">
        <v>784</v>
      </c>
      <c r="C101" s="847"/>
    </row>
    <row r="102" spans="1:3">
      <c r="A102" s="680" t="s">
        <v>781</v>
      </c>
      <c r="B102" s="829" t="s">
        <v>780</v>
      </c>
      <c r="C102" s="847"/>
    </row>
    <row r="103" spans="1:3">
      <c r="A103" s="829" t="s">
        <v>505</v>
      </c>
      <c r="B103" s="680" t="s">
        <v>508</v>
      </c>
      <c r="C103" s="847"/>
    </row>
    <row r="104" spans="1:3">
      <c r="A104" s="829" t="s">
        <v>510</v>
      </c>
      <c r="B104" s="680" t="s">
        <v>511</v>
      </c>
      <c r="C104" s="847"/>
    </row>
    <row r="105" spans="1:3" ht="41.4">
      <c r="A105" s="967" t="s">
        <v>513</v>
      </c>
      <c r="B105" s="682" t="s">
        <v>481</v>
      </c>
      <c r="C105" s="847"/>
    </row>
    <row r="106" spans="1:3">
      <c r="A106" s="684" t="s">
        <v>928</v>
      </c>
      <c r="B106" s="684" t="s">
        <v>929</v>
      </c>
      <c r="C106" s="847"/>
    </row>
    <row r="107" spans="1:3" ht="27.6">
      <c r="A107" s="965" t="s">
        <v>516</v>
      </c>
      <c r="B107" s="682" t="s">
        <v>515</v>
      </c>
      <c r="C107" s="847"/>
    </row>
    <row r="108" spans="1:3">
      <c r="A108" s="680" t="s">
        <v>70</v>
      </c>
      <c r="B108" s="680" t="s">
        <v>71</v>
      </c>
      <c r="C108" s="847"/>
    </row>
    <row r="109" spans="1:3">
      <c r="A109" s="829" t="s">
        <v>533</v>
      </c>
      <c r="B109" s="680" t="s">
        <v>444</v>
      </c>
      <c r="C109" s="847"/>
    </row>
    <row r="110" spans="1:3" ht="27.6">
      <c r="A110" s="830" t="s">
        <v>534</v>
      </c>
      <c r="B110" s="680" t="s">
        <v>430</v>
      </c>
      <c r="C110" s="847"/>
    </row>
    <row r="111" spans="1:3">
      <c r="A111" s="829" t="s">
        <v>535</v>
      </c>
      <c r="B111" s="680" t="s">
        <v>434</v>
      </c>
      <c r="C111" s="847"/>
    </row>
    <row r="112" spans="1:3">
      <c r="A112" s="829" t="s">
        <v>536</v>
      </c>
      <c r="B112" s="680" t="s">
        <v>438</v>
      </c>
      <c r="C112" s="847"/>
    </row>
    <row r="113" spans="1:3">
      <c r="A113" s="829" t="s">
        <v>538</v>
      </c>
      <c r="B113" s="680" t="s">
        <v>537</v>
      </c>
      <c r="C113" s="847"/>
    </row>
    <row r="114" spans="1:3" ht="27.6">
      <c r="A114" s="830" t="s">
        <v>539</v>
      </c>
      <c r="B114" s="680" t="s">
        <v>445</v>
      </c>
      <c r="C114" s="847"/>
    </row>
    <row r="115" spans="1:3">
      <c r="A115" s="680" t="s">
        <v>24</v>
      </c>
      <c r="B115" s="680" t="s">
        <v>23</v>
      </c>
      <c r="C115" s="847"/>
    </row>
    <row r="116" spans="1:3">
      <c r="A116" s="829" t="s">
        <v>517</v>
      </c>
      <c r="B116" s="680" t="s">
        <v>427</v>
      </c>
      <c r="C116" s="847"/>
    </row>
    <row r="117" spans="1:3">
      <c r="A117" s="829" t="s">
        <v>518</v>
      </c>
      <c r="B117" s="680" t="s">
        <v>431</v>
      </c>
      <c r="C117" s="847"/>
    </row>
    <row r="118" spans="1:3">
      <c r="A118" s="829" t="s">
        <v>519</v>
      </c>
      <c r="B118" s="680" t="s">
        <v>435</v>
      </c>
      <c r="C118" s="847"/>
    </row>
    <row r="119" spans="1:3" ht="27.6">
      <c r="A119" s="830" t="s">
        <v>520</v>
      </c>
      <c r="B119" s="830" t="s">
        <v>439</v>
      </c>
      <c r="C119" s="847"/>
    </row>
    <row r="120" spans="1:3">
      <c r="A120" s="829" t="s">
        <v>521</v>
      </c>
      <c r="B120" s="680" t="s">
        <v>442</v>
      </c>
      <c r="C120" s="847"/>
    </row>
    <row r="121" spans="1:3">
      <c r="A121" s="829" t="s">
        <v>522</v>
      </c>
      <c r="B121" s="680" t="s">
        <v>446</v>
      </c>
      <c r="C121" s="847"/>
    </row>
    <row r="122" spans="1:3">
      <c r="A122" s="680" t="s">
        <v>74</v>
      </c>
      <c r="B122" s="680" t="s">
        <v>74</v>
      </c>
      <c r="C122" s="847"/>
    </row>
    <row r="123" spans="1:3" ht="27.6">
      <c r="A123" s="830" t="s">
        <v>528</v>
      </c>
      <c r="B123" s="680" t="s">
        <v>447</v>
      </c>
      <c r="C123" s="847"/>
    </row>
    <row r="124" spans="1:3">
      <c r="A124" s="829" t="s">
        <v>529</v>
      </c>
      <c r="B124" s="680" t="s">
        <v>429</v>
      </c>
      <c r="C124" s="847"/>
    </row>
    <row r="125" spans="1:3">
      <c r="A125" s="829" t="s">
        <v>530</v>
      </c>
      <c r="B125" s="680" t="s">
        <v>433</v>
      </c>
      <c r="C125" s="847"/>
    </row>
    <row r="126" spans="1:3">
      <c r="A126" s="829" t="s">
        <v>531</v>
      </c>
      <c r="B126" s="680" t="s">
        <v>437</v>
      </c>
      <c r="C126" s="849"/>
    </row>
    <row r="127" spans="1:3">
      <c r="A127" s="829" t="s">
        <v>532</v>
      </c>
      <c r="B127" s="680" t="s">
        <v>441</v>
      </c>
      <c r="C127" s="849"/>
    </row>
    <row r="128" spans="1:3">
      <c r="A128" s="680" t="s">
        <v>72</v>
      </c>
      <c r="B128" s="680" t="s">
        <v>73</v>
      </c>
      <c r="C128" s="847"/>
    </row>
    <row r="129" spans="1:3">
      <c r="A129" s="829" t="s">
        <v>523</v>
      </c>
      <c r="B129" s="680" t="s">
        <v>428</v>
      </c>
      <c r="C129" s="847"/>
    </row>
    <row r="130" spans="1:3">
      <c r="A130" s="829" t="s">
        <v>524</v>
      </c>
      <c r="B130" s="680" t="s">
        <v>432</v>
      </c>
      <c r="C130" s="847"/>
    </row>
    <row r="131" spans="1:3">
      <c r="A131" s="829" t="s">
        <v>525</v>
      </c>
      <c r="B131" s="680" t="s">
        <v>436</v>
      </c>
      <c r="C131" s="847"/>
    </row>
    <row r="132" spans="1:3">
      <c r="A132" s="829" t="s">
        <v>526</v>
      </c>
      <c r="B132" s="680" t="s">
        <v>440</v>
      </c>
      <c r="C132" s="847"/>
    </row>
    <row r="133" spans="1:3">
      <c r="A133" s="829" t="s">
        <v>527</v>
      </c>
      <c r="B133" s="680" t="s">
        <v>443</v>
      </c>
      <c r="C133" s="847"/>
    </row>
    <row r="134" spans="1:3">
      <c r="A134" s="680" t="s">
        <v>909</v>
      </c>
      <c r="B134" s="680" t="s">
        <v>75</v>
      </c>
      <c r="C134" s="847"/>
    </row>
    <row r="135" spans="1:3">
      <c r="A135" s="680" t="s">
        <v>514</v>
      </c>
      <c r="B135" s="680" t="s">
        <v>5</v>
      </c>
      <c r="C135" s="847"/>
    </row>
    <row r="136" spans="1:3">
      <c r="A136" s="681" t="s">
        <v>41</v>
      </c>
      <c r="B136" s="681" t="s">
        <v>46</v>
      </c>
      <c r="C136" s="847"/>
    </row>
    <row r="137" spans="1:3">
      <c r="A137" s="680" t="s">
        <v>871</v>
      </c>
      <c r="B137" s="680" t="s">
        <v>870</v>
      </c>
      <c r="C137" s="847"/>
    </row>
    <row r="138" spans="1:3">
      <c r="A138" s="680" t="s">
        <v>872</v>
      </c>
      <c r="B138" s="680" t="s">
        <v>899</v>
      </c>
      <c r="C138" s="847"/>
    </row>
    <row r="139" spans="1:3">
      <c r="A139" s="680" t="s">
        <v>42</v>
      </c>
      <c r="B139" s="680" t="s">
        <v>47</v>
      </c>
      <c r="C139" s="847"/>
    </row>
    <row r="140" spans="1:3">
      <c r="A140" s="680" t="s">
        <v>44</v>
      </c>
      <c r="B140" s="680" t="s">
        <v>43</v>
      </c>
      <c r="C140" s="847"/>
    </row>
    <row r="141" spans="1:3">
      <c r="A141" s="682" t="s">
        <v>896</v>
      </c>
      <c r="B141" s="680" t="s">
        <v>894</v>
      </c>
      <c r="C141" s="848"/>
    </row>
    <row r="142" spans="1:3" ht="27.6">
      <c r="A142" s="682" t="s">
        <v>898</v>
      </c>
      <c r="B142" s="682" t="s">
        <v>897</v>
      </c>
      <c r="C142" s="850"/>
    </row>
    <row r="143" spans="1:3">
      <c r="A143" s="831" t="s">
        <v>923</v>
      </c>
      <c r="B143" s="681" t="s">
        <v>924</v>
      </c>
      <c r="C143" s="847"/>
    </row>
    <row r="144" spans="1:3">
      <c r="A144" s="829" t="s">
        <v>911</v>
      </c>
      <c r="B144" s="680" t="s">
        <v>910</v>
      </c>
      <c r="C144" s="847"/>
    </row>
    <row r="145" spans="1:3">
      <c r="A145" s="681" t="s">
        <v>912</v>
      </c>
      <c r="B145" s="681" t="s">
        <v>913</v>
      </c>
      <c r="C145" s="847"/>
    </row>
    <row r="146" spans="1:3">
      <c r="A146" s="829" t="s">
        <v>788</v>
      </c>
      <c r="B146" s="829" t="s">
        <v>789</v>
      </c>
      <c r="C146" s="851"/>
    </row>
    <row r="147" spans="1:3">
      <c r="A147" s="829" t="s">
        <v>790</v>
      </c>
      <c r="B147" s="829" t="s">
        <v>795</v>
      </c>
      <c r="C147" s="851"/>
    </row>
    <row r="148" spans="1:3">
      <c r="A148" s="829" t="s">
        <v>791</v>
      </c>
      <c r="B148" s="829" t="s">
        <v>796</v>
      </c>
      <c r="C148" s="851"/>
    </row>
    <row r="149" spans="1:3">
      <c r="A149" s="829" t="s">
        <v>541</v>
      </c>
      <c r="B149" s="680" t="s">
        <v>419</v>
      </c>
      <c r="C149" s="851"/>
    </row>
    <row r="150" spans="1:3">
      <c r="A150" s="829" t="s">
        <v>549</v>
      </c>
      <c r="B150" s="680" t="s">
        <v>548</v>
      </c>
      <c r="C150" s="851"/>
    </row>
    <row r="151" spans="1:3">
      <c r="A151" s="829" t="s">
        <v>580</v>
      </c>
      <c r="B151" s="680" t="s">
        <v>550</v>
      </c>
      <c r="C151" s="851"/>
    </row>
    <row r="152" spans="1:3">
      <c r="A152" s="829" t="s">
        <v>551</v>
      </c>
      <c r="B152" s="680" t="s">
        <v>421</v>
      </c>
      <c r="C152" s="851"/>
    </row>
    <row r="153" spans="1:3">
      <c r="A153" s="829" t="s">
        <v>552</v>
      </c>
      <c r="B153" s="680" t="s">
        <v>422</v>
      </c>
      <c r="C153" s="851"/>
    </row>
    <row r="154" spans="1:3">
      <c r="A154" s="829" t="s">
        <v>543</v>
      </c>
      <c r="B154" s="680" t="s">
        <v>423</v>
      </c>
      <c r="C154" s="851"/>
    </row>
    <row r="155" spans="1:3">
      <c r="A155" s="829" t="s">
        <v>544</v>
      </c>
      <c r="B155" s="680" t="s">
        <v>424</v>
      </c>
      <c r="C155" s="851"/>
    </row>
    <row r="156" spans="1:3">
      <c r="A156" s="829" t="s">
        <v>545</v>
      </c>
      <c r="B156" s="680" t="s">
        <v>425</v>
      </c>
      <c r="C156" s="851"/>
    </row>
    <row r="157" spans="1:3">
      <c r="A157" s="829" t="s">
        <v>994</v>
      </c>
      <c r="B157" s="829" t="s">
        <v>1075</v>
      </c>
      <c r="C157" s="851"/>
    </row>
    <row r="158" spans="1:3">
      <c r="A158" s="829" t="s">
        <v>995</v>
      </c>
      <c r="B158" s="829" t="s">
        <v>1076</v>
      </c>
      <c r="C158" s="851"/>
    </row>
    <row r="159" spans="1:3">
      <c r="A159" s="829" t="s">
        <v>1124</v>
      </c>
      <c r="B159" s="829" t="s">
        <v>1123</v>
      </c>
      <c r="C159" s="851"/>
    </row>
    <row r="160" spans="1:3">
      <c r="A160" s="829" t="s">
        <v>996</v>
      </c>
      <c r="B160" s="829" t="s">
        <v>1077</v>
      </c>
      <c r="C160" s="851"/>
    </row>
    <row r="161" spans="1:3">
      <c r="A161" s="831" t="s">
        <v>540</v>
      </c>
      <c r="B161" s="681" t="s">
        <v>1125</v>
      </c>
      <c r="C161" s="851"/>
    </row>
    <row r="162" spans="1:3">
      <c r="A162" s="831" t="s">
        <v>914</v>
      </c>
      <c r="B162" s="681" t="s">
        <v>840</v>
      </c>
      <c r="C162" s="851"/>
    </row>
    <row r="163" spans="1:3">
      <c r="A163" s="829" t="s">
        <v>542</v>
      </c>
      <c r="B163" s="680" t="s">
        <v>420</v>
      </c>
      <c r="C163" s="851"/>
    </row>
    <row r="164" spans="1:3">
      <c r="A164" s="829" t="s">
        <v>546</v>
      </c>
      <c r="B164" s="680" t="s">
        <v>45</v>
      </c>
      <c r="C164" s="851"/>
    </row>
    <row r="165" spans="1:3">
      <c r="A165" s="829" t="s">
        <v>547</v>
      </c>
      <c r="B165" s="680" t="s">
        <v>584</v>
      </c>
      <c r="C165" s="851"/>
    </row>
    <row r="166" spans="1:3">
      <c r="A166" s="829" t="s">
        <v>581</v>
      </c>
      <c r="B166" s="829" t="s">
        <v>48</v>
      </c>
      <c r="C166" s="851"/>
    </row>
    <row r="167" spans="1:3" ht="27.6">
      <c r="A167" s="834" t="s">
        <v>801</v>
      </c>
      <c r="B167" s="834" t="s">
        <v>802</v>
      </c>
      <c r="C167" s="851"/>
    </row>
    <row r="168" spans="1:3">
      <c r="A168" s="829" t="s">
        <v>585</v>
      </c>
      <c r="B168" s="829" t="s">
        <v>426</v>
      </c>
      <c r="C168" s="851"/>
    </row>
    <row r="169" spans="1:3">
      <c r="A169" s="829" t="s">
        <v>764</v>
      </c>
      <c r="B169" s="680" t="s">
        <v>764</v>
      </c>
      <c r="C169" s="851"/>
    </row>
    <row r="170" spans="1:3" ht="41.4">
      <c r="A170" s="830" t="s">
        <v>765</v>
      </c>
      <c r="B170" s="830" t="s">
        <v>766</v>
      </c>
      <c r="C170" s="851"/>
    </row>
    <row r="171" spans="1:3">
      <c r="A171" s="680" t="s">
        <v>768</v>
      </c>
      <c r="B171" s="829" t="s">
        <v>767</v>
      </c>
      <c r="C171" s="851"/>
    </row>
    <row r="172" spans="1:3">
      <c r="A172" s="680" t="s">
        <v>586</v>
      </c>
      <c r="B172" s="680" t="s">
        <v>779</v>
      </c>
      <c r="C172" s="851"/>
    </row>
    <row r="173" spans="1:3">
      <c r="A173" s="680" t="s">
        <v>770</v>
      </c>
      <c r="B173" s="829" t="s">
        <v>769</v>
      </c>
      <c r="C173" s="851"/>
    </row>
    <row r="174" spans="1:3">
      <c r="A174" s="680" t="s">
        <v>592</v>
      </c>
      <c r="B174" s="829" t="s">
        <v>591</v>
      </c>
      <c r="C174" s="851"/>
    </row>
    <row r="175" spans="1:3">
      <c r="A175" s="829" t="s">
        <v>1154</v>
      </c>
      <c r="B175" s="680" t="s">
        <v>1058</v>
      </c>
      <c r="C175" s="851"/>
    </row>
    <row r="176" spans="1:3" ht="27.6">
      <c r="A176" s="830" t="s">
        <v>1155</v>
      </c>
      <c r="B176" s="830" t="s">
        <v>1059</v>
      </c>
      <c r="C176" s="851"/>
    </row>
    <row r="177" spans="1:3">
      <c r="A177" s="835"/>
      <c r="B177" s="685"/>
      <c r="C177" s="851"/>
    </row>
    <row r="178" spans="1:3">
      <c r="A178" s="681" t="s">
        <v>923</v>
      </c>
      <c r="B178" s="681" t="s">
        <v>1128</v>
      </c>
      <c r="C178" s="851"/>
    </row>
    <row r="179" spans="1:3">
      <c r="A179" s="680" t="s">
        <v>587</v>
      </c>
      <c r="B179" s="682" t="s">
        <v>588</v>
      </c>
      <c r="C179" s="851"/>
    </row>
    <row r="180" spans="1:3">
      <c r="A180" s="680" t="s">
        <v>553</v>
      </c>
      <c r="B180" s="680" t="s">
        <v>455</v>
      </c>
      <c r="C180" s="851"/>
    </row>
    <row r="181" spans="1:3">
      <c r="A181" s="680" t="s">
        <v>554</v>
      </c>
      <c r="B181" s="680" t="s">
        <v>456</v>
      </c>
      <c r="C181" s="851"/>
    </row>
    <row r="182" spans="1:3">
      <c r="A182" s="680" t="s">
        <v>555</v>
      </c>
      <c r="B182" s="680" t="s">
        <v>476</v>
      </c>
      <c r="C182" s="851"/>
    </row>
    <row r="183" spans="1:3">
      <c r="A183" s="680" t="s">
        <v>556</v>
      </c>
      <c r="B183" s="680" t="s">
        <v>477</v>
      </c>
      <c r="C183" s="851"/>
    </row>
    <row r="184" spans="1:3">
      <c r="A184" s="680" t="s">
        <v>557</v>
      </c>
      <c r="B184" s="680" t="s">
        <v>478</v>
      </c>
      <c r="C184" s="851"/>
    </row>
    <row r="185" spans="1:3">
      <c r="A185" s="680" t="s">
        <v>558</v>
      </c>
      <c r="B185" s="680" t="s">
        <v>479</v>
      </c>
      <c r="C185" s="851"/>
    </row>
    <row r="186" spans="1:3">
      <c r="A186" s="680" t="s">
        <v>915</v>
      </c>
      <c r="B186" s="680" t="s">
        <v>595</v>
      </c>
      <c r="C186" s="851"/>
    </row>
    <row r="187" spans="1:3">
      <c r="A187" s="680" t="s">
        <v>1746</v>
      </c>
      <c r="B187" s="680" t="s">
        <v>1747</v>
      </c>
      <c r="C187" s="851"/>
    </row>
    <row r="188" spans="1:3">
      <c r="A188" s="681" t="s">
        <v>1126</v>
      </c>
      <c r="B188" s="681" t="s">
        <v>1127</v>
      </c>
      <c r="C188" s="851"/>
    </row>
    <row r="189" spans="1:3">
      <c r="A189" s="680" t="s">
        <v>916</v>
      </c>
      <c r="B189" s="680" t="s">
        <v>917</v>
      </c>
      <c r="C189" s="851"/>
    </row>
    <row r="190" spans="1:3">
      <c r="A190" s="680" t="s">
        <v>570</v>
      </c>
      <c r="B190" s="680" t="s">
        <v>596</v>
      </c>
      <c r="C190" s="851"/>
    </row>
    <row r="191" spans="1:3">
      <c r="A191" s="680" t="s">
        <v>119</v>
      </c>
      <c r="B191" s="680" t="s">
        <v>367</v>
      </c>
      <c r="C191" s="851"/>
    </row>
    <row r="192" spans="1:3">
      <c r="A192" s="680" t="s">
        <v>1745</v>
      </c>
      <c r="B192" s="680" t="s">
        <v>1744</v>
      </c>
      <c r="C192" s="851"/>
    </row>
    <row r="193" spans="1:3">
      <c r="A193" s="681" t="s">
        <v>1108</v>
      </c>
      <c r="B193" s="681" t="s">
        <v>1109</v>
      </c>
      <c r="C193" s="851"/>
    </row>
    <row r="194" spans="1:3">
      <c r="A194" s="680" t="s">
        <v>562</v>
      </c>
      <c r="B194" s="680" t="s">
        <v>457</v>
      </c>
      <c r="C194" s="851"/>
    </row>
    <row r="195" spans="1:3">
      <c r="A195" s="680" t="s">
        <v>563</v>
      </c>
      <c r="B195" s="680" t="s">
        <v>458</v>
      </c>
      <c r="C195" s="851"/>
    </row>
    <row r="196" spans="1:3">
      <c r="A196" s="680" t="s">
        <v>571</v>
      </c>
      <c r="B196" s="680" t="s">
        <v>2</v>
      </c>
      <c r="C196" s="851"/>
    </row>
    <row r="197" spans="1:3">
      <c r="A197" s="680" t="s">
        <v>0</v>
      </c>
      <c r="B197" s="680" t="s">
        <v>0</v>
      </c>
      <c r="C197" s="851"/>
    </row>
    <row r="198" spans="1:3">
      <c r="A198" s="680" t="s">
        <v>52</v>
      </c>
      <c r="B198" s="680" t="s">
        <v>4</v>
      </c>
      <c r="C198" s="851"/>
    </row>
    <row r="199" spans="1:3">
      <c r="A199" s="680" t="s">
        <v>51</v>
      </c>
      <c r="B199" s="680" t="s">
        <v>3</v>
      </c>
      <c r="C199" s="851"/>
    </row>
    <row r="200" spans="1:3">
      <c r="A200" s="680" t="s">
        <v>564</v>
      </c>
      <c r="B200" s="680" t="s">
        <v>460</v>
      </c>
      <c r="C200" s="851"/>
    </row>
    <row r="201" spans="1:3">
      <c r="A201" s="680" t="s">
        <v>565</v>
      </c>
      <c r="B201" s="680" t="s">
        <v>512</v>
      </c>
      <c r="C201" s="851"/>
    </row>
    <row r="202" spans="1:3">
      <c r="A202" s="680" t="s">
        <v>566</v>
      </c>
      <c r="B202" s="680" t="s">
        <v>463</v>
      </c>
      <c r="C202" s="851"/>
    </row>
    <row r="203" spans="1:3">
      <c r="A203" s="680" t="s">
        <v>567</v>
      </c>
      <c r="B203" s="680" t="s">
        <v>461</v>
      </c>
      <c r="C203" s="851"/>
    </row>
    <row r="204" spans="1:3">
      <c r="A204" s="680" t="s">
        <v>572</v>
      </c>
      <c r="B204" s="680" t="s">
        <v>464</v>
      </c>
      <c r="C204" s="851"/>
    </row>
    <row r="205" spans="1:3">
      <c r="A205" s="680" t="s">
        <v>568</v>
      </c>
      <c r="B205" s="680" t="s">
        <v>462</v>
      </c>
      <c r="C205" s="851"/>
    </row>
    <row r="206" spans="1:3">
      <c r="A206" s="680" t="s">
        <v>807</v>
      </c>
      <c r="B206" s="680" t="s">
        <v>808</v>
      </c>
      <c r="C206" s="851"/>
    </row>
    <row r="207" spans="1:3">
      <c r="A207" s="680" t="s">
        <v>918</v>
      </c>
      <c r="B207" s="680" t="s">
        <v>919</v>
      </c>
      <c r="C207" s="851"/>
    </row>
    <row r="208" spans="1:3">
      <c r="A208" s="680" t="s">
        <v>569</v>
      </c>
      <c r="B208" s="680" t="s">
        <v>560</v>
      </c>
      <c r="C208" s="851"/>
    </row>
    <row r="209" spans="1:3">
      <c r="A209" s="680" t="s">
        <v>920</v>
      </c>
      <c r="B209" s="680" t="s">
        <v>465</v>
      </c>
      <c r="C209" s="851"/>
    </row>
    <row r="210" spans="1:3">
      <c r="A210" s="680" t="s">
        <v>559</v>
      </c>
      <c r="B210" s="680" t="s">
        <v>561</v>
      </c>
      <c r="C210" s="851"/>
    </row>
    <row r="211" spans="1:3">
      <c r="A211" s="680" t="s">
        <v>107</v>
      </c>
      <c r="B211" s="680" t="s">
        <v>798</v>
      </c>
      <c r="C211" s="851"/>
    </row>
    <row r="212" spans="1:3">
      <c r="A212" s="680" t="s">
        <v>920</v>
      </c>
      <c r="B212" s="680" t="s">
        <v>921</v>
      </c>
      <c r="C212" s="851"/>
    </row>
    <row r="213" spans="1:3">
      <c r="A213" s="680" t="s">
        <v>559</v>
      </c>
      <c r="B213" s="680" t="s">
        <v>561</v>
      </c>
      <c r="C213" s="851"/>
    </row>
    <row r="214" spans="1:3">
      <c r="A214" s="681" t="s">
        <v>1110</v>
      </c>
      <c r="B214" s="681" t="s">
        <v>1111</v>
      </c>
      <c r="C214" s="851"/>
    </row>
    <row r="215" spans="1:3">
      <c r="A215" s="680" t="s">
        <v>1112</v>
      </c>
      <c r="B215" s="680" t="s">
        <v>1113</v>
      </c>
      <c r="C215" s="851"/>
    </row>
    <row r="216" spans="1:3">
      <c r="A216" s="680" t="s">
        <v>830</v>
      </c>
      <c r="B216" s="680" t="s">
        <v>831</v>
      </c>
      <c r="C216" s="851"/>
    </row>
    <row r="217" spans="1:3">
      <c r="A217" s="680" t="s">
        <v>111</v>
      </c>
      <c r="B217" s="680" t="s">
        <v>112</v>
      </c>
      <c r="C217" s="851"/>
    </row>
    <row r="218" spans="1:3">
      <c r="A218" s="680" t="s">
        <v>117</v>
      </c>
      <c r="B218" s="680" t="s">
        <v>113</v>
      </c>
      <c r="C218" s="851"/>
    </row>
    <row r="219" spans="1:3">
      <c r="A219" s="680" t="s">
        <v>803</v>
      </c>
      <c r="B219" s="680" t="s">
        <v>804</v>
      </c>
      <c r="C219" s="851"/>
    </row>
    <row r="220" spans="1:3">
      <c r="A220" s="680" t="s">
        <v>832</v>
      </c>
      <c r="B220" s="680" t="s">
        <v>833</v>
      </c>
      <c r="C220" s="851"/>
    </row>
    <row r="221" spans="1:3">
      <c r="A221" s="680" t="s">
        <v>467</v>
      </c>
      <c r="B221" s="680" t="s">
        <v>467</v>
      </c>
      <c r="C221" s="851"/>
    </row>
    <row r="222" spans="1:3">
      <c r="A222" s="680" t="s">
        <v>365</v>
      </c>
      <c r="B222" s="680" t="s">
        <v>365</v>
      </c>
      <c r="C222" s="851"/>
    </row>
    <row r="223" spans="1:3">
      <c r="A223" s="680" t="s">
        <v>53</v>
      </c>
      <c r="B223" s="680" t="s">
        <v>54</v>
      </c>
      <c r="C223" s="851"/>
    </row>
    <row r="224" spans="1:3">
      <c r="A224" s="680" t="s">
        <v>355</v>
      </c>
      <c r="B224" s="680" t="s">
        <v>356</v>
      </c>
      <c r="C224" s="851"/>
    </row>
    <row r="225" spans="1:3">
      <c r="A225" s="680" t="s">
        <v>17</v>
      </c>
      <c r="B225" s="680" t="s">
        <v>800</v>
      </c>
      <c r="C225" s="851"/>
    </row>
    <row r="226" spans="1:3">
      <c r="A226" s="829" t="s">
        <v>799</v>
      </c>
      <c r="B226" s="829" t="s">
        <v>922</v>
      </c>
      <c r="C226" s="851"/>
    </row>
    <row r="227" spans="1:3">
      <c r="A227" s="680" t="s">
        <v>771</v>
      </c>
      <c r="B227" s="829" t="s">
        <v>776</v>
      </c>
      <c r="C227" s="851"/>
    </row>
    <row r="228" spans="1:3">
      <c r="A228" s="680" t="s">
        <v>774</v>
      </c>
      <c r="B228" s="829" t="s">
        <v>775</v>
      </c>
      <c r="C228" s="851"/>
    </row>
    <row r="229" spans="1:3">
      <c r="A229" s="829" t="s">
        <v>772</v>
      </c>
      <c r="B229" s="829" t="s">
        <v>773</v>
      </c>
      <c r="C229" s="851"/>
    </row>
    <row r="230" spans="1:3">
      <c r="A230" s="680" t="s">
        <v>925</v>
      </c>
      <c r="B230" s="680" t="s">
        <v>926</v>
      </c>
      <c r="C230" s="851"/>
    </row>
    <row r="231" spans="1:3">
      <c r="A231" s="680" t="s">
        <v>829</v>
      </c>
      <c r="B231" s="680" t="s">
        <v>828</v>
      </c>
      <c r="C231" s="851"/>
    </row>
    <row r="232" spans="1:3">
      <c r="A232" s="680" t="s">
        <v>1114</v>
      </c>
      <c r="B232" s="680" t="s">
        <v>1084</v>
      </c>
      <c r="C232" s="851"/>
    </row>
    <row r="233" spans="1:3">
      <c r="A233" s="681" t="s">
        <v>1100</v>
      </c>
      <c r="B233" s="681" t="s">
        <v>1101</v>
      </c>
      <c r="C233" s="851"/>
    </row>
    <row r="234" spans="1:3">
      <c r="A234" s="680" t="s">
        <v>1071</v>
      </c>
      <c r="B234" s="680" t="s">
        <v>956</v>
      </c>
      <c r="C234" s="851"/>
    </row>
    <row r="235" spans="1:3">
      <c r="A235" s="680" t="s">
        <v>1070</v>
      </c>
      <c r="B235" s="680" t="s">
        <v>955</v>
      </c>
      <c r="C235" s="851"/>
    </row>
    <row r="236" spans="1:3">
      <c r="A236" s="680" t="s">
        <v>1136</v>
      </c>
      <c r="B236" s="829" t="s">
        <v>1060</v>
      </c>
      <c r="C236" s="851"/>
    </row>
    <row r="237" spans="1:3">
      <c r="A237" s="680" t="s">
        <v>1137</v>
      </c>
      <c r="B237" s="829" t="s">
        <v>1061</v>
      </c>
      <c r="C237" s="851"/>
    </row>
    <row r="238" spans="1:3">
      <c r="A238" s="680" t="s">
        <v>1138</v>
      </c>
      <c r="B238" s="829" t="s">
        <v>1062</v>
      </c>
      <c r="C238" s="851"/>
    </row>
    <row r="239" spans="1:3">
      <c r="A239" s="680" t="s">
        <v>1139</v>
      </c>
      <c r="B239" s="829" t="s">
        <v>1063</v>
      </c>
      <c r="C239" s="851"/>
    </row>
    <row r="240" spans="1:3">
      <c r="A240" s="680" t="s">
        <v>1140</v>
      </c>
      <c r="B240" s="829" t="s">
        <v>1064</v>
      </c>
      <c r="C240" s="851"/>
    </row>
    <row r="241" spans="1:3">
      <c r="A241" s="680" t="s">
        <v>1141</v>
      </c>
      <c r="B241" s="829" t="s">
        <v>1065</v>
      </c>
      <c r="C241" s="851"/>
    </row>
    <row r="242" spans="1:3">
      <c r="A242" s="680" t="s">
        <v>1142</v>
      </c>
      <c r="B242" s="829" t="s">
        <v>1066</v>
      </c>
      <c r="C242" s="851"/>
    </row>
    <row r="243" spans="1:3">
      <c r="A243" s="680" t="s">
        <v>1143</v>
      </c>
      <c r="B243" s="829" t="s">
        <v>1067</v>
      </c>
      <c r="C243" s="851"/>
    </row>
    <row r="244" spans="1:3">
      <c r="A244" s="680" t="s">
        <v>1144</v>
      </c>
      <c r="B244" s="829" t="s">
        <v>1068</v>
      </c>
      <c r="C244" s="851"/>
    </row>
    <row r="245" spans="1:3">
      <c r="A245" s="680" t="s">
        <v>1145</v>
      </c>
      <c r="B245" s="829" t="s">
        <v>1069</v>
      </c>
      <c r="C245" s="851"/>
    </row>
    <row r="246" spans="1:3">
      <c r="A246" s="680" t="s">
        <v>1115</v>
      </c>
      <c r="B246" s="680" t="s">
        <v>939</v>
      </c>
      <c r="C246" s="851"/>
    </row>
    <row r="247" spans="1:3">
      <c r="A247" s="680" t="s">
        <v>1116</v>
      </c>
      <c r="B247" s="829" t="s">
        <v>944</v>
      </c>
      <c r="C247" s="851"/>
    </row>
    <row r="248" spans="1:3">
      <c r="A248" s="680" t="s">
        <v>1117</v>
      </c>
      <c r="B248" s="829" t="s">
        <v>949</v>
      </c>
      <c r="C248" s="851"/>
    </row>
    <row r="249" spans="1:3">
      <c r="A249" s="680" t="s">
        <v>1118</v>
      </c>
      <c r="B249" s="829" t="s">
        <v>950</v>
      </c>
      <c r="C249" s="851"/>
    </row>
    <row r="250" spans="1:3">
      <c r="A250" s="680" t="s">
        <v>1119</v>
      </c>
      <c r="B250" s="829" t="s">
        <v>951</v>
      </c>
      <c r="C250" s="851"/>
    </row>
    <row r="251" spans="1:3">
      <c r="A251" s="680" t="s">
        <v>1146</v>
      </c>
      <c r="B251" s="829" t="s">
        <v>945</v>
      </c>
      <c r="C251" s="851"/>
    </row>
    <row r="252" spans="1:3">
      <c r="A252" s="680" t="s">
        <v>1149</v>
      </c>
      <c r="B252" s="829" t="s">
        <v>952</v>
      </c>
      <c r="C252" s="851"/>
    </row>
    <row r="253" spans="1:3">
      <c r="A253" s="680" t="s">
        <v>1147</v>
      </c>
      <c r="B253" s="829" t="s">
        <v>953</v>
      </c>
      <c r="C253" s="851"/>
    </row>
    <row r="254" spans="1:3">
      <c r="A254" s="680" t="s">
        <v>1148</v>
      </c>
      <c r="B254" s="829" t="s">
        <v>954</v>
      </c>
      <c r="C254" s="851"/>
    </row>
    <row r="255" spans="1:3">
      <c r="A255" s="680" t="s">
        <v>940</v>
      </c>
      <c r="B255" s="680" t="s">
        <v>940</v>
      </c>
      <c r="C255" s="851"/>
    </row>
    <row r="256" spans="1:3">
      <c r="A256" s="680" t="s">
        <v>1120</v>
      </c>
      <c r="B256" s="680" t="s">
        <v>1057</v>
      </c>
      <c r="C256" s="851"/>
    </row>
    <row r="257" spans="1:3">
      <c r="A257" s="680" t="s">
        <v>1121</v>
      </c>
      <c r="B257" s="680" t="s">
        <v>1072</v>
      </c>
      <c r="C257" s="851"/>
    </row>
    <row r="258" spans="1:3">
      <c r="A258" s="680" t="s">
        <v>1150</v>
      </c>
      <c r="B258" s="680" t="s">
        <v>1073</v>
      </c>
      <c r="C258" s="851"/>
    </row>
    <row r="259" spans="1:3">
      <c r="A259" s="680" t="s">
        <v>1129</v>
      </c>
      <c r="B259" s="680" t="s">
        <v>943</v>
      </c>
      <c r="C259" s="851"/>
    </row>
    <row r="260" spans="1:3">
      <c r="A260" s="680" t="s">
        <v>1122</v>
      </c>
      <c r="B260" s="680" t="s">
        <v>1074</v>
      </c>
      <c r="C260" s="851"/>
    </row>
    <row r="261" spans="1:3">
      <c r="A261" s="681"/>
      <c r="B261" s="681"/>
      <c r="C261" s="851"/>
    </row>
    <row r="262" spans="1:3">
      <c r="A262" s="680" t="s">
        <v>1151</v>
      </c>
      <c r="B262" s="680" t="s">
        <v>1130</v>
      </c>
      <c r="C262" s="851"/>
    </row>
    <row r="263" spans="1:3">
      <c r="A263" s="680" t="s">
        <v>1153</v>
      </c>
      <c r="B263" s="680" t="s">
        <v>1131</v>
      </c>
      <c r="C263" s="851"/>
    </row>
    <row r="264" spans="1:3">
      <c r="A264" s="680" t="s">
        <v>1152</v>
      </c>
      <c r="B264" s="680" t="s">
        <v>1132</v>
      </c>
      <c r="C264" s="851"/>
    </row>
    <row r="265" spans="1:3">
      <c r="A265" s="680" t="s">
        <v>1759</v>
      </c>
      <c r="B265" s="680" t="s">
        <v>1758</v>
      </c>
    </row>
    <row r="266" spans="1:3">
      <c r="A266" s="680" t="s">
        <v>1764</v>
      </c>
      <c r="B266" s="680" t="s">
        <v>1760</v>
      </c>
    </row>
    <row r="267" spans="1:3">
      <c r="A267" s="680" t="s">
        <v>1765</v>
      </c>
      <c r="B267" s="680" t="s">
        <v>1761</v>
      </c>
    </row>
    <row r="268" spans="1:3">
      <c r="A268" s="680" t="s">
        <v>1762</v>
      </c>
      <c r="B268" s="680" t="s">
        <v>1763</v>
      </c>
    </row>
    <row r="269" spans="1:3">
      <c r="A269" s="680" t="s">
        <v>2507</v>
      </c>
      <c r="B269" s="680" t="s">
        <v>2508</v>
      </c>
    </row>
    <row r="270" spans="1:3">
      <c r="A270" s="985" t="s">
        <v>3348</v>
      </c>
      <c r="B270" s="985" t="s">
        <v>3349</v>
      </c>
      <c r="C270" s="985" t="s">
        <v>3349</v>
      </c>
    </row>
    <row r="271" spans="1:3">
      <c r="A271" s="985" t="s">
        <v>3346</v>
      </c>
      <c r="B271" s="985" t="s">
        <v>3346</v>
      </c>
      <c r="C271" s="985" t="s">
        <v>3346</v>
      </c>
    </row>
  </sheetData>
  <sheetProtection algorithmName="SHA-512" hashValue="MHNtiCQe3XtOsYYL86zLALc6UVm4kl/YOsCyj08R/BZk2HmgcG1LqqQOskrpNk4Skds0INqFWF72m0Tpc/igYw==" saltValue="YwRoryqxpX02fecHFeVpqg==" spinCount="100000" sheet="1" objects="1" scenarios="1"/>
  <customSheetViews>
    <customSheetView guid="{727552C9-10E3-4948-B2AE-8FE165517887}" state="hidden">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1151" priority="132"/>
  </conditionalFormatting>
  <conditionalFormatting sqref="A2">
    <cfRule type="duplicateValues" dxfId="1150" priority="131"/>
  </conditionalFormatting>
  <conditionalFormatting sqref="A4:A5">
    <cfRule type="duplicateValues" dxfId="1149" priority="130"/>
  </conditionalFormatting>
  <conditionalFormatting sqref="A9">
    <cfRule type="duplicateValues" dxfId="1148" priority="129"/>
  </conditionalFormatting>
  <conditionalFormatting sqref="A10:A11">
    <cfRule type="duplicateValues" dxfId="1147" priority="128"/>
  </conditionalFormatting>
  <conditionalFormatting sqref="A12">
    <cfRule type="duplicateValues" dxfId="1146" priority="127"/>
  </conditionalFormatting>
  <conditionalFormatting sqref="A13">
    <cfRule type="duplicateValues" dxfId="1145" priority="126"/>
  </conditionalFormatting>
  <conditionalFormatting sqref="A14:A16">
    <cfRule type="duplicateValues" dxfId="1144" priority="125"/>
  </conditionalFormatting>
  <conditionalFormatting sqref="A19:A20">
    <cfRule type="duplicateValues" dxfId="1143" priority="124"/>
  </conditionalFormatting>
  <conditionalFormatting sqref="A21">
    <cfRule type="duplicateValues" dxfId="1142" priority="123"/>
  </conditionalFormatting>
  <conditionalFormatting sqref="A22">
    <cfRule type="duplicateValues" dxfId="1141" priority="122"/>
  </conditionalFormatting>
  <conditionalFormatting sqref="A27">
    <cfRule type="duplicateValues" dxfId="1140" priority="121"/>
  </conditionalFormatting>
  <conditionalFormatting sqref="A24">
    <cfRule type="duplicateValues" dxfId="1139" priority="120"/>
  </conditionalFormatting>
  <conditionalFormatting sqref="A26">
    <cfRule type="duplicateValues" dxfId="1138" priority="119"/>
  </conditionalFormatting>
  <conditionalFormatting sqref="A28">
    <cfRule type="duplicateValues" dxfId="1137" priority="118"/>
  </conditionalFormatting>
  <conditionalFormatting sqref="A29:A30">
    <cfRule type="duplicateValues" dxfId="1136" priority="117"/>
  </conditionalFormatting>
  <conditionalFormatting sqref="A31">
    <cfRule type="duplicateValues" dxfId="1135" priority="116"/>
  </conditionalFormatting>
  <conditionalFormatting sqref="A32">
    <cfRule type="duplicateValues" dxfId="1134" priority="115"/>
  </conditionalFormatting>
  <conditionalFormatting sqref="A33">
    <cfRule type="duplicateValues" dxfId="1133" priority="114"/>
  </conditionalFormatting>
  <conditionalFormatting sqref="A35:A38">
    <cfRule type="duplicateValues" dxfId="1132" priority="113"/>
  </conditionalFormatting>
  <conditionalFormatting sqref="A34">
    <cfRule type="duplicateValues" dxfId="1131" priority="112"/>
  </conditionalFormatting>
  <conditionalFormatting sqref="A39">
    <cfRule type="duplicateValues" dxfId="1130" priority="111"/>
  </conditionalFormatting>
  <conditionalFormatting sqref="A41:A42">
    <cfRule type="duplicateValues" dxfId="1129" priority="110"/>
  </conditionalFormatting>
  <conditionalFormatting sqref="A43:A44 A69">
    <cfRule type="duplicateValues" dxfId="1128" priority="109"/>
  </conditionalFormatting>
  <conditionalFormatting sqref="A45:A48">
    <cfRule type="duplicateValues" dxfId="1127" priority="108"/>
  </conditionalFormatting>
  <conditionalFormatting sqref="B49:B50">
    <cfRule type="duplicateValues" dxfId="1126" priority="107"/>
  </conditionalFormatting>
  <conditionalFormatting sqref="A49:A51">
    <cfRule type="duplicateValues" dxfId="1125" priority="106"/>
  </conditionalFormatting>
  <conditionalFormatting sqref="A67">
    <cfRule type="duplicateValues" dxfId="1124" priority="105"/>
  </conditionalFormatting>
  <conditionalFormatting sqref="A68">
    <cfRule type="duplicateValues" dxfId="1123" priority="104"/>
  </conditionalFormatting>
  <conditionalFormatting sqref="A71">
    <cfRule type="duplicateValues" dxfId="1122" priority="103"/>
  </conditionalFormatting>
  <conditionalFormatting sqref="A72">
    <cfRule type="duplicateValues" dxfId="1121" priority="102"/>
  </conditionalFormatting>
  <conditionalFormatting sqref="A74:A75">
    <cfRule type="duplicateValues" dxfId="1120" priority="101"/>
  </conditionalFormatting>
  <conditionalFormatting sqref="A73">
    <cfRule type="duplicateValues" dxfId="1119" priority="100"/>
  </conditionalFormatting>
  <conditionalFormatting sqref="A76">
    <cfRule type="duplicateValues" dxfId="1118" priority="99"/>
  </conditionalFormatting>
  <conditionalFormatting sqref="A77">
    <cfRule type="duplicateValues" dxfId="1117" priority="98"/>
  </conditionalFormatting>
  <conditionalFormatting sqref="A78:A79">
    <cfRule type="duplicateValues" dxfId="1116" priority="97"/>
  </conditionalFormatting>
  <conditionalFormatting sqref="A83">
    <cfRule type="duplicateValues" dxfId="1115" priority="96"/>
  </conditionalFormatting>
  <conditionalFormatting sqref="A84">
    <cfRule type="duplicateValues" dxfId="1114" priority="95"/>
  </conditionalFormatting>
  <conditionalFormatting sqref="A80:A82">
    <cfRule type="duplicateValues" dxfId="1113" priority="94"/>
  </conditionalFormatting>
  <conditionalFormatting sqref="A85:A88">
    <cfRule type="duplicateValues" dxfId="1112" priority="93"/>
  </conditionalFormatting>
  <conditionalFormatting sqref="A89">
    <cfRule type="duplicateValues" dxfId="1111" priority="92"/>
  </conditionalFormatting>
  <conditionalFormatting sqref="A90">
    <cfRule type="duplicateValues" dxfId="1110" priority="91"/>
  </conditionalFormatting>
  <conditionalFormatting sqref="A91:A92">
    <cfRule type="duplicateValues" dxfId="1109" priority="90"/>
  </conditionalFormatting>
  <conditionalFormatting sqref="A93:A94">
    <cfRule type="duplicateValues" dxfId="1108" priority="89"/>
  </conditionalFormatting>
  <conditionalFormatting sqref="A95">
    <cfRule type="duplicateValues" dxfId="1107" priority="88"/>
  </conditionalFormatting>
  <conditionalFormatting sqref="A97">
    <cfRule type="duplicateValues" dxfId="1106" priority="87"/>
  </conditionalFormatting>
  <conditionalFormatting sqref="A98">
    <cfRule type="duplicateValues" dxfId="1105" priority="86"/>
  </conditionalFormatting>
  <conditionalFormatting sqref="A103">
    <cfRule type="duplicateValues" dxfId="1104" priority="85"/>
  </conditionalFormatting>
  <conditionalFormatting sqref="A104">
    <cfRule type="duplicateValues" dxfId="1103" priority="84"/>
  </conditionalFormatting>
  <conditionalFormatting sqref="A105">
    <cfRule type="duplicateValues" dxfId="1102" priority="83"/>
  </conditionalFormatting>
  <conditionalFormatting sqref="A106">
    <cfRule type="duplicateValues" dxfId="1101" priority="82"/>
  </conditionalFormatting>
  <conditionalFormatting sqref="A107">
    <cfRule type="duplicateValues" dxfId="1100" priority="81"/>
  </conditionalFormatting>
  <conditionalFormatting sqref="A116:A118 A120:A121">
    <cfRule type="duplicateValues" dxfId="1099" priority="80"/>
  </conditionalFormatting>
  <conditionalFormatting sqref="A124:A127">
    <cfRule type="duplicateValues" dxfId="1098" priority="79"/>
  </conditionalFormatting>
  <conditionalFormatting sqref="A129:A133">
    <cfRule type="duplicateValues" dxfId="1097" priority="133"/>
  </conditionalFormatting>
  <conditionalFormatting sqref="A109 A111:A113">
    <cfRule type="duplicateValues" dxfId="1096" priority="78"/>
  </conditionalFormatting>
  <conditionalFormatting sqref="A108">
    <cfRule type="duplicateValues" dxfId="1095" priority="77"/>
  </conditionalFormatting>
  <conditionalFormatting sqref="A122">
    <cfRule type="duplicateValues" dxfId="1094" priority="76"/>
  </conditionalFormatting>
  <conditionalFormatting sqref="A128">
    <cfRule type="duplicateValues" dxfId="1093" priority="75"/>
  </conditionalFormatting>
  <conditionalFormatting sqref="A135">
    <cfRule type="duplicateValues" dxfId="1092" priority="74"/>
  </conditionalFormatting>
  <conditionalFormatting sqref="A136">
    <cfRule type="duplicateValues" dxfId="1091" priority="73"/>
  </conditionalFormatting>
  <conditionalFormatting sqref="A139:A140">
    <cfRule type="duplicateValues" dxfId="1090" priority="72"/>
  </conditionalFormatting>
  <conditionalFormatting sqref="A137:A138">
    <cfRule type="duplicateValues" dxfId="1089" priority="71"/>
  </conditionalFormatting>
  <conditionalFormatting sqref="A141">
    <cfRule type="duplicateValues" dxfId="1088" priority="70"/>
  </conditionalFormatting>
  <conditionalFormatting sqref="B142">
    <cfRule type="duplicateValues" dxfId="1087" priority="69"/>
  </conditionalFormatting>
  <conditionalFormatting sqref="A142">
    <cfRule type="duplicateValues" dxfId="1086" priority="68"/>
  </conditionalFormatting>
  <conditionalFormatting sqref="A144">
    <cfRule type="duplicateValues" dxfId="1085" priority="67"/>
  </conditionalFormatting>
  <conditionalFormatting sqref="A143">
    <cfRule type="duplicateValues" dxfId="1084" priority="66"/>
  </conditionalFormatting>
  <conditionalFormatting sqref="A145">
    <cfRule type="duplicateValues" dxfId="1083" priority="65"/>
  </conditionalFormatting>
  <conditionalFormatting sqref="A146">
    <cfRule type="duplicateValues" dxfId="1082" priority="64"/>
  </conditionalFormatting>
  <conditionalFormatting sqref="A147:A148">
    <cfRule type="duplicateValues" dxfId="1081" priority="63"/>
  </conditionalFormatting>
  <conditionalFormatting sqref="A149:A150">
    <cfRule type="duplicateValues" dxfId="1080" priority="62"/>
  </conditionalFormatting>
  <conditionalFormatting sqref="A151">
    <cfRule type="duplicateValues" dxfId="1079" priority="61"/>
  </conditionalFormatting>
  <conditionalFormatting sqref="A152:A160">
    <cfRule type="duplicateValues" dxfId="1078" priority="60"/>
  </conditionalFormatting>
  <conditionalFormatting sqref="A161">
    <cfRule type="duplicateValues" dxfId="1077" priority="59"/>
  </conditionalFormatting>
  <conditionalFormatting sqref="A162">
    <cfRule type="duplicateValues" dxfId="1076" priority="58"/>
  </conditionalFormatting>
  <conditionalFormatting sqref="A163">
    <cfRule type="duplicateValues" dxfId="1075" priority="57"/>
  </conditionalFormatting>
  <conditionalFormatting sqref="A164:A166">
    <cfRule type="duplicateValues" dxfId="1074" priority="56"/>
  </conditionalFormatting>
  <conditionalFormatting sqref="A167">
    <cfRule type="duplicateValues" dxfId="1073" priority="55"/>
  </conditionalFormatting>
  <conditionalFormatting sqref="A168">
    <cfRule type="duplicateValues" dxfId="1072" priority="54"/>
  </conditionalFormatting>
  <conditionalFormatting sqref="A175">
    <cfRule type="duplicateValues" dxfId="1071" priority="53"/>
  </conditionalFormatting>
  <conditionalFormatting sqref="A177">
    <cfRule type="duplicateValues" dxfId="1070" priority="52"/>
  </conditionalFormatting>
  <conditionalFormatting sqref="A179">
    <cfRule type="duplicateValues" dxfId="1069" priority="51"/>
  </conditionalFormatting>
  <conditionalFormatting sqref="A180:A186">
    <cfRule type="duplicateValues" dxfId="1068" priority="50"/>
  </conditionalFormatting>
  <conditionalFormatting sqref="A189">
    <cfRule type="duplicateValues" dxfId="1067" priority="49"/>
  </conditionalFormatting>
  <conditionalFormatting sqref="A188">
    <cfRule type="duplicateValues" dxfId="1066" priority="48"/>
  </conditionalFormatting>
  <conditionalFormatting sqref="A190">
    <cfRule type="duplicateValues" dxfId="1065" priority="47"/>
  </conditionalFormatting>
  <conditionalFormatting sqref="A191">
    <cfRule type="duplicateValues" dxfId="1064" priority="46"/>
  </conditionalFormatting>
  <conditionalFormatting sqref="A193">
    <cfRule type="duplicateValues" dxfId="1063" priority="44"/>
  </conditionalFormatting>
  <conditionalFormatting sqref="A194">
    <cfRule type="duplicateValues" dxfId="1062" priority="43"/>
  </conditionalFormatting>
  <conditionalFormatting sqref="A195">
    <cfRule type="duplicateValues" dxfId="1061" priority="42"/>
  </conditionalFormatting>
  <conditionalFormatting sqref="A196">
    <cfRule type="duplicateValues" dxfId="1060" priority="41"/>
  </conditionalFormatting>
  <conditionalFormatting sqref="A197">
    <cfRule type="duplicateValues" dxfId="1059" priority="40"/>
  </conditionalFormatting>
  <conditionalFormatting sqref="A198">
    <cfRule type="duplicateValues" dxfId="1058" priority="39"/>
  </conditionalFormatting>
  <conditionalFormatting sqref="A199">
    <cfRule type="duplicateValues" dxfId="1057" priority="38"/>
  </conditionalFormatting>
  <conditionalFormatting sqref="A200">
    <cfRule type="duplicateValues" dxfId="1056" priority="37"/>
  </conditionalFormatting>
  <conditionalFormatting sqref="A201">
    <cfRule type="duplicateValues" dxfId="1055" priority="36"/>
  </conditionalFormatting>
  <conditionalFormatting sqref="A202">
    <cfRule type="duplicateValues" dxfId="1054" priority="35"/>
  </conditionalFormatting>
  <conditionalFormatting sqref="A203">
    <cfRule type="duplicateValues" dxfId="1053" priority="34"/>
  </conditionalFormatting>
  <conditionalFormatting sqref="A204:A205">
    <cfRule type="duplicateValues" dxfId="1052" priority="33"/>
  </conditionalFormatting>
  <conditionalFormatting sqref="A207:A210">
    <cfRule type="duplicateValues" dxfId="1051" priority="32"/>
  </conditionalFormatting>
  <conditionalFormatting sqref="A211">
    <cfRule type="duplicateValues" dxfId="1050" priority="31"/>
  </conditionalFormatting>
  <conditionalFormatting sqref="A212:A213">
    <cfRule type="duplicateValues" dxfId="1049" priority="30"/>
  </conditionalFormatting>
  <conditionalFormatting sqref="A214:A215">
    <cfRule type="duplicateValues" dxfId="1048" priority="29"/>
  </conditionalFormatting>
  <conditionalFormatting sqref="A221:A222">
    <cfRule type="duplicateValues" dxfId="1047" priority="28"/>
  </conditionalFormatting>
  <conditionalFormatting sqref="A216">
    <cfRule type="duplicateValues" dxfId="1046" priority="27"/>
  </conditionalFormatting>
  <conditionalFormatting sqref="A217">
    <cfRule type="duplicateValues" dxfId="1045" priority="26"/>
  </conditionalFormatting>
  <conditionalFormatting sqref="A218:A220">
    <cfRule type="duplicateValues" dxfId="1044" priority="134"/>
  </conditionalFormatting>
  <conditionalFormatting sqref="A223 A225">
    <cfRule type="duplicateValues" dxfId="1043" priority="25"/>
  </conditionalFormatting>
  <conditionalFormatting sqref="A224">
    <cfRule type="duplicateValues" dxfId="1042" priority="24"/>
  </conditionalFormatting>
  <conditionalFormatting sqref="A226">
    <cfRule type="duplicateValues" dxfId="1041" priority="23"/>
  </conditionalFormatting>
  <conditionalFormatting sqref="A229">
    <cfRule type="duplicateValues" dxfId="1040" priority="22"/>
  </conditionalFormatting>
  <conditionalFormatting sqref="A230">
    <cfRule type="duplicateValues" dxfId="1039" priority="21"/>
  </conditionalFormatting>
  <conditionalFormatting sqref="A40">
    <cfRule type="duplicateValues" dxfId="1038" priority="20"/>
  </conditionalFormatting>
  <conditionalFormatting sqref="A23">
    <cfRule type="duplicateValues" dxfId="1037" priority="19"/>
  </conditionalFormatting>
  <conditionalFormatting sqref="A232">
    <cfRule type="duplicateValues" dxfId="1036" priority="18"/>
  </conditionalFormatting>
  <conditionalFormatting sqref="B233:B234">
    <cfRule type="duplicateValues" dxfId="1035" priority="17"/>
  </conditionalFormatting>
  <conditionalFormatting sqref="B157:B160">
    <cfRule type="duplicateValues" dxfId="1034" priority="16"/>
  </conditionalFormatting>
  <conditionalFormatting sqref="A25">
    <cfRule type="duplicateValues" dxfId="1033" priority="15"/>
  </conditionalFormatting>
  <conditionalFormatting sqref="A192">
    <cfRule type="duplicateValues" dxfId="1032" priority="14"/>
  </conditionalFormatting>
  <conditionalFormatting sqref="A187">
    <cfRule type="duplicateValues" dxfId="1031" priority="13"/>
  </conditionalFormatting>
  <conditionalFormatting sqref="A268 A266">
    <cfRule type="duplicateValues" dxfId="1030" priority="10"/>
  </conditionalFormatting>
  <conditionalFormatting sqref="A267">
    <cfRule type="duplicateValues" dxfId="1029" priority="9"/>
  </conditionalFormatting>
  <conditionalFormatting sqref="B267">
    <cfRule type="duplicateValues" dxfId="1028" priority="8"/>
  </conditionalFormatting>
  <conditionalFormatting sqref="A269">
    <cfRule type="duplicateValues" dxfId="1027" priority="7"/>
  </conditionalFormatting>
  <conditionalFormatting sqref="A271">
    <cfRule type="duplicateValues" dxfId="1026" priority="3"/>
  </conditionalFormatting>
  <conditionalFormatting sqref="B271">
    <cfRule type="duplicateValues" dxfId="1025" priority="2"/>
  </conditionalFormatting>
  <conditionalFormatting sqref="C271">
    <cfRule type="duplicateValues" dxfId="1024" priority="1"/>
  </conditionalFormatting>
  <pageMargins left="0.7" right="0.7" top="0.78740157499999996" bottom="0.78740157499999996"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A1:C271"/>
  <sheetViews>
    <sheetView topLeftCell="A267" workbookViewId="0">
      <selection activeCell="A270" sqref="A270:C271"/>
    </sheetView>
  </sheetViews>
  <sheetFormatPr defaultColWidth="11.44140625" defaultRowHeight="14.4"/>
  <cols>
    <col min="1" max="1" width="48.44140625" style="680" customWidth="1"/>
    <col min="2" max="2" width="42.88671875" style="680" customWidth="1"/>
    <col min="3" max="3" width="42.88671875" style="943" customWidth="1"/>
  </cols>
  <sheetData>
    <row r="1" spans="1:3">
      <c r="A1" s="827" t="s">
        <v>7</v>
      </c>
      <c r="B1" s="827" t="s">
        <v>9</v>
      </c>
      <c r="C1" s="940" t="s">
        <v>8</v>
      </c>
    </row>
    <row r="2" spans="1:3">
      <c r="A2" s="680" t="s">
        <v>593</v>
      </c>
      <c r="B2" s="680" t="s">
        <v>594</v>
      </c>
      <c r="C2" s="918" t="s">
        <v>2621</v>
      </c>
    </row>
    <row r="3" spans="1:3">
      <c r="A3" s="680" t="s">
        <v>357</v>
      </c>
      <c r="B3" s="680" t="s">
        <v>357</v>
      </c>
      <c r="C3" s="918" t="s">
        <v>2622</v>
      </c>
    </row>
    <row r="4" spans="1:3">
      <c r="A4" s="681" t="s">
        <v>482</v>
      </c>
      <c r="B4" s="681" t="s">
        <v>483</v>
      </c>
      <c r="C4" s="918" t="s">
        <v>2623</v>
      </c>
    </row>
    <row r="5" spans="1:3">
      <c r="A5" s="680" t="s">
        <v>11</v>
      </c>
      <c r="B5" s="680" t="s">
        <v>10</v>
      </c>
      <c r="C5" s="918" t="s">
        <v>2624</v>
      </c>
    </row>
    <row r="6" spans="1:3">
      <c r="A6" s="680" t="s">
        <v>21</v>
      </c>
      <c r="B6" s="680" t="s">
        <v>20</v>
      </c>
      <c r="C6" s="918" t="s">
        <v>2625</v>
      </c>
    </row>
    <row r="7" spans="1:3" ht="27.6">
      <c r="A7" s="680" t="s">
        <v>903</v>
      </c>
      <c r="B7" s="680" t="s">
        <v>902</v>
      </c>
      <c r="C7" s="918" t="s">
        <v>2626</v>
      </c>
    </row>
    <row r="8" spans="1:3">
      <c r="A8" s="680" t="s">
        <v>55</v>
      </c>
      <c r="B8" s="680" t="s">
        <v>904</v>
      </c>
      <c r="C8" s="918" t="s">
        <v>2627</v>
      </c>
    </row>
    <row r="9" spans="1:3">
      <c r="A9" s="680" t="s">
        <v>484</v>
      </c>
      <c r="B9" s="680" t="s">
        <v>480</v>
      </c>
      <c r="C9" s="918" t="s">
        <v>2628</v>
      </c>
    </row>
    <row r="10" spans="1:3">
      <c r="A10" s="680" t="s">
        <v>485</v>
      </c>
      <c r="B10" s="680" t="s">
        <v>469</v>
      </c>
      <c r="C10" s="918" t="s">
        <v>2629</v>
      </c>
    </row>
    <row r="11" spans="1:3">
      <c r="A11" s="680" t="s">
        <v>486</v>
      </c>
      <c r="B11" s="680" t="s">
        <v>470</v>
      </c>
      <c r="C11" s="918" t="s">
        <v>486</v>
      </c>
    </row>
    <row r="12" spans="1:3">
      <c r="A12" s="680" t="s">
        <v>13</v>
      </c>
      <c r="B12" s="680" t="s">
        <v>12</v>
      </c>
      <c r="C12" s="918" t="s">
        <v>2630</v>
      </c>
    </row>
    <row r="13" spans="1:3">
      <c r="A13" s="681" t="s">
        <v>490</v>
      </c>
      <c r="B13" s="681" t="s">
        <v>448</v>
      </c>
      <c r="C13" s="918" t="s">
        <v>2631</v>
      </c>
    </row>
    <row r="14" spans="1:3">
      <c r="A14" s="682" t="s">
        <v>900</v>
      </c>
      <c r="B14" s="682" t="s">
        <v>900</v>
      </c>
      <c r="C14" s="918" t="s">
        <v>900</v>
      </c>
    </row>
    <row r="15" spans="1:3">
      <c r="A15" s="680" t="s">
        <v>487</v>
      </c>
      <c r="B15" s="680" t="s">
        <v>488</v>
      </c>
      <c r="C15" s="918" t="s">
        <v>2632</v>
      </c>
    </row>
    <row r="16" spans="1:3">
      <c r="A16" s="680" t="s">
        <v>468</v>
      </c>
      <c r="B16" s="680" t="s">
        <v>468</v>
      </c>
      <c r="C16" s="918" t="s">
        <v>468</v>
      </c>
    </row>
    <row r="17" spans="1:3">
      <c r="A17" s="680" t="s">
        <v>364</v>
      </c>
      <c r="B17" s="680" t="s">
        <v>364</v>
      </c>
      <c r="C17" s="918" t="s">
        <v>364</v>
      </c>
    </row>
    <row r="18" spans="1:3">
      <c r="A18" s="680" t="s">
        <v>905</v>
      </c>
      <c r="B18" s="680" t="s">
        <v>905</v>
      </c>
      <c r="C18" s="918" t="s">
        <v>2633</v>
      </c>
    </row>
    <row r="19" spans="1:3">
      <c r="A19" s="680" t="s">
        <v>18</v>
      </c>
      <c r="B19" s="680" t="s">
        <v>19</v>
      </c>
      <c r="C19" s="918" t="s">
        <v>2634</v>
      </c>
    </row>
    <row r="20" spans="1:3">
      <c r="A20" s="680" t="s">
        <v>123</v>
      </c>
      <c r="B20" s="680" t="s">
        <v>124</v>
      </c>
      <c r="C20" s="918" t="s">
        <v>2635</v>
      </c>
    </row>
    <row r="21" spans="1:3">
      <c r="A21" s="680" t="s">
        <v>489</v>
      </c>
      <c r="B21" s="680" t="s">
        <v>22</v>
      </c>
      <c r="C21" s="918" t="s">
        <v>2636</v>
      </c>
    </row>
    <row r="22" spans="1:3">
      <c r="A22" s="681" t="s">
        <v>1095</v>
      </c>
      <c r="B22" s="681" t="s">
        <v>1095</v>
      </c>
      <c r="C22" s="918" t="s">
        <v>2637</v>
      </c>
    </row>
    <row r="23" spans="1:3">
      <c r="A23" s="680" t="s">
        <v>1008</v>
      </c>
      <c r="B23" s="680" t="s">
        <v>1007</v>
      </c>
      <c r="C23" s="918" t="s">
        <v>1008</v>
      </c>
    </row>
    <row r="24" spans="1:3">
      <c r="A24" s="680" t="s">
        <v>33</v>
      </c>
      <c r="B24" s="680" t="s">
        <v>32</v>
      </c>
      <c r="C24" s="918" t="s">
        <v>2638</v>
      </c>
    </row>
    <row r="25" spans="1:3">
      <c r="A25" s="680" t="s">
        <v>1742</v>
      </c>
      <c r="B25" s="680" t="s">
        <v>1741</v>
      </c>
      <c r="C25" s="987" t="s">
        <v>3353</v>
      </c>
    </row>
    <row r="26" spans="1:3">
      <c r="A26" s="829" t="s">
        <v>854</v>
      </c>
      <c r="B26" s="829" t="s">
        <v>854</v>
      </c>
      <c r="C26" s="918" t="s">
        <v>854</v>
      </c>
    </row>
    <row r="27" spans="1:3">
      <c r="A27" s="680" t="s">
        <v>491</v>
      </c>
      <c r="B27" s="680" t="s">
        <v>449</v>
      </c>
      <c r="C27" s="918" t="s">
        <v>2639</v>
      </c>
    </row>
    <row r="28" spans="1:3">
      <c r="A28" s="681" t="s">
        <v>1104</v>
      </c>
      <c r="B28" s="681" t="s">
        <v>1096</v>
      </c>
      <c r="C28" s="918" t="s">
        <v>2640</v>
      </c>
    </row>
    <row r="29" spans="1:3">
      <c r="A29" s="680" t="s">
        <v>577</v>
      </c>
      <c r="B29" s="680" t="s">
        <v>30</v>
      </c>
      <c r="C29" s="918" t="s">
        <v>2641</v>
      </c>
    </row>
    <row r="30" spans="1:3">
      <c r="A30" s="680" t="s">
        <v>578</v>
      </c>
      <c r="B30" s="680" t="s">
        <v>31</v>
      </c>
      <c r="C30" s="918" t="s">
        <v>2642</v>
      </c>
    </row>
    <row r="31" spans="1:3">
      <c r="A31" s="680" t="s">
        <v>14</v>
      </c>
      <c r="B31" s="680" t="s">
        <v>778</v>
      </c>
      <c r="C31" s="918" t="s">
        <v>2643</v>
      </c>
    </row>
    <row r="32" spans="1:3">
      <c r="A32" s="680" t="s">
        <v>15</v>
      </c>
      <c r="B32" s="680" t="s">
        <v>16</v>
      </c>
      <c r="C32" s="918" t="s">
        <v>2644</v>
      </c>
    </row>
    <row r="33" spans="1:3">
      <c r="A33" s="680" t="s">
        <v>362</v>
      </c>
      <c r="B33" s="680" t="s">
        <v>363</v>
      </c>
      <c r="C33" s="918" t="s">
        <v>2645</v>
      </c>
    </row>
    <row r="34" spans="1:3">
      <c r="A34" s="680" t="s">
        <v>29</v>
      </c>
      <c r="B34" s="680" t="s">
        <v>28</v>
      </c>
      <c r="C34" s="918" t="s">
        <v>2646</v>
      </c>
    </row>
    <row r="35" spans="1:3">
      <c r="A35" s="829" t="s">
        <v>504</v>
      </c>
      <c r="B35" s="680" t="s">
        <v>507</v>
      </c>
      <c r="C35" s="918" t="s">
        <v>2647</v>
      </c>
    </row>
    <row r="36" spans="1:3">
      <c r="A36" s="829" t="s">
        <v>26</v>
      </c>
      <c r="B36" s="680" t="s">
        <v>25</v>
      </c>
      <c r="C36" s="918" t="s">
        <v>2648</v>
      </c>
    </row>
    <row r="37" spans="1:3">
      <c r="A37" s="829" t="s">
        <v>906</v>
      </c>
      <c r="B37" s="680" t="s">
        <v>27</v>
      </c>
      <c r="C37" s="918" t="s">
        <v>2649</v>
      </c>
    </row>
    <row r="38" spans="1:3">
      <c r="A38" s="829" t="s">
        <v>89</v>
      </c>
      <c r="B38" s="680" t="s">
        <v>89</v>
      </c>
      <c r="C38" s="918" t="s">
        <v>2650</v>
      </c>
    </row>
    <row r="39" spans="1:3">
      <c r="A39" s="829" t="s">
        <v>506</v>
      </c>
      <c r="B39" s="680" t="s">
        <v>509</v>
      </c>
      <c r="C39" s="918" t="s">
        <v>2651</v>
      </c>
    </row>
    <row r="40" spans="1:3">
      <c r="A40" s="680" t="s">
        <v>934</v>
      </c>
      <c r="B40" s="680" t="s">
        <v>935</v>
      </c>
      <c r="C40" s="918" t="s">
        <v>2652</v>
      </c>
    </row>
    <row r="41" spans="1:3">
      <c r="A41" s="680" t="s">
        <v>105</v>
      </c>
      <c r="B41" s="680" t="s">
        <v>100</v>
      </c>
      <c r="C41" s="941" t="s">
        <v>2653</v>
      </c>
    </row>
    <row r="42" spans="1:3">
      <c r="A42" s="680" t="s">
        <v>106</v>
      </c>
      <c r="B42" s="680" t="s">
        <v>99</v>
      </c>
      <c r="C42" s="918" t="s">
        <v>2654</v>
      </c>
    </row>
    <row r="43" spans="1:3">
      <c r="A43" s="829" t="s">
        <v>873</v>
      </c>
      <c r="B43" s="829" t="s">
        <v>848</v>
      </c>
      <c r="C43" s="918" t="s">
        <v>2655</v>
      </c>
    </row>
    <row r="44" spans="1:3">
      <c r="A44" s="829" t="s">
        <v>874</v>
      </c>
      <c r="B44" s="829" t="s">
        <v>849</v>
      </c>
      <c r="C44" s="918" t="s">
        <v>2656</v>
      </c>
    </row>
    <row r="45" spans="1:3">
      <c r="A45" s="829" t="s">
        <v>875</v>
      </c>
      <c r="B45" s="829" t="s">
        <v>850</v>
      </c>
      <c r="C45" s="918" t="s">
        <v>2657</v>
      </c>
    </row>
    <row r="46" spans="1:3">
      <c r="A46" s="829" t="s">
        <v>876</v>
      </c>
      <c r="B46" s="829" t="s">
        <v>852</v>
      </c>
      <c r="C46" s="918" t="s">
        <v>2658</v>
      </c>
    </row>
    <row r="47" spans="1:3">
      <c r="A47" s="829" t="s">
        <v>877</v>
      </c>
      <c r="B47" s="829" t="s">
        <v>851</v>
      </c>
      <c r="C47" s="918" t="s">
        <v>2659</v>
      </c>
    </row>
    <row r="48" spans="1:3">
      <c r="A48" s="829" t="s">
        <v>878</v>
      </c>
      <c r="B48" s="829" t="s">
        <v>853</v>
      </c>
      <c r="C48" s="918" t="s">
        <v>2660</v>
      </c>
    </row>
    <row r="49" spans="1:3">
      <c r="A49" s="830" t="s">
        <v>879</v>
      </c>
      <c r="B49" s="829" t="s">
        <v>855</v>
      </c>
      <c r="C49" s="918" t="s">
        <v>2661</v>
      </c>
    </row>
    <row r="50" spans="1:3">
      <c r="A50" s="830" t="s">
        <v>880</v>
      </c>
      <c r="B50" s="829" t="s">
        <v>857</v>
      </c>
      <c r="C50" s="918" t="s">
        <v>2662</v>
      </c>
    </row>
    <row r="51" spans="1:3" ht="27.6">
      <c r="A51" s="830" t="s">
        <v>881</v>
      </c>
      <c r="B51" s="830" t="s">
        <v>867</v>
      </c>
      <c r="C51" s="918" t="s">
        <v>2663</v>
      </c>
    </row>
    <row r="52" spans="1:3" ht="27.6">
      <c r="A52" s="830" t="s">
        <v>882</v>
      </c>
      <c r="B52" s="829" t="s">
        <v>859</v>
      </c>
      <c r="C52" s="918" t="s">
        <v>2664</v>
      </c>
    </row>
    <row r="53" spans="1:3" ht="27.6">
      <c r="A53" s="830" t="s">
        <v>1083</v>
      </c>
      <c r="B53" s="830" t="s">
        <v>1082</v>
      </c>
      <c r="C53" s="918" t="s">
        <v>2665</v>
      </c>
    </row>
    <row r="54" spans="1:3" ht="41.4">
      <c r="A54" s="830" t="s">
        <v>883</v>
      </c>
      <c r="B54" s="830" t="s">
        <v>861</v>
      </c>
      <c r="C54" s="918" t="s">
        <v>2666</v>
      </c>
    </row>
    <row r="55" spans="1:3">
      <c r="A55" s="830" t="s">
        <v>884</v>
      </c>
      <c r="B55" s="830" t="s">
        <v>868</v>
      </c>
      <c r="C55" s="918" t="s">
        <v>2667</v>
      </c>
    </row>
    <row r="56" spans="1:3" ht="41.4">
      <c r="A56" s="830" t="s">
        <v>885</v>
      </c>
      <c r="B56" s="830" t="s">
        <v>862</v>
      </c>
      <c r="C56" s="918" t="s">
        <v>2668</v>
      </c>
    </row>
    <row r="57" spans="1:3" ht="27.6">
      <c r="A57" s="830" t="s">
        <v>886</v>
      </c>
      <c r="B57" s="830" t="s">
        <v>856</v>
      </c>
      <c r="C57" s="918" t="s">
        <v>2669</v>
      </c>
    </row>
    <row r="58" spans="1:3" ht="27.6">
      <c r="A58" s="830" t="s">
        <v>893</v>
      </c>
      <c r="B58" s="830" t="s">
        <v>869</v>
      </c>
      <c r="C58" s="918" t="s">
        <v>2670</v>
      </c>
    </row>
    <row r="59" spans="1:3">
      <c r="A59" s="830" t="s">
        <v>887</v>
      </c>
      <c r="B59" s="829" t="s">
        <v>858</v>
      </c>
      <c r="C59" s="918" t="s">
        <v>2671</v>
      </c>
    </row>
    <row r="60" spans="1:3" ht="41.4">
      <c r="A60" s="830" t="s">
        <v>888</v>
      </c>
      <c r="B60" s="830" t="s">
        <v>860</v>
      </c>
      <c r="C60" s="918" t="s">
        <v>2672</v>
      </c>
    </row>
    <row r="61" spans="1:3" ht="27.6">
      <c r="A61" s="830" t="s">
        <v>889</v>
      </c>
      <c r="B61" s="830" t="s">
        <v>863</v>
      </c>
      <c r="C61" s="918" t="s">
        <v>2673</v>
      </c>
    </row>
    <row r="62" spans="1:3" ht="27.6">
      <c r="A62" s="830" t="s">
        <v>890</v>
      </c>
      <c r="B62" s="830" t="s">
        <v>864</v>
      </c>
      <c r="C62" s="918" t="s">
        <v>2674</v>
      </c>
    </row>
    <row r="63" spans="1:3" ht="27.6">
      <c r="A63" s="830" t="s">
        <v>891</v>
      </c>
      <c r="B63" s="829" t="s">
        <v>865</v>
      </c>
      <c r="C63" s="918" t="s">
        <v>2675</v>
      </c>
    </row>
    <row r="64" spans="1:3" ht="27.6">
      <c r="A64" s="830" t="s">
        <v>892</v>
      </c>
      <c r="B64" s="829" t="s">
        <v>866</v>
      </c>
      <c r="C64" s="918" t="s">
        <v>2676</v>
      </c>
    </row>
    <row r="65" spans="1:3">
      <c r="A65" s="830" t="s">
        <v>1105</v>
      </c>
      <c r="B65" s="829" t="s">
        <v>932</v>
      </c>
      <c r="C65" s="918" t="s">
        <v>2677</v>
      </c>
    </row>
    <row r="66" spans="1:3">
      <c r="A66" s="830" t="s">
        <v>1106</v>
      </c>
      <c r="B66" s="829" t="s">
        <v>933</v>
      </c>
      <c r="C66" s="918" t="s">
        <v>2678</v>
      </c>
    </row>
    <row r="67" spans="1:3">
      <c r="A67" s="681" t="s">
        <v>1107</v>
      </c>
      <c r="B67" s="681" t="s">
        <v>1097</v>
      </c>
      <c r="C67" s="918" t="s">
        <v>2679</v>
      </c>
    </row>
    <row r="68" spans="1:3">
      <c r="A68" s="680" t="s">
        <v>453</v>
      </c>
      <c r="B68" s="680" t="s">
        <v>453</v>
      </c>
      <c r="C68" s="918" t="s">
        <v>2680</v>
      </c>
    </row>
    <row r="69" spans="1:3">
      <c r="A69" s="829" t="s">
        <v>50</v>
      </c>
      <c r="B69" s="829" t="s">
        <v>49</v>
      </c>
      <c r="C69" s="918" t="s">
        <v>1828</v>
      </c>
    </row>
    <row r="70" spans="1:3">
      <c r="A70" s="680" t="s">
        <v>787</v>
      </c>
      <c r="B70" s="829" t="s">
        <v>786</v>
      </c>
      <c r="C70" s="918" t="s">
        <v>2681</v>
      </c>
    </row>
    <row r="71" spans="1:3">
      <c r="A71" s="680" t="s">
        <v>501</v>
      </c>
      <c r="B71" s="680" t="s">
        <v>471</v>
      </c>
      <c r="C71" s="918" t="s">
        <v>2682</v>
      </c>
    </row>
    <row r="72" spans="1:3">
      <c r="A72" s="829" t="s">
        <v>834</v>
      </c>
      <c r="B72" s="829" t="s">
        <v>835</v>
      </c>
      <c r="C72" s="918" t="s">
        <v>2683</v>
      </c>
    </row>
    <row r="73" spans="1:3">
      <c r="A73" s="680" t="s">
        <v>836</v>
      </c>
      <c r="B73" s="680" t="s">
        <v>837</v>
      </c>
      <c r="C73" s="918" t="s">
        <v>2684</v>
      </c>
    </row>
    <row r="74" spans="1:3">
      <c r="A74" s="680" t="s">
        <v>359</v>
      </c>
      <c r="B74" s="680" t="s">
        <v>361</v>
      </c>
      <c r="C74" s="918" t="s">
        <v>2685</v>
      </c>
    </row>
    <row r="75" spans="1:3">
      <c r="A75" s="680" t="s">
        <v>358</v>
      </c>
      <c r="B75" s="680" t="s">
        <v>360</v>
      </c>
      <c r="C75" s="918" t="s">
        <v>2686</v>
      </c>
    </row>
    <row r="76" spans="1:3">
      <c r="A76" s="680" t="s">
        <v>502</v>
      </c>
      <c r="B76" s="680" t="s">
        <v>474</v>
      </c>
      <c r="C76" s="918" t="s">
        <v>2687</v>
      </c>
    </row>
    <row r="77" spans="1:3" ht="27.6">
      <c r="A77" s="680" t="s">
        <v>35</v>
      </c>
      <c r="B77" s="680" t="s">
        <v>34</v>
      </c>
      <c r="C77" s="918" t="s">
        <v>2688</v>
      </c>
    </row>
    <row r="78" spans="1:3">
      <c r="A78" s="680" t="s">
        <v>37</v>
      </c>
      <c r="B78" s="680" t="s">
        <v>40</v>
      </c>
      <c r="C78" s="918" t="s">
        <v>2689</v>
      </c>
    </row>
    <row r="79" spans="1:3">
      <c r="A79" s="680" t="s">
        <v>39</v>
      </c>
      <c r="B79" s="680" t="s">
        <v>38</v>
      </c>
      <c r="C79" s="918" t="s">
        <v>2690</v>
      </c>
    </row>
    <row r="80" spans="1:3">
      <c r="A80" s="680" t="s">
        <v>493</v>
      </c>
      <c r="B80" s="680" t="s">
        <v>797</v>
      </c>
      <c r="C80" s="918" t="s">
        <v>2691</v>
      </c>
    </row>
    <row r="81" spans="1:3">
      <c r="A81" s="680" t="s">
        <v>1056</v>
      </c>
      <c r="B81" s="680" t="s">
        <v>942</v>
      </c>
      <c r="C81" s="918" t="s">
        <v>2692</v>
      </c>
    </row>
    <row r="82" spans="1:3">
      <c r="A82" s="680" t="s">
        <v>72</v>
      </c>
      <c r="B82" s="680" t="s">
        <v>73</v>
      </c>
      <c r="C82" s="918" t="s">
        <v>2693</v>
      </c>
    </row>
    <row r="83" spans="1:3">
      <c r="A83" s="680" t="s">
        <v>36</v>
      </c>
      <c r="B83" s="680" t="s">
        <v>1</v>
      </c>
      <c r="C83" s="918" t="s">
        <v>2694</v>
      </c>
    </row>
    <row r="84" spans="1:3">
      <c r="A84" s="829" t="s">
        <v>583</v>
      </c>
      <c r="B84" s="829" t="s">
        <v>582</v>
      </c>
      <c r="C84" s="918" t="s">
        <v>2695</v>
      </c>
    </row>
    <row r="85" spans="1:3">
      <c r="A85" s="680" t="s">
        <v>1055</v>
      </c>
      <c r="B85" s="680" t="s">
        <v>450</v>
      </c>
      <c r="C85" s="918" t="s">
        <v>2696</v>
      </c>
    </row>
    <row r="86" spans="1:3">
      <c r="A86" s="680" t="s">
        <v>495</v>
      </c>
      <c r="B86" s="680" t="s">
        <v>452</v>
      </c>
      <c r="C86" s="959" t="s">
        <v>2697</v>
      </c>
    </row>
    <row r="87" spans="1:3">
      <c r="A87" s="680" t="s">
        <v>496</v>
      </c>
      <c r="B87" s="680" t="s">
        <v>494</v>
      </c>
      <c r="C87" s="918" t="s">
        <v>2698</v>
      </c>
    </row>
    <row r="88" spans="1:3">
      <c r="A88" s="680" t="s">
        <v>497</v>
      </c>
      <c r="B88" s="680" t="s">
        <v>451</v>
      </c>
      <c r="C88" s="959" t="s">
        <v>2642</v>
      </c>
    </row>
    <row r="89" spans="1:3">
      <c r="A89" s="680" t="s">
        <v>3341</v>
      </c>
      <c r="B89" s="680" t="s">
        <v>3341</v>
      </c>
      <c r="C89" s="959" t="s">
        <v>3341</v>
      </c>
    </row>
    <row r="90" spans="1:3">
      <c r="A90" s="680" t="s">
        <v>498</v>
      </c>
      <c r="B90" s="680" t="s">
        <v>472</v>
      </c>
      <c r="C90" s="959" t="s">
        <v>2699</v>
      </c>
    </row>
    <row r="91" spans="1:3">
      <c r="A91" s="680" t="s">
        <v>499</v>
      </c>
      <c r="B91" s="680" t="s">
        <v>473</v>
      </c>
      <c r="C91" s="918" t="s">
        <v>2700</v>
      </c>
    </row>
    <row r="92" spans="1:3">
      <c r="A92" s="680" t="s">
        <v>500</v>
      </c>
      <c r="B92" s="680" t="s">
        <v>475</v>
      </c>
      <c r="C92" s="941" t="s">
        <v>2701</v>
      </c>
    </row>
    <row r="93" spans="1:3">
      <c r="A93" s="680" t="s">
        <v>503</v>
      </c>
      <c r="B93" s="680" t="s">
        <v>459</v>
      </c>
      <c r="C93" s="941" t="s">
        <v>2702</v>
      </c>
    </row>
    <row r="94" spans="1:3">
      <c r="A94" s="680" t="s">
        <v>908</v>
      </c>
      <c r="B94" s="680" t="s">
        <v>907</v>
      </c>
      <c r="C94" s="941" t="s">
        <v>2703</v>
      </c>
    </row>
    <row r="95" spans="1:3">
      <c r="A95" s="680" t="s">
        <v>492</v>
      </c>
      <c r="B95" s="680" t="s">
        <v>466</v>
      </c>
      <c r="C95" s="941" t="s">
        <v>2704</v>
      </c>
    </row>
    <row r="96" spans="1:3">
      <c r="A96" s="681" t="s">
        <v>927</v>
      </c>
      <c r="B96" s="831" t="s">
        <v>927</v>
      </c>
      <c r="C96" s="918" t="s">
        <v>2705</v>
      </c>
    </row>
    <row r="97" spans="1:3">
      <c r="A97" s="829" t="s">
        <v>805</v>
      </c>
      <c r="B97" s="682" t="s">
        <v>806</v>
      </c>
      <c r="C97" s="918" t="s">
        <v>2706</v>
      </c>
    </row>
    <row r="98" spans="1:3">
      <c r="A98" s="829" t="s">
        <v>589</v>
      </c>
      <c r="B98" s="680" t="s">
        <v>590</v>
      </c>
      <c r="C98" s="918" t="s">
        <v>2707</v>
      </c>
    </row>
    <row r="99" spans="1:3">
      <c r="A99" s="680" t="s">
        <v>792</v>
      </c>
      <c r="B99" s="832" t="s">
        <v>782</v>
      </c>
      <c r="C99" s="918" t="s">
        <v>2708</v>
      </c>
    </row>
    <row r="100" spans="1:3">
      <c r="A100" s="680" t="s">
        <v>793</v>
      </c>
      <c r="B100" s="832" t="s">
        <v>783</v>
      </c>
      <c r="C100" s="918" t="s">
        <v>2709</v>
      </c>
    </row>
    <row r="101" spans="1:3">
      <c r="A101" s="680" t="s">
        <v>794</v>
      </c>
      <c r="B101" s="832" t="s">
        <v>784</v>
      </c>
      <c r="C101" s="918" t="s">
        <v>2710</v>
      </c>
    </row>
    <row r="102" spans="1:3">
      <c r="A102" s="680" t="s">
        <v>781</v>
      </c>
      <c r="B102" s="829" t="s">
        <v>780</v>
      </c>
      <c r="C102" s="918" t="s">
        <v>2711</v>
      </c>
    </row>
    <row r="103" spans="1:3">
      <c r="A103" s="829" t="s">
        <v>505</v>
      </c>
      <c r="B103" s="680" t="s">
        <v>508</v>
      </c>
      <c r="C103" s="918" t="s">
        <v>2712</v>
      </c>
    </row>
    <row r="104" spans="1:3">
      <c r="A104" s="829" t="s">
        <v>510</v>
      </c>
      <c r="B104" s="680" t="s">
        <v>511</v>
      </c>
      <c r="C104" s="918" t="s">
        <v>2713</v>
      </c>
    </row>
    <row r="105" spans="1:3" ht="41.4">
      <c r="A105" s="833" t="s">
        <v>513</v>
      </c>
      <c r="B105" s="682" t="s">
        <v>481</v>
      </c>
      <c r="C105" s="918" t="s">
        <v>2714</v>
      </c>
    </row>
    <row r="106" spans="1:3">
      <c r="A106" s="684" t="s">
        <v>928</v>
      </c>
      <c r="B106" s="684" t="s">
        <v>929</v>
      </c>
      <c r="C106" s="918" t="s">
        <v>2715</v>
      </c>
    </row>
    <row r="107" spans="1:3" ht="27.6">
      <c r="A107" s="829" t="s">
        <v>516</v>
      </c>
      <c r="B107" s="682" t="s">
        <v>515</v>
      </c>
      <c r="C107" s="918" t="s">
        <v>2716</v>
      </c>
    </row>
    <row r="108" spans="1:3">
      <c r="A108" s="680" t="s">
        <v>70</v>
      </c>
      <c r="B108" s="680" t="s">
        <v>71</v>
      </c>
      <c r="C108" s="918" t="s">
        <v>2717</v>
      </c>
    </row>
    <row r="109" spans="1:3">
      <c r="A109" s="829" t="s">
        <v>533</v>
      </c>
      <c r="B109" s="680" t="s">
        <v>444</v>
      </c>
      <c r="C109" s="918" t="s">
        <v>2718</v>
      </c>
    </row>
    <row r="110" spans="1:3" ht="27.6">
      <c r="A110" s="830" t="s">
        <v>534</v>
      </c>
      <c r="B110" s="680" t="s">
        <v>430</v>
      </c>
      <c r="C110" s="918" t="s">
        <v>2719</v>
      </c>
    </row>
    <row r="111" spans="1:3">
      <c r="A111" s="829" t="s">
        <v>535</v>
      </c>
      <c r="B111" s="680" t="s">
        <v>434</v>
      </c>
      <c r="C111" s="918" t="s">
        <v>2720</v>
      </c>
    </row>
    <row r="112" spans="1:3">
      <c r="A112" s="829" t="s">
        <v>536</v>
      </c>
      <c r="B112" s="680" t="s">
        <v>438</v>
      </c>
      <c r="C112" s="918" t="s">
        <v>2721</v>
      </c>
    </row>
    <row r="113" spans="1:3" ht="27.6">
      <c r="A113" s="829" t="s">
        <v>538</v>
      </c>
      <c r="B113" s="680" t="s">
        <v>537</v>
      </c>
      <c r="C113" s="918" t="s">
        <v>2722</v>
      </c>
    </row>
    <row r="114" spans="1:3" ht="27.6">
      <c r="A114" s="830" t="s">
        <v>539</v>
      </c>
      <c r="B114" s="680" t="s">
        <v>445</v>
      </c>
      <c r="C114" s="918" t="s">
        <v>2723</v>
      </c>
    </row>
    <row r="115" spans="1:3">
      <c r="A115" s="680" t="s">
        <v>24</v>
      </c>
      <c r="B115" s="680" t="s">
        <v>23</v>
      </c>
      <c r="C115" s="918" t="s">
        <v>2724</v>
      </c>
    </row>
    <row r="116" spans="1:3">
      <c r="A116" s="829" t="s">
        <v>517</v>
      </c>
      <c r="B116" s="680" t="s">
        <v>427</v>
      </c>
      <c r="C116" s="918" t="s">
        <v>2725</v>
      </c>
    </row>
    <row r="117" spans="1:3">
      <c r="A117" s="829" t="s">
        <v>518</v>
      </c>
      <c r="B117" s="680" t="s">
        <v>431</v>
      </c>
      <c r="C117" s="918" t="s">
        <v>2726</v>
      </c>
    </row>
    <row r="118" spans="1:3" ht="27.6">
      <c r="A118" s="829" t="s">
        <v>519</v>
      </c>
      <c r="B118" s="680" t="s">
        <v>435</v>
      </c>
      <c r="C118" s="918" t="s">
        <v>2727</v>
      </c>
    </row>
    <row r="119" spans="1:3" ht="27.6">
      <c r="A119" s="830" t="s">
        <v>520</v>
      </c>
      <c r="B119" s="830" t="s">
        <v>439</v>
      </c>
      <c r="C119" s="918" t="s">
        <v>2728</v>
      </c>
    </row>
    <row r="120" spans="1:3" ht="27.6">
      <c r="A120" s="829" t="s">
        <v>521</v>
      </c>
      <c r="B120" s="680" t="s">
        <v>442</v>
      </c>
      <c r="C120" s="918" t="s">
        <v>2729</v>
      </c>
    </row>
    <row r="121" spans="1:3" ht="27.6">
      <c r="A121" s="829" t="s">
        <v>522</v>
      </c>
      <c r="B121" s="680" t="s">
        <v>446</v>
      </c>
      <c r="C121" s="918" t="s">
        <v>2730</v>
      </c>
    </row>
    <row r="122" spans="1:3">
      <c r="A122" s="680" t="s">
        <v>74</v>
      </c>
      <c r="B122" s="680" t="s">
        <v>74</v>
      </c>
      <c r="C122" s="918" t="s">
        <v>2731</v>
      </c>
    </row>
    <row r="123" spans="1:3" ht="27.6">
      <c r="A123" s="830" t="s">
        <v>528</v>
      </c>
      <c r="B123" s="680" t="s">
        <v>447</v>
      </c>
      <c r="C123" s="918" t="s">
        <v>2732</v>
      </c>
    </row>
    <row r="124" spans="1:3" ht="27.6">
      <c r="A124" s="829" t="s">
        <v>529</v>
      </c>
      <c r="B124" s="680" t="s">
        <v>429</v>
      </c>
      <c r="C124" s="918" t="s">
        <v>2733</v>
      </c>
    </row>
    <row r="125" spans="1:3" ht="27.6">
      <c r="A125" s="829" t="s">
        <v>530</v>
      </c>
      <c r="B125" s="680" t="s">
        <v>433</v>
      </c>
      <c r="C125" s="918" t="s">
        <v>2734</v>
      </c>
    </row>
    <row r="126" spans="1:3">
      <c r="A126" s="829" t="s">
        <v>531</v>
      </c>
      <c r="B126" s="680" t="s">
        <v>437</v>
      </c>
      <c r="C126" s="941" t="s">
        <v>2735</v>
      </c>
    </row>
    <row r="127" spans="1:3">
      <c r="A127" s="829" t="s">
        <v>532</v>
      </c>
      <c r="B127" s="680" t="s">
        <v>441</v>
      </c>
      <c r="C127" s="941" t="s">
        <v>2736</v>
      </c>
    </row>
    <row r="128" spans="1:3">
      <c r="A128" s="680" t="s">
        <v>72</v>
      </c>
      <c r="B128" s="680" t="s">
        <v>73</v>
      </c>
      <c r="C128" s="918" t="s">
        <v>2737</v>
      </c>
    </row>
    <row r="129" spans="1:3" ht="27.6">
      <c r="A129" s="829" t="s">
        <v>523</v>
      </c>
      <c r="B129" s="680" t="s">
        <v>428</v>
      </c>
      <c r="C129" s="918" t="s">
        <v>2738</v>
      </c>
    </row>
    <row r="130" spans="1:3">
      <c r="A130" s="829" t="s">
        <v>524</v>
      </c>
      <c r="B130" s="680" t="s">
        <v>432</v>
      </c>
      <c r="C130" s="918" t="s">
        <v>2739</v>
      </c>
    </row>
    <row r="131" spans="1:3" ht="27.6">
      <c r="A131" s="829" t="s">
        <v>525</v>
      </c>
      <c r="B131" s="680" t="s">
        <v>436</v>
      </c>
      <c r="C131" s="918" t="s">
        <v>2740</v>
      </c>
    </row>
    <row r="132" spans="1:3" ht="27.6">
      <c r="A132" s="829" t="s">
        <v>526</v>
      </c>
      <c r="B132" s="680" t="s">
        <v>440</v>
      </c>
      <c r="C132" s="918" t="s">
        <v>2741</v>
      </c>
    </row>
    <row r="133" spans="1:3" ht="27.6">
      <c r="A133" s="829" t="s">
        <v>527</v>
      </c>
      <c r="B133" s="680" t="s">
        <v>443</v>
      </c>
      <c r="C133" s="918" t="s">
        <v>2742</v>
      </c>
    </row>
    <row r="134" spans="1:3">
      <c r="A134" s="680" t="s">
        <v>909</v>
      </c>
      <c r="B134" s="680" t="s">
        <v>75</v>
      </c>
      <c r="C134" s="918" t="s">
        <v>2743</v>
      </c>
    </row>
    <row r="135" spans="1:3">
      <c r="A135" s="680" t="s">
        <v>514</v>
      </c>
      <c r="B135" s="680" t="s">
        <v>5</v>
      </c>
      <c r="C135" s="918" t="s">
        <v>2744</v>
      </c>
    </row>
    <row r="136" spans="1:3">
      <c r="A136" s="681" t="s">
        <v>41</v>
      </c>
      <c r="B136" s="681" t="s">
        <v>46</v>
      </c>
      <c r="C136" s="918" t="s">
        <v>2745</v>
      </c>
    </row>
    <row r="137" spans="1:3">
      <c r="A137" s="680" t="s">
        <v>871</v>
      </c>
      <c r="B137" s="680" t="s">
        <v>870</v>
      </c>
      <c r="C137" s="918" t="s">
        <v>2746</v>
      </c>
    </row>
    <row r="138" spans="1:3">
      <c r="A138" s="680" t="s">
        <v>872</v>
      </c>
      <c r="B138" s="680" t="s">
        <v>899</v>
      </c>
      <c r="C138" s="918" t="s">
        <v>2747</v>
      </c>
    </row>
    <row r="139" spans="1:3">
      <c r="A139" s="680" t="s">
        <v>42</v>
      </c>
      <c r="B139" s="680" t="s">
        <v>47</v>
      </c>
      <c r="C139" s="918" t="s">
        <v>2748</v>
      </c>
    </row>
    <row r="140" spans="1:3">
      <c r="A140" s="680" t="s">
        <v>44</v>
      </c>
      <c r="B140" s="680" t="s">
        <v>43</v>
      </c>
      <c r="C140" s="918" t="s">
        <v>2749</v>
      </c>
    </row>
    <row r="141" spans="1:3">
      <c r="A141" s="682" t="s">
        <v>896</v>
      </c>
      <c r="B141" s="680" t="s">
        <v>894</v>
      </c>
      <c r="C141" s="918" t="s">
        <v>2750</v>
      </c>
    </row>
    <row r="142" spans="1:3" ht="27.6">
      <c r="A142" s="682" t="s">
        <v>898</v>
      </c>
      <c r="B142" s="682" t="s">
        <v>897</v>
      </c>
      <c r="C142" s="942" t="s">
        <v>2751</v>
      </c>
    </row>
    <row r="143" spans="1:3">
      <c r="A143" s="831" t="s">
        <v>923</v>
      </c>
      <c r="B143" s="681" t="s">
        <v>924</v>
      </c>
      <c r="C143" s="918" t="s">
        <v>2752</v>
      </c>
    </row>
    <row r="144" spans="1:3">
      <c r="A144" s="829" t="s">
        <v>911</v>
      </c>
      <c r="B144" s="680" t="s">
        <v>910</v>
      </c>
      <c r="C144" s="918" t="s">
        <v>2753</v>
      </c>
    </row>
    <row r="145" spans="1:3">
      <c r="A145" s="681" t="s">
        <v>912</v>
      </c>
      <c r="B145" s="681" t="s">
        <v>913</v>
      </c>
      <c r="C145" s="918" t="s">
        <v>2754</v>
      </c>
    </row>
    <row r="146" spans="1:3">
      <c r="A146" s="829" t="s">
        <v>788</v>
      </c>
      <c r="B146" s="829" t="s">
        <v>789</v>
      </c>
      <c r="C146" s="922" t="s">
        <v>2755</v>
      </c>
    </row>
    <row r="147" spans="1:3">
      <c r="A147" s="829" t="s">
        <v>790</v>
      </c>
      <c r="B147" s="829" t="s">
        <v>795</v>
      </c>
      <c r="C147" s="922" t="s">
        <v>2756</v>
      </c>
    </row>
    <row r="148" spans="1:3">
      <c r="A148" s="829" t="s">
        <v>791</v>
      </c>
      <c r="B148" s="829" t="s">
        <v>796</v>
      </c>
      <c r="C148" s="922" t="s">
        <v>2757</v>
      </c>
    </row>
    <row r="149" spans="1:3">
      <c r="A149" s="829" t="s">
        <v>541</v>
      </c>
      <c r="B149" s="680" t="s">
        <v>419</v>
      </c>
      <c r="C149" s="922" t="s">
        <v>2758</v>
      </c>
    </row>
    <row r="150" spans="1:3">
      <c r="A150" s="829" t="s">
        <v>549</v>
      </c>
      <c r="B150" s="680" t="s">
        <v>548</v>
      </c>
      <c r="C150" s="922" t="s">
        <v>2759</v>
      </c>
    </row>
    <row r="151" spans="1:3">
      <c r="A151" s="829" t="s">
        <v>580</v>
      </c>
      <c r="B151" s="680" t="s">
        <v>550</v>
      </c>
      <c r="C151" s="922" t="s">
        <v>2760</v>
      </c>
    </row>
    <row r="152" spans="1:3">
      <c r="A152" s="829" t="s">
        <v>551</v>
      </c>
      <c r="B152" s="680" t="s">
        <v>421</v>
      </c>
      <c r="C152" s="922" t="s">
        <v>2761</v>
      </c>
    </row>
    <row r="153" spans="1:3">
      <c r="A153" s="829" t="s">
        <v>552</v>
      </c>
      <c r="B153" s="680" t="s">
        <v>422</v>
      </c>
      <c r="C153" s="922" t="s">
        <v>2762</v>
      </c>
    </row>
    <row r="154" spans="1:3">
      <c r="A154" s="829" t="s">
        <v>543</v>
      </c>
      <c r="B154" s="680" t="s">
        <v>423</v>
      </c>
      <c r="C154" s="922" t="s">
        <v>2763</v>
      </c>
    </row>
    <row r="155" spans="1:3">
      <c r="A155" s="829" t="s">
        <v>544</v>
      </c>
      <c r="B155" s="680" t="s">
        <v>424</v>
      </c>
      <c r="C155" s="922" t="s">
        <v>2764</v>
      </c>
    </row>
    <row r="156" spans="1:3">
      <c r="A156" s="829" t="s">
        <v>545</v>
      </c>
      <c r="B156" s="680" t="s">
        <v>425</v>
      </c>
      <c r="C156" s="922" t="s">
        <v>2765</v>
      </c>
    </row>
    <row r="157" spans="1:3">
      <c r="A157" s="829" t="s">
        <v>994</v>
      </c>
      <c r="B157" s="829" t="s">
        <v>1075</v>
      </c>
      <c r="C157" s="922" t="s">
        <v>2766</v>
      </c>
    </row>
    <row r="158" spans="1:3">
      <c r="A158" s="829" t="s">
        <v>995</v>
      </c>
      <c r="B158" s="829" t="s">
        <v>1076</v>
      </c>
      <c r="C158" s="922" t="s">
        <v>2767</v>
      </c>
    </row>
    <row r="159" spans="1:3">
      <c r="A159" s="829" t="s">
        <v>1124</v>
      </c>
      <c r="B159" s="829" t="s">
        <v>1123</v>
      </c>
      <c r="C159" s="922" t="s">
        <v>2768</v>
      </c>
    </row>
    <row r="160" spans="1:3">
      <c r="A160" s="829" t="s">
        <v>996</v>
      </c>
      <c r="B160" s="829" t="s">
        <v>1077</v>
      </c>
      <c r="C160" s="922" t="s">
        <v>2769</v>
      </c>
    </row>
    <row r="161" spans="1:3">
      <c r="A161" s="831" t="s">
        <v>540</v>
      </c>
      <c r="B161" s="681" t="s">
        <v>1125</v>
      </c>
      <c r="C161" s="922" t="s">
        <v>2770</v>
      </c>
    </row>
    <row r="162" spans="1:3">
      <c r="A162" s="831" t="s">
        <v>914</v>
      </c>
      <c r="B162" s="681" t="s">
        <v>840</v>
      </c>
      <c r="C162" s="922" t="s">
        <v>2771</v>
      </c>
    </row>
    <row r="163" spans="1:3">
      <c r="A163" s="829" t="s">
        <v>542</v>
      </c>
      <c r="B163" s="680" t="s">
        <v>420</v>
      </c>
      <c r="C163" s="922" t="s">
        <v>2772</v>
      </c>
    </row>
    <row r="164" spans="1:3">
      <c r="A164" s="829" t="s">
        <v>546</v>
      </c>
      <c r="B164" s="680" t="s">
        <v>45</v>
      </c>
      <c r="C164" s="922" t="s">
        <v>2773</v>
      </c>
    </row>
    <row r="165" spans="1:3">
      <c r="A165" s="829" t="s">
        <v>547</v>
      </c>
      <c r="B165" s="680" t="s">
        <v>584</v>
      </c>
      <c r="C165" s="922" t="s">
        <v>2774</v>
      </c>
    </row>
    <row r="166" spans="1:3">
      <c r="A166" s="829" t="s">
        <v>581</v>
      </c>
      <c r="B166" s="829" t="s">
        <v>48</v>
      </c>
      <c r="C166" s="922" t="s">
        <v>2775</v>
      </c>
    </row>
    <row r="167" spans="1:3" ht="27.6">
      <c r="A167" s="834" t="s">
        <v>801</v>
      </c>
      <c r="B167" s="834" t="s">
        <v>802</v>
      </c>
      <c r="C167" s="922" t="s">
        <v>2776</v>
      </c>
    </row>
    <row r="168" spans="1:3">
      <c r="A168" s="829" t="s">
        <v>585</v>
      </c>
      <c r="B168" s="829" t="s">
        <v>426</v>
      </c>
      <c r="C168" s="922" t="s">
        <v>2777</v>
      </c>
    </row>
    <row r="169" spans="1:3">
      <c r="A169" s="829" t="s">
        <v>764</v>
      </c>
      <c r="B169" s="680" t="s">
        <v>764</v>
      </c>
      <c r="C169" s="922" t="s">
        <v>2778</v>
      </c>
    </row>
    <row r="170" spans="1:3" ht="41.4">
      <c r="A170" s="830" t="s">
        <v>765</v>
      </c>
      <c r="B170" s="830" t="s">
        <v>766</v>
      </c>
      <c r="C170" s="922" t="s">
        <v>2779</v>
      </c>
    </row>
    <row r="171" spans="1:3">
      <c r="A171" s="680" t="s">
        <v>768</v>
      </c>
      <c r="B171" s="829" t="s">
        <v>767</v>
      </c>
      <c r="C171" s="922" t="s">
        <v>2780</v>
      </c>
    </row>
    <row r="172" spans="1:3">
      <c r="A172" s="680" t="s">
        <v>586</v>
      </c>
      <c r="B172" s="680" t="s">
        <v>779</v>
      </c>
      <c r="C172" s="922" t="s">
        <v>2781</v>
      </c>
    </row>
    <row r="173" spans="1:3">
      <c r="A173" s="680" t="s">
        <v>770</v>
      </c>
      <c r="B173" s="829" t="s">
        <v>769</v>
      </c>
      <c r="C173" s="922" t="s">
        <v>2782</v>
      </c>
    </row>
    <row r="174" spans="1:3">
      <c r="A174" s="680" t="s">
        <v>592</v>
      </c>
      <c r="B174" s="829" t="s">
        <v>591</v>
      </c>
      <c r="C174" s="922" t="s">
        <v>2783</v>
      </c>
    </row>
    <row r="175" spans="1:3">
      <c r="A175" s="829" t="s">
        <v>1154</v>
      </c>
      <c r="B175" s="680" t="s">
        <v>1058</v>
      </c>
      <c r="C175" s="922" t="s">
        <v>2784</v>
      </c>
    </row>
    <row r="176" spans="1:3" ht="27.6">
      <c r="A176" s="830" t="s">
        <v>1155</v>
      </c>
      <c r="B176" s="830" t="s">
        <v>1059</v>
      </c>
      <c r="C176" s="922" t="s">
        <v>2785</v>
      </c>
    </row>
    <row r="177" spans="1:3">
      <c r="A177" s="835"/>
      <c r="B177" s="685"/>
      <c r="C177" s="922"/>
    </row>
    <row r="178" spans="1:3">
      <c r="A178" s="681" t="s">
        <v>923</v>
      </c>
      <c r="B178" s="681" t="s">
        <v>1128</v>
      </c>
      <c r="C178" s="962" t="s">
        <v>2752</v>
      </c>
    </row>
    <row r="179" spans="1:3">
      <c r="A179" s="680" t="s">
        <v>587</v>
      </c>
      <c r="B179" s="682" t="s">
        <v>588</v>
      </c>
      <c r="C179" s="962" t="s">
        <v>2786</v>
      </c>
    </row>
    <row r="180" spans="1:3">
      <c r="A180" s="680" t="s">
        <v>553</v>
      </c>
      <c r="B180" s="680" t="s">
        <v>455</v>
      </c>
      <c r="C180" s="962" t="s">
        <v>2787</v>
      </c>
    </row>
    <row r="181" spans="1:3">
      <c r="A181" s="680" t="s">
        <v>554</v>
      </c>
      <c r="B181" s="680" t="s">
        <v>456</v>
      </c>
      <c r="C181" s="962" t="s">
        <v>2788</v>
      </c>
    </row>
    <row r="182" spans="1:3">
      <c r="A182" s="680" t="s">
        <v>555</v>
      </c>
      <c r="B182" s="680" t="s">
        <v>476</v>
      </c>
      <c r="C182" s="922" t="s">
        <v>2789</v>
      </c>
    </row>
    <row r="183" spans="1:3">
      <c r="A183" s="680" t="s">
        <v>556</v>
      </c>
      <c r="B183" s="680" t="s">
        <v>477</v>
      </c>
      <c r="C183" s="922" t="s">
        <v>2790</v>
      </c>
    </row>
    <row r="184" spans="1:3">
      <c r="A184" s="680" t="s">
        <v>557</v>
      </c>
      <c r="B184" s="680" t="s">
        <v>478</v>
      </c>
      <c r="C184" s="922" t="s">
        <v>2791</v>
      </c>
    </row>
    <row r="185" spans="1:3">
      <c r="A185" s="680" t="s">
        <v>558</v>
      </c>
      <c r="B185" s="680" t="s">
        <v>479</v>
      </c>
      <c r="C185" s="922" t="s">
        <v>2792</v>
      </c>
    </row>
    <row r="186" spans="1:3">
      <c r="A186" s="680" t="s">
        <v>915</v>
      </c>
      <c r="B186" s="680" t="s">
        <v>595</v>
      </c>
      <c r="C186" s="922" t="s">
        <v>2793</v>
      </c>
    </row>
    <row r="187" spans="1:3">
      <c r="A187" s="680" t="s">
        <v>1746</v>
      </c>
      <c r="B187" s="680" t="s">
        <v>1747</v>
      </c>
      <c r="C187" s="922" t="s">
        <v>2794</v>
      </c>
    </row>
    <row r="188" spans="1:3">
      <c r="A188" s="681" t="s">
        <v>1126</v>
      </c>
      <c r="B188" s="681" t="s">
        <v>1127</v>
      </c>
      <c r="C188" s="922" t="s">
        <v>2795</v>
      </c>
    </row>
    <row r="189" spans="1:3">
      <c r="A189" s="680" t="s">
        <v>916</v>
      </c>
      <c r="B189" s="680" t="s">
        <v>917</v>
      </c>
      <c r="C189" s="922" t="s">
        <v>2796</v>
      </c>
    </row>
    <row r="190" spans="1:3" ht="27.6">
      <c r="A190" s="680" t="s">
        <v>570</v>
      </c>
      <c r="B190" s="680" t="s">
        <v>596</v>
      </c>
      <c r="C190" s="922" t="s">
        <v>2797</v>
      </c>
    </row>
    <row r="191" spans="1:3">
      <c r="A191" s="680" t="s">
        <v>119</v>
      </c>
      <c r="B191" s="680" t="s">
        <v>367</v>
      </c>
      <c r="C191" s="922" t="s">
        <v>2798</v>
      </c>
    </row>
    <row r="192" spans="1:3" ht="27.6">
      <c r="A192" s="680" t="s">
        <v>1745</v>
      </c>
      <c r="B192" s="680" t="s">
        <v>1744</v>
      </c>
      <c r="C192" s="922" t="s">
        <v>2799</v>
      </c>
    </row>
    <row r="193" spans="1:3">
      <c r="A193" s="681" t="s">
        <v>1108</v>
      </c>
      <c r="B193" s="681" t="s">
        <v>1109</v>
      </c>
      <c r="C193" s="922" t="s">
        <v>2800</v>
      </c>
    </row>
    <row r="194" spans="1:3">
      <c r="A194" s="680" t="s">
        <v>562</v>
      </c>
      <c r="B194" s="680" t="s">
        <v>457</v>
      </c>
      <c r="C194" s="922" t="s">
        <v>2801</v>
      </c>
    </row>
    <row r="195" spans="1:3">
      <c r="A195" s="680" t="s">
        <v>563</v>
      </c>
      <c r="B195" s="680" t="s">
        <v>458</v>
      </c>
      <c r="C195" s="922" t="s">
        <v>2802</v>
      </c>
    </row>
    <row r="196" spans="1:3">
      <c r="A196" s="680" t="s">
        <v>571</v>
      </c>
      <c r="B196" s="680" t="s">
        <v>2</v>
      </c>
      <c r="C196" s="922" t="s">
        <v>2803</v>
      </c>
    </row>
    <row r="197" spans="1:3">
      <c r="A197" s="680" t="s">
        <v>0</v>
      </c>
      <c r="B197" s="680" t="s">
        <v>0</v>
      </c>
      <c r="C197" s="922" t="s">
        <v>0</v>
      </c>
    </row>
    <row r="198" spans="1:3">
      <c r="A198" s="680" t="s">
        <v>52</v>
      </c>
      <c r="B198" s="680" t="s">
        <v>4</v>
      </c>
      <c r="C198" s="922" t="s">
        <v>52</v>
      </c>
    </row>
    <row r="199" spans="1:3">
      <c r="A199" s="680" t="s">
        <v>51</v>
      </c>
      <c r="B199" s="680" t="s">
        <v>3</v>
      </c>
      <c r="C199" s="922" t="s">
        <v>2804</v>
      </c>
    </row>
    <row r="200" spans="1:3">
      <c r="A200" s="680" t="s">
        <v>564</v>
      </c>
      <c r="B200" s="680" t="s">
        <v>460</v>
      </c>
      <c r="C200" s="922" t="s">
        <v>2805</v>
      </c>
    </row>
    <row r="201" spans="1:3">
      <c r="A201" s="680" t="s">
        <v>565</v>
      </c>
      <c r="B201" s="680" t="s">
        <v>512</v>
      </c>
      <c r="C201" s="922" t="s">
        <v>2806</v>
      </c>
    </row>
    <row r="202" spans="1:3">
      <c r="A202" s="680" t="s">
        <v>566</v>
      </c>
      <c r="B202" s="680" t="s">
        <v>463</v>
      </c>
      <c r="C202" s="922" t="s">
        <v>2807</v>
      </c>
    </row>
    <row r="203" spans="1:3">
      <c r="A203" s="680" t="s">
        <v>567</v>
      </c>
      <c r="B203" s="680" t="s">
        <v>461</v>
      </c>
      <c r="C203" s="922" t="s">
        <v>2808</v>
      </c>
    </row>
    <row r="204" spans="1:3">
      <c r="A204" s="680" t="s">
        <v>572</v>
      </c>
      <c r="B204" s="680" t="s">
        <v>464</v>
      </c>
      <c r="C204" s="922" t="s">
        <v>2737</v>
      </c>
    </row>
    <row r="205" spans="1:3">
      <c r="A205" s="680" t="s">
        <v>568</v>
      </c>
      <c r="B205" s="680" t="s">
        <v>462</v>
      </c>
      <c r="C205" s="922" t="s">
        <v>2809</v>
      </c>
    </row>
    <row r="206" spans="1:3" ht="27.6">
      <c r="A206" s="680" t="s">
        <v>807</v>
      </c>
      <c r="B206" s="680" t="s">
        <v>808</v>
      </c>
      <c r="C206" s="922" t="s">
        <v>2810</v>
      </c>
    </row>
    <row r="207" spans="1:3">
      <c r="A207" s="680" t="s">
        <v>918</v>
      </c>
      <c r="B207" s="680" t="s">
        <v>919</v>
      </c>
      <c r="C207" s="922" t="s">
        <v>2811</v>
      </c>
    </row>
    <row r="208" spans="1:3">
      <c r="A208" s="680" t="s">
        <v>569</v>
      </c>
      <c r="B208" s="680" t="s">
        <v>560</v>
      </c>
      <c r="C208" s="922" t="s">
        <v>2812</v>
      </c>
    </row>
    <row r="209" spans="1:3">
      <c r="A209" s="680" t="s">
        <v>920</v>
      </c>
      <c r="B209" s="680" t="s">
        <v>465</v>
      </c>
      <c r="C209" s="922" t="s">
        <v>2813</v>
      </c>
    </row>
    <row r="210" spans="1:3">
      <c r="A210" s="680" t="s">
        <v>559</v>
      </c>
      <c r="B210" s="680" t="s">
        <v>561</v>
      </c>
      <c r="C210" s="922" t="s">
        <v>2814</v>
      </c>
    </row>
    <row r="211" spans="1:3">
      <c r="A211" s="680" t="s">
        <v>107</v>
      </c>
      <c r="B211" s="680" t="s">
        <v>798</v>
      </c>
      <c r="C211" s="922" t="s">
        <v>2815</v>
      </c>
    </row>
    <row r="212" spans="1:3">
      <c r="A212" s="680" t="s">
        <v>920</v>
      </c>
      <c r="B212" s="680" t="s">
        <v>921</v>
      </c>
      <c r="C212" s="922" t="s">
        <v>2813</v>
      </c>
    </row>
    <row r="213" spans="1:3">
      <c r="A213" s="680" t="s">
        <v>559</v>
      </c>
      <c r="B213" s="680" t="s">
        <v>561</v>
      </c>
      <c r="C213" s="922" t="s">
        <v>2814</v>
      </c>
    </row>
    <row r="214" spans="1:3">
      <c r="A214" s="681" t="s">
        <v>1110</v>
      </c>
      <c r="B214" s="681" t="s">
        <v>1111</v>
      </c>
      <c r="C214" s="922" t="s">
        <v>2816</v>
      </c>
    </row>
    <row r="215" spans="1:3">
      <c r="A215" s="680" t="s">
        <v>1112</v>
      </c>
      <c r="B215" s="680" t="s">
        <v>1113</v>
      </c>
      <c r="C215" s="922" t="s">
        <v>2817</v>
      </c>
    </row>
    <row r="216" spans="1:3">
      <c r="A216" s="680" t="s">
        <v>830</v>
      </c>
      <c r="B216" s="680" t="s">
        <v>831</v>
      </c>
      <c r="C216" s="922" t="s">
        <v>2818</v>
      </c>
    </row>
    <row r="217" spans="1:3">
      <c r="A217" s="680" t="s">
        <v>111</v>
      </c>
      <c r="B217" s="680" t="s">
        <v>112</v>
      </c>
      <c r="C217" s="922" t="s">
        <v>2819</v>
      </c>
    </row>
    <row r="218" spans="1:3">
      <c r="A218" s="680" t="s">
        <v>117</v>
      </c>
      <c r="B218" s="680" t="s">
        <v>113</v>
      </c>
      <c r="C218" s="922" t="s">
        <v>2820</v>
      </c>
    </row>
    <row r="219" spans="1:3" ht="27.6">
      <c r="A219" s="680" t="s">
        <v>803</v>
      </c>
      <c r="B219" s="680" t="s">
        <v>804</v>
      </c>
      <c r="C219" s="922" t="s">
        <v>2821</v>
      </c>
    </row>
    <row r="220" spans="1:3">
      <c r="A220" s="680" t="s">
        <v>832</v>
      </c>
      <c r="B220" s="680" t="s">
        <v>833</v>
      </c>
      <c r="C220" s="922" t="s">
        <v>2822</v>
      </c>
    </row>
    <row r="221" spans="1:3">
      <c r="A221" s="680" t="s">
        <v>467</v>
      </c>
      <c r="B221" s="680" t="s">
        <v>467</v>
      </c>
      <c r="C221" s="922" t="s">
        <v>2823</v>
      </c>
    </row>
    <row r="222" spans="1:3">
      <c r="A222" s="680" t="s">
        <v>365</v>
      </c>
      <c r="B222" s="680" t="s">
        <v>365</v>
      </c>
      <c r="C222" s="922" t="s">
        <v>365</v>
      </c>
    </row>
    <row r="223" spans="1:3">
      <c r="A223" s="680" t="s">
        <v>53</v>
      </c>
      <c r="B223" s="680" t="s">
        <v>54</v>
      </c>
      <c r="C223" s="922" t="s">
        <v>2824</v>
      </c>
    </row>
    <row r="224" spans="1:3">
      <c r="A224" s="680" t="s">
        <v>355</v>
      </c>
      <c r="B224" s="680" t="s">
        <v>356</v>
      </c>
      <c r="C224" s="922" t="s">
        <v>2825</v>
      </c>
    </row>
    <row r="225" spans="1:3">
      <c r="A225" s="680" t="s">
        <v>17</v>
      </c>
      <c r="B225" s="680" t="s">
        <v>800</v>
      </c>
      <c r="C225" s="922" t="s">
        <v>2826</v>
      </c>
    </row>
    <row r="226" spans="1:3">
      <c r="A226" s="829" t="s">
        <v>799</v>
      </c>
      <c r="B226" s="829" t="s">
        <v>922</v>
      </c>
      <c r="C226" s="922" t="s">
        <v>2827</v>
      </c>
    </row>
    <row r="227" spans="1:3">
      <c r="A227" s="680" t="s">
        <v>771</v>
      </c>
      <c r="B227" s="829" t="s">
        <v>776</v>
      </c>
      <c r="C227" s="922" t="s">
        <v>2828</v>
      </c>
    </row>
    <row r="228" spans="1:3">
      <c r="A228" s="680" t="s">
        <v>774</v>
      </c>
      <c r="B228" s="829" t="s">
        <v>775</v>
      </c>
      <c r="C228" s="922" t="s">
        <v>2829</v>
      </c>
    </row>
    <row r="229" spans="1:3">
      <c r="A229" s="829" t="s">
        <v>772</v>
      </c>
      <c r="B229" s="829" t="s">
        <v>773</v>
      </c>
      <c r="C229" s="922" t="s">
        <v>2830</v>
      </c>
    </row>
    <row r="230" spans="1:3">
      <c r="A230" s="680" t="s">
        <v>925</v>
      </c>
      <c r="B230" s="680" t="s">
        <v>926</v>
      </c>
      <c r="C230" s="922" t="s">
        <v>2831</v>
      </c>
    </row>
    <row r="231" spans="1:3">
      <c r="A231" s="680" t="s">
        <v>829</v>
      </c>
      <c r="B231" s="680" t="s">
        <v>828</v>
      </c>
      <c r="C231" s="922" t="s">
        <v>2832</v>
      </c>
    </row>
    <row r="232" spans="1:3" ht="27.6">
      <c r="A232" s="680" t="s">
        <v>1114</v>
      </c>
      <c r="B232" s="680" t="s">
        <v>1084</v>
      </c>
      <c r="C232" s="922" t="s">
        <v>2833</v>
      </c>
    </row>
    <row r="233" spans="1:3">
      <c r="A233" s="681" t="s">
        <v>1100</v>
      </c>
      <c r="B233" s="681" t="s">
        <v>1101</v>
      </c>
      <c r="C233" s="922" t="s">
        <v>2834</v>
      </c>
    </row>
    <row r="234" spans="1:3">
      <c r="A234" s="680" t="s">
        <v>1071</v>
      </c>
      <c r="B234" s="680" t="s">
        <v>956</v>
      </c>
      <c r="C234" s="922" t="s">
        <v>2835</v>
      </c>
    </row>
    <row r="235" spans="1:3">
      <c r="A235" s="680" t="s">
        <v>1070</v>
      </c>
      <c r="B235" s="680" t="s">
        <v>955</v>
      </c>
      <c r="C235" s="922" t="s">
        <v>2836</v>
      </c>
    </row>
    <row r="236" spans="1:3">
      <c r="A236" s="680" t="s">
        <v>1136</v>
      </c>
      <c r="B236" s="829" t="s">
        <v>1060</v>
      </c>
      <c r="C236" s="922" t="s">
        <v>2837</v>
      </c>
    </row>
    <row r="237" spans="1:3" ht="27.6">
      <c r="A237" s="680" t="s">
        <v>1137</v>
      </c>
      <c r="B237" s="829" t="s">
        <v>1061</v>
      </c>
      <c r="C237" s="922" t="s">
        <v>2838</v>
      </c>
    </row>
    <row r="238" spans="1:3">
      <c r="A238" s="680" t="s">
        <v>1138</v>
      </c>
      <c r="B238" s="829" t="s">
        <v>1062</v>
      </c>
      <c r="C238" s="922" t="s">
        <v>2839</v>
      </c>
    </row>
    <row r="239" spans="1:3" ht="27.6">
      <c r="A239" s="680" t="s">
        <v>1139</v>
      </c>
      <c r="B239" s="829" t="s">
        <v>1063</v>
      </c>
      <c r="C239" s="922" t="s">
        <v>2840</v>
      </c>
    </row>
    <row r="240" spans="1:3" ht="27.6">
      <c r="A240" s="680" t="s">
        <v>1140</v>
      </c>
      <c r="B240" s="829" t="s">
        <v>1064</v>
      </c>
      <c r="C240" s="922" t="s">
        <v>2841</v>
      </c>
    </row>
    <row r="241" spans="1:3" ht="27.6">
      <c r="A241" s="680" t="s">
        <v>1141</v>
      </c>
      <c r="B241" s="829" t="s">
        <v>1065</v>
      </c>
      <c r="C241" s="922" t="s">
        <v>2842</v>
      </c>
    </row>
    <row r="242" spans="1:3">
      <c r="A242" s="680" t="s">
        <v>1142</v>
      </c>
      <c r="B242" s="829" t="s">
        <v>1066</v>
      </c>
      <c r="C242" s="922" t="s">
        <v>2843</v>
      </c>
    </row>
    <row r="243" spans="1:3">
      <c r="A243" s="680" t="s">
        <v>1143</v>
      </c>
      <c r="B243" s="829" t="s">
        <v>1067</v>
      </c>
      <c r="C243" s="922" t="s">
        <v>2844</v>
      </c>
    </row>
    <row r="244" spans="1:3">
      <c r="A244" s="680" t="s">
        <v>1144</v>
      </c>
      <c r="B244" s="829" t="s">
        <v>1068</v>
      </c>
      <c r="C244" s="922" t="s">
        <v>2845</v>
      </c>
    </row>
    <row r="245" spans="1:3" ht="27.6">
      <c r="A245" s="680" t="s">
        <v>1145</v>
      </c>
      <c r="B245" s="829" t="s">
        <v>1069</v>
      </c>
      <c r="C245" s="922" t="s">
        <v>2846</v>
      </c>
    </row>
    <row r="246" spans="1:3">
      <c r="A246" s="680" t="s">
        <v>1115</v>
      </c>
      <c r="B246" s="680" t="s">
        <v>939</v>
      </c>
      <c r="C246" s="922" t="s">
        <v>2847</v>
      </c>
    </row>
    <row r="247" spans="1:3">
      <c r="A247" s="680" t="s">
        <v>1116</v>
      </c>
      <c r="B247" s="829" t="s">
        <v>944</v>
      </c>
      <c r="C247" s="922" t="s">
        <v>2848</v>
      </c>
    </row>
    <row r="248" spans="1:3">
      <c r="A248" s="680" t="s">
        <v>1117</v>
      </c>
      <c r="B248" s="829" t="s">
        <v>949</v>
      </c>
      <c r="C248" s="922" t="s">
        <v>2849</v>
      </c>
    </row>
    <row r="249" spans="1:3">
      <c r="A249" s="680" t="s">
        <v>1118</v>
      </c>
      <c r="B249" s="829" t="s">
        <v>950</v>
      </c>
      <c r="C249" s="922" t="s">
        <v>2850</v>
      </c>
    </row>
    <row r="250" spans="1:3">
      <c r="A250" s="680" t="s">
        <v>1119</v>
      </c>
      <c r="B250" s="829" t="s">
        <v>951</v>
      </c>
      <c r="C250" s="922" t="s">
        <v>2851</v>
      </c>
    </row>
    <row r="251" spans="1:3">
      <c r="A251" s="680" t="s">
        <v>1146</v>
      </c>
      <c r="B251" s="829" t="s">
        <v>945</v>
      </c>
      <c r="C251" s="922" t="s">
        <v>2852</v>
      </c>
    </row>
    <row r="252" spans="1:3">
      <c r="A252" s="680" t="s">
        <v>1149</v>
      </c>
      <c r="B252" s="829" t="s">
        <v>952</v>
      </c>
      <c r="C252" s="922" t="s">
        <v>2853</v>
      </c>
    </row>
    <row r="253" spans="1:3" ht="27.6">
      <c r="A253" s="680" t="s">
        <v>1147</v>
      </c>
      <c r="B253" s="829" t="s">
        <v>953</v>
      </c>
      <c r="C253" s="922" t="s">
        <v>2854</v>
      </c>
    </row>
    <row r="254" spans="1:3">
      <c r="A254" s="680" t="s">
        <v>1148</v>
      </c>
      <c r="B254" s="829" t="s">
        <v>954</v>
      </c>
      <c r="C254" s="922" t="s">
        <v>2855</v>
      </c>
    </row>
    <row r="255" spans="1:3">
      <c r="A255" s="680" t="s">
        <v>940</v>
      </c>
      <c r="B255" s="680" t="s">
        <v>940</v>
      </c>
      <c r="C255" s="922" t="s">
        <v>2856</v>
      </c>
    </row>
    <row r="256" spans="1:3">
      <c r="A256" s="680" t="s">
        <v>1120</v>
      </c>
      <c r="B256" s="680" t="s">
        <v>1057</v>
      </c>
      <c r="C256" s="922" t="s">
        <v>2857</v>
      </c>
    </row>
    <row r="257" spans="1:3">
      <c r="A257" s="680" t="s">
        <v>1121</v>
      </c>
      <c r="B257" s="680" t="s">
        <v>1072</v>
      </c>
      <c r="C257" s="922" t="s">
        <v>2858</v>
      </c>
    </row>
    <row r="258" spans="1:3">
      <c r="A258" s="680" t="s">
        <v>1150</v>
      </c>
      <c r="B258" s="680" t="s">
        <v>1073</v>
      </c>
      <c r="C258" s="922" t="s">
        <v>2859</v>
      </c>
    </row>
    <row r="259" spans="1:3">
      <c r="A259" s="680" t="s">
        <v>1129</v>
      </c>
      <c r="B259" s="680" t="s">
        <v>943</v>
      </c>
      <c r="C259" s="922" t="s">
        <v>2860</v>
      </c>
    </row>
    <row r="260" spans="1:3">
      <c r="A260" s="680" t="s">
        <v>1122</v>
      </c>
      <c r="B260" s="680" t="s">
        <v>1074</v>
      </c>
      <c r="C260" s="922" t="s">
        <v>2861</v>
      </c>
    </row>
    <row r="261" spans="1:3">
      <c r="A261" s="681"/>
      <c r="B261" s="681"/>
      <c r="C261" s="922"/>
    </row>
    <row r="262" spans="1:3">
      <c r="A262" s="680" t="s">
        <v>1151</v>
      </c>
      <c r="B262" s="680" t="s">
        <v>1130</v>
      </c>
      <c r="C262" s="922" t="s">
        <v>2862</v>
      </c>
    </row>
    <row r="263" spans="1:3">
      <c r="A263" s="680" t="s">
        <v>1153</v>
      </c>
      <c r="B263" s="680" t="s">
        <v>1131</v>
      </c>
      <c r="C263" s="922" t="s">
        <v>2863</v>
      </c>
    </row>
    <row r="264" spans="1:3">
      <c r="A264" s="680" t="s">
        <v>1152</v>
      </c>
      <c r="B264" s="680" t="s">
        <v>1132</v>
      </c>
      <c r="C264" s="922" t="s">
        <v>2864</v>
      </c>
    </row>
    <row r="265" spans="1:3">
      <c r="A265" s="680" t="s">
        <v>1759</v>
      </c>
      <c r="B265" s="680" t="s">
        <v>1758</v>
      </c>
      <c r="C265" s="944" t="s">
        <v>2865</v>
      </c>
    </row>
    <row r="266" spans="1:3">
      <c r="A266" s="680" t="s">
        <v>1764</v>
      </c>
      <c r="B266" s="680" t="s">
        <v>1760</v>
      </c>
      <c r="C266" s="944" t="s">
        <v>2866</v>
      </c>
    </row>
    <row r="267" spans="1:3">
      <c r="A267" s="680" t="s">
        <v>1765</v>
      </c>
      <c r="B267" s="680" t="s">
        <v>1761</v>
      </c>
      <c r="C267" s="944" t="s">
        <v>2867</v>
      </c>
    </row>
    <row r="268" spans="1:3">
      <c r="A268" s="680" t="s">
        <v>1762</v>
      </c>
      <c r="B268" s="680" t="s">
        <v>1763</v>
      </c>
      <c r="C268" s="944" t="s">
        <v>2868</v>
      </c>
    </row>
    <row r="269" spans="1:3">
      <c r="A269" s="680" t="s">
        <v>2507</v>
      </c>
      <c r="B269" s="680" t="s">
        <v>2508</v>
      </c>
      <c r="C269" s="944" t="s">
        <v>2869</v>
      </c>
    </row>
    <row r="270" spans="1:3">
      <c r="A270" s="985" t="s">
        <v>3348</v>
      </c>
      <c r="B270" s="985" t="s">
        <v>3349</v>
      </c>
      <c r="C270" s="985" t="s">
        <v>3349</v>
      </c>
    </row>
    <row r="271" spans="1:3">
      <c r="A271" s="985" t="s">
        <v>3346</v>
      </c>
      <c r="B271" s="985" t="s">
        <v>3346</v>
      </c>
      <c r="C271" s="985" t="s">
        <v>3346</v>
      </c>
    </row>
  </sheetData>
  <sheetProtection algorithmName="SHA-512" hashValue="uEzJMphjYDGPRMqe0IdRsNclM6IYba4MFQN5Nv6yYf2RLinedsWVMabFjRknlOpjkyrODI7Lh9QFZeNB4MtYmg==" saltValue="lpL3h8eLHgzan6Rjc27vfQ==" spinCount="100000" sheet="1" objects="1" scenarios="1"/>
  <customSheetViews>
    <customSheetView guid="{727552C9-10E3-4948-B2AE-8FE165517887}" state="hidden">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1023" priority="132"/>
  </conditionalFormatting>
  <conditionalFormatting sqref="A2">
    <cfRule type="duplicateValues" dxfId="1022" priority="131"/>
  </conditionalFormatting>
  <conditionalFormatting sqref="A4:A5">
    <cfRule type="duplicateValues" dxfId="1021" priority="130"/>
  </conditionalFormatting>
  <conditionalFormatting sqref="A9">
    <cfRule type="duplicateValues" dxfId="1020" priority="129"/>
  </conditionalFormatting>
  <conditionalFormatting sqref="A10:A11">
    <cfRule type="duplicateValues" dxfId="1019" priority="128"/>
  </conditionalFormatting>
  <conditionalFormatting sqref="A12">
    <cfRule type="duplicateValues" dxfId="1018" priority="127"/>
  </conditionalFormatting>
  <conditionalFormatting sqref="A13">
    <cfRule type="duplicateValues" dxfId="1017" priority="126"/>
  </conditionalFormatting>
  <conditionalFormatting sqref="A14:A16">
    <cfRule type="duplicateValues" dxfId="1016" priority="125"/>
  </conditionalFormatting>
  <conditionalFormatting sqref="A19:A20">
    <cfRule type="duplicateValues" dxfId="1015" priority="124"/>
  </conditionalFormatting>
  <conditionalFormatting sqref="A21">
    <cfRule type="duplicateValues" dxfId="1014" priority="123"/>
  </conditionalFormatting>
  <conditionalFormatting sqref="A22">
    <cfRule type="duplicateValues" dxfId="1013" priority="122"/>
  </conditionalFormatting>
  <conditionalFormatting sqref="A27">
    <cfRule type="duplicateValues" dxfId="1012" priority="121"/>
  </conditionalFormatting>
  <conditionalFormatting sqref="A24">
    <cfRule type="duplicateValues" dxfId="1011" priority="120"/>
  </conditionalFormatting>
  <conditionalFormatting sqref="A26">
    <cfRule type="duplicateValues" dxfId="1010" priority="119"/>
  </conditionalFormatting>
  <conditionalFormatting sqref="A28">
    <cfRule type="duplicateValues" dxfId="1009" priority="118"/>
  </conditionalFormatting>
  <conditionalFormatting sqref="A29:A30">
    <cfRule type="duplicateValues" dxfId="1008" priority="117"/>
  </conditionalFormatting>
  <conditionalFormatting sqref="A31">
    <cfRule type="duplicateValues" dxfId="1007" priority="116"/>
  </conditionalFormatting>
  <conditionalFormatting sqref="A32">
    <cfRule type="duplicateValues" dxfId="1006" priority="115"/>
  </conditionalFormatting>
  <conditionalFormatting sqref="A33">
    <cfRule type="duplicateValues" dxfId="1005" priority="114"/>
  </conditionalFormatting>
  <conditionalFormatting sqref="A35:A38">
    <cfRule type="duplicateValues" dxfId="1004" priority="113"/>
  </conditionalFormatting>
  <conditionalFormatting sqref="A34">
    <cfRule type="duplicateValues" dxfId="1003" priority="112"/>
  </conditionalFormatting>
  <conditionalFormatting sqref="A39">
    <cfRule type="duplicateValues" dxfId="1002" priority="111"/>
  </conditionalFormatting>
  <conditionalFormatting sqref="A41:A42">
    <cfRule type="duplicateValues" dxfId="1001" priority="110"/>
  </conditionalFormatting>
  <conditionalFormatting sqref="A43:A44 A69">
    <cfRule type="duplicateValues" dxfId="1000" priority="109"/>
  </conditionalFormatting>
  <conditionalFormatting sqref="A45:A48">
    <cfRule type="duplicateValues" dxfId="999" priority="108"/>
  </conditionalFormatting>
  <conditionalFormatting sqref="B49:B50">
    <cfRule type="duplicateValues" dxfId="998" priority="107"/>
  </conditionalFormatting>
  <conditionalFormatting sqref="A49:A51">
    <cfRule type="duplicateValues" dxfId="997" priority="106"/>
  </conditionalFormatting>
  <conditionalFormatting sqref="A67">
    <cfRule type="duplicateValues" dxfId="996" priority="105"/>
  </conditionalFormatting>
  <conditionalFormatting sqref="A68">
    <cfRule type="duplicateValues" dxfId="995" priority="104"/>
  </conditionalFormatting>
  <conditionalFormatting sqref="A71">
    <cfRule type="duplicateValues" dxfId="994" priority="103"/>
  </conditionalFormatting>
  <conditionalFormatting sqref="A72">
    <cfRule type="duplicateValues" dxfId="993" priority="102"/>
  </conditionalFormatting>
  <conditionalFormatting sqref="A74:A75">
    <cfRule type="duplicateValues" dxfId="992" priority="101"/>
  </conditionalFormatting>
  <conditionalFormatting sqref="A73">
    <cfRule type="duplicateValues" dxfId="991" priority="100"/>
  </conditionalFormatting>
  <conditionalFormatting sqref="A76">
    <cfRule type="duplicateValues" dxfId="990" priority="99"/>
  </conditionalFormatting>
  <conditionalFormatting sqref="A77">
    <cfRule type="duplicateValues" dxfId="989" priority="98"/>
  </conditionalFormatting>
  <conditionalFormatting sqref="A78:A79">
    <cfRule type="duplicateValues" dxfId="988" priority="97"/>
  </conditionalFormatting>
  <conditionalFormatting sqref="A83">
    <cfRule type="duplicateValues" dxfId="987" priority="96"/>
  </conditionalFormatting>
  <conditionalFormatting sqref="A84">
    <cfRule type="duplicateValues" dxfId="986" priority="95"/>
  </conditionalFormatting>
  <conditionalFormatting sqref="A80:A82">
    <cfRule type="duplicateValues" dxfId="985" priority="94"/>
  </conditionalFormatting>
  <conditionalFormatting sqref="A85:A88">
    <cfRule type="duplicateValues" dxfId="984" priority="93"/>
  </conditionalFormatting>
  <conditionalFormatting sqref="A89">
    <cfRule type="duplicateValues" dxfId="983" priority="92"/>
  </conditionalFormatting>
  <conditionalFormatting sqref="A90">
    <cfRule type="duplicateValues" dxfId="982" priority="91"/>
  </conditionalFormatting>
  <conditionalFormatting sqref="A91:A92">
    <cfRule type="duplicateValues" dxfId="981" priority="90"/>
  </conditionalFormatting>
  <conditionalFormatting sqref="A93:A94">
    <cfRule type="duplicateValues" dxfId="980" priority="89"/>
  </conditionalFormatting>
  <conditionalFormatting sqref="A95">
    <cfRule type="duplicateValues" dxfId="979" priority="88"/>
  </conditionalFormatting>
  <conditionalFormatting sqref="A97">
    <cfRule type="duplicateValues" dxfId="978" priority="87"/>
  </conditionalFormatting>
  <conditionalFormatting sqref="A98">
    <cfRule type="duplicateValues" dxfId="977" priority="86"/>
  </conditionalFormatting>
  <conditionalFormatting sqref="A103">
    <cfRule type="duplicateValues" dxfId="976" priority="85"/>
  </conditionalFormatting>
  <conditionalFormatting sqref="A104">
    <cfRule type="duplicateValues" dxfId="975" priority="84"/>
  </conditionalFormatting>
  <conditionalFormatting sqref="A105">
    <cfRule type="duplicateValues" dxfId="974" priority="83"/>
  </conditionalFormatting>
  <conditionalFormatting sqref="A106">
    <cfRule type="duplicateValues" dxfId="973" priority="82"/>
  </conditionalFormatting>
  <conditionalFormatting sqref="A107">
    <cfRule type="duplicateValues" dxfId="972" priority="81"/>
  </conditionalFormatting>
  <conditionalFormatting sqref="A116:A118 A120:A121">
    <cfRule type="duplicateValues" dxfId="971" priority="80"/>
  </conditionalFormatting>
  <conditionalFormatting sqref="A124:A127">
    <cfRule type="duplicateValues" dxfId="970" priority="79"/>
  </conditionalFormatting>
  <conditionalFormatting sqref="A129:A133">
    <cfRule type="duplicateValues" dxfId="969" priority="133"/>
  </conditionalFormatting>
  <conditionalFormatting sqref="A109 A111:A113">
    <cfRule type="duplicateValues" dxfId="968" priority="78"/>
  </conditionalFormatting>
  <conditionalFormatting sqref="A108">
    <cfRule type="duplicateValues" dxfId="967" priority="77"/>
  </conditionalFormatting>
  <conditionalFormatting sqref="A122">
    <cfRule type="duplicateValues" dxfId="966" priority="76"/>
  </conditionalFormatting>
  <conditionalFormatting sqref="A128">
    <cfRule type="duplicateValues" dxfId="965" priority="75"/>
  </conditionalFormatting>
  <conditionalFormatting sqref="A135">
    <cfRule type="duplicateValues" dxfId="964" priority="74"/>
  </conditionalFormatting>
  <conditionalFormatting sqref="A136">
    <cfRule type="duplicateValues" dxfId="963" priority="73"/>
  </conditionalFormatting>
  <conditionalFormatting sqref="A139:A140">
    <cfRule type="duplicateValues" dxfId="962" priority="72"/>
  </conditionalFormatting>
  <conditionalFormatting sqref="A137:A138">
    <cfRule type="duplicateValues" dxfId="961" priority="71"/>
  </conditionalFormatting>
  <conditionalFormatting sqref="A141">
    <cfRule type="duplicateValues" dxfId="960" priority="70"/>
  </conditionalFormatting>
  <conditionalFormatting sqref="B142">
    <cfRule type="duplicateValues" dxfId="959" priority="69"/>
  </conditionalFormatting>
  <conditionalFormatting sqref="A142">
    <cfRule type="duplicateValues" dxfId="958" priority="68"/>
  </conditionalFormatting>
  <conditionalFormatting sqref="A144">
    <cfRule type="duplicateValues" dxfId="957" priority="67"/>
  </conditionalFormatting>
  <conditionalFormatting sqref="A143">
    <cfRule type="duplicateValues" dxfId="956" priority="66"/>
  </conditionalFormatting>
  <conditionalFormatting sqref="A145">
    <cfRule type="duplicateValues" dxfId="955" priority="65"/>
  </conditionalFormatting>
  <conditionalFormatting sqref="A146">
    <cfRule type="duplicateValues" dxfId="954" priority="64"/>
  </conditionalFormatting>
  <conditionalFormatting sqref="A147:A148">
    <cfRule type="duplicateValues" dxfId="953" priority="63"/>
  </conditionalFormatting>
  <conditionalFormatting sqref="A149:A150">
    <cfRule type="duplicateValues" dxfId="952" priority="62"/>
  </conditionalFormatting>
  <conditionalFormatting sqref="A151">
    <cfRule type="duplicateValues" dxfId="951" priority="61"/>
  </conditionalFormatting>
  <conditionalFormatting sqref="A152:A160">
    <cfRule type="duplicateValues" dxfId="950" priority="60"/>
  </conditionalFormatting>
  <conditionalFormatting sqref="A161">
    <cfRule type="duplicateValues" dxfId="949" priority="59"/>
  </conditionalFormatting>
  <conditionalFormatting sqref="A162">
    <cfRule type="duplicateValues" dxfId="948" priority="58"/>
  </conditionalFormatting>
  <conditionalFormatting sqref="A163">
    <cfRule type="duplicateValues" dxfId="947" priority="57"/>
  </conditionalFormatting>
  <conditionalFormatting sqref="A164:A166">
    <cfRule type="duplicateValues" dxfId="946" priority="56"/>
  </conditionalFormatting>
  <conditionalFormatting sqref="A167">
    <cfRule type="duplicateValues" dxfId="945" priority="55"/>
  </conditionalFormatting>
  <conditionalFormatting sqref="A168">
    <cfRule type="duplicateValues" dxfId="944" priority="54"/>
  </conditionalFormatting>
  <conditionalFormatting sqref="A175">
    <cfRule type="duplicateValues" dxfId="943" priority="53"/>
  </conditionalFormatting>
  <conditionalFormatting sqref="A177">
    <cfRule type="duplicateValues" dxfId="942" priority="52"/>
  </conditionalFormatting>
  <conditionalFormatting sqref="A179">
    <cfRule type="duplicateValues" dxfId="941" priority="51"/>
  </conditionalFormatting>
  <conditionalFormatting sqref="A180:A186">
    <cfRule type="duplicateValues" dxfId="940" priority="50"/>
  </conditionalFormatting>
  <conditionalFormatting sqref="A189">
    <cfRule type="duplicateValues" dxfId="939" priority="49"/>
  </conditionalFormatting>
  <conditionalFormatting sqref="A188">
    <cfRule type="duplicateValues" dxfId="938" priority="48"/>
  </conditionalFormatting>
  <conditionalFormatting sqref="A190">
    <cfRule type="duplicateValues" dxfId="937" priority="47"/>
  </conditionalFormatting>
  <conditionalFormatting sqref="A191">
    <cfRule type="duplicateValues" dxfId="936" priority="46"/>
  </conditionalFormatting>
  <conditionalFormatting sqref="A193">
    <cfRule type="duplicateValues" dxfId="935" priority="44"/>
  </conditionalFormatting>
  <conditionalFormatting sqref="A194">
    <cfRule type="duplicateValues" dxfId="934" priority="43"/>
  </conditionalFormatting>
  <conditionalFormatting sqref="A195">
    <cfRule type="duplicateValues" dxfId="933" priority="42"/>
  </conditionalFormatting>
  <conditionalFormatting sqref="A196">
    <cfRule type="duplicateValues" dxfId="932" priority="41"/>
  </conditionalFormatting>
  <conditionalFormatting sqref="A197">
    <cfRule type="duplicateValues" dxfId="931" priority="40"/>
  </conditionalFormatting>
  <conditionalFormatting sqref="A198">
    <cfRule type="duplicateValues" dxfId="930" priority="39"/>
  </conditionalFormatting>
  <conditionalFormatting sqref="A199">
    <cfRule type="duplicateValues" dxfId="929" priority="38"/>
  </conditionalFormatting>
  <conditionalFormatting sqref="A200">
    <cfRule type="duplicateValues" dxfId="928" priority="37"/>
  </conditionalFormatting>
  <conditionalFormatting sqref="A201">
    <cfRule type="duplicateValues" dxfId="927" priority="36"/>
  </conditionalFormatting>
  <conditionalFormatting sqref="A202">
    <cfRule type="duplicateValues" dxfId="926" priority="35"/>
  </conditionalFormatting>
  <conditionalFormatting sqref="A203">
    <cfRule type="duplicateValues" dxfId="925" priority="34"/>
  </conditionalFormatting>
  <conditionalFormatting sqref="A204:A205">
    <cfRule type="duplicateValues" dxfId="924" priority="33"/>
  </conditionalFormatting>
  <conditionalFormatting sqref="A207:A210">
    <cfRule type="duplicateValues" dxfId="923" priority="32"/>
  </conditionalFormatting>
  <conditionalFormatting sqref="A211">
    <cfRule type="duplicateValues" dxfId="922" priority="31"/>
  </conditionalFormatting>
  <conditionalFormatting sqref="A212:A213">
    <cfRule type="duplicateValues" dxfId="921" priority="30"/>
  </conditionalFormatting>
  <conditionalFormatting sqref="A214:A215">
    <cfRule type="duplicateValues" dxfId="920" priority="29"/>
  </conditionalFormatting>
  <conditionalFormatting sqref="A221:A222">
    <cfRule type="duplicateValues" dxfId="919" priority="28"/>
  </conditionalFormatting>
  <conditionalFormatting sqref="A216">
    <cfRule type="duplicateValues" dxfId="918" priority="27"/>
  </conditionalFormatting>
  <conditionalFormatting sqref="A217">
    <cfRule type="duplicateValues" dxfId="917" priority="26"/>
  </conditionalFormatting>
  <conditionalFormatting sqref="A218:A220">
    <cfRule type="duplicateValues" dxfId="916" priority="134"/>
  </conditionalFormatting>
  <conditionalFormatting sqref="A223 A225">
    <cfRule type="duplicateValues" dxfId="915" priority="25"/>
  </conditionalFormatting>
  <conditionalFormatting sqref="A224">
    <cfRule type="duplicateValues" dxfId="914" priority="24"/>
  </conditionalFormatting>
  <conditionalFormatting sqref="A226">
    <cfRule type="duplicateValues" dxfId="913" priority="23"/>
  </conditionalFormatting>
  <conditionalFormatting sqref="A229">
    <cfRule type="duplicateValues" dxfId="912" priority="22"/>
  </conditionalFormatting>
  <conditionalFormatting sqref="A230">
    <cfRule type="duplicateValues" dxfId="911" priority="21"/>
  </conditionalFormatting>
  <conditionalFormatting sqref="A40">
    <cfRule type="duplicateValues" dxfId="910" priority="20"/>
  </conditionalFormatting>
  <conditionalFormatting sqref="A23">
    <cfRule type="duplicateValues" dxfId="909" priority="19"/>
  </conditionalFormatting>
  <conditionalFormatting sqref="A232">
    <cfRule type="duplicateValues" dxfId="908" priority="18"/>
  </conditionalFormatting>
  <conditionalFormatting sqref="B233:B234">
    <cfRule type="duplicateValues" dxfId="907" priority="17"/>
  </conditionalFormatting>
  <conditionalFormatting sqref="B157:B160">
    <cfRule type="duplicateValues" dxfId="906" priority="16"/>
  </conditionalFormatting>
  <conditionalFormatting sqref="A25">
    <cfRule type="duplicateValues" dxfId="905" priority="15"/>
  </conditionalFormatting>
  <conditionalFormatting sqref="A192">
    <cfRule type="duplicateValues" dxfId="904" priority="14"/>
  </conditionalFormatting>
  <conditionalFormatting sqref="A187">
    <cfRule type="duplicateValues" dxfId="903" priority="13"/>
  </conditionalFormatting>
  <conditionalFormatting sqref="A268 A266">
    <cfRule type="duplicateValues" dxfId="902" priority="12"/>
  </conditionalFormatting>
  <conditionalFormatting sqref="A267">
    <cfRule type="duplicateValues" dxfId="901" priority="11"/>
  </conditionalFormatting>
  <conditionalFormatting sqref="B267">
    <cfRule type="duplicateValues" dxfId="900" priority="10"/>
  </conditionalFormatting>
  <conditionalFormatting sqref="A269">
    <cfRule type="duplicateValues" dxfId="899" priority="9"/>
  </conditionalFormatting>
  <conditionalFormatting sqref="A271">
    <cfRule type="duplicateValues" dxfId="898" priority="3"/>
  </conditionalFormatting>
  <conditionalFormatting sqref="B271">
    <cfRule type="duplicateValues" dxfId="897" priority="2"/>
  </conditionalFormatting>
  <conditionalFormatting sqref="C271">
    <cfRule type="duplicateValues" dxfId="896" priority="1"/>
  </conditionalFormatting>
  <pageMargins left="0.7" right="0.7" top="0.78740157499999996" bottom="0.78740157499999996" header="0.3" footer="0.3"/>
  <pageSetup paperSize="9"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A1:C271"/>
  <sheetViews>
    <sheetView topLeftCell="A247" workbookViewId="0">
      <selection activeCell="A270" sqref="A270:C271"/>
    </sheetView>
  </sheetViews>
  <sheetFormatPr defaultColWidth="11.44140625" defaultRowHeight="14.4"/>
  <cols>
    <col min="1" max="1" width="48.44140625" style="680" customWidth="1"/>
    <col min="2" max="2" width="42.88671875" style="680" customWidth="1"/>
    <col min="3" max="3" width="42.88671875" style="832" customWidth="1"/>
  </cols>
  <sheetData>
    <row r="1" spans="1:3">
      <c r="A1" s="827" t="s">
        <v>7</v>
      </c>
      <c r="B1" s="827" t="s">
        <v>9</v>
      </c>
      <c r="C1" s="828" t="s">
        <v>8</v>
      </c>
    </row>
    <row r="2" spans="1:3">
      <c r="A2" s="680" t="s">
        <v>593</v>
      </c>
      <c r="B2" s="680" t="s">
        <v>594</v>
      </c>
      <c r="C2" s="847" t="s">
        <v>2011</v>
      </c>
    </row>
    <row r="3" spans="1:3">
      <c r="A3" s="680" t="s">
        <v>357</v>
      </c>
      <c r="B3" s="680" t="s">
        <v>357</v>
      </c>
      <c r="C3" s="847" t="s">
        <v>2012</v>
      </c>
    </row>
    <row r="4" spans="1:3">
      <c r="A4" s="681" t="s">
        <v>482</v>
      </c>
      <c r="B4" s="681" t="s">
        <v>483</v>
      </c>
      <c r="C4" s="847" t="s">
        <v>2013</v>
      </c>
    </row>
    <row r="5" spans="1:3">
      <c r="A5" s="680" t="s">
        <v>11</v>
      </c>
      <c r="B5" s="680" t="s">
        <v>10</v>
      </c>
      <c r="C5" s="847" t="s">
        <v>2014</v>
      </c>
    </row>
    <row r="6" spans="1:3">
      <c r="A6" s="680" t="s">
        <v>21</v>
      </c>
      <c r="B6" s="680" t="s">
        <v>20</v>
      </c>
      <c r="C6" s="847" t="s">
        <v>2015</v>
      </c>
    </row>
    <row r="7" spans="1:3">
      <c r="A7" s="680" t="s">
        <v>903</v>
      </c>
      <c r="B7" s="680" t="s">
        <v>902</v>
      </c>
      <c r="C7" s="847" t="s">
        <v>2016</v>
      </c>
    </row>
    <row r="8" spans="1:3">
      <c r="A8" s="680" t="s">
        <v>55</v>
      </c>
      <c r="B8" s="680" t="s">
        <v>904</v>
      </c>
      <c r="C8" s="847" t="s">
        <v>2017</v>
      </c>
    </row>
    <row r="9" spans="1:3">
      <c r="A9" s="680" t="s">
        <v>484</v>
      </c>
      <c r="B9" s="680" t="s">
        <v>480</v>
      </c>
      <c r="C9" s="847" t="s">
        <v>2018</v>
      </c>
    </row>
    <row r="10" spans="1:3">
      <c r="A10" s="680" t="s">
        <v>485</v>
      </c>
      <c r="B10" s="680" t="s">
        <v>469</v>
      </c>
      <c r="C10" s="847" t="s">
        <v>2019</v>
      </c>
    </row>
    <row r="11" spans="1:3">
      <c r="A11" s="680" t="s">
        <v>486</v>
      </c>
      <c r="B11" s="680" t="s">
        <v>470</v>
      </c>
      <c r="C11" s="847" t="s">
        <v>2020</v>
      </c>
    </row>
    <row r="12" spans="1:3">
      <c r="A12" s="680" t="s">
        <v>13</v>
      </c>
      <c r="B12" s="680" t="s">
        <v>12</v>
      </c>
      <c r="C12" s="847" t="s">
        <v>2021</v>
      </c>
    </row>
    <row r="13" spans="1:3">
      <c r="A13" s="681" t="s">
        <v>490</v>
      </c>
      <c r="B13" s="681" t="s">
        <v>448</v>
      </c>
      <c r="C13" s="847" t="s">
        <v>2022</v>
      </c>
    </row>
    <row r="14" spans="1:3">
      <c r="A14" s="682" t="s">
        <v>900</v>
      </c>
      <c r="B14" s="682" t="s">
        <v>900</v>
      </c>
      <c r="C14" s="847" t="s">
        <v>900</v>
      </c>
    </row>
    <row r="15" spans="1:3">
      <c r="A15" s="680" t="s">
        <v>487</v>
      </c>
      <c r="B15" s="680" t="s">
        <v>488</v>
      </c>
      <c r="C15" s="847" t="s">
        <v>2023</v>
      </c>
    </row>
    <row r="16" spans="1:3">
      <c r="A16" s="680" t="s">
        <v>468</v>
      </c>
      <c r="B16" s="680" t="s">
        <v>468</v>
      </c>
      <c r="C16" s="847" t="s">
        <v>2024</v>
      </c>
    </row>
    <row r="17" spans="1:3">
      <c r="A17" s="680" t="s">
        <v>364</v>
      </c>
      <c r="B17" s="680" t="s">
        <v>364</v>
      </c>
      <c r="C17" s="847" t="s">
        <v>2025</v>
      </c>
    </row>
    <row r="18" spans="1:3">
      <c r="A18" s="680" t="s">
        <v>905</v>
      </c>
      <c r="B18" s="680" t="s">
        <v>905</v>
      </c>
      <c r="C18" s="847" t="s">
        <v>2026</v>
      </c>
    </row>
    <row r="19" spans="1:3">
      <c r="A19" s="680" t="s">
        <v>18</v>
      </c>
      <c r="B19" s="680" t="s">
        <v>19</v>
      </c>
      <c r="C19" s="848" t="s">
        <v>2027</v>
      </c>
    </row>
    <row r="20" spans="1:3">
      <c r="A20" s="680" t="s">
        <v>123</v>
      </c>
      <c r="B20" s="680" t="s">
        <v>124</v>
      </c>
      <c r="C20" s="847" t="s">
        <v>2028</v>
      </c>
    </row>
    <row r="21" spans="1:3">
      <c r="A21" s="680" t="s">
        <v>489</v>
      </c>
      <c r="B21" s="680" t="s">
        <v>22</v>
      </c>
      <c r="C21" s="847" t="s">
        <v>2029</v>
      </c>
    </row>
    <row r="22" spans="1:3">
      <c r="A22" s="681" t="s">
        <v>1095</v>
      </c>
      <c r="B22" s="681" t="s">
        <v>1095</v>
      </c>
      <c r="C22" s="847" t="s">
        <v>2030</v>
      </c>
    </row>
    <row r="23" spans="1:3">
      <c r="A23" s="680" t="s">
        <v>1008</v>
      </c>
      <c r="B23" s="680" t="s">
        <v>1007</v>
      </c>
      <c r="C23" s="847" t="s">
        <v>2031</v>
      </c>
    </row>
    <row r="24" spans="1:3">
      <c r="A24" s="680" t="s">
        <v>33</v>
      </c>
      <c r="B24" s="680" t="s">
        <v>32</v>
      </c>
      <c r="C24" s="847" t="s">
        <v>2032</v>
      </c>
    </row>
    <row r="25" spans="1:3">
      <c r="A25" s="680" t="s">
        <v>1742</v>
      </c>
      <c r="B25" s="680" t="s">
        <v>1741</v>
      </c>
      <c r="C25" s="986" t="s">
        <v>3354</v>
      </c>
    </row>
    <row r="26" spans="1:3">
      <c r="A26" s="829" t="s">
        <v>854</v>
      </c>
      <c r="B26" s="829" t="s">
        <v>854</v>
      </c>
      <c r="C26" s="847" t="s">
        <v>2033</v>
      </c>
    </row>
    <row r="27" spans="1:3">
      <c r="A27" s="680" t="s">
        <v>491</v>
      </c>
      <c r="B27" s="680" t="s">
        <v>449</v>
      </c>
      <c r="C27" s="847" t="s">
        <v>2034</v>
      </c>
    </row>
    <row r="28" spans="1:3">
      <c r="A28" s="681" t="s">
        <v>1104</v>
      </c>
      <c r="B28" s="681" t="s">
        <v>1096</v>
      </c>
      <c r="C28" s="847" t="s">
        <v>2035</v>
      </c>
    </row>
    <row r="29" spans="1:3">
      <c r="A29" s="680" t="s">
        <v>577</v>
      </c>
      <c r="B29" s="680" t="s">
        <v>30</v>
      </c>
      <c r="C29" s="847" t="s">
        <v>2036</v>
      </c>
    </row>
    <row r="30" spans="1:3">
      <c r="A30" s="680" t="s">
        <v>578</v>
      </c>
      <c r="B30" s="680" t="s">
        <v>31</v>
      </c>
      <c r="C30" s="847" t="s">
        <v>2037</v>
      </c>
    </row>
    <row r="31" spans="1:3">
      <c r="A31" s="680" t="s">
        <v>14</v>
      </c>
      <c r="B31" s="680" t="s">
        <v>778</v>
      </c>
      <c r="C31" s="847" t="s">
        <v>2038</v>
      </c>
    </row>
    <row r="32" spans="1:3">
      <c r="A32" s="680" t="s">
        <v>15</v>
      </c>
      <c r="B32" s="680" t="s">
        <v>16</v>
      </c>
      <c r="C32" s="847" t="s">
        <v>2039</v>
      </c>
    </row>
    <row r="33" spans="1:3">
      <c r="A33" s="680" t="s">
        <v>362</v>
      </c>
      <c r="B33" s="680" t="s">
        <v>363</v>
      </c>
      <c r="C33" s="847" t="s">
        <v>2040</v>
      </c>
    </row>
    <row r="34" spans="1:3">
      <c r="A34" s="680" t="s">
        <v>29</v>
      </c>
      <c r="B34" s="680" t="s">
        <v>28</v>
      </c>
      <c r="C34" s="847" t="s">
        <v>2041</v>
      </c>
    </row>
    <row r="35" spans="1:3">
      <c r="A35" s="829" t="s">
        <v>504</v>
      </c>
      <c r="B35" s="680" t="s">
        <v>507</v>
      </c>
      <c r="C35" s="847" t="s">
        <v>2042</v>
      </c>
    </row>
    <row r="36" spans="1:3">
      <c r="A36" s="829" t="s">
        <v>26</v>
      </c>
      <c r="B36" s="680" t="s">
        <v>25</v>
      </c>
      <c r="C36" s="847" t="s">
        <v>2043</v>
      </c>
    </row>
    <row r="37" spans="1:3">
      <c r="A37" s="829" t="s">
        <v>906</v>
      </c>
      <c r="B37" s="680" t="s">
        <v>27</v>
      </c>
      <c r="C37" s="847" t="s">
        <v>2044</v>
      </c>
    </row>
    <row r="38" spans="1:3">
      <c r="A38" s="829" t="s">
        <v>89</v>
      </c>
      <c r="B38" s="680" t="s">
        <v>89</v>
      </c>
      <c r="C38" s="847" t="s">
        <v>2045</v>
      </c>
    </row>
    <row r="39" spans="1:3">
      <c r="A39" s="829" t="s">
        <v>506</v>
      </c>
      <c r="B39" s="680" t="s">
        <v>509</v>
      </c>
      <c r="C39" s="847" t="s">
        <v>2046</v>
      </c>
    </row>
    <row r="40" spans="1:3">
      <c r="A40" s="680" t="s">
        <v>934</v>
      </c>
      <c r="B40" s="680" t="s">
        <v>935</v>
      </c>
      <c r="C40" s="847" t="s">
        <v>2047</v>
      </c>
    </row>
    <row r="41" spans="1:3">
      <c r="A41" s="680" t="s">
        <v>105</v>
      </c>
      <c r="B41" s="680" t="s">
        <v>100</v>
      </c>
      <c r="C41" s="849" t="s">
        <v>2048</v>
      </c>
    </row>
    <row r="42" spans="1:3">
      <c r="A42" s="680" t="s">
        <v>106</v>
      </c>
      <c r="B42" s="680" t="s">
        <v>99</v>
      </c>
      <c r="C42" s="847" t="s">
        <v>2049</v>
      </c>
    </row>
    <row r="43" spans="1:3">
      <c r="A43" s="829" t="s">
        <v>873</v>
      </c>
      <c r="B43" s="829" t="s">
        <v>848</v>
      </c>
      <c r="C43" s="847" t="s">
        <v>2050</v>
      </c>
    </row>
    <row r="44" spans="1:3">
      <c r="A44" s="829" t="s">
        <v>874</v>
      </c>
      <c r="B44" s="829" t="s">
        <v>849</v>
      </c>
      <c r="C44" s="847" t="s">
        <v>2051</v>
      </c>
    </row>
    <row r="45" spans="1:3">
      <c r="A45" s="829" t="s">
        <v>875</v>
      </c>
      <c r="B45" s="829" t="s">
        <v>850</v>
      </c>
      <c r="C45" s="847" t="s">
        <v>2052</v>
      </c>
    </row>
    <row r="46" spans="1:3">
      <c r="A46" s="829" t="s">
        <v>876</v>
      </c>
      <c r="B46" s="829" t="s">
        <v>852</v>
      </c>
      <c r="C46" s="847" t="s">
        <v>2053</v>
      </c>
    </row>
    <row r="47" spans="1:3">
      <c r="A47" s="829" t="s">
        <v>877</v>
      </c>
      <c r="B47" s="829" t="s">
        <v>851</v>
      </c>
      <c r="C47" s="847" t="s">
        <v>2054</v>
      </c>
    </row>
    <row r="48" spans="1:3">
      <c r="A48" s="829" t="s">
        <v>878</v>
      </c>
      <c r="B48" s="829" t="s">
        <v>853</v>
      </c>
      <c r="C48" s="847" t="s">
        <v>2055</v>
      </c>
    </row>
    <row r="49" spans="1:3">
      <c r="A49" s="830" t="s">
        <v>879</v>
      </c>
      <c r="B49" s="829" t="s">
        <v>855</v>
      </c>
      <c r="C49" s="847" t="s">
        <v>2056</v>
      </c>
    </row>
    <row r="50" spans="1:3">
      <c r="A50" s="830" t="s">
        <v>880</v>
      </c>
      <c r="B50" s="829" t="s">
        <v>857</v>
      </c>
      <c r="C50" s="847" t="s">
        <v>2057</v>
      </c>
    </row>
    <row r="51" spans="1:3" ht="27.6">
      <c r="A51" s="830" t="s">
        <v>881</v>
      </c>
      <c r="B51" s="830" t="s">
        <v>867</v>
      </c>
      <c r="C51" s="847" t="s">
        <v>2058</v>
      </c>
    </row>
    <row r="52" spans="1:3">
      <c r="A52" s="830" t="s">
        <v>882</v>
      </c>
      <c r="B52" s="829" t="s">
        <v>859</v>
      </c>
      <c r="C52" s="847" t="s">
        <v>2059</v>
      </c>
    </row>
    <row r="53" spans="1:3" ht="27.6">
      <c r="A53" s="830" t="s">
        <v>1083</v>
      </c>
      <c r="B53" s="830" t="s">
        <v>1082</v>
      </c>
      <c r="C53" s="847" t="s">
        <v>2060</v>
      </c>
    </row>
    <row r="54" spans="1:3" ht="41.4">
      <c r="A54" s="830" t="s">
        <v>883</v>
      </c>
      <c r="B54" s="830" t="s">
        <v>861</v>
      </c>
      <c r="C54" s="847" t="s">
        <v>2061</v>
      </c>
    </row>
    <row r="55" spans="1:3">
      <c r="A55" s="830" t="s">
        <v>884</v>
      </c>
      <c r="B55" s="830" t="s">
        <v>868</v>
      </c>
      <c r="C55" s="847" t="s">
        <v>2062</v>
      </c>
    </row>
    <row r="56" spans="1:3" ht="41.4">
      <c r="A56" s="830" t="s">
        <v>885</v>
      </c>
      <c r="B56" s="830" t="s">
        <v>862</v>
      </c>
      <c r="C56" s="847" t="s">
        <v>2063</v>
      </c>
    </row>
    <row r="57" spans="1:3" ht="27.6">
      <c r="A57" s="830" t="s">
        <v>886</v>
      </c>
      <c r="B57" s="830" t="s">
        <v>856</v>
      </c>
      <c r="C57" s="847" t="s">
        <v>2064</v>
      </c>
    </row>
    <row r="58" spans="1:3" ht="27.6">
      <c r="A58" s="830" t="s">
        <v>893</v>
      </c>
      <c r="B58" s="830" t="s">
        <v>869</v>
      </c>
      <c r="C58" s="847" t="s">
        <v>2065</v>
      </c>
    </row>
    <row r="59" spans="1:3">
      <c r="A59" s="830" t="s">
        <v>887</v>
      </c>
      <c r="B59" s="829" t="s">
        <v>858</v>
      </c>
      <c r="C59" s="847" t="s">
        <v>2066</v>
      </c>
    </row>
    <row r="60" spans="1:3" ht="41.4">
      <c r="A60" s="830" t="s">
        <v>888</v>
      </c>
      <c r="B60" s="830" t="s">
        <v>860</v>
      </c>
      <c r="C60" s="847" t="s">
        <v>2067</v>
      </c>
    </row>
    <row r="61" spans="1:3" ht="27.6">
      <c r="A61" s="830" t="s">
        <v>889</v>
      </c>
      <c r="B61" s="830" t="s">
        <v>863</v>
      </c>
      <c r="C61" s="847" t="s">
        <v>2068</v>
      </c>
    </row>
    <row r="62" spans="1:3" ht="27.6">
      <c r="A62" s="830" t="s">
        <v>890</v>
      </c>
      <c r="B62" s="830" t="s">
        <v>864</v>
      </c>
      <c r="C62" s="847" t="s">
        <v>2069</v>
      </c>
    </row>
    <row r="63" spans="1:3" ht="27.6">
      <c r="A63" s="830" t="s">
        <v>891</v>
      </c>
      <c r="B63" s="829" t="s">
        <v>865</v>
      </c>
      <c r="C63" s="847" t="s">
        <v>2070</v>
      </c>
    </row>
    <row r="64" spans="1:3" ht="27.6">
      <c r="A64" s="830" t="s">
        <v>892</v>
      </c>
      <c r="B64" s="829" t="s">
        <v>866</v>
      </c>
      <c r="C64" s="847" t="s">
        <v>2071</v>
      </c>
    </row>
    <row r="65" spans="1:3">
      <c r="A65" s="830" t="s">
        <v>1105</v>
      </c>
      <c r="B65" s="829" t="s">
        <v>932</v>
      </c>
      <c r="C65" s="847" t="s">
        <v>2072</v>
      </c>
    </row>
    <row r="66" spans="1:3">
      <c r="A66" s="830" t="s">
        <v>1106</v>
      </c>
      <c r="B66" s="829" t="s">
        <v>933</v>
      </c>
      <c r="C66" s="847" t="s">
        <v>2073</v>
      </c>
    </row>
    <row r="67" spans="1:3">
      <c r="A67" s="681" t="s">
        <v>1107</v>
      </c>
      <c r="B67" s="681" t="s">
        <v>1097</v>
      </c>
      <c r="C67" s="847" t="s">
        <v>2074</v>
      </c>
    </row>
    <row r="68" spans="1:3">
      <c r="A68" s="680" t="s">
        <v>453</v>
      </c>
      <c r="B68" s="680" t="s">
        <v>453</v>
      </c>
      <c r="C68" s="847" t="s">
        <v>2075</v>
      </c>
    </row>
    <row r="69" spans="1:3">
      <c r="A69" s="829" t="s">
        <v>50</v>
      </c>
      <c r="B69" s="829" t="s">
        <v>49</v>
      </c>
      <c r="C69" s="847" t="s">
        <v>2076</v>
      </c>
    </row>
    <row r="70" spans="1:3">
      <c r="A70" s="680" t="s">
        <v>787</v>
      </c>
      <c r="B70" s="829" t="s">
        <v>786</v>
      </c>
      <c r="C70" s="847" t="s">
        <v>2077</v>
      </c>
    </row>
    <row r="71" spans="1:3">
      <c r="A71" s="680" t="s">
        <v>501</v>
      </c>
      <c r="B71" s="680" t="s">
        <v>471</v>
      </c>
      <c r="C71" s="847" t="s">
        <v>2078</v>
      </c>
    </row>
    <row r="72" spans="1:3">
      <c r="A72" s="829" t="s">
        <v>834</v>
      </c>
      <c r="B72" s="829" t="s">
        <v>835</v>
      </c>
      <c r="C72" s="847" t="s">
        <v>2079</v>
      </c>
    </row>
    <row r="73" spans="1:3">
      <c r="A73" s="680" t="s">
        <v>836</v>
      </c>
      <c r="B73" s="680" t="s">
        <v>837</v>
      </c>
      <c r="C73" s="847" t="s">
        <v>2080</v>
      </c>
    </row>
    <row r="74" spans="1:3">
      <c r="A74" s="680" t="s">
        <v>359</v>
      </c>
      <c r="B74" s="680" t="s">
        <v>361</v>
      </c>
      <c r="C74" s="847" t="s">
        <v>2081</v>
      </c>
    </row>
    <row r="75" spans="1:3">
      <c r="A75" s="680" t="s">
        <v>358</v>
      </c>
      <c r="B75" s="680" t="s">
        <v>360</v>
      </c>
      <c r="C75" s="847" t="s">
        <v>2082</v>
      </c>
    </row>
    <row r="76" spans="1:3">
      <c r="A76" s="680" t="s">
        <v>502</v>
      </c>
      <c r="B76" s="680" t="s">
        <v>474</v>
      </c>
      <c r="C76" s="847" t="s">
        <v>2083</v>
      </c>
    </row>
    <row r="77" spans="1:3">
      <c r="A77" s="680" t="s">
        <v>35</v>
      </c>
      <c r="B77" s="680" t="s">
        <v>34</v>
      </c>
      <c r="C77" s="847" t="s">
        <v>2084</v>
      </c>
    </row>
    <row r="78" spans="1:3">
      <c r="A78" s="680" t="s">
        <v>37</v>
      </c>
      <c r="B78" s="680" t="s">
        <v>40</v>
      </c>
      <c r="C78" s="847" t="s">
        <v>2085</v>
      </c>
    </row>
    <row r="79" spans="1:3">
      <c r="A79" s="680" t="s">
        <v>39</v>
      </c>
      <c r="B79" s="680" t="s">
        <v>38</v>
      </c>
      <c r="C79" s="847" t="s">
        <v>2086</v>
      </c>
    </row>
    <row r="80" spans="1:3">
      <c r="A80" s="680" t="s">
        <v>493</v>
      </c>
      <c r="B80" s="680" t="s">
        <v>797</v>
      </c>
      <c r="C80" s="847" t="s">
        <v>2087</v>
      </c>
    </row>
    <row r="81" spans="1:3">
      <c r="A81" s="680" t="s">
        <v>1056</v>
      </c>
      <c r="B81" s="680" t="s">
        <v>942</v>
      </c>
      <c r="C81" s="847" t="s">
        <v>2088</v>
      </c>
    </row>
    <row r="82" spans="1:3">
      <c r="A82" s="680" t="s">
        <v>72</v>
      </c>
      <c r="B82" s="680" t="s">
        <v>73</v>
      </c>
      <c r="C82" s="847" t="s">
        <v>2089</v>
      </c>
    </row>
    <row r="83" spans="1:3">
      <c r="A83" s="680" t="s">
        <v>36</v>
      </c>
      <c r="B83" s="680" t="s">
        <v>1</v>
      </c>
      <c r="C83" s="847" t="s">
        <v>2090</v>
      </c>
    </row>
    <row r="84" spans="1:3">
      <c r="A84" s="829" t="s">
        <v>583</v>
      </c>
      <c r="B84" s="829" t="s">
        <v>582</v>
      </c>
      <c r="C84" s="847" t="s">
        <v>2091</v>
      </c>
    </row>
    <row r="85" spans="1:3">
      <c r="A85" s="680" t="s">
        <v>1055</v>
      </c>
      <c r="B85" s="680" t="s">
        <v>450</v>
      </c>
      <c r="C85" s="847" t="s">
        <v>2092</v>
      </c>
    </row>
    <row r="86" spans="1:3">
      <c r="A86" s="680" t="s">
        <v>495</v>
      </c>
      <c r="B86" s="680" t="s">
        <v>452</v>
      </c>
      <c r="C86" s="847" t="s">
        <v>2093</v>
      </c>
    </row>
    <row r="87" spans="1:3">
      <c r="A87" s="680" t="s">
        <v>496</v>
      </c>
      <c r="B87" s="680" t="s">
        <v>494</v>
      </c>
      <c r="C87" s="847" t="s">
        <v>2094</v>
      </c>
    </row>
    <row r="88" spans="1:3">
      <c r="A88" s="680" t="s">
        <v>497</v>
      </c>
      <c r="B88" s="680" t="s">
        <v>451</v>
      </c>
      <c r="C88" s="847" t="s">
        <v>2095</v>
      </c>
    </row>
    <row r="89" spans="1:3">
      <c r="A89" s="680" t="s">
        <v>3341</v>
      </c>
      <c r="B89" s="680" t="s">
        <v>3341</v>
      </c>
      <c r="C89" s="958" t="s">
        <v>3341</v>
      </c>
    </row>
    <row r="90" spans="1:3">
      <c r="A90" s="680" t="s">
        <v>498</v>
      </c>
      <c r="B90" s="680" t="s">
        <v>472</v>
      </c>
      <c r="C90" s="847" t="s">
        <v>2096</v>
      </c>
    </row>
    <row r="91" spans="1:3">
      <c r="A91" s="680" t="s">
        <v>499</v>
      </c>
      <c r="B91" s="680" t="s">
        <v>473</v>
      </c>
      <c r="C91" s="847" t="s">
        <v>2097</v>
      </c>
    </row>
    <row r="92" spans="1:3">
      <c r="A92" s="680" t="s">
        <v>500</v>
      </c>
      <c r="B92" s="680" t="s">
        <v>475</v>
      </c>
      <c r="C92" s="849" t="s">
        <v>2098</v>
      </c>
    </row>
    <row r="93" spans="1:3">
      <c r="A93" s="680" t="s">
        <v>503</v>
      </c>
      <c r="B93" s="680" t="s">
        <v>459</v>
      </c>
      <c r="C93" s="849" t="s">
        <v>2099</v>
      </c>
    </row>
    <row r="94" spans="1:3">
      <c r="A94" s="680" t="s">
        <v>908</v>
      </c>
      <c r="B94" s="680" t="s">
        <v>907</v>
      </c>
      <c r="C94" s="849" t="s">
        <v>2100</v>
      </c>
    </row>
    <row r="95" spans="1:3">
      <c r="A95" s="680" t="s">
        <v>492</v>
      </c>
      <c r="B95" s="680" t="s">
        <v>466</v>
      </c>
      <c r="C95" s="849" t="s">
        <v>2101</v>
      </c>
    </row>
    <row r="96" spans="1:3">
      <c r="A96" s="681" t="s">
        <v>927</v>
      </c>
      <c r="B96" s="831" t="s">
        <v>927</v>
      </c>
      <c r="C96" s="847" t="s">
        <v>2102</v>
      </c>
    </row>
    <row r="97" spans="1:3">
      <c r="A97" s="829" t="s">
        <v>805</v>
      </c>
      <c r="B97" s="682" t="s">
        <v>806</v>
      </c>
      <c r="C97" s="847" t="s">
        <v>2103</v>
      </c>
    </row>
    <row r="98" spans="1:3">
      <c r="A98" s="829" t="s">
        <v>589</v>
      </c>
      <c r="B98" s="680" t="s">
        <v>590</v>
      </c>
      <c r="C98" s="847" t="s">
        <v>2104</v>
      </c>
    </row>
    <row r="99" spans="1:3">
      <c r="A99" s="680" t="s">
        <v>792</v>
      </c>
      <c r="B99" s="832" t="s">
        <v>782</v>
      </c>
      <c r="C99" s="847" t="s">
        <v>2105</v>
      </c>
    </row>
    <row r="100" spans="1:3">
      <c r="A100" s="680" t="s">
        <v>793</v>
      </c>
      <c r="B100" s="832" t="s">
        <v>783</v>
      </c>
      <c r="C100" s="847" t="s">
        <v>2106</v>
      </c>
    </row>
    <row r="101" spans="1:3">
      <c r="A101" s="680" t="s">
        <v>794</v>
      </c>
      <c r="B101" s="832" t="s">
        <v>784</v>
      </c>
      <c r="C101" s="847" t="s">
        <v>2107</v>
      </c>
    </row>
    <row r="102" spans="1:3">
      <c r="A102" s="680" t="s">
        <v>781</v>
      </c>
      <c r="B102" s="829" t="s">
        <v>780</v>
      </c>
      <c r="C102" s="847" t="s">
        <v>2108</v>
      </c>
    </row>
    <row r="103" spans="1:3">
      <c r="A103" s="829" t="s">
        <v>505</v>
      </c>
      <c r="B103" s="680" t="s">
        <v>508</v>
      </c>
      <c r="C103" s="847" t="s">
        <v>2109</v>
      </c>
    </row>
    <row r="104" spans="1:3">
      <c r="A104" s="829" t="s">
        <v>510</v>
      </c>
      <c r="B104" s="680" t="s">
        <v>511</v>
      </c>
      <c r="C104" s="847" t="s">
        <v>2110</v>
      </c>
    </row>
    <row r="105" spans="1:3" ht="41.4">
      <c r="A105" s="833" t="s">
        <v>513</v>
      </c>
      <c r="B105" s="682" t="s">
        <v>481</v>
      </c>
      <c r="C105" s="847" t="s">
        <v>2111</v>
      </c>
    </row>
    <row r="106" spans="1:3">
      <c r="A106" s="684" t="s">
        <v>928</v>
      </c>
      <c r="B106" s="684" t="s">
        <v>929</v>
      </c>
      <c r="C106" s="847" t="s">
        <v>2112</v>
      </c>
    </row>
    <row r="107" spans="1:3" ht="27.6">
      <c r="A107" s="829" t="s">
        <v>516</v>
      </c>
      <c r="B107" s="682" t="s">
        <v>515</v>
      </c>
      <c r="C107" s="847" t="s">
        <v>2113</v>
      </c>
    </row>
    <row r="108" spans="1:3">
      <c r="A108" s="680" t="s">
        <v>70</v>
      </c>
      <c r="B108" s="680" t="s">
        <v>71</v>
      </c>
      <c r="C108" s="847" t="s">
        <v>2114</v>
      </c>
    </row>
    <row r="109" spans="1:3">
      <c r="A109" s="829" t="s">
        <v>533</v>
      </c>
      <c r="B109" s="680" t="s">
        <v>444</v>
      </c>
      <c r="C109" s="847" t="s">
        <v>2115</v>
      </c>
    </row>
    <row r="110" spans="1:3" ht="27.6">
      <c r="A110" s="830" t="s">
        <v>534</v>
      </c>
      <c r="B110" s="680" t="s">
        <v>430</v>
      </c>
      <c r="C110" s="847" t="s">
        <v>2116</v>
      </c>
    </row>
    <row r="111" spans="1:3">
      <c r="A111" s="829" t="s">
        <v>535</v>
      </c>
      <c r="B111" s="680" t="s">
        <v>434</v>
      </c>
      <c r="C111" s="847" t="s">
        <v>2117</v>
      </c>
    </row>
    <row r="112" spans="1:3">
      <c r="A112" s="829" t="s">
        <v>536</v>
      </c>
      <c r="B112" s="680" t="s">
        <v>438</v>
      </c>
      <c r="C112" s="847" t="s">
        <v>2118</v>
      </c>
    </row>
    <row r="113" spans="1:3">
      <c r="A113" s="829" t="s">
        <v>538</v>
      </c>
      <c r="B113" s="680" t="s">
        <v>537</v>
      </c>
      <c r="C113" s="847" t="s">
        <v>2119</v>
      </c>
    </row>
    <row r="114" spans="1:3" ht="27.6">
      <c r="A114" s="830" t="s">
        <v>539</v>
      </c>
      <c r="B114" s="680" t="s">
        <v>445</v>
      </c>
      <c r="C114" s="847" t="s">
        <v>2120</v>
      </c>
    </row>
    <row r="115" spans="1:3">
      <c r="A115" s="680" t="s">
        <v>24</v>
      </c>
      <c r="B115" s="680" t="s">
        <v>23</v>
      </c>
      <c r="C115" s="847" t="s">
        <v>2121</v>
      </c>
    </row>
    <row r="116" spans="1:3">
      <c r="A116" s="829" t="s">
        <v>517</v>
      </c>
      <c r="B116" s="680" t="s">
        <v>427</v>
      </c>
      <c r="C116" s="847" t="s">
        <v>2122</v>
      </c>
    </row>
    <row r="117" spans="1:3">
      <c r="A117" s="829" t="s">
        <v>518</v>
      </c>
      <c r="B117" s="680" t="s">
        <v>431</v>
      </c>
      <c r="C117" s="847" t="s">
        <v>2123</v>
      </c>
    </row>
    <row r="118" spans="1:3">
      <c r="A118" s="829" t="s">
        <v>519</v>
      </c>
      <c r="B118" s="680" t="s">
        <v>435</v>
      </c>
      <c r="C118" s="847" t="s">
        <v>2124</v>
      </c>
    </row>
    <row r="119" spans="1:3" ht="27.6">
      <c r="A119" s="830" t="s">
        <v>520</v>
      </c>
      <c r="B119" s="830" t="s">
        <v>439</v>
      </c>
      <c r="C119" s="847" t="s">
        <v>2125</v>
      </c>
    </row>
    <row r="120" spans="1:3">
      <c r="A120" s="829" t="s">
        <v>521</v>
      </c>
      <c r="B120" s="680" t="s">
        <v>442</v>
      </c>
      <c r="C120" s="847" t="s">
        <v>2126</v>
      </c>
    </row>
    <row r="121" spans="1:3">
      <c r="A121" s="829" t="s">
        <v>522</v>
      </c>
      <c r="B121" s="680" t="s">
        <v>446</v>
      </c>
      <c r="C121" s="847" t="s">
        <v>2127</v>
      </c>
    </row>
    <row r="122" spans="1:3">
      <c r="A122" s="680" t="s">
        <v>74</v>
      </c>
      <c r="B122" s="680" t="s">
        <v>74</v>
      </c>
      <c r="C122" s="847" t="s">
        <v>2128</v>
      </c>
    </row>
    <row r="123" spans="1:3" ht="27.6">
      <c r="A123" s="830" t="s">
        <v>528</v>
      </c>
      <c r="B123" s="680" t="s">
        <v>447</v>
      </c>
      <c r="C123" s="847" t="s">
        <v>2129</v>
      </c>
    </row>
    <row r="124" spans="1:3">
      <c r="A124" s="829" t="s">
        <v>529</v>
      </c>
      <c r="B124" s="680" t="s">
        <v>429</v>
      </c>
      <c r="C124" s="847" t="s">
        <v>2130</v>
      </c>
    </row>
    <row r="125" spans="1:3">
      <c r="A125" s="829" t="s">
        <v>530</v>
      </c>
      <c r="B125" s="680" t="s">
        <v>433</v>
      </c>
      <c r="C125" s="847" t="s">
        <v>2131</v>
      </c>
    </row>
    <row r="126" spans="1:3">
      <c r="A126" s="829" t="s">
        <v>531</v>
      </c>
      <c r="B126" s="680" t="s">
        <v>437</v>
      </c>
      <c r="C126" s="849" t="s">
        <v>2132</v>
      </c>
    </row>
    <row r="127" spans="1:3">
      <c r="A127" s="829" t="s">
        <v>532</v>
      </c>
      <c r="B127" s="680" t="s">
        <v>441</v>
      </c>
      <c r="C127" s="849" t="s">
        <v>2133</v>
      </c>
    </row>
    <row r="128" spans="1:3">
      <c r="A128" s="680" t="s">
        <v>72</v>
      </c>
      <c r="B128" s="680" t="s">
        <v>73</v>
      </c>
      <c r="C128" s="847" t="s">
        <v>2089</v>
      </c>
    </row>
    <row r="129" spans="1:3">
      <c r="A129" s="829" t="s">
        <v>523</v>
      </c>
      <c r="B129" s="680" t="s">
        <v>428</v>
      </c>
      <c r="C129" s="847" t="s">
        <v>2134</v>
      </c>
    </row>
    <row r="130" spans="1:3">
      <c r="A130" s="829" t="s">
        <v>524</v>
      </c>
      <c r="B130" s="680" t="s">
        <v>432</v>
      </c>
      <c r="C130" s="847" t="s">
        <v>2135</v>
      </c>
    </row>
    <row r="131" spans="1:3">
      <c r="A131" s="829" t="s">
        <v>525</v>
      </c>
      <c r="B131" s="680" t="s">
        <v>436</v>
      </c>
      <c r="C131" s="847" t="s">
        <v>2136</v>
      </c>
    </row>
    <row r="132" spans="1:3">
      <c r="A132" s="829" t="s">
        <v>526</v>
      </c>
      <c r="B132" s="680" t="s">
        <v>440</v>
      </c>
      <c r="C132" s="847" t="s">
        <v>2137</v>
      </c>
    </row>
    <row r="133" spans="1:3">
      <c r="A133" s="829" t="s">
        <v>527</v>
      </c>
      <c r="B133" s="680" t="s">
        <v>443</v>
      </c>
      <c r="C133" s="847" t="s">
        <v>2138</v>
      </c>
    </row>
    <row r="134" spans="1:3">
      <c r="A134" s="680" t="s">
        <v>909</v>
      </c>
      <c r="B134" s="680" t="s">
        <v>75</v>
      </c>
      <c r="C134" s="847" t="s">
        <v>2139</v>
      </c>
    </row>
    <row r="135" spans="1:3">
      <c r="A135" s="680" t="s">
        <v>514</v>
      </c>
      <c r="B135" s="680" t="s">
        <v>5</v>
      </c>
      <c r="C135" s="847" t="s">
        <v>2140</v>
      </c>
    </row>
    <row r="136" spans="1:3">
      <c r="A136" s="681" t="s">
        <v>41</v>
      </c>
      <c r="B136" s="681" t="s">
        <v>46</v>
      </c>
      <c r="C136" s="847" t="s">
        <v>2141</v>
      </c>
    </row>
    <row r="137" spans="1:3">
      <c r="A137" s="680" t="s">
        <v>871</v>
      </c>
      <c r="B137" s="680" t="s">
        <v>870</v>
      </c>
      <c r="C137" s="847" t="s">
        <v>2142</v>
      </c>
    </row>
    <row r="138" spans="1:3">
      <c r="A138" s="680" t="s">
        <v>872</v>
      </c>
      <c r="B138" s="680" t="s">
        <v>899</v>
      </c>
      <c r="C138" s="847" t="s">
        <v>2143</v>
      </c>
    </row>
    <row r="139" spans="1:3">
      <c r="A139" s="680" t="s">
        <v>42</v>
      </c>
      <c r="B139" s="680" t="s">
        <v>47</v>
      </c>
      <c r="C139" s="847" t="s">
        <v>2144</v>
      </c>
    </row>
    <row r="140" spans="1:3">
      <c r="A140" s="680" t="s">
        <v>44</v>
      </c>
      <c r="B140" s="680" t="s">
        <v>43</v>
      </c>
      <c r="C140" s="847" t="s">
        <v>2145</v>
      </c>
    </row>
    <row r="141" spans="1:3">
      <c r="A141" s="682" t="s">
        <v>896</v>
      </c>
      <c r="B141" s="680" t="s">
        <v>894</v>
      </c>
      <c r="C141" s="848" t="s">
        <v>2146</v>
      </c>
    </row>
    <row r="142" spans="1:3" ht="27.6">
      <c r="A142" s="682" t="s">
        <v>898</v>
      </c>
      <c r="B142" s="682" t="s">
        <v>897</v>
      </c>
      <c r="C142" s="850" t="s">
        <v>2147</v>
      </c>
    </row>
    <row r="143" spans="1:3">
      <c r="A143" s="831" t="s">
        <v>923</v>
      </c>
      <c r="B143" s="681" t="s">
        <v>924</v>
      </c>
      <c r="C143" s="847" t="s">
        <v>2148</v>
      </c>
    </row>
    <row r="144" spans="1:3">
      <c r="A144" s="829" t="s">
        <v>911</v>
      </c>
      <c r="B144" s="680" t="s">
        <v>910</v>
      </c>
      <c r="C144" s="847" t="s">
        <v>2149</v>
      </c>
    </row>
    <row r="145" spans="1:3">
      <c r="A145" s="681" t="s">
        <v>912</v>
      </c>
      <c r="B145" s="681" t="s">
        <v>913</v>
      </c>
      <c r="C145" s="847" t="s">
        <v>2150</v>
      </c>
    </row>
    <row r="146" spans="1:3">
      <c r="A146" s="829" t="s">
        <v>788</v>
      </c>
      <c r="B146" s="829" t="s">
        <v>789</v>
      </c>
      <c r="C146" s="851" t="s">
        <v>2151</v>
      </c>
    </row>
    <row r="147" spans="1:3">
      <c r="A147" s="829" t="s">
        <v>790</v>
      </c>
      <c r="B147" s="829" t="s">
        <v>795</v>
      </c>
      <c r="C147" s="851" t="s">
        <v>2152</v>
      </c>
    </row>
    <row r="148" spans="1:3">
      <c r="A148" s="829" t="s">
        <v>791</v>
      </c>
      <c r="B148" s="829" t="s">
        <v>796</v>
      </c>
      <c r="C148" s="851" t="s">
        <v>2153</v>
      </c>
    </row>
    <row r="149" spans="1:3">
      <c r="A149" s="829" t="s">
        <v>541</v>
      </c>
      <c r="B149" s="680" t="s">
        <v>419</v>
      </c>
      <c r="C149" s="851" t="s">
        <v>2154</v>
      </c>
    </row>
    <row r="150" spans="1:3">
      <c r="A150" s="829" t="s">
        <v>549</v>
      </c>
      <c r="B150" s="680" t="s">
        <v>548</v>
      </c>
      <c r="C150" s="851" t="s">
        <v>2155</v>
      </c>
    </row>
    <row r="151" spans="1:3">
      <c r="A151" s="829" t="s">
        <v>580</v>
      </c>
      <c r="B151" s="680" t="s">
        <v>550</v>
      </c>
      <c r="C151" s="851" t="s">
        <v>2156</v>
      </c>
    </row>
    <row r="152" spans="1:3">
      <c r="A152" s="829" t="s">
        <v>551</v>
      </c>
      <c r="B152" s="680" t="s">
        <v>421</v>
      </c>
      <c r="C152" s="851" t="s">
        <v>2157</v>
      </c>
    </row>
    <row r="153" spans="1:3">
      <c r="A153" s="829" t="s">
        <v>552</v>
      </c>
      <c r="B153" s="680" t="s">
        <v>422</v>
      </c>
      <c r="C153" s="851" t="s">
        <v>2158</v>
      </c>
    </row>
    <row r="154" spans="1:3">
      <c r="A154" s="829" t="s">
        <v>543</v>
      </c>
      <c r="B154" s="680" t="s">
        <v>423</v>
      </c>
      <c r="C154" s="851" t="s">
        <v>2159</v>
      </c>
    </row>
    <row r="155" spans="1:3">
      <c r="A155" s="829" t="s">
        <v>544</v>
      </c>
      <c r="B155" s="680" t="s">
        <v>424</v>
      </c>
      <c r="C155" s="851" t="s">
        <v>2160</v>
      </c>
    </row>
    <row r="156" spans="1:3">
      <c r="A156" s="829" t="s">
        <v>545</v>
      </c>
      <c r="B156" s="680" t="s">
        <v>425</v>
      </c>
      <c r="C156" s="851" t="s">
        <v>2161</v>
      </c>
    </row>
    <row r="157" spans="1:3">
      <c r="A157" s="829" t="s">
        <v>994</v>
      </c>
      <c r="B157" s="829" t="s">
        <v>1075</v>
      </c>
      <c r="C157" s="851" t="s">
        <v>2162</v>
      </c>
    </row>
    <row r="158" spans="1:3">
      <c r="A158" s="829" t="s">
        <v>995</v>
      </c>
      <c r="B158" s="829" t="s">
        <v>1076</v>
      </c>
      <c r="C158" s="851" t="s">
        <v>2163</v>
      </c>
    </row>
    <row r="159" spans="1:3">
      <c r="A159" s="829" t="s">
        <v>1124</v>
      </c>
      <c r="B159" s="829" t="s">
        <v>1123</v>
      </c>
      <c r="C159" s="851" t="s">
        <v>2164</v>
      </c>
    </row>
    <row r="160" spans="1:3">
      <c r="A160" s="829" t="s">
        <v>996</v>
      </c>
      <c r="B160" s="829" t="s">
        <v>1077</v>
      </c>
      <c r="C160" s="851" t="s">
        <v>2165</v>
      </c>
    </row>
    <row r="161" spans="1:3">
      <c r="A161" s="831" t="s">
        <v>540</v>
      </c>
      <c r="B161" s="681" t="s">
        <v>1125</v>
      </c>
      <c r="C161" s="851" t="s">
        <v>2166</v>
      </c>
    </row>
    <row r="162" spans="1:3">
      <c r="A162" s="831" t="s">
        <v>914</v>
      </c>
      <c r="B162" s="681" t="s">
        <v>840</v>
      </c>
      <c r="C162" s="851" t="s">
        <v>2167</v>
      </c>
    </row>
    <row r="163" spans="1:3">
      <c r="A163" s="829" t="s">
        <v>542</v>
      </c>
      <c r="B163" s="680" t="s">
        <v>420</v>
      </c>
      <c r="C163" s="851" t="s">
        <v>2168</v>
      </c>
    </row>
    <row r="164" spans="1:3">
      <c r="A164" s="829" t="s">
        <v>546</v>
      </c>
      <c r="B164" s="680" t="s">
        <v>45</v>
      </c>
      <c r="C164" s="851" t="s">
        <v>2169</v>
      </c>
    </row>
    <row r="165" spans="1:3">
      <c r="A165" s="829" t="s">
        <v>547</v>
      </c>
      <c r="B165" s="680" t="s">
        <v>584</v>
      </c>
      <c r="C165" s="851" t="s">
        <v>2170</v>
      </c>
    </row>
    <row r="166" spans="1:3">
      <c r="A166" s="829" t="s">
        <v>581</v>
      </c>
      <c r="B166" s="829" t="s">
        <v>48</v>
      </c>
      <c r="C166" s="851" t="s">
        <v>2171</v>
      </c>
    </row>
    <row r="167" spans="1:3" ht="27.6">
      <c r="A167" s="834" t="s">
        <v>801</v>
      </c>
      <c r="B167" s="834" t="s">
        <v>802</v>
      </c>
      <c r="C167" s="851" t="s">
        <v>2172</v>
      </c>
    </row>
    <row r="168" spans="1:3">
      <c r="A168" s="829" t="s">
        <v>585</v>
      </c>
      <c r="B168" s="829" t="s">
        <v>426</v>
      </c>
      <c r="C168" s="851" t="s">
        <v>2173</v>
      </c>
    </row>
    <row r="169" spans="1:3">
      <c r="A169" s="829" t="s">
        <v>764</v>
      </c>
      <c r="B169" s="680" t="s">
        <v>764</v>
      </c>
      <c r="C169" s="966" t="s">
        <v>2174</v>
      </c>
    </row>
    <row r="170" spans="1:3" ht="41.4">
      <c r="A170" s="830" t="s">
        <v>765</v>
      </c>
      <c r="B170" s="830" t="s">
        <v>766</v>
      </c>
      <c r="C170" s="851" t="s">
        <v>2175</v>
      </c>
    </row>
    <row r="171" spans="1:3">
      <c r="A171" s="680" t="s">
        <v>768</v>
      </c>
      <c r="B171" s="829" t="s">
        <v>767</v>
      </c>
      <c r="C171" s="966" t="s">
        <v>2176</v>
      </c>
    </row>
    <row r="172" spans="1:3">
      <c r="A172" s="680" t="s">
        <v>586</v>
      </c>
      <c r="B172" s="680" t="s">
        <v>779</v>
      </c>
      <c r="C172" s="851" t="s">
        <v>2177</v>
      </c>
    </row>
    <row r="173" spans="1:3">
      <c r="A173" s="680" t="s">
        <v>770</v>
      </c>
      <c r="B173" s="829" t="s">
        <v>769</v>
      </c>
      <c r="C173" s="966" t="s">
        <v>2178</v>
      </c>
    </row>
    <row r="174" spans="1:3">
      <c r="A174" s="680" t="s">
        <v>592</v>
      </c>
      <c r="B174" s="829" t="s">
        <v>591</v>
      </c>
      <c r="C174" s="966" t="s">
        <v>2179</v>
      </c>
    </row>
    <row r="175" spans="1:3">
      <c r="A175" s="829" t="s">
        <v>1154</v>
      </c>
      <c r="B175" s="680" t="s">
        <v>1058</v>
      </c>
      <c r="C175" s="851" t="s">
        <v>2180</v>
      </c>
    </row>
    <row r="176" spans="1:3" ht="27.6">
      <c r="A176" s="830" t="s">
        <v>1155</v>
      </c>
      <c r="B176" s="830" t="s">
        <v>1059</v>
      </c>
      <c r="C176" s="851" t="s">
        <v>2181</v>
      </c>
    </row>
    <row r="177" spans="1:3">
      <c r="A177" s="835"/>
      <c r="B177" s="685"/>
      <c r="C177" s="851"/>
    </row>
    <row r="178" spans="1:3">
      <c r="A178" s="681" t="s">
        <v>923</v>
      </c>
      <c r="B178" s="681" t="s">
        <v>1128</v>
      </c>
      <c r="C178" s="851" t="s">
        <v>2182</v>
      </c>
    </row>
    <row r="179" spans="1:3">
      <c r="A179" s="680" t="s">
        <v>587</v>
      </c>
      <c r="B179" s="682" t="s">
        <v>588</v>
      </c>
      <c r="C179" s="851" t="s">
        <v>2183</v>
      </c>
    </row>
    <row r="180" spans="1:3">
      <c r="A180" s="680" t="s">
        <v>553</v>
      </c>
      <c r="B180" s="680" t="s">
        <v>455</v>
      </c>
      <c r="C180" s="851" t="s">
        <v>2184</v>
      </c>
    </row>
    <row r="181" spans="1:3">
      <c r="A181" s="680" t="s">
        <v>554</v>
      </c>
      <c r="B181" s="680" t="s">
        <v>456</v>
      </c>
      <c r="C181" s="851" t="s">
        <v>2185</v>
      </c>
    </row>
    <row r="182" spans="1:3">
      <c r="A182" s="680" t="s">
        <v>555</v>
      </c>
      <c r="B182" s="680" t="s">
        <v>476</v>
      </c>
      <c r="C182" s="851" t="s">
        <v>2186</v>
      </c>
    </row>
    <row r="183" spans="1:3">
      <c r="A183" s="680" t="s">
        <v>556</v>
      </c>
      <c r="B183" s="680" t="s">
        <v>477</v>
      </c>
      <c r="C183" s="851" t="s">
        <v>2187</v>
      </c>
    </row>
    <row r="184" spans="1:3">
      <c r="A184" s="680" t="s">
        <v>557</v>
      </c>
      <c r="B184" s="680" t="s">
        <v>478</v>
      </c>
      <c r="C184" s="851" t="s">
        <v>2188</v>
      </c>
    </row>
    <row r="185" spans="1:3">
      <c r="A185" s="680" t="s">
        <v>558</v>
      </c>
      <c r="B185" s="680" t="s">
        <v>479</v>
      </c>
      <c r="C185" s="851" t="s">
        <v>2189</v>
      </c>
    </row>
    <row r="186" spans="1:3">
      <c r="A186" s="680" t="s">
        <v>915</v>
      </c>
      <c r="B186" s="680" t="s">
        <v>595</v>
      </c>
      <c r="C186" s="851" t="s">
        <v>2190</v>
      </c>
    </row>
    <row r="187" spans="1:3">
      <c r="A187" s="680" t="s">
        <v>1746</v>
      </c>
      <c r="B187" s="680" t="s">
        <v>1747</v>
      </c>
      <c r="C187" s="851" t="s">
        <v>2191</v>
      </c>
    </row>
    <row r="188" spans="1:3">
      <c r="A188" s="681" t="s">
        <v>1126</v>
      </c>
      <c r="B188" s="681" t="s">
        <v>1127</v>
      </c>
      <c r="C188" s="851" t="s">
        <v>2192</v>
      </c>
    </row>
    <row r="189" spans="1:3">
      <c r="A189" s="680" t="s">
        <v>916</v>
      </c>
      <c r="B189" s="680" t="s">
        <v>917</v>
      </c>
      <c r="C189" s="851" t="s">
        <v>2193</v>
      </c>
    </row>
    <row r="190" spans="1:3">
      <c r="A190" s="680" t="s">
        <v>570</v>
      </c>
      <c r="B190" s="680" t="s">
        <v>596</v>
      </c>
      <c r="C190" s="851" t="s">
        <v>2194</v>
      </c>
    </row>
    <row r="191" spans="1:3">
      <c r="A191" s="680" t="s">
        <v>119</v>
      </c>
      <c r="B191" s="680" t="s">
        <v>367</v>
      </c>
      <c r="C191" s="851" t="s">
        <v>2195</v>
      </c>
    </row>
    <row r="192" spans="1:3">
      <c r="A192" s="680" t="s">
        <v>1745</v>
      </c>
      <c r="B192" s="680" t="s">
        <v>1744</v>
      </c>
      <c r="C192" s="851" t="s">
        <v>2196</v>
      </c>
    </row>
    <row r="193" spans="1:3">
      <c r="A193" s="681" t="s">
        <v>1108</v>
      </c>
      <c r="B193" s="681" t="s">
        <v>1109</v>
      </c>
      <c r="C193" s="851" t="s">
        <v>2197</v>
      </c>
    </row>
    <row r="194" spans="1:3">
      <c r="A194" s="680" t="s">
        <v>562</v>
      </c>
      <c r="B194" s="680" t="s">
        <v>457</v>
      </c>
      <c r="C194" s="851" t="s">
        <v>2198</v>
      </c>
    </row>
    <row r="195" spans="1:3">
      <c r="A195" s="680" t="s">
        <v>563</v>
      </c>
      <c r="B195" s="680" t="s">
        <v>458</v>
      </c>
      <c r="C195" s="851" t="s">
        <v>2199</v>
      </c>
    </row>
    <row r="196" spans="1:3">
      <c r="A196" s="680" t="s">
        <v>571</v>
      </c>
      <c r="B196" s="680" t="s">
        <v>2</v>
      </c>
      <c r="C196" s="851" t="s">
        <v>2200</v>
      </c>
    </row>
    <row r="197" spans="1:3">
      <c r="A197" s="680" t="s">
        <v>0</v>
      </c>
      <c r="B197" s="680" t="s">
        <v>0</v>
      </c>
      <c r="C197" s="851" t="s">
        <v>0</v>
      </c>
    </row>
    <row r="198" spans="1:3">
      <c r="A198" s="680" t="s">
        <v>52</v>
      </c>
      <c r="B198" s="680" t="s">
        <v>4</v>
      </c>
      <c r="C198" s="851" t="s">
        <v>4</v>
      </c>
    </row>
    <row r="199" spans="1:3">
      <c r="A199" s="680" t="s">
        <v>51</v>
      </c>
      <c r="B199" s="680" t="s">
        <v>3</v>
      </c>
      <c r="C199" s="851" t="s">
        <v>3</v>
      </c>
    </row>
    <row r="200" spans="1:3">
      <c r="A200" s="680" t="s">
        <v>564</v>
      </c>
      <c r="B200" s="680" t="s">
        <v>460</v>
      </c>
      <c r="C200" s="851" t="s">
        <v>2201</v>
      </c>
    </row>
    <row r="201" spans="1:3">
      <c r="A201" s="680" t="s">
        <v>565</v>
      </c>
      <c r="B201" s="680" t="s">
        <v>512</v>
      </c>
      <c r="C201" s="851" t="s">
        <v>2202</v>
      </c>
    </row>
    <row r="202" spans="1:3">
      <c r="A202" s="680" t="s">
        <v>566</v>
      </c>
      <c r="B202" s="680" t="s">
        <v>463</v>
      </c>
      <c r="C202" s="851" t="s">
        <v>2203</v>
      </c>
    </row>
    <row r="203" spans="1:3">
      <c r="A203" s="680" t="s">
        <v>567</v>
      </c>
      <c r="B203" s="680" t="s">
        <v>461</v>
      </c>
      <c r="C203" s="851" t="s">
        <v>2204</v>
      </c>
    </row>
    <row r="204" spans="1:3">
      <c r="A204" s="680" t="s">
        <v>572</v>
      </c>
      <c r="B204" s="680" t="s">
        <v>464</v>
      </c>
      <c r="C204" s="851" t="s">
        <v>2205</v>
      </c>
    </row>
    <row r="205" spans="1:3">
      <c r="A205" s="680" t="s">
        <v>568</v>
      </c>
      <c r="B205" s="680" t="s">
        <v>462</v>
      </c>
      <c r="C205" s="851" t="s">
        <v>2206</v>
      </c>
    </row>
    <row r="206" spans="1:3">
      <c r="A206" s="680" t="s">
        <v>807</v>
      </c>
      <c r="B206" s="680" t="s">
        <v>808</v>
      </c>
      <c r="C206" s="851" t="s">
        <v>2207</v>
      </c>
    </row>
    <row r="207" spans="1:3">
      <c r="A207" s="680" t="s">
        <v>918</v>
      </c>
      <c r="B207" s="680" t="s">
        <v>919</v>
      </c>
      <c r="C207" s="851" t="s">
        <v>2208</v>
      </c>
    </row>
    <row r="208" spans="1:3">
      <c r="A208" s="680" t="s">
        <v>569</v>
      </c>
      <c r="B208" s="680" t="s">
        <v>560</v>
      </c>
      <c r="C208" s="851" t="s">
        <v>2209</v>
      </c>
    </row>
    <row r="209" spans="1:3">
      <c r="A209" s="680" t="s">
        <v>920</v>
      </c>
      <c r="B209" s="680" t="s">
        <v>465</v>
      </c>
      <c r="C209" s="851" t="s">
        <v>2210</v>
      </c>
    </row>
    <row r="210" spans="1:3">
      <c r="A210" s="680" t="s">
        <v>559</v>
      </c>
      <c r="B210" s="680" t="s">
        <v>561</v>
      </c>
      <c r="C210" s="851" t="s">
        <v>2211</v>
      </c>
    </row>
    <row r="211" spans="1:3">
      <c r="A211" s="680" t="s">
        <v>107</v>
      </c>
      <c r="B211" s="680" t="s">
        <v>798</v>
      </c>
      <c r="C211" s="851" t="s">
        <v>2212</v>
      </c>
    </row>
    <row r="212" spans="1:3">
      <c r="A212" s="680" t="s">
        <v>920</v>
      </c>
      <c r="B212" s="680" t="s">
        <v>921</v>
      </c>
      <c r="C212" s="851" t="s">
        <v>2213</v>
      </c>
    </row>
    <row r="213" spans="1:3">
      <c r="A213" s="680" t="s">
        <v>559</v>
      </c>
      <c r="B213" s="680" t="s">
        <v>561</v>
      </c>
      <c r="C213" s="851" t="s">
        <v>2211</v>
      </c>
    </row>
    <row r="214" spans="1:3">
      <c r="A214" s="681" t="s">
        <v>1110</v>
      </c>
      <c r="B214" s="681" t="s">
        <v>1111</v>
      </c>
      <c r="C214" s="851" t="s">
        <v>2214</v>
      </c>
    </row>
    <row r="215" spans="1:3">
      <c r="A215" s="680" t="s">
        <v>1112</v>
      </c>
      <c r="B215" s="680" t="s">
        <v>1113</v>
      </c>
      <c r="C215" s="851" t="s">
        <v>2215</v>
      </c>
    </row>
    <row r="216" spans="1:3">
      <c r="A216" s="680" t="s">
        <v>830</v>
      </c>
      <c r="B216" s="680" t="s">
        <v>831</v>
      </c>
      <c r="C216" s="851" t="s">
        <v>2216</v>
      </c>
    </row>
    <row r="217" spans="1:3">
      <c r="A217" s="680" t="s">
        <v>111</v>
      </c>
      <c r="B217" s="680" t="s">
        <v>112</v>
      </c>
      <c r="C217" s="851" t="s">
        <v>2217</v>
      </c>
    </row>
    <row r="218" spans="1:3">
      <c r="A218" s="680" t="s">
        <v>117</v>
      </c>
      <c r="B218" s="680" t="s">
        <v>113</v>
      </c>
      <c r="C218" s="851" t="s">
        <v>2218</v>
      </c>
    </row>
    <row r="219" spans="1:3">
      <c r="A219" s="680" t="s">
        <v>803</v>
      </c>
      <c r="B219" s="680" t="s">
        <v>804</v>
      </c>
      <c r="C219" s="851" t="s">
        <v>2219</v>
      </c>
    </row>
    <row r="220" spans="1:3">
      <c r="A220" s="680" t="s">
        <v>832</v>
      </c>
      <c r="B220" s="680" t="s">
        <v>833</v>
      </c>
      <c r="C220" s="851" t="s">
        <v>2220</v>
      </c>
    </row>
    <row r="221" spans="1:3">
      <c r="A221" s="680" t="s">
        <v>467</v>
      </c>
      <c r="B221" s="680" t="s">
        <v>467</v>
      </c>
      <c r="C221" s="851" t="s">
        <v>2221</v>
      </c>
    </row>
    <row r="222" spans="1:3">
      <c r="A222" s="680" t="s">
        <v>365</v>
      </c>
      <c r="B222" s="680" t="s">
        <v>365</v>
      </c>
      <c r="C222" s="851" t="s">
        <v>365</v>
      </c>
    </row>
    <row r="223" spans="1:3">
      <c r="A223" s="680" t="s">
        <v>53</v>
      </c>
      <c r="B223" s="680" t="s">
        <v>54</v>
      </c>
      <c r="C223" s="851" t="s">
        <v>2222</v>
      </c>
    </row>
    <row r="224" spans="1:3">
      <c r="A224" s="680" t="s">
        <v>355</v>
      </c>
      <c r="B224" s="680" t="s">
        <v>356</v>
      </c>
      <c r="C224" s="851" t="s">
        <v>2223</v>
      </c>
    </row>
    <row r="225" spans="1:3">
      <c r="A225" s="680" t="s">
        <v>17</v>
      </c>
      <c r="B225" s="680" t="s">
        <v>800</v>
      </c>
      <c r="C225" s="851" t="s">
        <v>2224</v>
      </c>
    </row>
    <row r="226" spans="1:3">
      <c r="A226" s="829" t="s">
        <v>799</v>
      </c>
      <c r="B226" s="829" t="s">
        <v>922</v>
      </c>
      <c r="C226" s="851" t="s">
        <v>2225</v>
      </c>
    </row>
    <row r="227" spans="1:3">
      <c r="A227" s="680" t="s">
        <v>771</v>
      </c>
      <c r="B227" s="829" t="s">
        <v>776</v>
      </c>
      <c r="C227" s="851" t="s">
        <v>2226</v>
      </c>
    </row>
    <row r="228" spans="1:3">
      <c r="A228" s="680" t="s">
        <v>774</v>
      </c>
      <c r="B228" s="829" t="s">
        <v>775</v>
      </c>
      <c r="C228" s="851" t="s">
        <v>2227</v>
      </c>
    </row>
    <row r="229" spans="1:3">
      <c r="A229" s="829" t="s">
        <v>772</v>
      </c>
      <c r="B229" s="829" t="s">
        <v>773</v>
      </c>
      <c r="C229" s="851" t="s">
        <v>2228</v>
      </c>
    </row>
    <row r="230" spans="1:3">
      <c r="A230" s="680" t="s">
        <v>925</v>
      </c>
      <c r="B230" s="680" t="s">
        <v>926</v>
      </c>
      <c r="C230" s="851" t="s">
        <v>2229</v>
      </c>
    </row>
    <row r="231" spans="1:3">
      <c r="A231" s="680" t="s">
        <v>829</v>
      </c>
      <c r="B231" s="680" t="s">
        <v>828</v>
      </c>
      <c r="C231" s="851" t="s">
        <v>2230</v>
      </c>
    </row>
    <row r="232" spans="1:3">
      <c r="A232" s="680" t="s">
        <v>1114</v>
      </c>
      <c r="B232" s="680" t="s">
        <v>1084</v>
      </c>
      <c r="C232" s="851" t="s">
        <v>2231</v>
      </c>
    </row>
    <row r="233" spans="1:3">
      <c r="A233" s="681" t="s">
        <v>1100</v>
      </c>
      <c r="B233" s="681" t="s">
        <v>1101</v>
      </c>
      <c r="C233" s="851" t="s">
        <v>2232</v>
      </c>
    </row>
    <row r="234" spans="1:3">
      <c r="A234" s="680" t="s">
        <v>1071</v>
      </c>
      <c r="B234" s="680" t="s">
        <v>956</v>
      </c>
      <c r="C234" s="851" t="s">
        <v>2233</v>
      </c>
    </row>
    <row r="235" spans="1:3">
      <c r="A235" s="680" t="s">
        <v>1070</v>
      </c>
      <c r="B235" s="680" t="s">
        <v>955</v>
      </c>
      <c r="C235" s="851" t="s">
        <v>2234</v>
      </c>
    </row>
    <row r="236" spans="1:3">
      <c r="A236" s="680" t="s">
        <v>1136</v>
      </c>
      <c r="B236" s="829" t="s">
        <v>1060</v>
      </c>
      <c r="C236" s="851" t="s">
        <v>2235</v>
      </c>
    </row>
    <row r="237" spans="1:3">
      <c r="A237" s="680" t="s">
        <v>1137</v>
      </c>
      <c r="B237" s="829" t="s">
        <v>1061</v>
      </c>
      <c r="C237" s="851" t="s">
        <v>2236</v>
      </c>
    </row>
    <row r="238" spans="1:3">
      <c r="A238" s="680" t="s">
        <v>1138</v>
      </c>
      <c r="B238" s="829" t="s">
        <v>1062</v>
      </c>
      <c r="C238" s="851" t="s">
        <v>2237</v>
      </c>
    </row>
    <row r="239" spans="1:3">
      <c r="A239" s="680" t="s">
        <v>1139</v>
      </c>
      <c r="B239" s="829" t="s">
        <v>1063</v>
      </c>
      <c r="C239" s="851" t="s">
        <v>2238</v>
      </c>
    </row>
    <row r="240" spans="1:3">
      <c r="A240" s="680" t="s">
        <v>1140</v>
      </c>
      <c r="B240" s="829" t="s">
        <v>1064</v>
      </c>
      <c r="C240" s="851" t="s">
        <v>2239</v>
      </c>
    </row>
    <row r="241" spans="1:3">
      <c r="A241" s="680" t="s">
        <v>1141</v>
      </c>
      <c r="B241" s="829" t="s">
        <v>1065</v>
      </c>
      <c r="C241" s="851" t="s">
        <v>2240</v>
      </c>
    </row>
    <row r="242" spans="1:3">
      <c r="A242" s="680" t="s">
        <v>1142</v>
      </c>
      <c r="B242" s="829" t="s">
        <v>1066</v>
      </c>
      <c r="C242" s="851" t="s">
        <v>2241</v>
      </c>
    </row>
    <row r="243" spans="1:3">
      <c r="A243" s="680" t="s">
        <v>1143</v>
      </c>
      <c r="B243" s="829" t="s">
        <v>1067</v>
      </c>
      <c r="C243" s="851" t="s">
        <v>2242</v>
      </c>
    </row>
    <row r="244" spans="1:3">
      <c r="A244" s="680" t="s">
        <v>1144</v>
      </c>
      <c r="B244" s="829" t="s">
        <v>1068</v>
      </c>
      <c r="C244" s="851" t="s">
        <v>2243</v>
      </c>
    </row>
    <row r="245" spans="1:3">
      <c r="A245" s="680" t="s">
        <v>1145</v>
      </c>
      <c r="B245" s="829" t="s">
        <v>1069</v>
      </c>
      <c r="C245" s="851" t="s">
        <v>2244</v>
      </c>
    </row>
    <row r="246" spans="1:3">
      <c r="A246" s="680" t="s">
        <v>1115</v>
      </c>
      <c r="B246" s="680" t="s">
        <v>939</v>
      </c>
      <c r="C246" s="851" t="s">
        <v>2245</v>
      </c>
    </row>
    <row r="247" spans="1:3">
      <c r="A247" s="680" t="s">
        <v>1116</v>
      </c>
      <c r="B247" s="829" t="s">
        <v>944</v>
      </c>
      <c r="C247" s="851" t="s">
        <v>2246</v>
      </c>
    </row>
    <row r="248" spans="1:3">
      <c r="A248" s="680" t="s">
        <v>1117</v>
      </c>
      <c r="B248" s="829" t="s">
        <v>949</v>
      </c>
      <c r="C248" s="851" t="s">
        <v>2247</v>
      </c>
    </row>
    <row r="249" spans="1:3">
      <c r="A249" s="680" t="s">
        <v>1118</v>
      </c>
      <c r="B249" s="829" t="s">
        <v>950</v>
      </c>
      <c r="C249" s="851" t="s">
        <v>2248</v>
      </c>
    </row>
    <row r="250" spans="1:3">
      <c r="A250" s="680" t="s">
        <v>1119</v>
      </c>
      <c r="B250" s="829" t="s">
        <v>951</v>
      </c>
      <c r="C250" s="851" t="s">
        <v>2249</v>
      </c>
    </row>
    <row r="251" spans="1:3">
      <c r="A251" s="680" t="s">
        <v>1146</v>
      </c>
      <c r="B251" s="829" t="s">
        <v>945</v>
      </c>
      <c r="C251" s="851" t="s">
        <v>2250</v>
      </c>
    </row>
    <row r="252" spans="1:3">
      <c r="A252" s="680" t="s">
        <v>1149</v>
      </c>
      <c r="B252" s="829" t="s">
        <v>952</v>
      </c>
      <c r="C252" s="851" t="s">
        <v>2251</v>
      </c>
    </row>
    <row r="253" spans="1:3">
      <c r="A253" s="680" t="s">
        <v>1147</v>
      </c>
      <c r="B253" s="829" t="s">
        <v>953</v>
      </c>
      <c r="C253" s="851" t="s">
        <v>2252</v>
      </c>
    </row>
    <row r="254" spans="1:3">
      <c r="A254" s="680" t="s">
        <v>1148</v>
      </c>
      <c r="B254" s="829" t="s">
        <v>954</v>
      </c>
      <c r="C254" s="851" t="s">
        <v>2253</v>
      </c>
    </row>
    <row r="255" spans="1:3">
      <c r="A255" s="680" t="s">
        <v>940</v>
      </c>
      <c r="B255" s="680" t="s">
        <v>940</v>
      </c>
      <c r="C255" s="851" t="s">
        <v>2254</v>
      </c>
    </row>
    <row r="256" spans="1:3">
      <c r="A256" s="680" t="s">
        <v>1120</v>
      </c>
      <c r="B256" s="680" t="s">
        <v>1057</v>
      </c>
      <c r="C256" s="851" t="s">
        <v>2255</v>
      </c>
    </row>
    <row r="257" spans="1:3">
      <c r="A257" s="680" t="s">
        <v>1121</v>
      </c>
      <c r="B257" s="680" t="s">
        <v>1072</v>
      </c>
      <c r="C257" s="851" t="s">
        <v>2256</v>
      </c>
    </row>
    <row r="258" spans="1:3">
      <c r="A258" s="680" t="s">
        <v>1150</v>
      </c>
      <c r="B258" s="680" t="s">
        <v>1073</v>
      </c>
      <c r="C258" s="851" t="s">
        <v>2257</v>
      </c>
    </row>
    <row r="259" spans="1:3">
      <c r="A259" s="680" t="s">
        <v>1129</v>
      </c>
      <c r="B259" s="680" t="s">
        <v>943</v>
      </c>
      <c r="C259" s="851" t="s">
        <v>2258</v>
      </c>
    </row>
    <row r="260" spans="1:3">
      <c r="A260" s="680" t="s">
        <v>1122</v>
      </c>
      <c r="B260" s="680" t="s">
        <v>1074</v>
      </c>
      <c r="C260" s="851" t="s">
        <v>2259</v>
      </c>
    </row>
    <row r="261" spans="1:3">
      <c r="A261" s="681"/>
      <c r="B261" s="681"/>
      <c r="C261" s="851"/>
    </row>
    <row r="262" spans="1:3">
      <c r="A262" s="680" t="s">
        <v>1151</v>
      </c>
      <c r="B262" s="680" t="s">
        <v>1130</v>
      </c>
      <c r="C262" s="851" t="s">
        <v>2260</v>
      </c>
    </row>
    <row r="263" spans="1:3">
      <c r="A263" s="680" t="s">
        <v>1153</v>
      </c>
      <c r="B263" s="680" t="s">
        <v>1131</v>
      </c>
      <c r="C263" s="851" t="s">
        <v>2173</v>
      </c>
    </row>
    <row r="264" spans="1:3">
      <c r="A264" s="680" t="s">
        <v>1152</v>
      </c>
      <c r="B264" s="680" t="s">
        <v>1132</v>
      </c>
      <c r="C264" s="851" t="s">
        <v>2261</v>
      </c>
    </row>
    <row r="265" spans="1:3">
      <c r="A265" s="680" t="s">
        <v>1759</v>
      </c>
      <c r="B265" s="680" t="s">
        <v>1758</v>
      </c>
      <c r="C265" s="849" t="s">
        <v>2563</v>
      </c>
    </row>
    <row r="266" spans="1:3">
      <c r="A266" s="680" t="s">
        <v>1764</v>
      </c>
      <c r="B266" s="680" t="s">
        <v>1760</v>
      </c>
      <c r="C266" s="849" t="s">
        <v>2560</v>
      </c>
    </row>
    <row r="267" spans="1:3">
      <c r="A267" s="680" t="s">
        <v>1765</v>
      </c>
      <c r="B267" s="680" t="s">
        <v>1761</v>
      </c>
      <c r="C267" s="849" t="s">
        <v>2561</v>
      </c>
    </row>
    <row r="268" spans="1:3">
      <c r="A268" s="680" t="s">
        <v>1762</v>
      </c>
      <c r="B268" s="680" t="s">
        <v>1763</v>
      </c>
      <c r="C268" s="849" t="s">
        <v>2562</v>
      </c>
    </row>
    <row r="269" spans="1:3">
      <c r="A269" s="680" t="s">
        <v>2507</v>
      </c>
      <c r="B269" s="680" t="s">
        <v>2508</v>
      </c>
      <c r="C269" s="847" t="s">
        <v>2564</v>
      </c>
    </row>
    <row r="270" spans="1:3">
      <c r="A270" s="985" t="s">
        <v>3348</v>
      </c>
      <c r="B270" s="985" t="s">
        <v>3349</v>
      </c>
      <c r="C270" s="985" t="s">
        <v>3349</v>
      </c>
    </row>
    <row r="271" spans="1:3">
      <c r="A271" s="985" t="s">
        <v>3346</v>
      </c>
      <c r="B271" s="985" t="s">
        <v>3346</v>
      </c>
      <c r="C271" s="985" t="s">
        <v>3346</v>
      </c>
    </row>
  </sheetData>
  <sheetProtection algorithmName="SHA-512" hashValue="riF/ECjog6zr6Sz259aJlBmmvng23sWpR8ku3VytssJf0IYe0YQmuzkChXyO45t8f3vyJ+sxJN4BqdSkiDW16A==" saltValue="F2k7VghtM8GDeGgfjyVjBw==" spinCount="100000" sheet="1" objects="1" scenarios="1"/>
  <customSheetViews>
    <customSheetView guid="{727552C9-10E3-4948-B2AE-8FE165517887}" state="hidden" topLeftCell="A16">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895" priority="132"/>
  </conditionalFormatting>
  <conditionalFormatting sqref="A2">
    <cfRule type="duplicateValues" dxfId="894" priority="131"/>
  </conditionalFormatting>
  <conditionalFormatting sqref="A4:A5">
    <cfRule type="duplicateValues" dxfId="893" priority="130"/>
  </conditionalFormatting>
  <conditionalFormatting sqref="A9">
    <cfRule type="duplicateValues" dxfId="892" priority="129"/>
  </conditionalFormatting>
  <conditionalFormatting sqref="A10:A11">
    <cfRule type="duplicateValues" dxfId="891" priority="128"/>
  </conditionalFormatting>
  <conditionalFormatting sqref="A12">
    <cfRule type="duplicateValues" dxfId="890" priority="127"/>
  </conditionalFormatting>
  <conditionalFormatting sqref="A13">
    <cfRule type="duplicateValues" dxfId="889" priority="126"/>
  </conditionalFormatting>
  <conditionalFormatting sqref="A14:A16">
    <cfRule type="duplicateValues" dxfId="888" priority="125"/>
  </conditionalFormatting>
  <conditionalFormatting sqref="A19:A20">
    <cfRule type="duplicateValues" dxfId="887" priority="124"/>
  </conditionalFormatting>
  <conditionalFormatting sqref="A21">
    <cfRule type="duplicateValues" dxfId="886" priority="123"/>
  </conditionalFormatting>
  <conditionalFormatting sqref="A22">
    <cfRule type="duplicateValues" dxfId="885" priority="122"/>
  </conditionalFormatting>
  <conditionalFormatting sqref="A27">
    <cfRule type="duplicateValues" dxfId="884" priority="121"/>
  </conditionalFormatting>
  <conditionalFormatting sqref="A24">
    <cfRule type="duplicateValues" dxfId="883" priority="120"/>
  </conditionalFormatting>
  <conditionalFormatting sqref="A26">
    <cfRule type="duplicateValues" dxfId="882" priority="119"/>
  </conditionalFormatting>
  <conditionalFormatting sqref="A28">
    <cfRule type="duplicateValues" dxfId="881" priority="118"/>
  </conditionalFormatting>
  <conditionalFormatting sqref="A29:A30">
    <cfRule type="duplicateValues" dxfId="880" priority="117"/>
  </conditionalFormatting>
  <conditionalFormatting sqref="A31">
    <cfRule type="duplicateValues" dxfId="879" priority="116"/>
  </conditionalFormatting>
  <conditionalFormatting sqref="A32">
    <cfRule type="duplicateValues" dxfId="878" priority="115"/>
  </conditionalFormatting>
  <conditionalFormatting sqref="A33">
    <cfRule type="duplicateValues" dxfId="877" priority="114"/>
  </conditionalFormatting>
  <conditionalFormatting sqref="A35:A38">
    <cfRule type="duplicateValues" dxfId="876" priority="113"/>
  </conditionalFormatting>
  <conditionalFormatting sqref="A34">
    <cfRule type="duplicateValues" dxfId="875" priority="112"/>
  </conditionalFormatting>
  <conditionalFormatting sqref="A39">
    <cfRule type="duplicateValues" dxfId="874" priority="111"/>
  </conditionalFormatting>
  <conditionalFormatting sqref="A41:A42">
    <cfRule type="duplicateValues" dxfId="873" priority="110"/>
  </conditionalFormatting>
  <conditionalFormatting sqref="A43:A44 A69">
    <cfRule type="duplicateValues" dxfId="872" priority="109"/>
  </conditionalFormatting>
  <conditionalFormatting sqref="A45:A48">
    <cfRule type="duplicateValues" dxfId="871" priority="108"/>
  </conditionalFormatting>
  <conditionalFormatting sqref="B49:B50">
    <cfRule type="duplicateValues" dxfId="870" priority="107"/>
  </conditionalFormatting>
  <conditionalFormatting sqref="A49:A51">
    <cfRule type="duplicateValues" dxfId="869" priority="106"/>
  </conditionalFormatting>
  <conditionalFormatting sqref="A67">
    <cfRule type="duplicateValues" dxfId="868" priority="105"/>
  </conditionalFormatting>
  <conditionalFormatting sqref="A68">
    <cfRule type="duplicateValues" dxfId="867" priority="104"/>
  </conditionalFormatting>
  <conditionalFormatting sqref="A71">
    <cfRule type="duplicateValues" dxfId="866" priority="103"/>
  </conditionalFormatting>
  <conditionalFormatting sqref="A72">
    <cfRule type="duplicateValues" dxfId="865" priority="102"/>
  </conditionalFormatting>
  <conditionalFormatting sqref="A74:A75">
    <cfRule type="duplicateValues" dxfId="864" priority="101"/>
  </conditionalFormatting>
  <conditionalFormatting sqref="A73">
    <cfRule type="duplicateValues" dxfId="863" priority="100"/>
  </conditionalFormatting>
  <conditionalFormatting sqref="A76">
    <cfRule type="duplicateValues" dxfId="862" priority="99"/>
  </conditionalFormatting>
  <conditionalFormatting sqref="A77">
    <cfRule type="duplicateValues" dxfId="861" priority="98"/>
  </conditionalFormatting>
  <conditionalFormatting sqref="A78:A79">
    <cfRule type="duplicateValues" dxfId="860" priority="97"/>
  </conditionalFormatting>
  <conditionalFormatting sqref="A83">
    <cfRule type="duplicateValues" dxfId="859" priority="96"/>
  </conditionalFormatting>
  <conditionalFormatting sqref="A84">
    <cfRule type="duplicateValues" dxfId="858" priority="95"/>
  </conditionalFormatting>
  <conditionalFormatting sqref="A80:A82">
    <cfRule type="duplicateValues" dxfId="857" priority="94"/>
  </conditionalFormatting>
  <conditionalFormatting sqref="A85:A88">
    <cfRule type="duplicateValues" dxfId="856" priority="93"/>
  </conditionalFormatting>
  <conditionalFormatting sqref="A89">
    <cfRule type="duplicateValues" dxfId="855" priority="92"/>
  </conditionalFormatting>
  <conditionalFormatting sqref="A90">
    <cfRule type="duplicateValues" dxfId="854" priority="91"/>
  </conditionalFormatting>
  <conditionalFormatting sqref="A91:A92">
    <cfRule type="duplicateValues" dxfId="853" priority="90"/>
  </conditionalFormatting>
  <conditionalFormatting sqref="A93:A94">
    <cfRule type="duplicateValues" dxfId="852" priority="89"/>
  </conditionalFormatting>
  <conditionalFormatting sqref="A95">
    <cfRule type="duplicateValues" dxfId="851" priority="88"/>
  </conditionalFormatting>
  <conditionalFormatting sqref="A97">
    <cfRule type="duplicateValues" dxfId="850" priority="87"/>
  </conditionalFormatting>
  <conditionalFormatting sqref="A98">
    <cfRule type="duplicateValues" dxfId="849" priority="86"/>
  </conditionalFormatting>
  <conditionalFormatting sqref="A103">
    <cfRule type="duplicateValues" dxfId="848" priority="85"/>
  </conditionalFormatting>
  <conditionalFormatting sqref="A104">
    <cfRule type="duplicateValues" dxfId="847" priority="84"/>
  </conditionalFormatting>
  <conditionalFormatting sqref="A105">
    <cfRule type="duplicateValues" dxfId="846" priority="83"/>
  </conditionalFormatting>
  <conditionalFormatting sqref="A106">
    <cfRule type="duplicateValues" dxfId="845" priority="82"/>
  </conditionalFormatting>
  <conditionalFormatting sqref="A107">
    <cfRule type="duplicateValues" dxfId="844" priority="81"/>
  </conditionalFormatting>
  <conditionalFormatting sqref="A116:A118 A120:A121">
    <cfRule type="duplicateValues" dxfId="843" priority="80"/>
  </conditionalFormatting>
  <conditionalFormatting sqref="A124:A127">
    <cfRule type="duplicateValues" dxfId="842" priority="79"/>
  </conditionalFormatting>
  <conditionalFormatting sqref="A129:A133">
    <cfRule type="duplicateValues" dxfId="841" priority="133"/>
  </conditionalFormatting>
  <conditionalFormatting sqref="A109 A111:A113">
    <cfRule type="duplicateValues" dxfId="840" priority="78"/>
  </conditionalFormatting>
  <conditionalFormatting sqref="A108">
    <cfRule type="duplicateValues" dxfId="839" priority="77"/>
  </conditionalFormatting>
  <conditionalFormatting sqref="A122">
    <cfRule type="duplicateValues" dxfId="838" priority="76"/>
  </conditionalFormatting>
  <conditionalFormatting sqref="A128">
    <cfRule type="duplicateValues" dxfId="837" priority="75"/>
  </conditionalFormatting>
  <conditionalFormatting sqref="A135">
    <cfRule type="duplicateValues" dxfId="836" priority="74"/>
  </conditionalFormatting>
  <conditionalFormatting sqref="A136">
    <cfRule type="duplicateValues" dxfId="835" priority="73"/>
  </conditionalFormatting>
  <conditionalFormatting sqref="A139:A140">
    <cfRule type="duplicateValues" dxfId="834" priority="72"/>
  </conditionalFormatting>
  <conditionalFormatting sqref="A137:A138">
    <cfRule type="duplicateValues" dxfId="833" priority="71"/>
  </conditionalFormatting>
  <conditionalFormatting sqref="A141">
    <cfRule type="duplicateValues" dxfId="832" priority="70"/>
  </conditionalFormatting>
  <conditionalFormatting sqref="B142">
    <cfRule type="duplicateValues" dxfId="831" priority="69"/>
  </conditionalFormatting>
  <conditionalFormatting sqref="A142">
    <cfRule type="duplicateValues" dxfId="830" priority="68"/>
  </conditionalFormatting>
  <conditionalFormatting sqref="A144">
    <cfRule type="duplicateValues" dxfId="829" priority="67"/>
  </conditionalFormatting>
  <conditionalFormatting sqref="A143">
    <cfRule type="duplicateValues" dxfId="828" priority="66"/>
  </conditionalFormatting>
  <conditionalFormatting sqref="A145">
    <cfRule type="duplicateValues" dxfId="827" priority="65"/>
  </conditionalFormatting>
  <conditionalFormatting sqref="A146">
    <cfRule type="duplicateValues" dxfId="826" priority="64"/>
  </conditionalFormatting>
  <conditionalFormatting sqref="A147:A148">
    <cfRule type="duplicateValues" dxfId="825" priority="63"/>
  </conditionalFormatting>
  <conditionalFormatting sqref="A149:A150">
    <cfRule type="duplicateValues" dxfId="824" priority="62"/>
  </conditionalFormatting>
  <conditionalFormatting sqref="A151">
    <cfRule type="duplicateValues" dxfId="823" priority="61"/>
  </conditionalFormatting>
  <conditionalFormatting sqref="A152:A160">
    <cfRule type="duplicateValues" dxfId="822" priority="60"/>
  </conditionalFormatting>
  <conditionalFormatting sqref="A161">
    <cfRule type="duplicateValues" dxfId="821" priority="59"/>
  </conditionalFormatting>
  <conditionalFormatting sqref="A162">
    <cfRule type="duplicateValues" dxfId="820" priority="58"/>
  </conditionalFormatting>
  <conditionalFormatting sqref="A163">
    <cfRule type="duplicateValues" dxfId="819" priority="57"/>
  </conditionalFormatting>
  <conditionalFormatting sqref="A164:A166">
    <cfRule type="duplicateValues" dxfId="818" priority="56"/>
  </conditionalFormatting>
  <conditionalFormatting sqref="A167">
    <cfRule type="duplicateValues" dxfId="817" priority="55"/>
  </conditionalFormatting>
  <conditionalFormatting sqref="A168">
    <cfRule type="duplicateValues" dxfId="816" priority="54"/>
  </conditionalFormatting>
  <conditionalFormatting sqref="A175">
    <cfRule type="duplicateValues" dxfId="815" priority="53"/>
  </conditionalFormatting>
  <conditionalFormatting sqref="A177">
    <cfRule type="duplicateValues" dxfId="814" priority="52"/>
  </conditionalFormatting>
  <conditionalFormatting sqref="A179">
    <cfRule type="duplicateValues" dxfId="813" priority="51"/>
  </conditionalFormatting>
  <conditionalFormatting sqref="A180:A186">
    <cfRule type="duplicateValues" dxfId="812" priority="50"/>
  </conditionalFormatting>
  <conditionalFormatting sqref="A189">
    <cfRule type="duplicateValues" dxfId="811" priority="49"/>
  </conditionalFormatting>
  <conditionalFormatting sqref="A188">
    <cfRule type="duplicateValues" dxfId="810" priority="48"/>
  </conditionalFormatting>
  <conditionalFormatting sqref="A190">
    <cfRule type="duplicateValues" dxfId="809" priority="47"/>
  </conditionalFormatting>
  <conditionalFormatting sqref="A191">
    <cfRule type="duplicateValues" dxfId="808" priority="46"/>
  </conditionalFormatting>
  <conditionalFormatting sqref="A193">
    <cfRule type="duplicateValues" dxfId="807" priority="44"/>
  </conditionalFormatting>
  <conditionalFormatting sqref="A194">
    <cfRule type="duplicateValues" dxfId="806" priority="43"/>
  </conditionalFormatting>
  <conditionalFormatting sqref="A195">
    <cfRule type="duplicateValues" dxfId="805" priority="42"/>
  </conditionalFormatting>
  <conditionalFormatting sqref="A196">
    <cfRule type="duplicateValues" dxfId="804" priority="41"/>
  </conditionalFormatting>
  <conditionalFormatting sqref="A197">
    <cfRule type="duplicateValues" dxfId="803" priority="40"/>
  </conditionalFormatting>
  <conditionalFormatting sqref="A198">
    <cfRule type="duplicateValues" dxfId="802" priority="39"/>
  </conditionalFormatting>
  <conditionalFormatting sqref="A199">
    <cfRule type="duplicateValues" dxfId="801" priority="38"/>
  </conditionalFormatting>
  <conditionalFormatting sqref="A200">
    <cfRule type="duplicateValues" dxfId="800" priority="37"/>
  </conditionalFormatting>
  <conditionalFormatting sqref="A201">
    <cfRule type="duplicateValues" dxfId="799" priority="36"/>
  </conditionalFormatting>
  <conditionalFormatting sqref="A202">
    <cfRule type="duplicateValues" dxfId="798" priority="35"/>
  </conditionalFormatting>
  <conditionalFormatting sqref="A203">
    <cfRule type="duplicateValues" dxfId="797" priority="34"/>
  </conditionalFormatting>
  <conditionalFormatting sqref="A204:A205">
    <cfRule type="duplicateValues" dxfId="796" priority="33"/>
  </conditionalFormatting>
  <conditionalFormatting sqref="A207:A210">
    <cfRule type="duplicateValues" dxfId="795" priority="32"/>
  </conditionalFormatting>
  <conditionalFormatting sqref="A211">
    <cfRule type="duplicateValues" dxfId="794" priority="31"/>
  </conditionalFormatting>
  <conditionalFormatting sqref="A212:A213">
    <cfRule type="duplicateValues" dxfId="793" priority="30"/>
  </conditionalFormatting>
  <conditionalFormatting sqref="A214:A215">
    <cfRule type="duplicateValues" dxfId="792" priority="29"/>
  </conditionalFormatting>
  <conditionalFormatting sqref="A221:A222">
    <cfRule type="duplicateValues" dxfId="791" priority="28"/>
  </conditionalFormatting>
  <conditionalFormatting sqref="A216">
    <cfRule type="duplicateValues" dxfId="790" priority="27"/>
  </conditionalFormatting>
  <conditionalFormatting sqref="A217">
    <cfRule type="duplicateValues" dxfId="789" priority="26"/>
  </conditionalFormatting>
  <conditionalFormatting sqref="A218:A220">
    <cfRule type="duplicateValues" dxfId="788" priority="134"/>
  </conditionalFormatting>
  <conditionalFormatting sqref="A223 A225">
    <cfRule type="duplicateValues" dxfId="787" priority="25"/>
  </conditionalFormatting>
  <conditionalFormatting sqref="A224">
    <cfRule type="duplicateValues" dxfId="786" priority="24"/>
  </conditionalFormatting>
  <conditionalFormatting sqref="A226">
    <cfRule type="duplicateValues" dxfId="785" priority="23"/>
  </conditionalFormatting>
  <conditionalFormatting sqref="A229">
    <cfRule type="duplicateValues" dxfId="784" priority="22"/>
  </conditionalFormatting>
  <conditionalFormatting sqref="A230">
    <cfRule type="duplicateValues" dxfId="783" priority="21"/>
  </conditionalFormatting>
  <conditionalFormatting sqref="A40">
    <cfRule type="duplicateValues" dxfId="782" priority="20"/>
  </conditionalFormatting>
  <conditionalFormatting sqref="A23">
    <cfRule type="duplicateValues" dxfId="781" priority="19"/>
  </conditionalFormatting>
  <conditionalFormatting sqref="A232">
    <cfRule type="duplicateValues" dxfId="780" priority="18"/>
  </conditionalFormatting>
  <conditionalFormatting sqref="B233:B234">
    <cfRule type="duplicateValues" dxfId="779" priority="17"/>
  </conditionalFormatting>
  <conditionalFormatting sqref="B157:B160">
    <cfRule type="duplicateValues" dxfId="778" priority="16"/>
  </conditionalFormatting>
  <conditionalFormatting sqref="A25">
    <cfRule type="duplicateValues" dxfId="777" priority="15"/>
  </conditionalFormatting>
  <conditionalFormatting sqref="A192">
    <cfRule type="duplicateValues" dxfId="776" priority="14"/>
  </conditionalFormatting>
  <conditionalFormatting sqref="A187">
    <cfRule type="duplicateValues" dxfId="775" priority="13"/>
  </conditionalFormatting>
  <conditionalFormatting sqref="A268 A266">
    <cfRule type="duplicateValues" dxfId="774" priority="12"/>
  </conditionalFormatting>
  <conditionalFormatting sqref="A267">
    <cfRule type="duplicateValues" dxfId="773" priority="11"/>
  </conditionalFormatting>
  <conditionalFormatting sqref="B267">
    <cfRule type="duplicateValues" dxfId="772" priority="10"/>
  </conditionalFormatting>
  <conditionalFormatting sqref="A269">
    <cfRule type="duplicateValues" dxfId="771" priority="9"/>
  </conditionalFormatting>
  <conditionalFormatting sqref="A271">
    <cfRule type="duplicateValues" dxfId="770" priority="3"/>
  </conditionalFormatting>
  <conditionalFormatting sqref="B271">
    <cfRule type="duplicateValues" dxfId="769" priority="2"/>
  </conditionalFormatting>
  <conditionalFormatting sqref="C271">
    <cfRule type="duplicateValues" dxfId="768" priority="1"/>
  </conditionalFormatting>
  <pageMargins left="0.7" right="0.7" top="0.78740157499999996" bottom="0.78740157499999996" header="0.3" footer="0.3"/>
  <pageSetup paperSize="9"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D271"/>
  <sheetViews>
    <sheetView topLeftCell="A250" workbookViewId="0">
      <selection activeCell="C275" sqref="C275"/>
    </sheetView>
  </sheetViews>
  <sheetFormatPr defaultColWidth="10.6640625" defaultRowHeight="14.4"/>
  <cols>
    <col min="1" max="1" width="48.44140625" style="680" customWidth="1"/>
    <col min="2" max="2" width="42.88671875" style="680" customWidth="1"/>
    <col min="3" max="3" width="42.88671875" style="832" customWidth="1"/>
    <col min="4" max="16384" width="10.6640625" style="8"/>
  </cols>
  <sheetData>
    <row r="1" spans="1:3">
      <c r="A1" s="827" t="s">
        <v>7</v>
      </c>
      <c r="B1" s="827" t="s">
        <v>9</v>
      </c>
      <c r="C1" s="828" t="s">
        <v>8</v>
      </c>
    </row>
    <row r="2" spans="1:3">
      <c r="A2" s="680" t="s">
        <v>593</v>
      </c>
      <c r="B2" s="680" t="s">
        <v>594</v>
      </c>
      <c r="C2" s="847" t="s">
        <v>2870</v>
      </c>
    </row>
    <row r="3" spans="1:3">
      <c r="A3" s="680" t="s">
        <v>357</v>
      </c>
      <c r="B3" s="680" t="s">
        <v>357</v>
      </c>
      <c r="C3" s="847" t="s">
        <v>2871</v>
      </c>
    </row>
    <row r="4" spans="1:3">
      <c r="A4" s="681" t="s">
        <v>482</v>
      </c>
      <c r="B4" s="681" t="s">
        <v>483</v>
      </c>
      <c r="C4" s="945" t="s">
        <v>2872</v>
      </c>
    </row>
    <row r="5" spans="1:3">
      <c r="A5" s="680" t="s">
        <v>11</v>
      </c>
      <c r="B5" s="680" t="s">
        <v>10</v>
      </c>
      <c r="C5" s="847" t="s">
        <v>2873</v>
      </c>
    </row>
    <row r="6" spans="1:3">
      <c r="A6" s="680" t="s">
        <v>21</v>
      </c>
      <c r="B6" s="680" t="s">
        <v>20</v>
      </c>
      <c r="C6" s="847" t="s">
        <v>2874</v>
      </c>
    </row>
    <row r="7" spans="1:3">
      <c r="A7" s="680" t="s">
        <v>903</v>
      </c>
      <c r="B7" s="680" t="s">
        <v>902</v>
      </c>
      <c r="C7" s="847" t="s">
        <v>2875</v>
      </c>
    </row>
    <row r="8" spans="1:3">
      <c r="A8" s="680" t="s">
        <v>55</v>
      </c>
      <c r="B8" s="680" t="s">
        <v>904</v>
      </c>
      <c r="C8" s="847" t="s">
        <v>2876</v>
      </c>
    </row>
    <row r="9" spans="1:3">
      <c r="A9" s="680" t="s">
        <v>484</v>
      </c>
      <c r="B9" s="680" t="s">
        <v>480</v>
      </c>
      <c r="C9" s="847" t="s">
        <v>2877</v>
      </c>
    </row>
    <row r="10" spans="1:3">
      <c r="A10" s="680" t="s">
        <v>485</v>
      </c>
      <c r="B10" s="680" t="s">
        <v>469</v>
      </c>
      <c r="C10" s="958" t="s">
        <v>2878</v>
      </c>
    </row>
    <row r="11" spans="1:3">
      <c r="A11" s="680" t="s">
        <v>486</v>
      </c>
      <c r="B11" s="680" t="s">
        <v>470</v>
      </c>
      <c r="C11" s="847" t="s">
        <v>2879</v>
      </c>
    </row>
    <row r="12" spans="1:3">
      <c r="A12" s="680" t="s">
        <v>13</v>
      </c>
      <c r="B12" s="680" t="s">
        <v>12</v>
      </c>
      <c r="C12" s="847" t="s">
        <v>2880</v>
      </c>
    </row>
    <row r="13" spans="1:3">
      <c r="A13" s="681" t="s">
        <v>490</v>
      </c>
      <c r="B13" s="681" t="s">
        <v>448</v>
      </c>
      <c r="C13" s="945" t="s">
        <v>2881</v>
      </c>
    </row>
    <row r="14" spans="1:3">
      <c r="A14" s="682" t="s">
        <v>900</v>
      </c>
      <c r="B14" s="682" t="s">
        <v>900</v>
      </c>
      <c r="C14" s="847" t="s">
        <v>900</v>
      </c>
    </row>
    <row r="15" spans="1:3">
      <c r="A15" s="680" t="s">
        <v>487</v>
      </c>
      <c r="B15" s="680" t="s">
        <v>488</v>
      </c>
      <c r="C15" s="847" t="s">
        <v>2882</v>
      </c>
    </row>
    <row r="16" spans="1:3">
      <c r="A16" s="680" t="s">
        <v>468</v>
      </c>
      <c r="B16" s="680" t="s">
        <v>468</v>
      </c>
      <c r="C16" s="847" t="s">
        <v>2883</v>
      </c>
    </row>
    <row r="17" spans="1:3">
      <c r="A17" s="680" t="s">
        <v>364</v>
      </c>
      <c r="B17" s="680" t="s">
        <v>364</v>
      </c>
      <c r="C17" s="847" t="s">
        <v>2884</v>
      </c>
    </row>
    <row r="18" spans="1:3">
      <c r="A18" s="680" t="s">
        <v>905</v>
      </c>
      <c r="B18" s="680" t="s">
        <v>905</v>
      </c>
      <c r="C18" s="847" t="s">
        <v>2885</v>
      </c>
    </row>
    <row r="19" spans="1:3">
      <c r="A19" s="680" t="s">
        <v>18</v>
      </c>
      <c r="B19" s="680" t="s">
        <v>19</v>
      </c>
      <c r="C19" s="848" t="s">
        <v>2886</v>
      </c>
    </row>
    <row r="20" spans="1:3">
      <c r="A20" s="680" t="s">
        <v>123</v>
      </c>
      <c r="B20" s="680" t="s">
        <v>124</v>
      </c>
      <c r="C20" s="847" t="s">
        <v>2887</v>
      </c>
    </row>
    <row r="21" spans="1:3">
      <c r="A21" s="680" t="s">
        <v>489</v>
      </c>
      <c r="B21" s="680" t="s">
        <v>22</v>
      </c>
      <c r="C21" s="847" t="s">
        <v>2888</v>
      </c>
    </row>
    <row r="22" spans="1:3">
      <c r="A22" s="681" t="s">
        <v>1095</v>
      </c>
      <c r="B22" s="681" t="s">
        <v>1095</v>
      </c>
      <c r="C22" s="945" t="s">
        <v>2889</v>
      </c>
    </row>
    <row r="23" spans="1:3">
      <c r="A23" s="680" t="s">
        <v>1008</v>
      </c>
      <c r="B23" s="680" t="s">
        <v>1007</v>
      </c>
      <c r="C23" s="847" t="s">
        <v>2890</v>
      </c>
    </row>
    <row r="24" spans="1:3">
      <c r="A24" s="680" t="s">
        <v>33</v>
      </c>
      <c r="B24" s="680" t="s">
        <v>32</v>
      </c>
      <c r="C24" s="847" t="s">
        <v>2891</v>
      </c>
    </row>
    <row r="25" spans="1:3">
      <c r="A25" s="680" t="s">
        <v>1742</v>
      </c>
      <c r="B25" s="680" t="s">
        <v>1741</v>
      </c>
      <c r="C25" s="986" t="s">
        <v>3355</v>
      </c>
    </row>
    <row r="26" spans="1:3">
      <c r="A26" s="829" t="s">
        <v>854</v>
      </c>
      <c r="B26" s="829" t="s">
        <v>854</v>
      </c>
      <c r="C26" s="847" t="s">
        <v>2892</v>
      </c>
    </row>
    <row r="27" spans="1:3">
      <c r="A27" s="680" t="s">
        <v>491</v>
      </c>
      <c r="B27" s="680" t="s">
        <v>449</v>
      </c>
      <c r="C27" s="847" t="s">
        <v>2893</v>
      </c>
    </row>
    <row r="28" spans="1:3">
      <c r="A28" s="681" t="s">
        <v>1104</v>
      </c>
      <c r="B28" s="681" t="s">
        <v>1096</v>
      </c>
      <c r="C28" s="945" t="s">
        <v>2894</v>
      </c>
    </row>
    <row r="29" spans="1:3">
      <c r="A29" s="680" t="s">
        <v>577</v>
      </c>
      <c r="B29" s="680" t="s">
        <v>30</v>
      </c>
      <c r="C29" s="847" t="s">
        <v>2895</v>
      </c>
    </row>
    <row r="30" spans="1:3">
      <c r="A30" s="680" t="s">
        <v>578</v>
      </c>
      <c r="B30" s="680" t="s">
        <v>31</v>
      </c>
      <c r="C30" s="847" t="s">
        <v>2896</v>
      </c>
    </row>
    <row r="31" spans="1:3">
      <c r="A31" s="680" t="s">
        <v>14</v>
      </c>
      <c r="B31" s="680" t="s">
        <v>778</v>
      </c>
      <c r="C31" s="847" t="s">
        <v>2897</v>
      </c>
    </row>
    <row r="32" spans="1:3">
      <c r="A32" s="680" t="s">
        <v>15</v>
      </c>
      <c r="B32" s="680" t="s">
        <v>16</v>
      </c>
      <c r="C32" s="847" t="s">
        <v>2898</v>
      </c>
    </row>
    <row r="33" spans="1:3">
      <c r="A33" s="680" t="s">
        <v>362</v>
      </c>
      <c r="B33" s="680" t="s">
        <v>363</v>
      </c>
      <c r="C33" s="847" t="s">
        <v>2899</v>
      </c>
    </row>
    <row r="34" spans="1:3">
      <c r="A34" s="680" t="s">
        <v>29</v>
      </c>
      <c r="B34" s="680" t="s">
        <v>28</v>
      </c>
      <c r="C34" s="847" t="s">
        <v>2900</v>
      </c>
    </row>
    <row r="35" spans="1:3">
      <c r="A35" s="829" t="s">
        <v>504</v>
      </c>
      <c r="B35" s="680" t="s">
        <v>507</v>
      </c>
      <c r="C35" s="847" t="s">
        <v>2901</v>
      </c>
    </row>
    <row r="36" spans="1:3">
      <c r="A36" s="829" t="s">
        <v>26</v>
      </c>
      <c r="B36" s="680" t="s">
        <v>25</v>
      </c>
      <c r="C36" s="847" t="s">
        <v>2902</v>
      </c>
    </row>
    <row r="37" spans="1:3">
      <c r="A37" s="829" t="s">
        <v>906</v>
      </c>
      <c r="B37" s="680" t="s">
        <v>27</v>
      </c>
      <c r="C37" s="847" t="s">
        <v>2903</v>
      </c>
    </row>
    <row r="38" spans="1:3">
      <c r="A38" s="829" t="s">
        <v>89</v>
      </c>
      <c r="B38" s="680" t="s">
        <v>89</v>
      </c>
      <c r="C38" s="847" t="s">
        <v>2904</v>
      </c>
    </row>
    <row r="39" spans="1:3">
      <c r="A39" s="829" t="s">
        <v>506</v>
      </c>
      <c r="B39" s="680" t="s">
        <v>509</v>
      </c>
      <c r="C39" s="847" t="s">
        <v>2905</v>
      </c>
    </row>
    <row r="40" spans="1:3">
      <c r="A40" s="680" t="s">
        <v>934</v>
      </c>
      <c r="B40" s="680" t="s">
        <v>935</v>
      </c>
      <c r="C40" s="847" t="s">
        <v>2906</v>
      </c>
    </row>
    <row r="41" spans="1:3">
      <c r="A41" s="680" t="s">
        <v>105</v>
      </c>
      <c r="B41" s="680" t="s">
        <v>100</v>
      </c>
      <c r="C41" s="849" t="s">
        <v>2907</v>
      </c>
    </row>
    <row r="42" spans="1:3">
      <c r="A42" s="680" t="s">
        <v>106</v>
      </c>
      <c r="B42" s="680" t="s">
        <v>99</v>
      </c>
      <c r="C42" s="847" t="s">
        <v>2908</v>
      </c>
    </row>
    <row r="43" spans="1:3">
      <c r="A43" s="829" t="s">
        <v>873</v>
      </c>
      <c r="B43" s="829" t="s">
        <v>848</v>
      </c>
      <c r="C43" s="847" t="s">
        <v>2909</v>
      </c>
    </row>
    <row r="44" spans="1:3">
      <c r="A44" s="829" t="s">
        <v>874</v>
      </c>
      <c r="B44" s="829" t="s">
        <v>849</v>
      </c>
      <c r="C44" s="847" t="s">
        <v>2910</v>
      </c>
    </row>
    <row r="45" spans="1:3">
      <c r="A45" s="829" t="s">
        <v>875</v>
      </c>
      <c r="B45" s="829" t="s">
        <v>850</v>
      </c>
      <c r="C45" s="847" t="s">
        <v>2911</v>
      </c>
    </row>
    <row r="46" spans="1:3">
      <c r="A46" s="829" t="s">
        <v>876</v>
      </c>
      <c r="B46" s="829" t="s">
        <v>852</v>
      </c>
      <c r="C46" s="847" t="s">
        <v>2912</v>
      </c>
    </row>
    <row r="47" spans="1:3">
      <c r="A47" s="829" t="s">
        <v>877</v>
      </c>
      <c r="B47" s="829" t="s">
        <v>851</v>
      </c>
      <c r="C47" s="847" t="s">
        <v>2913</v>
      </c>
    </row>
    <row r="48" spans="1:3">
      <c r="A48" s="829" t="s">
        <v>878</v>
      </c>
      <c r="B48" s="829" t="s">
        <v>853</v>
      </c>
      <c r="C48" s="847" t="s">
        <v>2914</v>
      </c>
    </row>
    <row r="49" spans="1:3">
      <c r="A49" s="830" t="s">
        <v>879</v>
      </c>
      <c r="B49" s="829" t="s">
        <v>855</v>
      </c>
      <c r="C49" s="847" t="s">
        <v>2915</v>
      </c>
    </row>
    <row r="50" spans="1:3">
      <c r="A50" s="830" t="s">
        <v>880</v>
      </c>
      <c r="B50" s="829" t="s">
        <v>857</v>
      </c>
      <c r="C50" s="847" t="s">
        <v>2916</v>
      </c>
    </row>
    <row r="51" spans="1:3" ht="27.6">
      <c r="A51" s="830" t="s">
        <v>881</v>
      </c>
      <c r="B51" s="830" t="s">
        <v>867</v>
      </c>
      <c r="C51" s="848" t="s">
        <v>2917</v>
      </c>
    </row>
    <row r="52" spans="1:3">
      <c r="A52" s="830" t="s">
        <v>882</v>
      </c>
      <c r="B52" s="829" t="s">
        <v>859</v>
      </c>
      <c r="C52" s="847" t="s">
        <v>2918</v>
      </c>
    </row>
    <row r="53" spans="1:3" ht="27.6">
      <c r="A53" s="830" t="s">
        <v>1083</v>
      </c>
      <c r="B53" s="830" t="s">
        <v>1082</v>
      </c>
      <c r="C53" s="946" t="s">
        <v>2919</v>
      </c>
    </row>
    <row r="54" spans="1:3" ht="41.4">
      <c r="A54" s="830" t="s">
        <v>883</v>
      </c>
      <c r="B54" s="830" t="s">
        <v>861</v>
      </c>
      <c r="C54" s="848" t="s">
        <v>2920</v>
      </c>
    </row>
    <row r="55" spans="1:3">
      <c r="A55" s="830" t="s">
        <v>884</v>
      </c>
      <c r="B55" s="830" t="s">
        <v>868</v>
      </c>
      <c r="C55" s="848" t="s">
        <v>2921</v>
      </c>
    </row>
    <row r="56" spans="1:3" ht="41.4">
      <c r="A56" s="830" t="s">
        <v>885</v>
      </c>
      <c r="B56" s="830" t="s">
        <v>862</v>
      </c>
      <c r="C56" s="848" t="s">
        <v>2922</v>
      </c>
    </row>
    <row r="57" spans="1:3" ht="27.6">
      <c r="A57" s="830" t="s">
        <v>886</v>
      </c>
      <c r="B57" s="830" t="s">
        <v>856</v>
      </c>
      <c r="C57" s="848" t="s">
        <v>2923</v>
      </c>
    </row>
    <row r="58" spans="1:3" ht="27.6">
      <c r="A58" s="830" t="s">
        <v>893</v>
      </c>
      <c r="B58" s="830" t="s">
        <v>869</v>
      </c>
      <c r="C58" s="848" t="s">
        <v>2924</v>
      </c>
    </row>
    <row r="59" spans="1:3">
      <c r="A59" s="830" t="s">
        <v>887</v>
      </c>
      <c r="B59" s="829" t="s">
        <v>858</v>
      </c>
      <c r="C59" s="848" t="s">
        <v>2925</v>
      </c>
    </row>
    <row r="60" spans="1:3" ht="41.4">
      <c r="A60" s="830" t="s">
        <v>888</v>
      </c>
      <c r="B60" s="830" t="s">
        <v>860</v>
      </c>
      <c r="C60" s="848" t="s">
        <v>2926</v>
      </c>
    </row>
    <row r="61" spans="1:3" ht="27.6">
      <c r="A61" s="830" t="s">
        <v>889</v>
      </c>
      <c r="B61" s="830" t="s">
        <v>863</v>
      </c>
      <c r="C61" s="848" t="s">
        <v>2927</v>
      </c>
    </row>
    <row r="62" spans="1:3" ht="27.6">
      <c r="A62" s="830" t="s">
        <v>890</v>
      </c>
      <c r="B62" s="830" t="s">
        <v>864</v>
      </c>
      <c r="C62" s="848" t="s">
        <v>2928</v>
      </c>
    </row>
    <row r="63" spans="1:3" ht="27.6">
      <c r="A63" s="830" t="s">
        <v>891</v>
      </c>
      <c r="B63" s="829" t="s">
        <v>865</v>
      </c>
      <c r="C63" s="848" t="s">
        <v>2929</v>
      </c>
    </row>
    <row r="64" spans="1:3" ht="27.6">
      <c r="A64" s="830" t="s">
        <v>892</v>
      </c>
      <c r="B64" s="829" t="s">
        <v>866</v>
      </c>
      <c r="C64" s="847" t="s">
        <v>2930</v>
      </c>
    </row>
    <row r="65" spans="1:3">
      <c r="A65" s="830" t="s">
        <v>1105</v>
      </c>
      <c r="B65" s="829" t="s">
        <v>932</v>
      </c>
      <c r="C65" s="847" t="s">
        <v>2931</v>
      </c>
    </row>
    <row r="66" spans="1:3">
      <c r="A66" s="830" t="s">
        <v>1106</v>
      </c>
      <c r="B66" s="829" t="s">
        <v>933</v>
      </c>
      <c r="C66" s="847" t="s">
        <v>2932</v>
      </c>
    </row>
    <row r="67" spans="1:3">
      <c r="A67" s="681" t="s">
        <v>1107</v>
      </c>
      <c r="B67" s="681" t="s">
        <v>1097</v>
      </c>
      <c r="C67" s="945" t="s">
        <v>2933</v>
      </c>
    </row>
    <row r="68" spans="1:3">
      <c r="A68" s="680" t="s">
        <v>453</v>
      </c>
      <c r="B68" s="680" t="s">
        <v>453</v>
      </c>
      <c r="C68" s="847" t="s">
        <v>453</v>
      </c>
    </row>
    <row r="69" spans="1:3">
      <c r="A69" s="829" t="s">
        <v>50</v>
      </c>
      <c r="B69" s="829" t="s">
        <v>49</v>
      </c>
      <c r="C69" s="847" t="s">
        <v>2324</v>
      </c>
    </row>
    <row r="70" spans="1:3">
      <c r="A70" s="680" t="s">
        <v>787</v>
      </c>
      <c r="B70" s="829" t="s">
        <v>786</v>
      </c>
      <c r="C70" s="847" t="s">
        <v>2934</v>
      </c>
    </row>
    <row r="71" spans="1:3">
      <c r="A71" s="680" t="s">
        <v>501</v>
      </c>
      <c r="B71" s="680" t="s">
        <v>471</v>
      </c>
      <c r="C71" s="847" t="s">
        <v>2935</v>
      </c>
    </row>
    <row r="72" spans="1:3">
      <c r="A72" s="829" t="s">
        <v>834</v>
      </c>
      <c r="B72" s="829" t="s">
        <v>835</v>
      </c>
      <c r="C72" s="847" t="s">
        <v>2936</v>
      </c>
    </row>
    <row r="73" spans="1:3">
      <c r="A73" s="680" t="s">
        <v>836</v>
      </c>
      <c r="B73" s="680" t="s">
        <v>837</v>
      </c>
      <c r="C73" s="847" t="s">
        <v>2937</v>
      </c>
    </row>
    <row r="74" spans="1:3">
      <c r="A74" s="680" t="s">
        <v>359</v>
      </c>
      <c r="B74" s="680" t="s">
        <v>361</v>
      </c>
      <c r="C74" s="847" t="s">
        <v>2938</v>
      </c>
    </row>
    <row r="75" spans="1:3">
      <c r="A75" s="680" t="s">
        <v>358</v>
      </c>
      <c r="B75" s="680" t="s">
        <v>360</v>
      </c>
      <c r="C75" s="847" t="s">
        <v>2939</v>
      </c>
    </row>
    <row r="76" spans="1:3">
      <c r="A76" s="680" t="s">
        <v>502</v>
      </c>
      <c r="B76" s="680" t="s">
        <v>474</v>
      </c>
      <c r="C76" s="847" t="s">
        <v>2940</v>
      </c>
    </row>
    <row r="77" spans="1:3">
      <c r="A77" s="680" t="s">
        <v>35</v>
      </c>
      <c r="B77" s="680" t="s">
        <v>34</v>
      </c>
      <c r="C77" s="847" t="s">
        <v>2941</v>
      </c>
    </row>
    <row r="78" spans="1:3">
      <c r="A78" s="680" t="s">
        <v>37</v>
      </c>
      <c r="B78" s="680" t="s">
        <v>40</v>
      </c>
      <c r="C78" s="847" t="s">
        <v>2942</v>
      </c>
    </row>
    <row r="79" spans="1:3">
      <c r="A79" s="680" t="s">
        <v>39</v>
      </c>
      <c r="B79" s="680" t="s">
        <v>38</v>
      </c>
      <c r="C79" s="847" t="s">
        <v>2943</v>
      </c>
    </row>
    <row r="80" spans="1:3">
      <c r="A80" s="680" t="s">
        <v>493</v>
      </c>
      <c r="B80" s="680" t="s">
        <v>797</v>
      </c>
      <c r="C80" s="847" t="s">
        <v>2944</v>
      </c>
    </row>
    <row r="81" spans="1:3">
      <c r="A81" s="680" t="s">
        <v>1056</v>
      </c>
      <c r="B81" s="680" t="s">
        <v>942</v>
      </c>
      <c r="C81" s="847" t="s">
        <v>2945</v>
      </c>
    </row>
    <row r="82" spans="1:3">
      <c r="A82" s="680" t="s">
        <v>72</v>
      </c>
      <c r="B82" s="680" t="s">
        <v>73</v>
      </c>
      <c r="C82" s="847" t="s">
        <v>2946</v>
      </c>
    </row>
    <row r="83" spans="1:3">
      <c r="A83" s="680" t="s">
        <v>36</v>
      </c>
      <c r="B83" s="680" t="s">
        <v>1</v>
      </c>
      <c r="C83" s="847" t="s">
        <v>2947</v>
      </c>
    </row>
    <row r="84" spans="1:3">
      <c r="A84" s="829" t="s">
        <v>583</v>
      </c>
      <c r="B84" s="829" t="s">
        <v>582</v>
      </c>
      <c r="C84" s="847" t="s">
        <v>2948</v>
      </c>
    </row>
    <row r="85" spans="1:3">
      <c r="A85" s="680" t="s">
        <v>1055</v>
      </c>
      <c r="B85" s="680" t="s">
        <v>450</v>
      </c>
      <c r="C85" s="847" t="s">
        <v>2949</v>
      </c>
    </row>
    <row r="86" spans="1:3">
      <c r="A86" s="680" t="s">
        <v>495</v>
      </c>
      <c r="B86" s="680" t="s">
        <v>452</v>
      </c>
      <c r="C86" s="847" t="s">
        <v>2950</v>
      </c>
    </row>
    <row r="87" spans="1:3">
      <c r="A87" s="680" t="s">
        <v>496</v>
      </c>
      <c r="B87" s="680" t="s">
        <v>494</v>
      </c>
      <c r="C87" s="847" t="s">
        <v>2951</v>
      </c>
    </row>
    <row r="88" spans="1:3">
      <c r="A88" s="680" t="s">
        <v>497</v>
      </c>
      <c r="B88" s="680" t="s">
        <v>451</v>
      </c>
      <c r="C88" s="847" t="s">
        <v>2952</v>
      </c>
    </row>
    <row r="89" spans="1:3">
      <c r="A89" s="680" t="s">
        <v>3341</v>
      </c>
      <c r="B89" s="680" t="s">
        <v>3341</v>
      </c>
      <c r="C89" s="958" t="s">
        <v>3341</v>
      </c>
    </row>
    <row r="90" spans="1:3">
      <c r="A90" s="680" t="s">
        <v>498</v>
      </c>
      <c r="B90" s="680" t="s">
        <v>472</v>
      </c>
      <c r="C90" s="847" t="s">
        <v>2953</v>
      </c>
    </row>
    <row r="91" spans="1:3">
      <c r="A91" s="680" t="s">
        <v>499</v>
      </c>
      <c r="B91" s="680" t="s">
        <v>473</v>
      </c>
      <c r="C91" s="847" t="s">
        <v>2954</v>
      </c>
    </row>
    <row r="92" spans="1:3">
      <c r="A92" s="680" t="s">
        <v>500</v>
      </c>
      <c r="B92" s="680" t="s">
        <v>475</v>
      </c>
      <c r="C92" s="849" t="s">
        <v>2955</v>
      </c>
    </row>
    <row r="93" spans="1:3">
      <c r="A93" s="680" t="s">
        <v>503</v>
      </c>
      <c r="B93" s="680" t="s">
        <v>459</v>
      </c>
      <c r="C93" s="849" t="s">
        <v>2956</v>
      </c>
    </row>
    <row r="94" spans="1:3">
      <c r="A94" s="680" t="s">
        <v>908</v>
      </c>
      <c r="B94" s="680" t="s">
        <v>907</v>
      </c>
      <c r="C94" s="849" t="s">
        <v>2957</v>
      </c>
    </row>
    <row r="95" spans="1:3">
      <c r="A95" s="680" t="s">
        <v>492</v>
      </c>
      <c r="B95" s="680" t="s">
        <v>466</v>
      </c>
      <c r="C95" s="849" t="s">
        <v>2958</v>
      </c>
    </row>
    <row r="96" spans="1:3">
      <c r="A96" s="681" t="s">
        <v>927</v>
      </c>
      <c r="B96" s="831" t="s">
        <v>927</v>
      </c>
      <c r="C96" s="963" t="s">
        <v>2959</v>
      </c>
    </row>
    <row r="97" spans="1:3">
      <c r="A97" s="829" t="s">
        <v>805</v>
      </c>
      <c r="B97" s="682" t="s">
        <v>806</v>
      </c>
      <c r="C97" s="958" t="s">
        <v>2960</v>
      </c>
    </row>
    <row r="98" spans="1:3">
      <c r="A98" s="829" t="s">
        <v>589</v>
      </c>
      <c r="B98" s="680" t="s">
        <v>590</v>
      </c>
      <c r="C98" s="847" t="s">
        <v>2961</v>
      </c>
    </row>
    <row r="99" spans="1:3">
      <c r="A99" s="680" t="s">
        <v>792</v>
      </c>
      <c r="B99" s="832" t="s">
        <v>782</v>
      </c>
      <c r="C99" s="958" t="s">
        <v>2962</v>
      </c>
    </row>
    <row r="100" spans="1:3">
      <c r="A100" s="680" t="s">
        <v>793</v>
      </c>
      <c r="B100" s="832" t="s">
        <v>783</v>
      </c>
      <c r="C100" s="847" t="s">
        <v>2963</v>
      </c>
    </row>
    <row r="101" spans="1:3">
      <c r="A101" s="680" t="s">
        <v>794</v>
      </c>
      <c r="B101" s="964" t="s">
        <v>784</v>
      </c>
      <c r="C101" s="958" t="s">
        <v>2964</v>
      </c>
    </row>
    <row r="102" spans="1:3">
      <c r="A102" s="680" t="s">
        <v>781</v>
      </c>
      <c r="B102" s="829" t="s">
        <v>780</v>
      </c>
      <c r="C102" s="847" t="s">
        <v>2965</v>
      </c>
    </row>
    <row r="103" spans="1:3">
      <c r="A103" s="829" t="s">
        <v>505</v>
      </c>
      <c r="B103" s="680" t="s">
        <v>508</v>
      </c>
      <c r="C103" s="847" t="s">
        <v>2966</v>
      </c>
    </row>
    <row r="104" spans="1:3">
      <c r="A104" s="829" t="s">
        <v>510</v>
      </c>
      <c r="B104" s="680" t="s">
        <v>511</v>
      </c>
      <c r="C104" s="847" t="s">
        <v>2967</v>
      </c>
    </row>
    <row r="105" spans="1:3" ht="41.4">
      <c r="A105" s="833" t="s">
        <v>513</v>
      </c>
      <c r="B105" s="682" t="s">
        <v>481</v>
      </c>
      <c r="C105" s="848" t="s">
        <v>2968</v>
      </c>
    </row>
    <row r="106" spans="1:3">
      <c r="A106" s="684" t="s">
        <v>928</v>
      </c>
      <c r="B106" s="684" t="s">
        <v>929</v>
      </c>
      <c r="C106" s="945" t="s">
        <v>2969</v>
      </c>
    </row>
    <row r="107" spans="1:3" ht="27.6">
      <c r="A107" s="829" t="s">
        <v>516</v>
      </c>
      <c r="B107" s="682" t="s">
        <v>515</v>
      </c>
      <c r="C107" s="848" t="s">
        <v>2970</v>
      </c>
    </row>
    <row r="108" spans="1:3">
      <c r="A108" s="680" t="s">
        <v>70</v>
      </c>
      <c r="B108" s="680" t="s">
        <v>71</v>
      </c>
      <c r="C108" s="847" t="s">
        <v>2971</v>
      </c>
    </row>
    <row r="109" spans="1:3">
      <c r="A109" s="829" t="s">
        <v>533</v>
      </c>
      <c r="B109" s="680" t="s">
        <v>444</v>
      </c>
      <c r="C109" s="847" t="s">
        <v>2972</v>
      </c>
    </row>
    <row r="110" spans="1:3" ht="41.4">
      <c r="A110" s="830" t="s">
        <v>534</v>
      </c>
      <c r="B110" s="680" t="s">
        <v>430</v>
      </c>
      <c r="C110" s="848" t="s">
        <v>2973</v>
      </c>
    </row>
    <row r="111" spans="1:3" ht="27.6">
      <c r="A111" s="829" t="s">
        <v>535</v>
      </c>
      <c r="B111" s="680" t="s">
        <v>434</v>
      </c>
      <c r="C111" s="848" t="s">
        <v>2974</v>
      </c>
    </row>
    <row r="112" spans="1:3">
      <c r="A112" s="829" t="s">
        <v>536</v>
      </c>
      <c r="B112" s="680" t="s">
        <v>438</v>
      </c>
      <c r="C112" s="848" t="s">
        <v>2975</v>
      </c>
    </row>
    <row r="113" spans="1:3" ht="27.6">
      <c r="A113" s="829" t="s">
        <v>538</v>
      </c>
      <c r="B113" s="680" t="s">
        <v>537</v>
      </c>
      <c r="C113" s="848" t="s">
        <v>2976</v>
      </c>
    </row>
    <row r="114" spans="1:3" ht="27.6">
      <c r="A114" s="830" t="s">
        <v>539</v>
      </c>
      <c r="B114" s="680" t="s">
        <v>445</v>
      </c>
      <c r="C114" s="848" t="s">
        <v>2977</v>
      </c>
    </row>
    <row r="115" spans="1:3">
      <c r="A115" s="680" t="s">
        <v>24</v>
      </c>
      <c r="B115" s="680" t="s">
        <v>23</v>
      </c>
      <c r="C115" s="848" t="s">
        <v>2978</v>
      </c>
    </row>
    <row r="116" spans="1:3" ht="27.6">
      <c r="A116" s="829" t="s">
        <v>517</v>
      </c>
      <c r="B116" s="680" t="s">
        <v>427</v>
      </c>
      <c r="C116" s="848" t="s">
        <v>2979</v>
      </c>
    </row>
    <row r="117" spans="1:3">
      <c r="A117" s="829" t="s">
        <v>518</v>
      </c>
      <c r="B117" s="680" t="s">
        <v>431</v>
      </c>
      <c r="C117" s="848" t="s">
        <v>2980</v>
      </c>
    </row>
    <row r="118" spans="1:3" ht="27.6">
      <c r="A118" s="829" t="s">
        <v>519</v>
      </c>
      <c r="B118" s="680" t="s">
        <v>435</v>
      </c>
      <c r="C118" s="848" t="s">
        <v>2981</v>
      </c>
    </row>
    <row r="119" spans="1:3" ht="41.4">
      <c r="A119" s="830" t="s">
        <v>520</v>
      </c>
      <c r="B119" s="830" t="s">
        <v>439</v>
      </c>
      <c r="C119" s="848" t="s">
        <v>2982</v>
      </c>
    </row>
    <row r="120" spans="1:3" ht="27.6">
      <c r="A120" s="829" t="s">
        <v>521</v>
      </c>
      <c r="B120" s="680" t="s">
        <v>442</v>
      </c>
      <c r="C120" s="848" t="s">
        <v>2983</v>
      </c>
    </row>
    <row r="121" spans="1:3" ht="27.6">
      <c r="A121" s="829" t="s">
        <v>522</v>
      </c>
      <c r="B121" s="680" t="s">
        <v>446</v>
      </c>
      <c r="C121" s="848" t="s">
        <v>2984</v>
      </c>
    </row>
    <row r="122" spans="1:3">
      <c r="A122" s="680" t="s">
        <v>74</v>
      </c>
      <c r="B122" s="680" t="s">
        <v>74</v>
      </c>
      <c r="C122" s="848" t="s">
        <v>74</v>
      </c>
    </row>
    <row r="123" spans="1:3" ht="27.6">
      <c r="A123" s="830" t="s">
        <v>528</v>
      </c>
      <c r="B123" s="680" t="s">
        <v>447</v>
      </c>
      <c r="C123" s="848" t="s">
        <v>2985</v>
      </c>
    </row>
    <row r="124" spans="1:3" ht="27.6">
      <c r="A124" s="829" t="s">
        <v>529</v>
      </c>
      <c r="B124" s="680" t="s">
        <v>429</v>
      </c>
      <c r="C124" s="848" t="s">
        <v>2986</v>
      </c>
    </row>
    <row r="125" spans="1:3" ht="27.6">
      <c r="A125" s="829" t="s">
        <v>530</v>
      </c>
      <c r="B125" s="680" t="s">
        <v>433</v>
      </c>
      <c r="C125" s="848" t="s">
        <v>2987</v>
      </c>
    </row>
    <row r="126" spans="1:3" ht="27.6">
      <c r="A126" s="829" t="s">
        <v>531</v>
      </c>
      <c r="B126" s="680" t="s">
        <v>437</v>
      </c>
      <c r="C126" s="947" t="s">
        <v>2988</v>
      </c>
    </row>
    <row r="127" spans="1:3" ht="27.6">
      <c r="A127" s="829" t="s">
        <v>532</v>
      </c>
      <c r="B127" s="680" t="s">
        <v>441</v>
      </c>
      <c r="C127" s="947" t="s">
        <v>2989</v>
      </c>
    </row>
    <row r="128" spans="1:3">
      <c r="A128" s="680" t="s">
        <v>72</v>
      </c>
      <c r="B128" s="680" t="s">
        <v>73</v>
      </c>
      <c r="C128" s="848" t="s">
        <v>2946</v>
      </c>
    </row>
    <row r="129" spans="1:4" ht="27.6">
      <c r="A129" s="829" t="s">
        <v>523</v>
      </c>
      <c r="B129" s="680" t="s">
        <v>428</v>
      </c>
      <c r="C129" s="848" t="s">
        <v>2990</v>
      </c>
    </row>
    <row r="130" spans="1:4">
      <c r="A130" s="829" t="s">
        <v>524</v>
      </c>
      <c r="B130" s="680" t="s">
        <v>432</v>
      </c>
      <c r="C130" s="848" t="s">
        <v>2991</v>
      </c>
    </row>
    <row r="131" spans="1:4" ht="27.6">
      <c r="A131" s="829" t="s">
        <v>525</v>
      </c>
      <c r="B131" s="680" t="s">
        <v>436</v>
      </c>
      <c r="C131" s="848" t="s">
        <v>2992</v>
      </c>
    </row>
    <row r="132" spans="1:4" ht="27.6">
      <c r="A132" s="829" t="s">
        <v>526</v>
      </c>
      <c r="B132" s="680" t="s">
        <v>440</v>
      </c>
      <c r="C132" s="848" t="s">
        <v>2993</v>
      </c>
    </row>
    <row r="133" spans="1:4" ht="27.6">
      <c r="A133" s="829" t="s">
        <v>527</v>
      </c>
      <c r="B133" s="680" t="s">
        <v>443</v>
      </c>
      <c r="C133" s="848" t="s">
        <v>2994</v>
      </c>
    </row>
    <row r="134" spans="1:4">
      <c r="A134" s="680" t="s">
        <v>909</v>
      </c>
      <c r="B134" s="680" t="s">
        <v>75</v>
      </c>
      <c r="C134" s="848" t="s">
        <v>2995</v>
      </c>
    </row>
    <row r="135" spans="1:4">
      <c r="A135" s="680" t="s">
        <v>514</v>
      </c>
      <c r="B135" s="680" t="s">
        <v>5</v>
      </c>
      <c r="C135" s="848" t="s">
        <v>2996</v>
      </c>
    </row>
    <row r="136" spans="1:4">
      <c r="A136" s="681" t="s">
        <v>41</v>
      </c>
      <c r="B136" s="681" t="s">
        <v>46</v>
      </c>
      <c r="C136" s="945" t="s">
        <v>2997</v>
      </c>
    </row>
    <row r="137" spans="1:4">
      <c r="A137" s="680" t="s">
        <v>871</v>
      </c>
      <c r="B137" s="680" t="s">
        <v>870</v>
      </c>
      <c r="C137" s="847" t="s">
        <v>2998</v>
      </c>
    </row>
    <row r="138" spans="1:4">
      <c r="A138" s="680" t="s">
        <v>872</v>
      </c>
      <c r="B138" s="680" t="s">
        <v>899</v>
      </c>
      <c r="C138" s="847" t="s">
        <v>2999</v>
      </c>
    </row>
    <row r="139" spans="1:4">
      <c r="A139" s="680" t="s">
        <v>42</v>
      </c>
      <c r="B139" s="680" t="s">
        <v>47</v>
      </c>
      <c r="C139" s="950" t="s">
        <v>3123</v>
      </c>
    </row>
    <row r="140" spans="1:4">
      <c r="A140" s="680" t="s">
        <v>44</v>
      </c>
      <c r="B140" s="680" t="s">
        <v>43</v>
      </c>
      <c r="C140" s="847" t="s">
        <v>3000</v>
      </c>
    </row>
    <row r="141" spans="1:4">
      <c r="A141" s="682" t="s">
        <v>896</v>
      </c>
      <c r="B141" s="680" t="s">
        <v>894</v>
      </c>
      <c r="C141" s="848" t="s">
        <v>3001</v>
      </c>
    </row>
    <row r="142" spans="1:4" ht="27.6">
      <c r="A142" s="682" t="s">
        <v>898</v>
      </c>
      <c r="B142" s="682" t="s">
        <v>897</v>
      </c>
      <c r="C142" s="948" t="s">
        <v>3002</v>
      </c>
    </row>
    <row r="143" spans="1:4">
      <c r="A143" s="831" t="s">
        <v>923</v>
      </c>
      <c r="B143" s="681" t="s">
        <v>924</v>
      </c>
      <c r="C143" s="945" t="s">
        <v>3003</v>
      </c>
      <c r="D143"/>
    </row>
    <row r="144" spans="1:4">
      <c r="A144" s="829" t="s">
        <v>911</v>
      </c>
      <c r="B144" s="680" t="s">
        <v>910</v>
      </c>
      <c r="C144" s="847" t="s">
        <v>3004</v>
      </c>
      <c r="D144"/>
    </row>
    <row r="145" spans="1:4">
      <c r="A145" s="681" t="s">
        <v>912</v>
      </c>
      <c r="B145" s="681" t="s">
        <v>913</v>
      </c>
      <c r="C145" s="945" t="s">
        <v>3005</v>
      </c>
      <c r="D145"/>
    </row>
    <row r="146" spans="1:4">
      <c r="A146" s="829" t="s">
        <v>788</v>
      </c>
      <c r="B146" s="829" t="s">
        <v>789</v>
      </c>
      <c r="C146" s="851" t="s">
        <v>3006</v>
      </c>
    </row>
    <row r="147" spans="1:4">
      <c r="A147" s="829" t="s">
        <v>790</v>
      </c>
      <c r="B147" s="829" t="s">
        <v>795</v>
      </c>
      <c r="C147" s="851" t="s">
        <v>3007</v>
      </c>
    </row>
    <row r="148" spans="1:4">
      <c r="A148" s="829" t="s">
        <v>791</v>
      </c>
      <c r="B148" s="829" t="s">
        <v>796</v>
      </c>
      <c r="C148" s="851" t="s">
        <v>3008</v>
      </c>
    </row>
    <row r="149" spans="1:4">
      <c r="A149" s="829" t="s">
        <v>541</v>
      </c>
      <c r="B149" s="680" t="s">
        <v>419</v>
      </c>
      <c r="C149" s="851" t="s">
        <v>3009</v>
      </c>
    </row>
    <row r="150" spans="1:4">
      <c r="A150" s="829" t="s">
        <v>549</v>
      </c>
      <c r="B150" s="680" t="s">
        <v>548</v>
      </c>
      <c r="C150" s="851" t="s">
        <v>3010</v>
      </c>
    </row>
    <row r="151" spans="1:4">
      <c r="A151" s="829" t="s">
        <v>580</v>
      </c>
      <c r="B151" s="680" t="s">
        <v>550</v>
      </c>
      <c r="C151" s="851" t="s">
        <v>3011</v>
      </c>
    </row>
    <row r="152" spans="1:4">
      <c r="A152" s="829" t="s">
        <v>551</v>
      </c>
      <c r="B152" s="680" t="s">
        <v>421</v>
      </c>
      <c r="C152" s="851" t="s">
        <v>3012</v>
      </c>
    </row>
    <row r="153" spans="1:4">
      <c r="A153" s="829" t="s">
        <v>552</v>
      </c>
      <c r="B153" s="680" t="s">
        <v>422</v>
      </c>
      <c r="C153" s="851" t="s">
        <v>3013</v>
      </c>
    </row>
    <row r="154" spans="1:4">
      <c r="A154" s="829" t="s">
        <v>543</v>
      </c>
      <c r="B154" s="680" t="s">
        <v>423</v>
      </c>
      <c r="C154" s="851" t="s">
        <v>3014</v>
      </c>
    </row>
    <row r="155" spans="1:4">
      <c r="A155" s="829" t="s">
        <v>544</v>
      </c>
      <c r="B155" s="680" t="s">
        <v>424</v>
      </c>
      <c r="C155" s="851" t="s">
        <v>3015</v>
      </c>
    </row>
    <row r="156" spans="1:4">
      <c r="A156" s="829" t="s">
        <v>545</v>
      </c>
      <c r="B156" s="680" t="s">
        <v>425</v>
      </c>
      <c r="C156" s="851" t="s">
        <v>3016</v>
      </c>
    </row>
    <row r="157" spans="1:4">
      <c r="A157" s="829" t="s">
        <v>994</v>
      </c>
      <c r="B157" s="829" t="s">
        <v>1075</v>
      </c>
      <c r="C157" s="851" t="s">
        <v>3017</v>
      </c>
    </row>
    <row r="158" spans="1:4">
      <c r="A158" s="829" t="s">
        <v>995</v>
      </c>
      <c r="B158" s="829" t="s">
        <v>1076</v>
      </c>
      <c r="C158" s="851" t="s">
        <v>3018</v>
      </c>
    </row>
    <row r="159" spans="1:4">
      <c r="A159" s="829" t="s">
        <v>1124</v>
      </c>
      <c r="B159" s="829" t="s">
        <v>1123</v>
      </c>
      <c r="C159" s="851" t="s">
        <v>3019</v>
      </c>
    </row>
    <row r="160" spans="1:4">
      <c r="A160" s="829" t="s">
        <v>996</v>
      </c>
      <c r="B160" s="829" t="s">
        <v>1077</v>
      </c>
      <c r="C160" s="851" t="s">
        <v>3020</v>
      </c>
    </row>
    <row r="161" spans="1:3">
      <c r="A161" s="831" t="s">
        <v>540</v>
      </c>
      <c r="B161" s="681" t="s">
        <v>1125</v>
      </c>
      <c r="C161" s="945" t="s">
        <v>3021</v>
      </c>
    </row>
    <row r="162" spans="1:3">
      <c r="A162" s="831" t="s">
        <v>914</v>
      </c>
      <c r="B162" s="681" t="s">
        <v>840</v>
      </c>
      <c r="C162" s="945" t="s">
        <v>3022</v>
      </c>
    </row>
    <row r="163" spans="1:3">
      <c r="A163" s="829" t="s">
        <v>542</v>
      </c>
      <c r="B163" s="680" t="s">
        <v>420</v>
      </c>
      <c r="C163" s="851" t="s">
        <v>3023</v>
      </c>
    </row>
    <row r="164" spans="1:3">
      <c r="A164" s="829" t="s">
        <v>546</v>
      </c>
      <c r="B164" s="680" t="s">
        <v>45</v>
      </c>
      <c r="C164" s="851" t="s">
        <v>3024</v>
      </c>
    </row>
    <row r="165" spans="1:3">
      <c r="A165" s="829" t="s">
        <v>547</v>
      </c>
      <c r="B165" s="680" t="s">
        <v>584</v>
      </c>
      <c r="C165" s="851" t="s">
        <v>3025</v>
      </c>
    </row>
    <row r="166" spans="1:3">
      <c r="A166" s="829" t="s">
        <v>581</v>
      </c>
      <c r="B166" s="829" t="s">
        <v>48</v>
      </c>
      <c r="C166" s="851" t="s">
        <v>3026</v>
      </c>
    </row>
    <row r="167" spans="1:3" ht="27.6">
      <c r="A167" s="834" t="s">
        <v>801</v>
      </c>
      <c r="B167" s="834" t="s">
        <v>802</v>
      </c>
      <c r="C167" s="949" t="s">
        <v>3027</v>
      </c>
    </row>
    <row r="168" spans="1:3">
      <c r="A168" s="829" t="s">
        <v>585</v>
      </c>
      <c r="B168" s="829" t="s">
        <v>426</v>
      </c>
      <c r="C168" s="851" t="s">
        <v>3028</v>
      </c>
    </row>
    <row r="169" spans="1:3">
      <c r="A169" s="829" t="s">
        <v>764</v>
      </c>
      <c r="B169" s="680" t="s">
        <v>764</v>
      </c>
      <c r="C169" s="851" t="s">
        <v>3029</v>
      </c>
    </row>
    <row r="170" spans="1:3" ht="41.4">
      <c r="A170" s="830" t="s">
        <v>765</v>
      </c>
      <c r="B170" s="830" t="s">
        <v>766</v>
      </c>
      <c r="C170" s="949" t="s">
        <v>3030</v>
      </c>
    </row>
    <row r="171" spans="1:3">
      <c r="A171" s="680" t="s">
        <v>768</v>
      </c>
      <c r="B171" s="829" t="s">
        <v>767</v>
      </c>
      <c r="C171" s="851" t="s">
        <v>3031</v>
      </c>
    </row>
    <row r="172" spans="1:3">
      <c r="A172" s="680" t="s">
        <v>586</v>
      </c>
      <c r="B172" s="680" t="s">
        <v>779</v>
      </c>
      <c r="C172" s="851" t="s">
        <v>3032</v>
      </c>
    </row>
    <row r="173" spans="1:3">
      <c r="A173" s="680" t="s">
        <v>770</v>
      </c>
      <c r="B173" s="829" t="s">
        <v>769</v>
      </c>
      <c r="C173" s="851" t="s">
        <v>3033</v>
      </c>
    </row>
    <row r="174" spans="1:3">
      <c r="A174" s="680" t="s">
        <v>592</v>
      </c>
      <c r="B174" s="829" t="s">
        <v>591</v>
      </c>
      <c r="C174" s="851" t="s">
        <v>3034</v>
      </c>
    </row>
    <row r="175" spans="1:3">
      <c r="A175" s="965" t="s">
        <v>1154</v>
      </c>
      <c r="B175" s="680" t="s">
        <v>1058</v>
      </c>
      <c r="C175" s="851" t="s">
        <v>3035</v>
      </c>
    </row>
    <row r="176" spans="1:3" ht="41.4">
      <c r="A176" s="830" t="s">
        <v>1155</v>
      </c>
      <c r="B176" s="830" t="s">
        <v>1059</v>
      </c>
      <c r="C176" s="949" t="s">
        <v>3036</v>
      </c>
    </row>
    <row r="177" spans="1:3">
      <c r="A177" s="835"/>
      <c r="B177" s="685"/>
      <c r="C177" s="851"/>
    </row>
    <row r="178" spans="1:3">
      <c r="A178" s="681" t="s">
        <v>923</v>
      </c>
      <c r="B178" s="681" t="s">
        <v>1128</v>
      </c>
      <c r="C178" s="945" t="s">
        <v>3003</v>
      </c>
    </row>
    <row r="179" spans="1:3">
      <c r="A179" s="680" t="s">
        <v>587</v>
      </c>
      <c r="B179" s="682" t="s">
        <v>588</v>
      </c>
      <c r="C179" s="851" t="s">
        <v>3037</v>
      </c>
    </row>
    <row r="180" spans="1:3">
      <c r="A180" s="680" t="s">
        <v>553</v>
      </c>
      <c r="B180" s="680" t="s">
        <v>455</v>
      </c>
      <c r="C180" s="851" t="s">
        <v>3038</v>
      </c>
    </row>
    <row r="181" spans="1:3">
      <c r="A181" s="680" t="s">
        <v>554</v>
      </c>
      <c r="B181" s="680" t="s">
        <v>456</v>
      </c>
      <c r="C181" s="851" t="s">
        <v>3039</v>
      </c>
    </row>
    <row r="182" spans="1:3">
      <c r="A182" s="680" t="s">
        <v>555</v>
      </c>
      <c r="B182" s="680" t="s">
        <v>476</v>
      </c>
      <c r="C182" s="851" t="s">
        <v>3040</v>
      </c>
    </row>
    <row r="183" spans="1:3">
      <c r="A183" s="680" t="s">
        <v>556</v>
      </c>
      <c r="B183" s="680" t="s">
        <v>477</v>
      </c>
      <c r="C183" s="851" t="s">
        <v>3041</v>
      </c>
    </row>
    <row r="184" spans="1:3">
      <c r="A184" s="680" t="s">
        <v>557</v>
      </c>
      <c r="B184" s="680" t="s">
        <v>478</v>
      </c>
      <c r="C184" s="851" t="s">
        <v>3042</v>
      </c>
    </row>
    <row r="185" spans="1:3">
      <c r="A185" s="680" t="s">
        <v>558</v>
      </c>
      <c r="B185" s="680" t="s">
        <v>479</v>
      </c>
      <c r="C185" s="851" t="s">
        <v>3043</v>
      </c>
    </row>
    <row r="186" spans="1:3">
      <c r="A186" s="680" t="s">
        <v>915</v>
      </c>
      <c r="B186" s="680" t="s">
        <v>595</v>
      </c>
      <c r="C186" s="851" t="s">
        <v>3044</v>
      </c>
    </row>
    <row r="187" spans="1:3">
      <c r="A187" s="680" t="s">
        <v>1746</v>
      </c>
      <c r="B187" s="680" t="s">
        <v>1747</v>
      </c>
      <c r="C187" s="851" t="s">
        <v>3045</v>
      </c>
    </row>
    <row r="188" spans="1:3">
      <c r="A188" s="681" t="s">
        <v>1126</v>
      </c>
      <c r="B188" s="681" t="s">
        <v>1127</v>
      </c>
      <c r="C188" s="945" t="s">
        <v>3046</v>
      </c>
    </row>
    <row r="189" spans="1:3">
      <c r="A189" s="680" t="s">
        <v>916</v>
      </c>
      <c r="B189" s="680" t="s">
        <v>917</v>
      </c>
      <c r="C189" s="851" t="s">
        <v>3047</v>
      </c>
    </row>
    <row r="190" spans="1:3">
      <c r="A190" s="680" t="s">
        <v>570</v>
      </c>
      <c r="B190" s="680" t="s">
        <v>596</v>
      </c>
      <c r="C190" s="851" t="s">
        <v>3048</v>
      </c>
    </row>
    <row r="191" spans="1:3">
      <c r="A191" s="680" t="s">
        <v>119</v>
      </c>
      <c r="B191" s="680" t="s">
        <v>367</v>
      </c>
      <c r="C191" s="851" t="s">
        <v>3049</v>
      </c>
    </row>
    <row r="192" spans="1:3" ht="27.6">
      <c r="A192" s="680" t="s">
        <v>1745</v>
      </c>
      <c r="B192" s="680" t="s">
        <v>1744</v>
      </c>
      <c r="C192" s="949" t="s">
        <v>3050</v>
      </c>
    </row>
    <row r="193" spans="1:3">
      <c r="A193" s="681" t="s">
        <v>1108</v>
      </c>
      <c r="B193" s="681" t="s">
        <v>1109</v>
      </c>
      <c r="C193" s="945" t="s">
        <v>3051</v>
      </c>
    </row>
    <row r="194" spans="1:3">
      <c r="A194" s="680" t="s">
        <v>562</v>
      </c>
      <c r="B194" s="680" t="s">
        <v>457</v>
      </c>
      <c r="C194" s="851" t="s">
        <v>3052</v>
      </c>
    </row>
    <row r="195" spans="1:3">
      <c r="A195" s="680" t="s">
        <v>563</v>
      </c>
      <c r="B195" s="680" t="s">
        <v>458</v>
      </c>
      <c r="C195" s="851" t="s">
        <v>3053</v>
      </c>
    </row>
    <row r="196" spans="1:3">
      <c r="A196" s="680" t="s">
        <v>571</v>
      </c>
      <c r="B196" s="680" t="s">
        <v>2</v>
      </c>
      <c r="C196" s="851" t="s">
        <v>3054</v>
      </c>
    </row>
    <row r="197" spans="1:3">
      <c r="A197" s="680" t="s">
        <v>0</v>
      </c>
      <c r="B197" s="680" t="s">
        <v>0</v>
      </c>
      <c r="C197" s="851" t="s">
        <v>0</v>
      </c>
    </row>
    <row r="198" spans="1:3">
      <c r="A198" s="680" t="s">
        <v>52</v>
      </c>
      <c r="B198" s="680" t="s">
        <v>4</v>
      </c>
      <c r="C198" s="851" t="s">
        <v>52</v>
      </c>
    </row>
    <row r="199" spans="1:3">
      <c r="A199" s="680" t="s">
        <v>51</v>
      </c>
      <c r="B199" s="680" t="s">
        <v>3</v>
      </c>
      <c r="C199" s="851" t="s">
        <v>51</v>
      </c>
    </row>
    <row r="200" spans="1:3">
      <c r="A200" s="680" t="s">
        <v>564</v>
      </c>
      <c r="B200" s="680" t="s">
        <v>460</v>
      </c>
      <c r="C200" s="851" t="s">
        <v>3055</v>
      </c>
    </row>
    <row r="201" spans="1:3">
      <c r="A201" s="680" t="s">
        <v>565</v>
      </c>
      <c r="B201" s="680" t="s">
        <v>512</v>
      </c>
      <c r="C201" s="851" t="s">
        <v>3056</v>
      </c>
    </row>
    <row r="202" spans="1:3">
      <c r="A202" s="680" t="s">
        <v>566</v>
      </c>
      <c r="B202" s="680" t="s">
        <v>463</v>
      </c>
      <c r="C202" s="851" t="s">
        <v>3057</v>
      </c>
    </row>
    <row r="203" spans="1:3">
      <c r="A203" s="680" t="s">
        <v>567</v>
      </c>
      <c r="B203" s="680" t="s">
        <v>461</v>
      </c>
      <c r="C203" s="851" t="s">
        <v>3058</v>
      </c>
    </row>
    <row r="204" spans="1:3">
      <c r="A204" s="680" t="s">
        <v>572</v>
      </c>
      <c r="B204" s="680" t="s">
        <v>464</v>
      </c>
      <c r="C204" s="851" t="s">
        <v>3059</v>
      </c>
    </row>
    <row r="205" spans="1:3">
      <c r="A205" s="680" t="s">
        <v>568</v>
      </c>
      <c r="B205" s="680" t="s">
        <v>462</v>
      </c>
      <c r="C205" s="851" t="s">
        <v>3060</v>
      </c>
    </row>
    <row r="206" spans="1:3" ht="27.6">
      <c r="A206" s="680" t="s">
        <v>807</v>
      </c>
      <c r="B206" s="680" t="s">
        <v>808</v>
      </c>
      <c r="C206" s="949" t="s">
        <v>3061</v>
      </c>
    </row>
    <row r="207" spans="1:3">
      <c r="A207" s="680" t="s">
        <v>918</v>
      </c>
      <c r="B207" s="680" t="s">
        <v>919</v>
      </c>
      <c r="C207" s="851" t="s">
        <v>3062</v>
      </c>
    </row>
    <row r="208" spans="1:3">
      <c r="A208" s="680" t="s">
        <v>569</v>
      </c>
      <c r="B208" s="680" t="s">
        <v>560</v>
      </c>
      <c r="C208" s="851" t="s">
        <v>3063</v>
      </c>
    </row>
    <row r="209" spans="1:3">
      <c r="A209" s="680" t="s">
        <v>920</v>
      </c>
      <c r="B209" s="680" t="s">
        <v>465</v>
      </c>
      <c r="C209" s="851" t="s">
        <v>3064</v>
      </c>
    </row>
    <row r="210" spans="1:3">
      <c r="A210" s="680" t="s">
        <v>559</v>
      </c>
      <c r="B210" s="680" t="s">
        <v>561</v>
      </c>
      <c r="C210" s="851" t="s">
        <v>3065</v>
      </c>
    </row>
    <row r="211" spans="1:3">
      <c r="A211" s="680" t="s">
        <v>107</v>
      </c>
      <c r="B211" s="680" t="s">
        <v>798</v>
      </c>
      <c r="C211" s="851" t="s">
        <v>3066</v>
      </c>
    </row>
    <row r="212" spans="1:3">
      <c r="A212" s="680" t="s">
        <v>920</v>
      </c>
      <c r="B212" s="680" t="s">
        <v>921</v>
      </c>
      <c r="C212" s="851" t="s">
        <v>3064</v>
      </c>
    </row>
    <row r="213" spans="1:3">
      <c r="A213" s="680" t="s">
        <v>559</v>
      </c>
      <c r="B213" s="680" t="s">
        <v>561</v>
      </c>
      <c r="C213" s="851" t="s">
        <v>3065</v>
      </c>
    </row>
    <row r="214" spans="1:3">
      <c r="A214" s="681" t="s">
        <v>1110</v>
      </c>
      <c r="B214" s="681" t="s">
        <v>1111</v>
      </c>
      <c r="C214" s="945" t="s">
        <v>3067</v>
      </c>
    </row>
    <row r="215" spans="1:3">
      <c r="A215" s="680" t="s">
        <v>1112</v>
      </c>
      <c r="B215" s="680" t="s">
        <v>1113</v>
      </c>
      <c r="C215" s="851" t="s">
        <v>3068</v>
      </c>
    </row>
    <row r="216" spans="1:3">
      <c r="A216" s="680" t="s">
        <v>830</v>
      </c>
      <c r="B216" s="680" t="s">
        <v>831</v>
      </c>
      <c r="C216" s="851" t="s">
        <v>3069</v>
      </c>
    </row>
    <row r="217" spans="1:3">
      <c r="A217" s="680" t="s">
        <v>111</v>
      </c>
      <c r="B217" s="680" t="s">
        <v>112</v>
      </c>
      <c r="C217" s="851" t="s">
        <v>3070</v>
      </c>
    </row>
    <row r="218" spans="1:3">
      <c r="A218" s="680" t="s">
        <v>117</v>
      </c>
      <c r="B218" s="680" t="s">
        <v>113</v>
      </c>
      <c r="C218" s="851" t="s">
        <v>3071</v>
      </c>
    </row>
    <row r="219" spans="1:3" ht="27.6">
      <c r="A219" s="680" t="s">
        <v>803</v>
      </c>
      <c r="B219" s="680" t="s">
        <v>804</v>
      </c>
      <c r="C219" s="949" t="s">
        <v>3072</v>
      </c>
    </row>
    <row r="220" spans="1:3">
      <c r="A220" s="680" t="s">
        <v>832</v>
      </c>
      <c r="B220" s="680" t="s">
        <v>833</v>
      </c>
      <c r="C220" s="851" t="s">
        <v>3073</v>
      </c>
    </row>
    <row r="221" spans="1:3">
      <c r="A221" s="680" t="s">
        <v>467</v>
      </c>
      <c r="B221" s="680" t="s">
        <v>467</v>
      </c>
      <c r="C221" s="851" t="s">
        <v>3074</v>
      </c>
    </row>
    <row r="222" spans="1:3">
      <c r="A222" s="680" t="s">
        <v>365</v>
      </c>
      <c r="B222" s="680" t="s">
        <v>365</v>
      </c>
      <c r="C222" s="851" t="s">
        <v>365</v>
      </c>
    </row>
    <row r="223" spans="1:3">
      <c r="A223" s="680" t="s">
        <v>53</v>
      </c>
      <c r="B223" s="680" t="s">
        <v>54</v>
      </c>
      <c r="C223" s="851" t="s">
        <v>3075</v>
      </c>
    </row>
    <row r="224" spans="1:3">
      <c r="A224" s="680" t="s">
        <v>355</v>
      </c>
      <c r="B224" s="680" t="s">
        <v>356</v>
      </c>
      <c r="C224" s="851" t="s">
        <v>3076</v>
      </c>
    </row>
    <row r="225" spans="1:3">
      <c r="A225" s="680" t="s">
        <v>17</v>
      </c>
      <c r="B225" s="680" t="s">
        <v>800</v>
      </c>
      <c r="C225" s="851" t="s">
        <v>3077</v>
      </c>
    </row>
    <row r="226" spans="1:3" ht="27.6">
      <c r="A226" s="829" t="s">
        <v>799</v>
      </c>
      <c r="B226" s="829" t="s">
        <v>922</v>
      </c>
      <c r="C226" s="949" t="s">
        <v>3078</v>
      </c>
    </row>
    <row r="227" spans="1:3">
      <c r="A227" s="680" t="s">
        <v>771</v>
      </c>
      <c r="B227" s="829" t="s">
        <v>776</v>
      </c>
      <c r="C227" s="851" t="s">
        <v>3079</v>
      </c>
    </row>
    <row r="228" spans="1:3">
      <c r="A228" s="680" t="s">
        <v>774</v>
      </c>
      <c r="B228" s="829" t="s">
        <v>775</v>
      </c>
      <c r="C228" s="851" t="s">
        <v>3080</v>
      </c>
    </row>
    <row r="229" spans="1:3">
      <c r="A229" s="829" t="s">
        <v>772</v>
      </c>
      <c r="B229" s="829" t="s">
        <v>773</v>
      </c>
      <c r="C229" s="851" t="s">
        <v>3081</v>
      </c>
    </row>
    <row r="230" spans="1:3">
      <c r="A230" s="680" t="s">
        <v>925</v>
      </c>
      <c r="B230" s="680" t="s">
        <v>926</v>
      </c>
      <c r="C230" s="851" t="s">
        <v>3082</v>
      </c>
    </row>
    <row r="231" spans="1:3">
      <c r="A231" s="680" t="s">
        <v>829</v>
      </c>
      <c r="B231" s="680" t="s">
        <v>828</v>
      </c>
      <c r="C231" s="851" t="s">
        <v>3083</v>
      </c>
    </row>
    <row r="232" spans="1:3">
      <c r="A232" s="680" t="s">
        <v>1114</v>
      </c>
      <c r="B232" s="680" t="s">
        <v>1084</v>
      </c>
      <c r="C232" s="851" t="s">
        <v>3084</v>
      </c>
    </row>
    <row r="233" spans="1:3">
      <c r="A233" s="681" t="s">
        <v>1100</v>
      </c>
      <c r="B233" s="681" t="s">
        <v>1101</v>
      </c>
      <c r="C233" s="945" t="s">
        <v>3085</v>
      </c>
    </row>
    <row r="234" spans="1:3">
      <c r="A234" s="680" t="s">
        <v>1071</v>
      </c>
      <c r="B234" s="680" t="s">
        <v>956</v>
      </c>
      <c r="C234" s="851" t="s">
        <v>3086</v>
      </c>
    </row>
    <row r="235" spans="1:3">
      <c r="A235" s="680" t="s">
        <v>1070</v>
      </c>
      <c r="B235" s="680" t="s">
        <v>955</v>
      </c>
      <c r="C235" s="851" t="s">
        <v>3087</v>
      </c>
    </row>
    <row r="236" spans="1:3">
      <c r="A236" s="680" t="s">
        <v>1136</v>
      </c>
      <c r="B236" s="829" t="s">
        <v>1060</v>
      </c>
      <c r="C236" s="851" t="s">
        <v>3088</v>
      </c>
    </row>
    <row r="237" spans="1:3">
      <c r="A237" s="680" t="s">
        <v>1137</v>
      </c>
      <c r="B237" s="829" t="s">
        <v>1061</v>
      </c>
      <c r="C237" s="851" t="s">
        <v>3089</v>
      </c>
    </row>
    <row r="238" spans="1:3">
      <c r="A238" s="680" t="s">
        <v>1138</v>
      </c>
      <c r="B238" s="829" t="s">
        <v>1062</v>
      </c>
      <c r="C238" s="851" t="s">
        <v>3090</v>
      </c>
    </row>
    <row r="239" spans="1:3">
      <c r="A239" s="680" t="s">
        <v>1139</v>
      </c>
      <c r="B239" s="829" t="s">
        <v>1063</v>
      </c>
      <c r="C239" s="851" t="s">
        <v>3091</v>
      </c>
    </row>
    <row r="240" spans="1:3">
      <c r="A240" s="680" t="s">
        <v>1140</v>
      </c>
      <c r="B240" s="829" t="s">
        <v>1064</v>
      </c>
      <c r="C240" s="851" t="s">
        <v>3092</v>
      </c>
    </row>
    <row r="241" spans="1:3">
      <c r="A241" s="680" t="s">
        <v>1141</v>
      </c>
      <c r="B241" s="829" t="s">
        <v>1065</v>
      </c>
      <c r="C241" s="851" t="s">
        <v>3093</v>
      </c>
    </row>
    <row r="242" spans="1:3">
      <c r="A242" s="680" t="s">
        <v>1142</v>
      </c>
      <c r="B242" s="829" t="s">
        <v>1066</v>
      </c>
      <c r="C242" s="851" t="s">
        <v>3094</v>
      </c>
    </row>
    <row r="243" spans="1:3">
      <c r="A243" s="680" t="s">
        <v>1143</v>
      </c>
      <c r="B243" s="829" t="s">
        <v>1067</v>
      </c>
      <c r="C243" s="851" t="s">
        <v>3095</v>
      </c>
    </row>
    <row r="244" spans="1:3">
      <c r="A244" s="680" t="s">
        <v>1144</v>
      </c>
      <c r="B244" s="829" t="s">
        <v>1068</v>
      </c>
      <c r="C244" s="851" t="s">
        <v>3096</v>
      </c>
    </row>
    <row r="245" spans="1:3">
      <c r="A245" s="680" t="s">
        <v>1145</v>
      </c>
      <c r="B245" s="829" t="s">
        <v>1069</v>
      </c>
      <c r="C245" s="851" t="s">
        <v>3097</v>
      </c>
    </row>
    <row r="246" spans="1:3">
      <c r="A246" s="680" t="s">
        <v>1115</v>
      </c>
      <c r="B246" s="680" t="s">
        <v>939</v>
      </c>
      <c r="C246" s="851" t="s">
        <v>3098</v>
      </c>
    </row>
    <row r="247" spans="1:3">
      <c r="A247" s="680" t="s">
        <v>1116</v>
      </c>
      <c r="B247" s="829" t="s">
        <v>944</v>
      </c>
      <c r="C247" s="851" t="s">
        <v>3099</v>
      </c>
    </row>
    <row r="248" spans="1:3">
      <c r="A248" s="680" t="s">
        <v>1117</v>
      </c>
      <c r="B248" s="829" t="s">
        <v>949</v>
      </c>
      <c r="C248" s="851" t="s">
        <v>3100</v>
      </c>
    </row>
    <row r="249" spans="1:3">
      <c r="A249" s="680" t="s">
        <v>1118</v>
      </c>
      <c r="B249" s="829" t="s">
        <v>950</v>
      </c>
      <c r="C249" s="851" t="s">
        <v>3101</v>
      </c>
    </row>
    <row r="250" spans="1:3">
      <c r="A250" s="680" t="s">
        <v>1119</v>
      </c>
      <c r="B250" s="829" t="s">
        <v>951</v>
      </c>
      <c r="C250" s="851" t="s">
        <v>3102</v>
      </c>
    </row>
    <row r="251" spans="1:3">
      <c r="A251" s="680" t="s">
        <v>1146</v>
      </c>
      <c r="B251" s="829" t="s">
        <v>945</v>
      </c>
      <c r="C251" s="851" t="s">
        <v>3103</v>
      </c>
    </row>
    <row r="252" spans="1:3">
      <c r="A252" s="680" t="s">
        <v>1149</v>
      </c>
      <c r="B252" s="829" t="s">
        <v>952</v>
      </c>
      <c r="C252" s="851" t="s">
        <v>3104</v>
      </c>
    </row>
    <row r="253" spans="1:3">
      <c r="A253" s="680" t="s">
        <v>1147</v>
      </c>
      <c r="B253" s="829" t="s">
        <v>953</v>
      </c>
      <c r="C253" s="851" t="s">
        <v>3105</v>
      </c>
    </row>
    <row r="254" spans="1:3">
      <c r="A254" s="680" t="s">
        <v>1148</v>
      </c>
      <c r="B254" s="829" t="s">
        <v>954</v>
      </c>
      <c r="C254" s="851" t="s">
        <v>3106</v>
      </c>
    </row>
    <row r="255" spans="1:3">
      <c r="A255" s="680" t="s">
        <v>940</v>
      </c>
      <c r="B255" s="680" t="s">
        <v>940</v>
      </c>
      <c r="C255" s="851" t="s">
        <v>3107</v>
      </c>
    </row>
    <row r="256" spans="1:3">
      <c r="A256" s="680" t="s">
        <v>1120</v>
      </c>
      <c r="B256" s="680" t="s">
        <v>1057</v>
      </c>
      <c r="C256" s="851" t="s">
        <v>3108</v>
      </c>
    </row>
    <row r="257" spans="1:3">
      <c r="A257" s="680" t="s">
        <v>1121</v>
      </c>
      <c r="B257" s="680" t="s">
        <v>1072</v>
      </c>
      <c r="C257" s="851" t="s">
        <v>3109</v>
      </c>
    </row>
    <row r="258" spans="1:3">
      <c r="A258" s="680" t="s">
        <v>1150</v>
      </c>
      <c r="B258" s="680" t="s">
        <v>1073</v>
      </c>
      <c r="C258" s="851" t="s">
        <v>3110</v>
      </c>
    </row>
    <row r="259" spans="1:3">
      <c r="A259" s="680" t="s">
        <v>1129</v>
      </c>
      <c r="B259" s="680" t="s">
        <v>943</v>
      </c>
      <c r="C259" s="851" t="s">
        <v>3111</v>
      </c>
    </row>
    <row r="260" spans="1:3">
      <c r="A260" s="680" t="s">
        <v>1122</v>
      </c>
      <c r="B260" s="680" t="s">
        <v>1074</v>
      </c>
      <c r="C260" s="851" t="s">
        <v>3112</v>
      </c>
    </row>
    <row r="261" spans="1:3">
      <c r="A261" s="681"/>
      <c r="B261" s="681"/>
      <c r="C261" s="945"/>
    </row>
    <row r="262" spans="1:3">
      <c r="A262" s="680" t="s">
        <v>1151</v>
      </c>
      <c r="B262" s="680" t="s">
        <v>1130</v>
      </c>
      <c r="C262" s="851" t="s">
        <v>2877</v>
      </c>
    </row>
    <row r="263" spans="1:3">
      <c r="A263" s="680" t="s">
        <v>1153</v>
      </c>
      <c r="B263" s="680" t="s">
        <v>1131</v>
      </c>
      <c r="C263" s="851" t="s">
        <v>3113</v>
      </c>
    </row>
    <row r="264" spans="1:3">
      <c r="A264" s="680" t="s">
        <v>1152</v>
      </c>
      <c r="B264" s="680" t="s">
        <v>1132</v>
      </c>
      <c r="C264" s="851" t="s">
        <v>3114</v>
      </c>
    </row>
    <row r="265" spans="1:3">
      <c r="A265" s="680" t="s">
        <v>1759</v>
      </c>
      <c r="B265" s="680" t="s">
        <v>1758</v>
      </c>
      <c r="C265" s="832" t="s">
        <v>3117</v>
      </c>
    </row>
    <row r="266" spans="1:3">
      <c r="A266" s="680" t="s">
        <v>1764</v>
      </c>
      <c r="B266" s="680" t="s">
        <v>1760</v>
      </c>
      <c r="C266" s="832" t="s">
        <v>3118</v>
      </c>
    </row>
    <row r="267" spans="1:3">
      <c r="A267" s="680" t="s">
        <v>1765</v>
      </c>
      <c r="B267" s="680" t="s">
        <v>1761</v>
      </c>
      <c r="C267" s="832" t="s">
        <v>3119</v>
      </c>
    </row>
    <row r="268" spans="1:3">
      <c r="A268" s="680" t="s">
        <v>1762</v>
      </c>
      <c r="B268" s="680" t="s">
        <v>1763</v>
      </c>
      <c r="C268" s="832" t="s">
        <v>3120</v>
      </c>
    </row>
    <row r="269" spans="1:3">
      <c r="A269" s="680" t="s">
        <v>2507</v>
      </c>
      <c r="B269" s="680" t="s">
        <v>2508</v>
      </c>
      <c r="C269" s="832" t="s">
        <v>3121</v>
      </c>
    </row>
    <row r="270" spans="1:3">
      <c r="A270" s="985" t="s">
        <v>3348</v>
      </c>
      <c r="B270" s="985" t="s">
        <v>3349</v>
      </c>
      <c r="C270" s="985" t="s">
        <v>3359</v>
      </c>
    </row>
    <row r="271" spans="1:3">
      <c r="A271" s="985" t="s">
        <v>3346</v>
      </c>
      <c r="B271" s="985" t="s">
        <v>3346</v>
      </c>
      <c r="C271" s="985" t="s">
        <v>3346</v>
      </c>
    </row>
  </sheetData>
  <sheetProtection algorithmName="SHA-512" hashValue="9hLszrRMjDQ4Z3CjK7avVh+UsxpYhVd9tEi71GN/2wMhrRlsdhxNuNWlevrSZVfb0sCjdnNIVHMVtewZH/V6FA==" saltValue="eFyqlWdyDri4yCKhRrcEhw==" spinCount="100000" sheet="1" objects="1" scenarios="1"/>
  <customSheetViews>
    <customSheetView guid="{727552C9-10E3-4948-B2AE-8FE165517887}" state="hidden" topLeftCell="A16">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767" priority="132"/>
  </conditionalFormatting>
  <conditionalFormatting sqref="A2">
    <cfRule type="duplicateValues" dxfId="766" priority="131"/>
  </conditionalFormatting>
  <conditionalFormatting sqref="A4:A5">
    <cfRule type="duplicateValues" dxfId="765" priority="130"/>
  </conditionalFormatting>
  <conditionalFormatting sqref="A9">
    <cfRule type="duplicateValues" dxfId="764" priority="129"/>
  </conditionalFormatting>
  <conditionalFormatting sqref="A10:A11">
    <cfRule type="duplicateValues" dxfId="763" priority="128"/>
  </conditionalFormatting>
  <conditionalFormatting sqref="A12">
    <cfRule type="duplicateValues" dxfId="762" priority="127"/>
  </conditionalFormatting>
  <conditionalFormatting sqref="A13">
    <cfRule type="duplicateValues" dxfId="761" priority="126"/>
  </conditionalFormatting>
  <conditionalFormatting sqref="A14:A16">
    <cfRule type="duplicateValues" dxfId="760" priority="125"/>
  </conditionalFormatting>
  <conditionalFormatting sqref="A19:A20">
    <cfRule type="duplicateValues" dxfId="759" priority="124"/>
  </conditionalFormatting>
  <conditionalFormatting sqref="A21">
    <cfRule type="duplicateValues" dxfId="758" priority="123"/>
  </conditionalFormatting>
  <conditionalFormatting sqref="A22">
    <cfRule type="duplicateValues" dxfId="757" priority="122"/>
  </conditionalFormatting>
  <conditionalFormatting sqref="A27">
    <cfRule type="duplicateValues" dxfId="756" priority="121"/>
  </conditionalFormatting>
  <conditionalFormatting sqref="A24">
    <cfRule type="duplicateValues" dxfId="755" priority="120"/>
  </conditionalFormatting>
  <conditionalFormatting sqref="A26">
    <cfRule type="duplicateValues" dxfId="754" priority="119"/>
  </conditionalFormatting>
  <conditionalFormatting sqref="A28">
    <cfRule type="duplicateValues" dxfId="753" priority="118"/>
  </conditionalFormatting>
  <conditionalFormatting sqref="A29:A30">
    <cfRule type="duplicateValues" dxfId="752" priority="117"/>
  </conditionalFormatting>
  <conditionalFormatting sqref="A31">
    <cfRule type="duplicateValues" dxfId="751" priority="116"/>
  </conditionalFormatting>
  <conditionalFormatting sqref="A32">
    <cfRule type="duplicateValues" dxfId="750" priority="115"/>
  </conditionalFormatting>
  <conditionalFormatting sqref="A33">
    <cfRule type="duplicateValues" dxfId="749" priority="114"/>
  </conditionalFormatting>
  <conditionalFormatting sqref="A35:A38">
    <cfRule type="duplicateValues" dxfId="748" priority="113"/>
  </conditionalFormatting>
  <conditionalFormatting sqref="A34">
    <cfRule type="duplicateValues" dxfId="747" priority="112"/>
  </conditionalFormatting>
  <conditionalFormatting sqref="A39">
    <cfRule type="duplicateValues" dxfId="746" priority="111"/>
  </conditionalFormatting>
  <conditionalFormatting sqref="A41:A42">
    <cfRule type="duplicateValues" dxfId="745" priority="110"/>
  </conditionalFormatting>
  <conditionalFormatting sqref="A43:A44 A69">
    <cfRule type="duplicateValues" dxfId="744" priority="109"/>
  </conditionalFormatting>
  <conditionalFormatting sqref="A45:A48">
    <cfRule type="duplicateValues" dxfId="743" priority="108"/>
  </conditionalFormatting>
  <conditionalFormatting sqref="B49:B50">
    <cfRule type="duplicateValues" dxfId="742" priority="107"/>
  </conditionalFormatting>
  <conditionalFormatting sqref="A49:A51">
    <cfRule type="duplicateValues" dxfId="741" priority="106"/>
  </conditionalFormatting>
  <conditionalFormatting sqref="A67">
    <cfRule type="duplicateValues" dxfId="740" priority="105"/>
  </conditionalFormatting>
  <conditionalFormatting sqref="A68">
    <cfRule type="duplicateValues" dxfId="739" priority="104"/>
  </conditionalFormatting>
  <conditionalFormatting sqref="A71">
    <cfRule type="duplicateValues" dxfId="738" priority="103"/>
  </conditionalFormatting>
  <conditionalFormatting sqref="A72">
    <cfRule type="duplicateValues" dxfId="737" priority="102"/>
  </conditionalFormatting>
  <conditionalFormatting sqref="A74:A75">
    <cfRule type="duplicateValues" dxfId="736" priority="101"/>
  </conditionalFormatting>
  <conditionalFormatting sqref="A73">
    <cfRule type="duplicateValues" dxfId="735" priority="100"/>
  </conditionalFormatting>
  <conditionalFormatting sqref="A76">
    <cfRule type="duplicateValues" dxfId="734" priority="99"/>
  </conditionalFormatting>
  <conditionalFormatting sqref="A77">
    <cfRule type="duplicateValues" dxfId="733" priority="98"/>
  </conditionalFormatting>
  <conditionalFormatting sqref="A78:A79">
    <cfRule type="duplicateValues" dxfId="732" priority="97"/>
  </conditionalFormatting>
  <conditionalFormatting sqref="A83">
    <cfRule type="duplicateValues" dxfId="731" priority="96"/>
  </conditionalFormatting>
  <conditionalFormatting sqref="A84">
    <cfRule type="duplicateValues" dxfId="730" priority="95"/>
  </conditionalFormatting>
  <conditionalFormatting sqref="A80:A82">
    <cfRule type="duplicateValues" dxfId="729" priority="94"/>
  </conditionalFormatting>
  <conditionalFormatting sqref="A85:A88">
    <cfRule type="duplicateValues" dxfId="728" priority="93"/>
  </conditionalFormatting>
  <conditionalFormatting sqref="A89">
    <cfRule type="duplicateValues" dxfId="727" priority="92"/>
  </conditionalFormatting>
  <conditionalFormatting sqref="A90">
    <cfRule type="duplicateValues" dxfId="726" priority="91"/>
  </conditionalFormatting>
  <conditionalFormatting sqref="A91:A92">
    <cfRule type="duplicateValues" dxfId="725" priority="90"/>
  </conditionalFormatting>
  <conditionalFormatting sqref="A93:A94">
    <cfRule type="duplicateValues" dxfId="724" priority="89"/>
  </conditionalFormatting>
  <conditionalFormatting sqref="A95">
    <cfRule type="duplicateValues" dxfId="723" priority="88"/>
  </conditionalFormatting>
  <conditionalFormatting sqref="A97">
    <cfRule type="duplicateValues" dxfId="722" priority="87"/>
  </conditionalFormatting>
  <conditionalFormatting sqref="A98">
    <cfRule type="duplicateValues" dxfId="721" priority="86"/>
  </conditionalFormatting>
  <conditionalFormatting sqref="A103">
    <cfRule type="duplicateValues" dxfId="720" priority="85"/>
  </conditionalFormatting>
  <conditionalFormatting sqref="A104">
    <cfRule type="duplicateValues" dxfId="719" priority="84"/>
  </conditionalFormatting>
  <conditionalFormatting sqref="A105">
    <cfRule type="duplicateValues" dxfId="718" priority="83"/>
  </conditionalFormatting>
  <conditionalFormatting sqref="A106">
    <cfRule type="duplicateValues" dxfId="717" priority="82"/>
  </conditionalFormatting>
  <conditionalFormatting sqref="A107">
    <cfRule type="duplicateValues" dxfId="716" priority="81"/>
  </conditionalFormatting>
  <conditionalFormatting sqref="A116:A118 A120:A121">
    <cfRule type="duplicateValues" dxfId="715" priority="80"/>
  </conditionalFormatting>
  <conditionalFormatting sqref="A124:A127">
    <cfRule type="duplicateValues" dxfId="714" priority="79"/>
  </conditionalFormatting>
  <conditionalFormatting sqref="A129:A133">
    <cfRule type="duplicateValues" dxfId="713" priority="133"/>
  </conditionalFormatting>
  <conditionalFormatting sqref="A109 A111:A113">
    <cfRule type="duplicateValues" dxfId="712" priority="78"/>
  </conditionalFormatting>
  <conditionalFormatting sqref="A108">
    <cfRule type="duplicateValues" dxfId="711" priority="77"/>
  </conditionalFormatting>
  <conditionalFormatting sqref="A122">
    <cfRule type="duplicateValues" dxfId="710" priority="76"/>
  </conditionalFormatting>
  <conditionalFormatting sqref="A128">
    <cfRule type="duplicateValues" dxfId="709" priority="75"/>
  </conditionalFormatting>
  <conditionalFormatting sqref="A135">
    <cfRule type="duplicateValues" dxfId="708" priority="74"/>
  </conditionalFormatting>
  <conditionalFormatting sqref="A136">
    <cfRule type="duplicateValues" dxfId="707" priority="73"/>
  </conditionalFormatting>
  <conditionalFormatting sqref="A139:A140">
    <cfRule type="duplicateValues" dxfId="706" priority="72"/>
  </conditionalFormatting>
  <conditionalFormatting sqref="A137:A138">
    <cfRule type="duplicateValues" dxfId="705" priority="71"/>
  </conditionalFormatting>
  <conditionalFormatting sqref="A141">
    <cfRule type="duplicateValues" dxfId="704" priority="70"/>
  </conditionalFormatting>
  <conditionalFormatting sqref="B142">
    <cfRule type="duplicateValues" dxfId="703" priority="69"/>
  </conditionalFormatting>
  <conditionalFormatting sqref="A142">
    <cfRule type="duplicateValues" dxfId="702" priority="68"/>
  </conditionalFormatting>
  <conditionalFormatting sqref="A144">
    <cfRule type="duplicateValues" dxfId="701" priority="67"/>
  </conditionalFormatting>
  <conditionalFormatting sqref="A143">
    <cfRule type="duplicateValues" dxfId="700" priority="66"/>
  </conditionalFormatting>
  <conditionalFormatting sqref="A145">
    <cfRule type="duplicateValues" dxfId="699" priority="65"/>
  </conditionalFormatting>
  <conditionalFormatting sqref="A146">
    <cfRule type="duplicateValues" dxfId="698" priority="64"/>
  </conditionalFormatting>
  <conditionalFormatting sqref="A147:A148">
    <cfRule type="duplicateValues" dxfId="697" priority="63"/>
  </conditionalFormatting>
  <conditionalFormatting sqref="A149:A150">
    <cfRule type="duplicateValues" dxfId="696" priority="62"/>
  </conditionalFormatting>
  <conditionalFormatting sqref="A151">
    <cfRule type="duplicateValues" dxfId="695" priority="61"/>
  </conditionalFormatting>
  <conditionalFormatting sqref="A152:A160">
    <cfRule type="duplicateValues" dxfId="694" priority="60"/>
  </conditionalFormatting>
  <conditionalFormatting sqref="A161">
    <cfRule type="duplicateValues" dxfId="693" priority="59"/>
  </conditionalFormatting>
  <conditionalFormatting sqref="A162">
    <cfRule type="duplicateValues" dxfId="692" priority="58"/>
  </conditionalFormatting>
  <conditionalFormatting sqref="A163">
    <cfRule type="duplicateValues" dxfId="691" priority="57"/>
  </conditionalFormatting>
  <conditionalFormatting sqref="A164:A166">
    <cfRule type="duplicateValues" dxfId="690" priority="56"/>
  </conditionalFormatting>
  <conditionalFormatting sqref="A167">
    <cfRule type="duplicateValues" dxfId="689" priority="55"/>
  </conditionalFormatting>
  <conditionalFormatting sqref="A168">
    <cfRule type="duplicateValues" dxfId="688" priority="54"/>
  </conditionalFormatting>
  <conditionalFormatting sqref="A175">
    <cfRule type="duplicateValues" dxfId="687" priority="53"/>
  </conditionalFormatting>
  <conditionalFormatting sqref="A177">
    <cfRule type="duplicateValues" dxfId="686" priority="52"/>
  </conditionalFormatting>
  <conditionalFormatting sqref="A179">
    <cfRule type="duplicateValues" dxfId="685" priority="51"/>
  </conditionalFormatting>
  <conditionalFormatting sqref="A180:A186">
    <cfRule type="duplicateValues" dxfId="684" priority="50"/>
  </conditionalFormatting>
  <conditionalFormatting sqref="A189">
    <cfRule type="duplicateValues" dxfId="683" priority="49"/>
  </conditionalFormatting>
  <conditionalFormatting sqref="A188">
    <cfRule type="duplicateValues" dxfId="682" priority="48"/>
  </conditionalFormatting>
  <conditionalFormatting sqref="A190">
    <cfRule type="duplicateValues" dxfId="681" priority="47"/>
  </conditionalFormatting>
  <conditionalFormatting sqref="A191">
    <cfRule type="duplicateValues" dxfId="680" priority="46"/>
  </conditionalFormatting>
  <conditionalFormatting sqref="A193">
    <cfRule type="duplicateValues" dxfId="679" priority="44"/>
  </conditionalFormatting>
  <conditionalFormatting sqref="A194">
    <cfRule type="duplicateValues" dxfId="678" priority="43"/>
  </conditionalFormatting>
  <conditionalFormatting sqref="A195">
    <cfRule type="duplicateValues" dxfId="677" priority="42"/>
  </conditionalFormatting>
  <conditionalFormatting sqref="A196">
    <cfRule type="duplicateValues" dxfId="676" priority="41"/>
  </conditionalFormatting>
  <conditionalFormatting sqref="A197">
    <cfRule type="duplicateValues" dxfId="675" priority="40"/>
  </conditionalFormatting>
  <conditionalFormatting sqref="A198">
    <cfRule type="duplicateValues" dxfId="674" priority="39"/>
  </conditionalFormatting>
  <conditionalFormatting sqref="A199">
    <cfRule type="duplicateValues" dxfId="673" priority="38"/>
  </conditionalFormatting>
  <conditionalFormatting sqref="A200">
    <cfRule type="duplicateValues" dxfId="672" priority="37"/>
  </conditionalFormatting>
  <conditionalFormatting sqref="A201">
    <cfRule type="duplicateValues" dxfId="671" priority="36"/>
  </conditionalFormatting>
  <conditionalFormatting sqref="A202">
    <cfRule type="duplicateValues" dxfId="670" priority="35"/>
  </conditionalFormatting>
  <conditionalFormatting sqref="A203">
    <cfRule type="duplicateValues" dxfId="669" priority="34"/>
  </conditionalFormatting>
  <conditionalFormatting sqref="A204:A205">
    <cfRule type="duplicateValues" dxfId="668" priority="33"/>
  </conditionalFormatting>
  <conditionalFormatting sqref="A207:A210">
    <cfRule type="duplicateValues" dxfId="667" priority="32"/>
  </conditionalFormatting>
  <conditionalFormatting sqref="A211">
    <cfRule type="duplicateValues" dxfId="666" priority="31"/>
  </conditionalFormatting>
  <conditionalFormatting sqref="A212:A213">
    <cfRule type="duplicateValues" dxfId="665" priority="30"/>
  </conditionalFormatting>
  <conditionalFormatting sqref="A214:A215">
    <cfRule type="duplicateValues" dxfId="664" priority="29"/>
  </conditionalFormatting>
  <conditionalFormatting sqref="A221:A222">
    <cfRule type="duplicateValues" dxfId="663" priority="28"/>
  </conditionalFormatting>
  <conditionalFormatting sqref="A216">
    <cfRule type="duplicateValues" dxfId="662" priority="27"/>
  </conditionalFormatting>
  <conditionalFormatting sqref="A217">
    <cfRule type="duplicateValues" dxfId="661" priority="26"/>
  </conditionalFormatting>
  <conditionalFormatting sqref="A218:A220">
    <cfRule type="duplicateValues" dxfId="660" priority="134"/>
  </conditionalFormatting>
  <conditionalFormatting sqref="A223 A225">
    <cfRule type="duplicateValues" dxfId="659" priority="25"/>
  </conditionalFormatting>
  <conditionalFormatting sqref="A224">
    <cfRule type="duplicateValues" dxfId="658" priority="24"/>
  </conditionalFormatting>
  <conditionalFormatting sqref="A226">
    <cfRule type="duplicateValues" dxfId="657" priority="23"/>
  </conditionalFormatting>
  <conditionalFormatting sqref="A229">
    <cfRule type="duplicateValues" dxfId="656" priority="22"/>
  </conditionalFormatting>
  <conditionalFormatting sqref="A230">
    <cfRule type="duplicateValues" dxfId="655" priority="21"/>
  </conditionalFormatting>
  <conditionalFormatting sqref="A40">
    <cfRule type="duplicateValues" dxfId="654" priority="20"/>
  </conditionalFormatting>
  <conditionalFormatting sqref="A23">
    <cfRule type="duplicateValues" dxfId="653" priority="19"/>
  </conditionalFormatting>
  <conditionalFormatting sqref="A232">
    <cfRule type="duplicateValues" dxfId="652" priority="18"/>
  </conditionalFormatting>
  <conditionalFormatting sqref="B233:B234">
    <cfRule type="duplicateValues" dxfId="651" priority="17"/>
  </conditionalFormatting>
  <conditionalFormatting sqref="B157:B160">
    <cfRule type="duplicateValues" dxfId="650" priority="16"/>
  </conditionalFormatting>
  <conditionalFormatting sqref="A25">
    <cfRule type="duplicateValues" dxfId="649" priority="15"/>
  </conditionalFormatting>
  <conditionalFormatting sqref="A192">
    <cfRule type="duplicateValues" dxfId="648" priority="14"/>
  </conditionalFormatting>
  <conditionalFormatting sqref="A187">
    <cfRule type="duplicateValues" dxfId="647" priority="13"/>
  </conditionalFormatting>
  <conditionalFormatting sqref="A268 A266">
    <cfRule type="duplicateValues" dxfId="646" priority="12"/>
  </conditionalFormatting>
  <conditionalFormatting sqref="A267">
    <cfRule type="duplicateValues" dxfId="645" priority="11"/>
  </conditionalFormatting>
  <conditionalFormatting sqref="B267">
    <cfRule type="duplicateValues" dxfId="644" priority="10"/>
  </conditionalFormatting>
  <conditionalFormatting sqref="A269">
    <cfRule type="duplicateValues" dxfId="643" priority="9"/>
  </conditionalFormatting>
  <conditionalFormatting sqref="A271">
    <cfRule type="duplicateValues" dxfId="642" priority="3"/>
  </conditionalFormatting>
  <conditionalFormatting sqref="B271">
    <cfRule type="duplicateValues" dxfId="641" priority="2"/>
  </conditionalFormatting>
  <conditionalFormatting sqref="C271">
    <cfRule type="duplicateValues" dxfId="640" priority="1"/>
  </conditionalFormatting>
  <pageMargins left="0.7" right="0.7" top="0.78740157499999996" bottom="0.78740157499999996"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dimension ref="A1:G271"/>
  <sheetViews>
    <sheetView topLeftCell="A199" workbookViewId="0">
      <selection activeCell="F234" sqref="F234"/>
    </sheetView>
  </sheetViews>
  <sheetFormatPr defaultColWidth="11.44140625" defaultRowHeight="14.4"/>
  <cols>
    <col min="1" max="1" width="48.44140625" style="680" customWidth="1"/>
    <col min="2" max="2" width="42.88671875" style="680" customWidth="1"/>
    <col min="3" max="3" width="54.109375" style="931" customWidth="1"/>
  </cols>
  <sheetData>
    <row r="1" spans="1:5">
      <c r="A1" s="827" t="s">
        <v>7</v>
      </c>
      <c r="B1" s="827" t="s">
        <v>9</v>
      </c>
      <c r="C1" s="928" t="s">
        <v>8</v>
      </c>
    </row>
    <row r="2" spans="1:5">
      <c r="A2" s="680" t="s">
        <v>593</v>
      </c>
      <c r="B2" s="680" t="s">
        <v>594</v>
      </c>
      <c r="C2" s="926" t="s">
        <v>2262</v>
      </c>
    </row>
    <row r="3" spans="1:5">
      <c r="A3" s="680" t="s">
        <v>357</v>
      </c>
      <c r="B3" s="680" t="s">
        <v>357</v>
      </c>
      <c r="C3" s="926" t="s">
        <v>2263</v>
      </c>
    </row>
    <row r="4" spans="1:5">
      <c r="A4" s="681" t="s">
        <v>482</v>
      </c>
      <c r="B4" s="681" t="s">
        <v>483</v>
      </c>
      <c r="C4" s="926" t="s">
        <v>2264</v>
      </c>
    </row>
    <row r="5" spans="1:5">
      <c r="A5" s="680" t="s">
        <v>11</v>
      </c>
      <c r="B5" s="680" t="s">
        <v>10</v>
      </c>
      <c r="C5" s="926" t="s">
        <v>2265</v>
      </c>
    </row>
    <row r="6" spans="1:5">
      <c r="A6" s="680" t="s">
        <v>21</v>
      </c>
      <c r="B6" s="680" t="s">
        <v>20</v>
      </c>
      <c r="C6" s="926" t="s">
        <v>2266</v>
      </c>
    </row>
    <row r="7" spans="1:5">
      <c r="A7" s="680" t="s">
        <v>903</v>
      </c>
      <c r="B7" s="680" t="s">
        <v>902</v>
      </c>
      <c r="C7" s="926" t="s">
        <v>2267</v>
      </c>
    </row>
    <row r="8" spans="1:5">
      <c r="A8" s="680" t="s">
        <v>55</v>
      </c>
      <c r="B8" s="680" t="s">
        <v>904</v>
      </c>
      <c r="C8" s="926" t="s">
        <v>2268</v>
      </c>
    </row>
    <row r="9" spans="1:5">
      <c r="A9" s="680" t="s">
        <v>484</v>
      </c>
      <c r="B9" s="680" t="s">
        <v>480</v>
      </c>
      <c r="C9" s="926" t="s">
        <v>2269</v>
      </c>
      <c r="D9" s="8"/>
    </row>
    <row r="10" spans="1:5">
      <c r="A10" s="680" t="s">
        <v>485</v>
      </c>
      <c r="B10" s="680" t="s">
        <v>469</v>
      </c>
      <c r="C10" s="926" t="s">
        <v>2270</v>
      </c>
    </row>
    <row r="11" spans="1:5">
      <c r="A11" s="680" t="s">
        <v>486</v>
      </c>
      <c r="B11" s="680" t="s">
        <v>470</v>
      </c>
      <c r="C11" s="926" t="s">
        <v>2271</v>
      </c>
    </row>
    <row r="12" spans="1:5">
      <c r="A12" s="680" t="s">
        <v>13</v>
      </c>
      <c r="B12" s="680" t="s">
        <v>12</v>
      </c>
      <c r="C12" s="926" t="s">
        <v>2272</v>
      </c>
    </row>
    <row r="13" spans="1:5">
      <c r="A13" s="681" t="s">
        <v>490</v>
      </c>
      <c r="B13" s="681" t="s">
        <v>448</v>
      </c>
      <c r="C13" s="926" t="s">
        <v>2273</v>
      </c>
    </row>
    <row r="14" spans="1:5">
      <c r="A14" s="682" t="s">
        <v>900</v>
      </c>
      <c r="B14" s="682" t="s">
        <v>900</v>
      </c>
      <c r="C14" s="926" t="s">
        <v>900</v>
      </c>
      <c r="D14" s="8"/>
      <c r="E14" s="8"/>
    </row>
    <row r="15" spans="1:5">
      <c r="A15" s="680" t="s">
        <v>487</v>
      </c>
      <c r="B15" s="680" t="s">
        <v>488</v>
      </c>
      <c r="C15" s="926" t="s">
        <v>2274</v>
      </c>
    </row>
    <row r="16" spans="1:5">
      <c r="A16" s="680" t="s">
        <v>468</v>
      </c>
      <c r="B16" s="680" t="s">
        <v>468</v>
      </c>
      <c r="C16" s="926" t="s">
        <v>2275</v>
      </c>
    </row>
    <row r="17" spans="1:5">
      <c r="A17" s="680" t="s">
        <v>364</v>
      </c>
      <c r="B17" s="680" t="s">
        <v>364</v>
      </c>
      <c r="C17" s="926" t="s">
        <v>364</v>
      </c>
    </row>
    <row r="18" spans="1:5">
      <c r="A18" s="680" t="s">
        <v>905</v>
      </c>
      <c r="B18" s="680" t="s">
        <v>905</v>
      </c>
      <c r="C18" s="926" t="s">
        <v>2276</v>
      </c>
    </row>
    <row r="19" spans="1:5">
      <c r="A19" s="680" t="s">
        <v>18</v>
      </c>
      <c r="B19" s="680" t="s">
        <v>19</v>
      </c>
      <c r="C19" s="926" t="s">
        <v>2277</v>
      </c>
    </row>
    <row r="20" spans="1:5">
      <c r="A20" s="680" t="s">
        <v>123</v>
      </c>
      <c r="B20" s="680" t="s">
        <v>124</v>
      </c>
      <c r="C20" s="926" t="s">
        <v>2278</v>
      </c>
    </row>
    <row r="21" spans="1:5">
      <c r="A21" s="680" t="s">
        <v>489</v>
      </c>
      <c r="B21" s="680" t="s">
        <v>22</v>
      </c>
      <c r="C21" s="926" t="s">
        <v>2279</v>
      </c>
    </row>
    <row r="22" spans="1:5">
      <c r="A22" s="681" t="s">
        <v>1095</v>
      </c>
      <c r="B22" s="681" t="s">
        <v>1095</v>
      </c>
      <c r="C22" s="926" t="s">
        <v>2280</v>
      </c>
    </row>
    <row r="23" spans="1:5">
      <c r="A23" s="680" t="s">
        <v>1008</v>
      </c>
      <c r="B23" s="680" t="s">
        <v>1007</v>
      </c>
      <c r="C23" s="926" t="s">
        <v>2281</v>
      </c>
      <c r="D23" s="8"/>
      <c r="E23" s="8"/>
    </row>
    <row r="24" spans="1:5">
      <c r="A24" s="680" t="s">
        <v>33</v>
      </c>
      <c r="B24" s="680" t="s">
        <v>32</v>
      </c>
      <c r="C24" s="926" t="s">
        <v>2282</v>
      </c>
    </row>
    <row r="25" spans="1:5">
      <c r="A25" s="680" t="s">
        <v>1742</v>
      </c>
      <c r="B25" s="680" t="s">
        <v>1741</v>
      </c>
      <c r="C25" s="988" t="s">
        <v>3356</v>
      </c>
    </row>
    <row r="26" spans="1:5">
      <c r="A26" s="829" t="s">
        <v>854</v>
      </c>
      <c r="B26" s="829" t="s">
        <v>854</v>
      </c>
      <c r="C26" s="926" t="s">
        <v>854</v>
      </c>
    </row>
    <row r="27" spans="1:5">
      <c r="A27" s="680" t="s">
        <v>491</v>
      </c>
      <c r="B27" s="680" t="s">
        <v>449</v>
      </c>
      <c r="C27" s="926" t="s">
        <v>2283</v>
      </c>
    </row>
    <row r="28" spans="1:5">
      <c r="A28" s="681" t="s">
        <v>1104</v>
      </c>
      <c r="B28" s="681" t="s">
        <v>1096</v>
      </c>
      <c r="C28" s="926" t="s">
        <v>2284</v>
      </c>
    </row>
    <row r="29" spans="1:5">
      <c r="A29" s="680" t="s">
        <v>577</v>
      </c>
      <c r="B29" s="680" t="s">
        <v>30</v>
      </c>
      <c r="C29" s="926" t="s">
        <v>2285</v>
      </c>
    </row>
    <row r="30" spans="1:5">
      <c r="A30" s="680" t="s">
        <v>578</v>
      </c>
      <c r="B30" s="680" t="s">
        <v>31</v>
      </c>
      <c r="C30" s="926" t="s">
        <v>2286</v>
      </c>
      <c r="D30" s="8"/>
      <c r="E30" s="8"/>
    </row>
    <row r="31" spans="1:5">
      <c r="A31" s="680" t="s">
        <v>14</v>
      </c>
      <c r="B31" s="680" t="s">
        <v>778</v>
      </c>
      <c r="C31" s="926" t="s">
        <v>2287</v>
      </c>
      <c r="D31" s="8"/>
      <c r="E31" s="8"/>
    </row>
    <row r="32" spans="1:5">
      <c r="A32" s="680" t="s">
        <v>15</v>
      </c>
      <c r="B32" s="680" t="s">
        <v>16</v>
      </c>
      <c r="C32" s="926" t="s">
        <v>2288</v>
      </c>
    </row>
    <row r="33" spans="1:6">
      <c r="A33" s="680" t="s">
        <v>362</v>
      </c>
      <c r="B33" s="680" t="s">
        <v>363</v>
      </c>
      <c r="C33" s="926" t="s">
        <v>2289</v>
      </c>
    </row>
    <row r="34" spans="1:6">
      <c r="A34" s="680" t="s">
        <v>29</v>
      </c>
      <c r="B34" s="680" t="s">
        <v>28</v>
      </c>
      <c r="C34" s="926" t="s">
        <v>2290</v>
      </c>
    </row>
    <row r="35" spans="1:6">
      <c r="A35" s="829" t="s">
        <v>504</v>
      </c>
      <c r="B35" s="680" t="s">
        <v>507</v>
      </c>
      <c r="C35" s="926" t="s">
        <v>2291</v>
      </c>
    </row>
    <row r="36" spans="1:6">
      <c r="A36" s="829" t="s">
        <v>26</v>
      </c>
      <c r="B36" s="680" t="s">
        <v>25</v>
      </c>
      <c r="C36" s="926" t="s">
        <v>2292</v>
      </c>
    </row>
    <row r="37" spans="1:6">
      <c r="A37" s="829" t="s">
        <v>906</v>
      </c>
      <c r="B37" s="680" t="s">
        <v>27</v>
      </c>
      <c r="C37" s="926" t="s">
        <v>2293</v>
      </c>
    </row>
    <row r="38" spans="1:6">
      <c r="A38" s="829" t="s">
        <v>89</v>
      </c>
      <c r="B38" s="680" t="s">
        <v>89</v>
      </c>
      <c r="C38" s="926" t="s">
        <v>2294</v>
      </c>
    </row>
    <row r="39" spans="1:6">
      <c r="A39" s="829" t="s">
        <v>506</v>
      </c>
      <c r="B39" s="680" t="s">
        <v>509</v>
      </c>
      <c r="C39" s="926" t="s">
        <v>2295</v>
      </c>
    </row>
    <row r="40" spans="1:6">
      <c r="A40" s="680" t="s">
        <v>934</v>
      </c>
      <c r="B40" s="680" t="s">
        <v>935</v>
      </c>
      <c r="C40" s="926" t="s">
        <v>2296</v>
      </c>
    </row>
    <row r="41" spans="1:6">
      <c r="A41" s="680" t="s">
        <v>105</v>
      </c>
      <c r="B41" s="680" t="s">
        <v>100</v>
      </c>
      <c r="C41" s="929" t="s">
        <v>2297</v>
      </c>
    </row>
    <row r="42" spans="1:6">
      <c r="A42" s="680" t="s">
        <v>106</v>
      </c>
      <c r="B42" s="680" t="s">
        <v>99</v>
      </c>
      <c r="C42" s="926" t="s">
        <v>2298</v>
      </c>
    </row>
    <row r="43" spans="1:6">
      <c r="A43" s="829" t="s">
        <v>873</v>
      </c>
      <c r="B43" s="829" t="s">
        <v>848</v>
      </c>
      <c r="C43" s="926" t="s">
        <v>2299</v>
      </c>
    </row>
    <row r="44" spans="1:6">
      <c r="A44" s="829" t="s">
        <v>874</v>
      </c>
      <c r="B44" s="829" t="s">
        <v>849</v>
      </c>
      <c r="C44" s="926" t="s">
        <v>2300</v>
      </c>
    </row>
    <row r="45" spans="1:6">
      <c r="A45" s="829" t="s">
        <v>875</v>
      </c>
      <c r="B45" s="829" t="s">
        <v>850</v>
      </c>
      <c r="C45" s="926" t="s">
        <v>2301</v>
      </c>
    </row>
    <row r="46" spans="1:6">
      <c r="A46" s="829" t="s">
        <v>876</v>
      </c>
      <c r="B46" s="829" t="s">
        <v>852</v>
      </c>
      <c r="C46" s="926" t="s">
        <v>2302</v>
      </c>
      <c r="D46" s="8"/>
      <c r="E46" s="8"/>
      <c r="F46" s="8"/>
    </row>
    <row r="47" spans="1:6">
      <c r="A47" s="829" t="s">
        <v>877</v>
      </c>
      <c r="B47" s="829" t="s">
        <v>851</v>
      </c>
      <c r="C47" s="926" t="s">
        <v>2303</v>
      </c>
    </row>
    <row r="48" spans="1:6">
      <c r="A48" s="829" t="s">
        <v>878</v>
      </c>
      <c r="B48" s="829" t="s">
        <v>853</v>
      </c>
      <c r="C48" s="926" t="s">
        <v>2304</v>
      </c>
    </row>
    <row r="49" spans="1:6">
      <c r="A49" s="830" t="s">
        <v>879</v>
      </c>
      <c r="B49" s="829" t="s">
        <v>855</v>
      </c>
      <c r="C49" s="926" t="s">
        <v>2305</v>
      </c>
    </row>
    <row r="50" spans="1:6">
      <c r="A50" s="830" t="s">
        <v>880</v>
      </c>
      <c r="B50" s="829" t="s">
        <v>857</v>
      </c>
      <c r="C50" s="926" t="s">
        <v>2306</v>
      </c>
    </row>
    <row r="51" spans="1:6" ht="27.6">
      <c r="A51" s="830" t="s">
        <v>881</v>
      </c>
      <c r="B51" s="830" t="s">
        <v>867</v>
      </c>
      <c r="C51" s="926" t="s">
        <v>2307</v>
      </c>
    </row>
    <row r="52" spans="1:6">
      <c r="A52" s="830" t="s">
        <v>882</v>
      </c>
      <c r="B52" s="829" t="s">
        <v>859</v>
      </c>
      <c r="C52" s="926" t="s">
        <v>2308</v>
      </c>
      <c r="D52" s="8"/>
      <c r="E52" s="8"/>
    </row>
    <row r="53" spans="1:6" ht="27.6">
      <c r="A53" s="830" t="s">
        <v>1083</v>
      </c>
      <c r="B53" s="830" t="s">
        <v>1082</v>
      </c>
      <c r="C53" s="926" t="s">
        <v>2309</v>
      </c>
    </row>
    <row r="54" spans="1:6" ht="41.4">
      <c r="A54" s="830" t="s">
        <v>883</v>
      </c>
      <c r="B54" s="830" t="s">
        <v>861</v>
      </c>
      <c r="C54" s="926" t="s">
        <v>2310</v>
      </c>
    </row>
    <row r="55" spans="1:6">
      <c r="A55" s="830" t="s">
        <v>884</v>
      </c>
      <c r="B55" s="830" t="s">
        <v>868</v>
      </c>
      <c r="C55" s="926" t="s">
        <v>2311</v>
      </c>
    </row>
    <row r="56" spans="1:6" ht="41.4">
      <c r="A56" s="830" t="s">
        <v>885</v>
      </c>
      <c r="B56" s="830" t="s">
        <v>862</v>
      </c>
      <c r="C56" s="926" t="s">
        <v>2312</v>
      </c>
    </row>
    <row r="57" spans="1:6" ht="27.6">
      <c r="A57" s="830" t="s">
        <v>886</v>
      </c>
      <c r="B57" s="830" t="s">
        <v>856</v>
      </c>
      <c r="C57" s="926" t="s">
        <v>2313</v>
      </c>
    </row>
    <row r="58" spans="1:6" ht="27.6">
      <c r="A58" s="830" t="s">
        <v>893</v>
      </c>
      <c r="B58" s="830" t="s">
        <v>869</v>
      </c>
      <c r="C58" s="926" t="s">
        <v>2314</v>
      </c>
    </row>
    <row r="59" spans="1:6">
      <c r="A59" s="830" t="s">
        <v>887</v>
      </c>
      <c r="B59" s="829" t="s">
        <v>858</v>
      </c>
      <c r="C59" s="926" t="s">
        <v>2315</v>
      </c>
    </row>
    <row r="60" spans="1:6" ht="41.4">
      <c r="A60" s="830" t="s">
        <v>888</v>
      </c>
      <c r="B60" s="830" t="s">
        <v>860</v>
      </c>
      <c r="C60" s="926" t="s">
        <v>2316</v>
      </c>
    </row>
    <row r="61" spans="1:6" ht="27.6">
      <c r="A61" s="830" t="s">
        <v>889</v>
      </c>
      <c r="B61" s="830" t="s">
        <v>863</v>
      </c>
      <c r="C61" s="926" t="s">
        <v>2317</v>
      </c>
      <c r="D61" s="8"/>
      <c r="E61" s="8"/>
      <c r="F61" s="8"/>
    </row>
    <row r="62" spans="1:6" ht="27.6">
      <c r="A62" s="830" t="s">
        <v>890</v>
      </c>
      <c r="B62" s="830" t="s">
        <v>864</v>
      </c>
      <c r="C62" s="926" t="s">
        <v>2318</v>
      </c>
    </row>
    <row r="63" spans="1:6" ht="27.6">
      <c r="A63" s="830" t="s">
        <v>891</v>
      </c>
      <c r="B63" s="829" t="s">
        <v>865</v>
      </c>
      <c r="C63" s="926" t="s">
        <v>2319</v>
      </c>
      <c r="D63" s="8"/>
      <c r="E63" s="8"/>
      <c r="F63" s="8"/>
    </row>
    <row r="64" spans="1:6" ht="27.6">
      <c r="A64" s="830" t="s">
        <v>892</v>
      </c>
      <c r="B64" s="829" t="s">
        <v>866</v>
      </c>
      <c r="C64" s="926" t="s">
        <v>2320</v>
      </c>
      <c r="D64" s="8"/>
      <c r="E64" s="8"/>
      <c r="F64" s="8"/>
    </row>
    <row r="65" spans="1:5">
      <c r="A65" s="830" t="s">
        <v>1105</v>
      </c>
      <c r="B65" s="829" t="s">
        <v>932</v>
      </c>
      <c r="C65" s="926" t="s">
        <v>2321</v>
      </c>
    </row>
    <row r="66" spans="1:5">
      <c r="A66" s="830" t="s">
        <v>1106</v>
      </c>
      <c r="B66" s="829" t="s">
        <v>933</v>
      </c>
      <c r="C66" s="926" t="s">
        <v>2322</v>
      </c>
    </row>
    <row r="67" spans="1:5">
      <c r="A67" s="681" t="s">
        <v>1107</v>
      </c>
      <c r="B67" s="681" t="s">
        <v>1097</v>
      </c>
      <c r="C67" s="926" t="s">
        <v>2323</v>
      </c>
    </row>
    <row r="68" spans="1:5">
      <c r="A68" s="680" t="s">
        <v>453</v>
      </c>
      <c r="B68" s="680" t="s">
        <v>453</v>
      </c>
      <c r="C68" s="926" t="s">
        <v>453</v>
      </c>
    </row>
    <row r="69" spans="1:5">
      <c r="A69" s="829" t="s">
        <v>50</v>
      </c>
      <c r="B69" s="829" t="s">
        <v>49</v>
      </c>
      <c r="C69" s="926" t="s">
        <v>2324</v>
      </c>
      <c r="D69" s="8"/>
      <c r="E69" s="8"/>
    </row>
    <row r="70" spans="1:5">
      <c r="A70" s="680" t="s">
        <v>787</v>
      </c>
      <c r="B70" s="829" t="s">
        <v>786</v>
      </c>
      <c r="C70" s="926" t="s">
        <v>2325</v>
      </c>
      <c r="D70" s="8"/>
      <c r="E70" s="8"/>
    </row>
    <row r="71" spans="1:5">
      <c r="A71" s="680" t="s">
        <v>501</v>
      </c>
      <c r="B71" s="680" t="s">
        <v>471</v>
      </c>
      <c r="C71" s="926" t="s">
        <v>2326</v>
      </c>
    </row>
    <row r="72" spans="1:5">
      <c r="A72" s="829" t="s">
        <v>834</v>
      </c>
      <c r="B72" s="829" t="s">
        <v>835</v>
      </c>
      <c r="C72" s="926" t="s">
        <v>2327</v>
      </c>
    </row>
    <row r="73" spans="1:5">
      <c r="A73" s="680" t="s">
        <v>836</v>
      </c>
      <c r="B73" s="680" t="s">
        <v>837</v>
      </c>
      <c r="C73" s="926" t="s">
        <v>2328</v>
      </c>
    </row>
    <row r="74" spans="1:5">
      <c r="A74" s="680" t="s">
        <v>359</v>
      </c>
      <c r="B74" s="680" t="s">
        <v>361</v>
      </c>
      <c r="C74" s="926" t="s">
        <v>2329</v>
      </c>
    </row>
    <row r="75" spans="1:5">
      <c r="A75" s="680" t="s">
        <v>358</v>
      </c>
      <c r="B75" s="680" t="s">
        <v>360</v>
      </c>
      <c r="C75" s="926" t="s">
        <v>2330</v>
      </c>
    </row>
    <row r="76" spans="1:5">
      <c r="A76" s="680" t="s">
        <v>502</v>
      </c>
      <c r="B76" s="680" t="s">
        <v>474</v>
      </c>
      <c r="C76" s="926" t="s">
        <v>2331</v>
      </c>
      <c r="D76" s="8"/>
    </row>
    <row r="77" spans="1:5">
      <c r="A77" s="680" t="s">
        <v>35</v>
      </c>
      <c r="B77" s="680" t="s">
        <v>34</v>
      </c>
      <c r="C77" s="926" t="s">
        <v>2332</v>
      </c>
    </row>
    <row r="78" spans="1:5">
      <c r="A78" s="680" t="s">
        <v>37</v>
      </c>
      <c r="B78" s="680" t="s">
        <v>40</v>
      </c>
      <c r="C78" s="926" t="s">
        <v>2333</v>
      </c>
    </row>
    <row r="79" spans="1:5">
      <c r="A79" s="680" t="s">
        <v>39</v>
      </c>
      <c r="B79" s="680" t="s">
        <v>38</v>
      </c>
      <c r="C79" s="926" t="s">
        <v>2334</v>
      </c>
    </row>
    <row r="80" spans="1:5">
      <c r="A80" s="680" t="s">
        <v>493</v>
      </c>
      <c r="B80" s="680" t="s">
        <v>797</v>
      </c>
      <c r="C80" s="926" t="s">
        <v>2335</v>
      </c>
    </row>
    <row r="81" spans="1:4">
      <c r="A81" s="680" t="s">
        <v>1056</v>
      </c>
      <c r="B81" s="680" t="s">
        <v>942</v>
      </c>
      <c r="C81" s="926" t="s">
        <v>2336</v>
      </c>
    </row>
    <row r="82" spans="1:4">
      <c r="A82" s="680" t="s">
        <v>72</v>
      </c>
      <c r="B82" s="680" t="s">
        <v>73</v>
      </c>
      <c r="C82" s="926" t="s">
        <v>2337</v>
      </c>
    </row>
    <row r="83" spans="1:4">
      <c r="A83" s="680" t="s">
        <v>36</v>
      </c>
      <c r="B83" s="680" t="s">
        <v>1</v>
      </c>
      <c r="C83" s="926" t="s">
        <v>2338</v>
      </c>
    </row>
    <row r="84" spans="1:4">
      <c r="A84" s="829" t="s">
        <v>583</v>
      </c>
      <c r="B84" s="829" t="s">
        <v>582</v>
      </c>
      <c r="C84" s="926" t="s">
        <v>2339</v>
      </c>
    </row>
    <row r="85" spans="1:4">
      <c r="A85" s="680" t="s">
        <v>1055</v>
      </c>
      <c r="B85" s="680" t="s">
        <v>450</v>
      </c>
      <c r="C85" s="926" t="s">
        <v>2340</v>
      </c>
    </row>
    <row r="86" spans="1:4">
      <c r="A86" s="680" t="s">
        <v>495</v>
      </c>
      <c r="B86" s="680" t="s">
        <v>452</v>
      </c>
      <c r="C86" s="926" t="s">
        <v>2341</v>
      </c>
    </row>
    <row r="87" spans="1:4">
      <c r="A87" s="680" t="s">
        <v>496</v>
      </c>
      <c r="B87" s="680" t="s">
        <v>494</v>
      </c>
      <c r="C87" s="926" t="s">
        <v>2342</v>
      </c>
    </row>
    <row r="88" spans="1:4">
      <c r="A88" s="680" t="s">
        <v>497</v>
      </c>
      <c r="B88" s="680" t="s">
        <v>451</v>
      </c>
      <c r="C88" s="926" t="s">
        <v>2343</v>
      </c>
      <c r="D88" s="8"/>
    </row>
    <row r="89" spans="1:4">
      <c r="A89" s="680" t="s">
        <v>3341</v>
      </c>
      <c r="B89" s="680" t="s">
        <v>3341</v>
      </c>
      <c r="C89" s="960" t="s">
        <v>3341</v>
      </c>
    </row>
    <row r="90" spans="1:4">
      <c r="A90" s="680" t="s">
        <v>498</v>
      </c>
      <c r="B90" s="680" t="s">
        <v>472</v>
      </c>
      <c r="C90" s="960" t="s">
        <v>2344</v>
      </c>
    </row>
    <row r="91" spans="1:4">
      <c r="A91" s="680" t="s">
        <v>499</v>
      </c>
      <c r="B91" s="680" t="s">
        <v>473</v>
      </c>
      <c r="C91" s="926" t="s">
        <v>2345</v>
      </c>
    </row>
    <row r="92" spans="1:4">
      <c r="A92" s="680" t="s">
        <v>500</v>
      </c>
      <c r="B92" s="680" t="s">
        <v>475</v>
      </c>
      <c r="C92" s="926" t="s">
        <v>2346</v>
      </c>
    </row>
    <row r="93" spans="1:4">
      <c r="A93" s="680" t="s">
        <v>503</v>
      </c>
      <c r="B93" s="680" t="s">
        <v>459</v>
      </c>
      <c r="C93" s="929" t="s">
        <v>2347</v>
      </c>
    </row>
    <row r="94" spans="1:4">
      <c r="A94" s="680" t="s">
        <v>908</v>
      </c>
      <c r="B94" s="680" t="s">
        <v>907</v>
      </c>
      <c r="C94" s="929" t="s">
        <v>2348</v>
      </c>
    </row>
    <row r="95" spans="1:4">
      <c r="A95" s="680" t="s">
        <v>492</v>
      </c>
      <c r="B95" s="680" t="s">
        <v>466</v>
      </c>
      <c r="C95" s="929" t="s">
        <v>2349</v>
      </c>
    </row>
    <row r="96" spans="1:4">
      <c r="A96" s="681" t="s">
        <v>927</v>
      </c>
      <c r="B96" s="831" t="s">
        <v>927</v>
      </c>
      <c r="C96" s="926" t="s">
        <v>2350</v>
      </c>
    </row>
    <row r="97" spans="1:3">
      <c r="A97" s="829" t="s">
        <v>805</v>
      </c>
      <c r="B97" s="682" t="s">
        <v>806</v>
      </c>
      <c r="C97" s="926" t="s">
        <v>2351</v>
      </c>
    </row>
    <row r="98" spans="1:3">
      <c r="A98" s="829" t="s">
        <v>589</v>
      </c>
      <c r="B98" s="680" t="s">
        <v>590</v>
      </c>
      <c r="C98" s="926" t="s">
        <v>2352</v>
      </c>
    </row>
    <row r="99" spans="1:3">
      <c r="A99" s="680" t="s">
        <v>792</v>
      </c>
      <c r="B99" s="832" t="s">
        <v>782</v>
      </c>
      <c r="C99" s="926" t="s">
        <v>2353</v>
      </c>
    </row>
    <row r="100" spans="1:3">
      <c r="A100" s="680" t="s">
        <v>793</v>
      </c>
      <c r="B100" s="832" t="s">
        <v>783</v>
      </c>
      <c r="C100" s="926" t="s">
        <v>2354</v>
      </c>
    </row>
    <row r="101" spans="1:3">
      <c r="A101" s="680" t="s">
        <v>794</v>
      </c>
      <c r="B101" s="832" t="s">
        <v>784</v>
      </c>
      <c r="C101" s="926" t="s">
        <v>2355</v>
      </c>
    </row>
    <row r="102" spans="1:3">
      <c r="A102" s="680" t="s">
        <v>781</v>
      </c>
      <c r="B102" s="829" t="s">
        <v>780</v>
      </c>
      <c r="C102" s="926" t="s">
        <v>2356</v>
      </c>
    </row>
    <row r="103" spans="1:3">
      <c r="A103" s="829" t="s">
        <v>505</v>
      </c>
      <c r="B103" s="680" t="s">
        <v>508</v>
      </c>
      <c r="C103" s="926" t="s">
        <v>2357</v>
      </c>
    </row>
    <row r="104" spans="1:3">
      <c r="A104" s="829" t="s">
        <v>510</v>
      </c>
      <c r="B104" s="680" t="s">
        <v>511</v>
      </c>
      <c r="C104" s="926" t="s">
        <v>2358</v>
      </c>
    </row>
    <row r="105" spans="1:3" ht="41.4">
      <c r="A105" s="833" t="s">
        <v>513</v>
      </c>
      <c r="B105" s="682" t="s">
        <v>481</v>
      </c>
      <c r="C105" s="926" t="s">
        <v>2359</v>
      </c>
    </row>
    <row r="106" spans="1:3">
      <c r="A106" s="684" t="s">
        <v>928</v>
      </c>
      <c r="B106" s="684" t="s">
        <v>929</v>
      </c>
      <c r="C106" s="926" t="s">
        <v>2360</v>
      </c>
    </row>
    <row r="107" spans="1:3" ht="27.6">
      <c r="A107" s="829" t="s">
        <v>516</v>
      </c>
      <c r="B107" s="682" t="s">
        <v>515</v>
      </c>
      <c r="C107" s="926" t="s">
        <v>2361</v>
      </c>
    </row>
    <row r="108" spans="1:3">
      <c r="A108" s="680" t="s">
        <v>70</v>
      </c>
      <c r="B108" s="680" t="s">
        <v>71</v>
      </c>
      <c r="C108" s="926" t="s">
        <v>2362</v>
      </c>
    </row>
    <row r="109" spans="1:3">
      <c r="A109" s="829" t="s">
        <v>533</v>
      </c>
      <c r="B109" s="680" t="s">
        <v>444</v>
      </c>
      <c r="C109" s="926" t="s">
        <v>2363</v>
      </c>
    </row>
    <row r="110" spans="1:3" ht="27.6">
      <c r="A110" s="830" t="s">
        <v>534</v>
      </c>
      <c r="B110" s="680" t="s">
        <v>430</v>
      </c>
      <c r="C110" s="926" t="s">
        <v>2364</v>
      </c>
    </row>
    <row r="111" spans="1:3">
      <c r="A111" s="829" t="s">
        <v>535</v>
      </c>
      <c r="B111" s="680" t="s">
        <v>434</v>
      </c>
      <c r="C111" s="926" t="s">
        <v>2365</v>
      </c>
    </row>
    <row r="112" spans="1:3">
      <c r="A112" s="829" t="s">
        <v>536</v>
      </c>
      <c r="B112" s="680" t="s">
        <v>438</v>
      </c>
      <c r="C112" s="926" t="s">
        <v>2366</v>
      </c>
    </row>
    <row r="113" spans="1:3">
      <c r="A113" s="829" t="s">
        <v>538</v>
      </c>
      <c r="B113" s="680" t="s">
        <v>537</v>
      </c>
      <c r="C113" s="926" t="s">
        <v>2367</v>
      </c>
    </row>
    <row r="114" spans="1:3" ht="27.6">
      <c r="A114" s="830" t="s">
        <v>539</v>
      </c>
      <c r="B114" s="680" t="s">
        <v>445</v>
      </c>
      <c r="C114" s="926" t="s">
        <v>2368</v>
      </c>
    </row>
    <row r="115" spans="1:3">
      <c r="A115" s="680" t="s">
        <v>24</v>
      </c>
      <c r="B115" s="680" t="s">
        <v>23</v>
      </c>
      <c r="C115" s="926" t="s">
        <v>2369</v>
      </c>
    </row>
    <row r="116" spans="1:3">
      <c r="A116" s="829" t="s">
        <v>517</v>
      </c>
      <c r="B116" s="680" t="s">
        <v>427</v>
      </c>
      <c r="C116" s="926" t="s">
        <v>2370</v>
      </c>
    </row>
    <row r="117" spans="1:3">
      <c r="A117" s="829" t="s">
        <v>518</v>
      </c>
      <c r="B117" s="680" t="s">
        <v>431</v>
      </c>
      <c r="C117" s="926" t="s">
        <v>2371</v>
      </c>
    </row>
    <row r="118" spans="1:3">
      <c r="A118" s="829" t="s">
        <v>519</v>
      </c>
      <c r="B118" s="680" t="s">
        <v>435</v>
      </c>
      <c r="C118" s="926" t="s">
        <v>2372</v>
      </c>
    </row>
    <row r="119" spans="1:3" ht="27.6">
      <c r="A119" s="830" t="s">
        <v>520</v>
      </c>
      <c r="B119" s="830" t="s">
        <v>439</v>
      </c>
      <c r="C119" s="926" t="s">
        <v>2373</v>
      </c>
    </row>
    <row r="120" spans="1:3">
      <c r="A120" s="829" t="s">
        <v>521</v>
      </c>
      <c r="B120" s="680" t="s">
        <v>442</v>
      </c>
      <c r="C120" s="926" t="s">
        <v>2374</v>
      </c>
    </row>
    <row r="121" spans="1:3">
      <c r="A121" s="829" t="s">
        <v>522</v>
      </c>
      <c r="B121" s="680" t="s">
        <v>446</v>
      </c>
      <c r="C121" s="926" t="s">
        <v>2375</v>
      </c>
    </row>
    <row r="122" spans="1:3">
      <c r="A122" s="680" t="s">
        <v>74</v>
      </c>
      <c r="B122" s="680" t="s">
        <v>74</v>
      </c>
      <c r="C122" s="926" t="s">
        <v>2376</v>
      </c>
    </row>
    <row r="123" spans="1:3" ht="27.6">
      <c r="A123" s="830" t="s">
        <v>528</v>
      </c>
      <c r="B123" s="680" t="s">
        <v>447</v>
      </c>
      <c r="C123" s="926" t="s">
        <v>2377</v>
      </c>
    </row>
    <row r="124" spans="1:3" ht="27.6">
      <c r="A124" s="829" t="s">
        <v>529</v>
      </c>
      <c r="B124" s="680" t="s">
        <v>429</v>
      </c>
      <c r="C124" s="926" t="s">
        <v>2378</v>
      </c>
    </row>
    <row r="125" spans="1:3" ht="27.6">
      <c r="A125" s="829" t="s">
        <v>530</v>
      </c>
      <c r="B125" s="680" t="s">
        <v>433</v>
      </c>
      <c r="C125" s="926" t="s">
        <v>2379</v>
      </c>
    </row>
    <row r="126" spans="1:3">
      <c r="A126" s="829" t="s">
        <v>531</v>
      </c>
      <c r="B126" s="680" t="s">
        <v>437</v>
      </c>
      <c r="C126" s="929" t="s">
        <v>2380</v>
      </c>
    </row>
    <row r="127" spans="1:3">
      <c r="A127" s="829" t="s">
        <v>532</v>
      </c>
      <c r="B127" s="680" t="s">
        <v>441</v>
      </c>
      <c r="C127" s="929" t="s">
        <v>2381</v>
      </c>
    </row>
    <row r="128" spans="1:3">
      <c r="A128" s="680" t="s">
        <v>72</v>
      </c>
      <c r="B128" s="680" t="s">
        <v>73</v>
      </c>
      <c r="C128" s="926" t="s">
        <v>2337</v>
      </c>
    </row>
    <row r="129" spans="1:5">
      <c r="A129" s="829" t="s">
        <v>523</v>
      </c>
      <c r="B129" s="680" t="s">
        <v>428</v>
      </c>
      <c r="C129" s="926" t="s">
        <v>2382</v>
      </c>
    </row>
    <row r="130" spans="1:5">
      <c r="A130" s="829" t="s">
        <v>524</v>
      </c>
      <c r="B130" s="680" t="s">
        <v>432</v>
      </c>
      <c r="C130" s="926" t="s">
        <v>2383</v>
      </c>
    </row>
    <row r="131" spans="1:5">
      <c r="A131" s="829" t="s">
        <v>525</v>
      </c>
      <c r="B131" s="680" t="s">
        <v>436</v>
      </c>
      <c r="C131" s="926" t="s">
        <v>2384</v>
      </c>
    </row>
    <row r="132" spans="1:5">
      <c r="A132" s="829" t="s">
        <v>526</v>
      </c>
      <c r="B132" s="680" t="s">
        <v>440</v>
      </c>
      <c r="C132" s="926" t="s">
        <v>2385</v>
      </c>
    </row>
    <row r="133" spans="1:5" ht="27.6">
      <c r="A133" s="829" t="s">
        <v>527</v>
      </c>
      <c r="B133" s="680" t="s">
        <v>443</v>
      </c>
      <c r="C133" s="926" t="s">
        <v>2386</v>
      </c>
    </row>
    <row r="134" spans="1:5">
      <c r="A134" s="680" t="s">
        <v>909</v>
      </c>
      <c r="B134" s="680" t="s">
        <v>75</v>
      </c>
      <c r="C134" s="926" t="s">
        <v>2387</v>
      </c>
    </row>
    <row r="135" spans="1:5">
      <c r="A135" s="680" t="s">
        <v>514</v>
      </c>
      <c r="B135" s="680" t="s">
        <v>5</v>
      </c>
      <c r="C135" s="926" t="s">
        <v>2388</v>
      </c>
    </row>
    <row r="136" spans="1:5">
      <c r="A136" s="681" t="s">
        <v>41</v>
      </c>
      <c r="B136" s="681" t="s">
        <v>46</v>
      </c>
      <c r="C136" s="926" t="s">
        <v>2389</v>
      </c>
    </row>
    <row r="137" spans="1:5">
      <c r="A137" s="680" t="s">
        <v>871</v>
      </c>
      <c r="B137" s="680" t="s">
        <v>870</v>
      </c>
      <c r="C137" s="926" t="s">
        <v>2390</v>
      </c>
    </row>
    <row r="138" spans="1:5">
      <c r="A138" s="680" t="s">
        <v>872</v>
      </c>
      <c r="B138" s="680" t="s">
        <v>899</v>
      </c>
      <c r="C138" s="926" t="s">
        <v>2391</v>
      </c>
    </row>
    <row r="139" spans="1:5">
      <c r="A139" s="680" t="s">
        <v>42</v>
      </c>
      <c r="B139" s="680" t="s">
        <v>47</v>
      </c>
      <c r="C139" s="926" t="s">
        <v>2392</v>
      </c>
      <c r="D139" s="8"/>
      <c r="E139" s="8"/>
    </row>
    <row r="140" spans="1:5">
      <c r="A140" s="680" t="s">
        <v>44</v>
      </c>
      <c r="B140" s="680" t="s">
        <v>43</v>
      </c>
      <c r="C140" s="926" t="s">
        <v>2393</v>
      </c>
    </row>
    <row r="141" spans="1:5">
      <c r="A141" s="682" t="s">
        <v>896</v>
      </c>
      <c r="B141" s="680" t="s">
        <v>894</v>
      </c>
      <c r="C141" s="926" t="s">
        <v>2394</v>
      </c>
    </row>
    <row r="142" spans="1:5" ht="27.6">
      <c r="A142" s="682" t="s">
        <v>898</v>
      </c>
      <c r="B142" s="682" t="s">
        <v>897</v>
      </c>
      <c r="C142" s="930" t="s">
        <v>2395</v>
      </c>
    </row>
    <row r="143" spans="1:5">
      <c r="A143" s="831" t="s">
        <v>923</v>
      </c>
      <c r="B143" s="681" t="s">
        <v>924</v>
      </c>
      <c r="C143" s="926" t="s">
        <v>2396</v>
      </c>
    </row>
    <row r="144" spans="1:5">
      <c r="A144" s="829" t="s">
        <v>911</v>
      </c>
      <c r="B144" s="680" t="s">
        <v>910</v>
      </c>
      <c r="C144" s="926" t="s">
        <v>2397</v>
      </c>
    </row>
    <row r="145" spans="1:7">
      <c r="A145" s="681" t="s">
        <v>912</v>
      </c>
      <c r="B145" s="681" t="s">
        <v>913</v>
      </c>
      <c r="C145" s="926" t="s">
        <v>2398</v>
      </c>
    </row>
    <row r="146" spans="1:7">
      <c r="A146" s="829" t="s">
        <v>788</v>
      </c>
      <c r="B146" s="829" t="s">
        <v>789</v>
      </c>
      <c r="C146" s="927" t="s">
        <v>2399</v>
      </c>
    </row>
    <row r="147" spans="1:7">
      <c r="A147" s="829" t="s">
        <v>790</v>
      </c>
      <c r="B147" s="829" t="s">
        <v>795</v>
      </c>
      <c r="C147" s="927" t="s">
        <v>2400</v>
      </c>
    </row>
    <row r="148" spans="1:7">
      <c r="A148" s="829" t="s">
        <v>791</v>
      </c>
      <c r="B148" s="829" t="s">
        <v>796</v>
      </c>
      <c r="C148" s="927" t="s">
        <v>2401</v>
      </c>
    </row>
    <row r="149" spans="1:7">
      <c r="A149" s="829" t="s">
        <v>541</v>
      </c>
      <c r="B149" s="680" t="s">
        <v>419</v>
      </c>
      <c r="C149" s="927" t="s">
        <v>2402</v>
      </c>
      <c r="D149" s="8"/>
      <c r="E149" s="8"/>
      <c r="F149" s="8"/>
    </row>
    <row r="150" spans="1:7">
      <c r="A150" s="829" t="s">
        <v>549</v>
      </c>
      <c r="B150" s="680" t="s">
        <v>548</v>
      </c>
      <c r="C150" s="927" t="s">
        <v>2403</v>
      </c>
    </row>
    <row r="151" spans="1:7">
      <c r="A151" s="829" t="s">
        <v>580</v>
      </c>
      <c r="B151" s="680" t="s">
        <v>550</v>
      </c>
      <c r="C151" s="927" t="s">
        <v>2404</v>
      </c>
    </row>
    <row r="152" spans="1:7">
      <c r="A152" s="829" t="s">
        <v>551</v>
      </c>
      <c r="B152" s="680" t="s">
        <v>421</v>
      </c>
      <c r="C152" s="927" t="s">
        <v>2405</v>
      </c>
      <c r="D152" s="8"/>
      <c r="E152" s="8"/>
      <c r="F152" s="8"/>
    </row>
    <row r="153" spans="1:7">
      <c r="A153" s="829" t="s">
        <v>552</v>
      </c>
      <c r="B153" s="680" t="s">
        <v>422</v>
      </c>
      <c r="C153" s="927" t="s">
        <v>2406</v>
      </c>
    </row>
    <row r="154" spans="1:7">
      <c r="A154" s="829" t="s">
        <v>543</v>
      </c>
      <c r="B154" s="680" t="s">
        <v>423</v>
      </c>
      <c r="C154" s="927" t="s">
        <v>2407</v>
      </c>
      <c r="D154" s="8"/>
      <c r="E154" s="8"/>
      <c r="F154" s="8"/>
      <c r="G154" s="8"/>
    </row>
    <row r="155" spans="1:7">
      <c r="A155" s="829" t="s">
        <v>544</v>
      </c>
      <c r="B155" s="680" t="s">
        <v>424</v>
      </c>
      <c r="C155" s="927" t="s">
        <v>2408</v>
      </c>
    </row>
    <row r="156" spans="1:7">
      <c r="A156" s="829" t="s">
        <v>545</v>
      </c>
      <c r="B156" s="680" t="s">
        <v>425</v>
      </c>
      <c r="C156" s="927" t="s">
        <v>2409</v>
      </c>
    </row>
    <row r="157" spans="1:7">
      <c r="A157" s="829" t="s">
        <v>994</v>
      </c>
      <c r="B157" s="829" t="s">
        <v>1075</v>
      </c>
      <c r="C157" s="927" t="s">
        <v>2410</v>
      </c>
    </row>
    <row r="158" spans="1:7">
      <c r="A158" s="829" t="s">
        <v>995</v>
      </c>
      <c r="B158" s="829" t="s">
        <v>1076</v>
      </c>
      <c r="C158" s="927" t="s">
        <v>2411</v>
      </c>
    </row>
    <row r="159" spans="1:7">
      <c r="A159" s="829" t="s">
        <v>1124</v>
      </c>
      <c r="B159" s="829" t="s">
        <v>1123</v>
      </c>
      <c r="C159" s="927" t="s">
        <v>2412</v>
      </c>
    </row>
    <row r="160" spans="1:7">
      <c r="A160" s="829" t="s">
        <v>996</v>
      </c>
      <c r="B160" s="829" t="s">
        <v>1077</v>
      </c>
      <c r="C160" s="927" t="s">
        <v>2413</v>
      </c>
    </row>
    <row r="161" spans="1:3">
      <c r="A161" s="831" t="s">
        <v>540</v>
      </c>
      <c r="B161" s="681" t="s">
        <v>1125</v>
      </c>
      <c r="C161" s="927" t="s">
        <v>2414</v>
      </c>
    </row>
    <row r="162" spans="1:3">
      <c r="A162" s="831" t="s">
        <v>914</v>
      </c>
      <c r="B162" s="681" t="s">
        <v>840</v>
      </c>
      <c r="C162" s="927" t="s">
        <v>2415</v>
      </c>
    </row>
    <row r="163" spans="1:3">
      <c r="A163" s="829" t="s">
        <v>542</v>
      </c>
      <c r="B163" s="680" t="s">
        <v>420</v>
      </c>
      <c r="C163" s="927" t="s">
        <v>2416</v>
      </c>
    </row>
    <row r="164" spans="1:3">
      <c r="A164" s="829" t="s">
        <v>546</v>
      </c>
      <c r="B164" s="680" t="s">
        <v>45</v>
      </c>
      <c r="C164" s="927" t="s">
        <v>2417</v>
      </c>
    </row>
    <row r="165" spans="1:3">
      <c r="A165" s="829" t="s">
        <v>547</v>
      </c>
      <c r="B165" s="680" t="s">
        <v>584</v>
      </c>
      <c r="C165" s="927" t="s">
        <v>2418</v>
      </c>
    </row>
    <row r="166" spans="1:3">
      <c r="A166" s="829" t="s">
        <v>581</v>
      </c>
      <c r="B166" s="829" t="s">
        <v>48</v>
      </c>
      <c r="C166" s="927" t="s">
        <v>2419</v>
      </c>
    </row>
    <row r="167" spans="1:3" ht="27.6">
      <c r="A167" s="834" t="s">
        <v>801</v>
      </c>
      <c r="B167" s="834" t="s">
        <v>802</v>
      </c>
      <c r="C167" s="927" t="s">
        <v>2420</v>
      </c>
    </row>
    <row r="168" spans="1:3">
      <c r="A168" s="829" t="s">
        <v>585</v>
      </c>
      <c r="B168" s="829" t="s">
        <v>426</v>
      </c>
      <c r="C168" s="927" t="s">
        <v>2421</v>
      </c>
    </row>
    <row r="169" spans="1:3">
      <c r="A169" s="829" t="s">
        <v>764</v>
      </c>
      <c r="B169" s="680" t="s">
        <v>764</v>
      </c>
      <c r="C169" s="927" t="s">
        <v>2422</v>
      </c>
    </row>
    <row r="170" spans="1:3" ht="41.4">
      <c r="A170" s="830" t="s">
        <v>765</v>
      </c>
      <c r="B170" s="830" t="s">
        <v>766</v>
      </c>
      <c r="C170" s="927" t="s">
        <v>2423</v>
      </c>
    </row>
    <row r="171" spans="1:3">
      <c r="A171" s="680" t="s">
        <v>768</v>
      </c>
      <c r="B171" s="829" t="s">
        <v>767</v>
      </c>
      <c r="C171" s="927" t="s">
        <v>2424</v>
      </c>
    </row>
    <row r="172" spans="1:3">
      <c r="A172" s="680" t="s">
        <v>586</v>
      </c>
      <c r="B172" s="680" t="s">
        <v>779</v>
      </c>
      <c r="C172" s="927" t="s">
        <v>2425</v>
      </c>
    </row>
    <row r="173" spans="1:3">
      <c r="A173" s="680" t="s">
        <v>770</v>
      </c>
      <c r="B173" s="829" t="s">
        <v>769</v>
      </c>
      <c r="C173" s="927" t="s">
        <v>2426</v>
      </c>
    </row>
    <row r="174" spans="1:3">
      <c r="A174" s="680" t="s">
        <v>592</v>
      </c>
      <c r="B174" s="829" t="s">
        <v>591</v>
      </c>
      <c r="C174" s="927" t="s">
        <v>2427</v>
      </c>
    </row>
    <row r="175" spans="1:3">
      <c r="A175" s="829" t="s">
        <v>1154</v>
      </c>
      <c r="B175" s="680" t="s">
        <v>1058</v>
      </c>
      <c r="C175" s="927" t="s">
        <v>2428</v>
      </c>
    </row>
    <row r="176" spans="1:3" ht="27.6">
      <c r="A176" s="830" t="s">
        <v>1155</v>
      </c>
      <c r="B176" s="830" t="s">
        <v>1059</v>
      </c>
      <c r="C176" s="927" t="s">
        <v>2429</v>
      </c>
    </row>
    <row r="177" spans="1:3">
      <c r="A177" s="835"/>
      <c r="B177" s="685"/>
      <c r="C177" s="927"/>
    </row>
    <row r="178" spans="1:3">
      <c r="A178" s="681" t="s">
        <v>923</v>
      </c>
      <c r="B178" s="681" t="s">
        <v>1128</v>
      </c>
      <c r="C178" s="927" t="s">
        <v>2396</v>
      </c>
    </row>
    <row r="179" spans="1:3">
      <c r="A179" s="680" t="s">
        <v>587</v>
      </c>
      <c r="B179" s="682" t="s">
        <v>588</v>
      </c>
      <c r="C179" s="927" t="s">
        <v>2430</v>
      </c>
    </row>
    <row r="180" spans="1:3">
      <c r="A180" s="680" t="s">
        <v>553</v>
      </c>
      <c r="B180" s="680" t="s">
        <v>455</v>
      </c>
      <c r="C180" s="927" t="s">
        <v>2431</v>
      </c>
    </row>
    <row r="181" spans="1:3">
      <c r="A181" s="680" t="s">
        <v>554</v>
      </c>
      <c r="B181" s="680" t="s">
        <v>456</v>
      </c>
      <c r="C181" s="927" t="s">
        <v>2432</v>
      </c>
    </row>
    <row r="182" spans="1:3">
      <c r="A182" s="680" t="s">
        <v>555</v>
      </c>
      <c r="B182" s="680" t="s">
        <v>476</v>
      </c>
      <c r="C182" s="927" t="s">
        <v>2433</v>
      </c>
    </row>
    <row r="183" spans="1:3">
      <c r="A183" s="680" t="s">
        <v>556</v>
      </c>
      <c r="B183" s="680" t="s">
        <v>477</v>
      </c>
      <c r="C183" s="927" t="s">
        <v>2434</v>
      </c>
    </row>
    <row r="184" spans="1:3">
      <c r="A184" s="680" t="s">
        <v>557</v>
      </c>
      <c r="B184" s="680" t="s">
        <v>478</v>
      </c>
      <c r="C184" s="927" t="s">
        <v>2435</v>
      </c>
    </row>
    <row r="185" spans="1:3">
      <c r="A185" s="680" t="s">
        <v>558</v>
      </c>
      <c r="B185" s="680" t="s">
        <v>479</v>
      </c>
      <c r="C185" s="927" t="s">
        <v>2436</v>
      </c>
    </row>
    <row r="186" spans="1:3">
      <c r="A186" s="680" t="s">
        <v>915</v>
      </c>
      <c r="B186" s="680" t="s">
        <v>595</v>
      </c>
      <c r="C186" s="927" t="s">
        <v>2437</v>
      </c>
    </row>
    <row r="187" spans="1:3">
      <c r="A187" s="680" t="s">
        <v>1746</v>
      </c>
      <c r="B187" s="680" t="s">
        <v>1747</v>
      </c>
      <c r="C187" s="927" t="s">
        <v>2438</v>
      </c>
    </row>
    <row r="188" spans="1:3">
      <c r="A188" s="681" t="s">
        <v>1126</v>
      </c>
      <c r="B188" s="681" t="s">
        <v>1127</v>
      </c>
      <c r="C188" s="927" t="s">
        <v>2439</v>
      </c>
    </row>
    <row r="189" spans="1:3">
      <c r="A189" s="680" t="s">
        <v>916</v>
      </c>
      <c r="B189" s="680" t="s">
        <v>917</v>
      </c>
      <c r="C189" s="927" t="s">
        <v>2440</v>
      </c>
    </row>
    <row r="190" spans="1:3">
      <c r="A190" s="680" t="s">
        <v>570</v>
      </c>
      <c r="B190" s="680" t="s">
        <v>596</v>
      </c>
      <c r="C190" s="927" t="s">
        <v>2441</v>
      </c>
    </row>
    <row r="191" spans="1:3">
      <c r="A191" s="680" t="s">
        <v>119</v>
      </c>
      <c r="B191" s="680" t="s">
        <v>367</v>
      </c>
      <c r="C191" s="927" t="s">
        <v>2442</v>
      </c>
    </row>
    <row r="192" spans="1:3">
      <c r="A192" s="680" t="s">
        <v>1745</v>
      </c>
      <c r="B192" s="680" t="s">
        <v>1744</v>
      </c>
      <c r="C192" s="927" t="s">
        <v>2443</v>
      </c>
    </row>
    <row r="193" spans="1:3">
      <c r="A193" s="681" t="s">
        <v>1108</v>
      </c>
      <c r="B193" s="681" t="s">
        <v>1109</v>
      </c>
      <c r="C193" s="927" t="s">
        <v>2444</v>
      </c>
    </row>
    <row r="194" spans="1:3">
      <c r="A194" s="680" t="s">
        <v>562</v>
      </c>
      <c r="B194" s="680" t="s">
        <v>457</v>
      </c>
      <c r="C194" s="927" t="s">
        <v>2445</v>
      </c>
    </row>
    <row r="195" spans="1:3">
      <c r="A195" s="680" t="s">
        <v>563</v>
      </c>
      <c r="B195" s="680" t="s">
        <v>458</v>
      </c>
      <c r="C195" s="927" t="s">
        <v>2446</v>
      </c>
    </row>
    <row r="196" spans="1:3">
      <c r="A196" s="680" t="s">
        <v>571</v>
      </c>
      <c r="B196" s="680" t="s">
        <v>2</v>
      </c>
      <c r="C196" s="927" t="s">
        <v>2447</v>
      </c>
    </row>
    <row r="197" spans="1:3">
      <c r="A197" s="680" t="s">
        <v>0</v>
      </c>
      <c r="B197" s="680" t="s">
        <v>0</v>
      </c>
      <c r="C197" s="927" t="s">
        <v>0</v>
      </c>
    </row>
    <row r="198" spans="1:3">
      <c r="A198" s="680" t="s">
        <v>52</v>
      </c>
      <c r="B198" s="680" t="s">
        <v>4</v>
      </c>
      <c r="C198" s="927" t="s">
        <v>4</v>
      </c>
    </row>
    <row r="199" spans="1:3">
      <c r="A199" s="680" t="s">
        <v>51</v>
      </c>
      <c r="B199" s="680" t="s">
        <v>3</v>
      </c>
      <c r="C199" s="927" t="s">
        <v>2448</v>
      </c>
    </row>
    <row r="200" spans="1:3">
      <c r="A200" s="680" t="s">
        <v>564</v>
      </c>
      <c r="B200" s="680" t="s">
        <v>460</v>
      </c>
      <c r="C200" s="927" t="s">
        <v>2449</v>
      </c>
    </row>
    <row r="201" spans="1:3">
      <c r="A201" s="680" t="s">
        <v>565</v>
      </c>
      <c r="B201" s="680" t="s">
        <v>512</v>
      </c>
      <c r="C201" s="927" t="s">
        <v>2450</v>
      </c>
    </row>
    <row r="202" spans="1:3">
      <c r="A202" s="680" t="s">
        <v>566</v>
      </c>
      <c r="B202" s="680" t="s">
        <v>463</v>
      </c>
      <c r="C202" s="927" t="s">
        <v>463</v>
      </c>
    </row>
    <row r="203" spans="1:3">
      <c r="A203" s="680" t="s">
        <v>567</v>
      </c>
      <c r="B203" s="680" t="s">
        <v>461</v>
      </c>
      <c r="C203" s="927" t="s">
        <v>461</v>
      </c>
    </row>
    <row r="204" spans="1:3">
      <c r="A204" s="680" t="s">
        <v>572</v>
      </c>
      <c r="B204" s="680" t="s">
        <v>464</v>
      </c>
      <c r="C204" s="927" t="s">
        <v>2451</v>
      </c>
    </row>
    <row r="205" spans="1:3">
      <c r="A205" s="680" t="s">
        <v>568</v>
      </c>
      <c r="B205" s="680" t="s">
        <v>462</v>
      </c>
      <c r="C205" s="927" t="s">
        <v>2452</v>
      </c>
    </row>
    <row r="206" spans="1:3">
      <c r="A206" s="680" t="s">
        <v>807</v>
      </c>
      <c r="B206" s="680" t="s">
        <v>808</v>
      </c>
      <c r="C206" s="927" t="s">
        <v>2453</v>
      </c>
    </row>
    <row r="207" spans="1:3">
      <c r="A207" s="680" t="s">
        <v>918</v>
      </c>
      <c r="B207" s="680" t="s">
        <v>919</v>
      </c>
      <c r="C207" s="927" t="s">
        <v>2454</v>
      </c>
    </row>
    <row r="208" spans="1:3">
      <c r="A208" s="680" t="s">
        <v>569</v>
      </c>
      <c r="B208" s="680" t="s">
        <v>560</v>
      </c>
      <c r="C208" s="927" t="s">
        <v>2455</v>
      </c>
    </row>
    <row r="209" spans="1:3">
      <c r="A209" s="680" t="s">
        <v>920</v>
      </c>
      <c r="B209" s="680" t="s">
        <v>465</v>
      </c>
      <c r="C209" s="927" t="s">
        <v>2456</v>
      </c>
    </row>
    <row r="210" spans="1:3">
      <c r="A210" s="680" t="s">
        <v>559</v>
      </c>
      <c r="B210" s="680" t="s">
        <v>561</v>
      </c>
      <c r="C210" s="927" t="s">
        <v>2457</v>
      </c>
    </row>
    <row r="211" spans="1:3">
      <c r="A211" s="680" t="s">
        <v>107</v>
      </c>
      <c r="B211" s="680" t="s">
        <v>798</v>
      </c>
      <c r="C211" s="927" t="s">
        <v>2458</v>
      </c>
    </row>
    <row r="212" spans="1:3">
      <c r="A212" s="680" t="s">
        <v>920</v>
      </c>
      <c r="B212" s="680" t="s">
        <v>921</v>
      </c>
      <c r="C212" s="927" t="s">
        <v>2456</v>
      </c>
    </row>
    <row r="213" spans="1:3">
      <c r="A213" s="680" t="s">
        <v>559</v>
      </c>
      <c r="B213" s="680" t="s">
        <v>561</v>
      </c>
      <c r="C213" s="927" t="s">
        <v>2457</v>
      </c>
    </row>
    <row r="214" spans="1:3">
      <c r="A214" s="681" t="s">
        <v>1110</v>
      </c>
      <c r="B214" s="681" t="s">
        <v>1111</v>
      </c>
      <c r="C214" s="927" t="s">
        <v>2459</v>
      </c>
    </row>
    <row r="215" spans="1:3">
      <c r="A215" s="680" t="s">
        <v>1112</v>
      </c>
      <c r="B215" s="680" t="s">
        <v>1113</v>
      </c>
      <c r="C215" s="927" t="s">
        <v>2460</v>
      </c>
    </row>
    <row r="216" spans="1:3">
      <c r="A216" s="680" t="s">
        <v>830</v>
      </c>
      <c r="B216" s="680" t="s">
        <v>831</v>
      </c>
      <c r="C216" s="927" t="s">
        <v>2461</v>
      </c>
    </row>
    <row r="217" spans="1:3">
      <c r="A217" s="680" t="s">
        <v>111</v>
      </c>
      <c r="B217" s="680" t="s">
        <v>112</v>
      </c>
      <c r="C217" s="927" t="s">
        <v>2462</v>
      </c>
    </row>
    <row r="218" spans="1:3">
      <c r="A218" s="680" t="s">
        <v>117</v>
      </c>
      <c r="B218" s="680" t="s">
        <v>113</v>
      </c>
      <c r="C218" s="927" t="s">
        <v>2463</v>
      </c>
    </row>
    <row r="219" spans="1:3">
      <c r="A219" s="680" t="s">
        <v>803</v>
      </c>
      <c r="B219" s="680" t="s">
        <v>804</v>
      </c>
      <c r="C219" s="927" t="s">
        <v>2464</v>
      </c>
    </row>
    <row r="220" spans="1:3">
      <c r="A220" s="680" t="s">
        <v>832</v>
      </c>
      <c r="B220" s="680" t="s">
        <v>833</v>
      </c>
      <c r="C220" s="927" t="s">
        <v>2465</v>
      </c>
    </row>
    <row r="221" spans="1:3">
      <c r="A221" s="680" t="s">
        <v>467</v>
      </c>
      <c r="B221" s="680" t="s">
        <v>467</v>
      </c>
      <c r="C221" s="927" t="s">
        <v>2466</v>
      </c>
    </row>
    <row r="222" spans="1:3">
      <c r="A222" s="680" t="s">
        <v>365</v>
      </c>
      <c r="B222" s="680" t="s">
        <v>365</v>
      </c>
      <c r="C222" s="927" t="s">
        <v>365</v>
      </c>
    </row>
    <row r="223" spans="1:3">
      <c r="A223" s="680" t="s">
        <v>53</v>
      </c>
      <c r="B223" s="680" t="s">
        <v>54</v>
      </c>
      <c r="C223" s="927" t="s">
        <v>2467</v>
      </c>
    </row>
    <row r="224" spans="1:3">
      <c r="A224" s="680" t="s">
        <v>355</v>
      </c>
      <c r="B224" s="680" t="s">
        <v>356</v>
      </c>
      <c r="C224" s="927" t="s">
        <v>2468</v>
      </c>
    </row>
    <row r="225" spans="1:3">
      <c r="A225" s="680" t="s">
        <v>17</v>
      </c>
      <c r="B225" s="680" t="s">
        <v>800</v>
      </c>
      <c r="C225" s="927" t="s">
        <v>2469</v>
      </c>
    </row>
    <row r="226" spans="1:3">
      <c r="A226" s="829" t="s">
        <v>799</v>
      </c>
      <c r="B226" s="829" t="s">
        <v>922</v>
      </c>
      <c r="C226" s="927" t="s">
        <v>2470</v>
      </c>
    </row>
    <row r="227" spans="1:3">
      <c r="A227" s="680" t="s">
        <v>771</v>
      </c>
      <c r="B227" s="829" t="s">
        <v>776</v>
      </c>
      <c r="C227" s="927" t="s">
        <v>2471</v>
      </c>
    </row>
    <row r="228" spans="1:3">
      <c r="A228" s="680" t="s">
        <v>774</v>
      </c>
      <c r="B228" s="829" t="s">
        <v>775</v>
      </c>
      <c r="C228" s="927" t="s">
        <v>2472</v>
      </c>
    </row>
    <row r="229" spans="1:3">
      <c r="A229" s="829" t="s">
        <v>772</v>
      </c>
      <c r="B229" s="829" t="s">
        <v>773</v>
      </c>
      <c r="C229" s="927" t="s">
        <v>2473</v>
      </c>
    </row>
    <row r="230" spans="1:3">
      <c r="A230" s="680" t="s">
        <v>925</v>
      </c>
      <c r="B230" s="680" t="s">
        <v>926</v>
      </c>
      <c r="C230" s="927" t="s">
        <v>2474</v>
      </c>
    </row>
    <row r="231" spans="1:3">
      <c r="A231" s="680" t="s">
        <v>829</v>
      </c>
      <c r="B231" s="680" t="s">
        <v>828</v>
      </c>
      <c r="C231" s="927" t="s">
        <v>2475</v>
      </c>
    </row>
    <row r="232" spans="1:3">
      <c r="A232" s="680" t="s">
        <v>1114</v>
      </c>
      <c r="B232" s="680" t="s">
        <v>1084</v>
      </c>
      <c r="C232" s="927" t="s">
        <v>2476</v>
      </c>
    </row>
    <row r="233" spans="1:3">
      <c r="A233" s="681" t="s">
        <v>1100</v>
      </c>
      <c r="B233" s="681" t="s">
        <v>1101</v>
      </c>
      <c r="C233" s="927" t="s">
        <v>2477</v>
      </c>
    </row>
    <row r="234" spans="1:3">
      <c r="A234" s="680" t="s">
        <v>1071</v>
      </c>
      <c r="B234" s="680" t="s">
        <v>956</v>
      </c>
      <c r="C234" s="927" t="s">
        <v>2478</v>
      </c>
    </row>
    <row r="235" spans="1:3">
      <c r="A235" s="680" t="s">
        <v>1070</v>
      </c>
      <c r="B235" s="680" t="s">
        <v>955</v>
      </c>
      <c r="C235" s="927" t="s">
        <v>2479</v>
      </c>
    </row>
    <row r="236" spans="1:3">
      <c r="A236" s="680" t="s">
        <v>1136</v>
      </c>
      <c r="B236" s="829" t="s">
        <v>1060</v>
      </c>
      <c r="C236" s="927" t="s">
        <v>2480</v>
      </c>
    </row>
    <row r="237" spans="1:3">
      <c r="A237" s="680" t="s">
        <v>1137</v>
      </c>
      <c r="B237" s="829" t="s">
        <v>1061</v>
      </c>
      <c r="C237" s="927" t="s">
        <v>2481</v>
      </c>
    </row>
    <row r="238" spans="1:3">
      <c r="A238" s="680" t="s">
        <v>1138</v>
      </c>
      <c r="B238" s="829" t="s">
        <v>1062</v>
      </c>
      <c r="C238" s="927" t="s">
        <v>2482</v>
      </c>
    </row>
    <row r="239" spans="1:3">
      <c r="A239" s="680" t="s">
        <v>1139</v>
      </c>
      <c r="B239" s="829" t="s">
        <v>1063</v>
      </c>
      <c r="C239" s="927" t="s">
        <v>2483</v>
      </c>
    </row>
    <row r="240" spans="1:3">
      <c r="A240" s="680" t="s">
        <v>1140</v>
      </c>
      <c r="B240" s="829" t="s">
        <v>1064</v>
      </c>
      <c r="C240" s="927" t="s">
        <v>2484</v>
      </c>
    </row>
    <row r="241" spans="1:3">
      <c r="A241" s="680" t="s">
        <v>1141</v>
      </c>
      <c r="B241" s="829" t="s">
        <v>1065</v>
      </c>
      <c r="C241" s="927" t="s">
        <v>2485</v>
      </c>
    </row>
    <row r="242" spans="1:3">
      <c r="A242" s="680" t="s">
        <v>1142</v>
      </c>
      <c r="B242" s="829" t="s">
        <v>1066</v>
      </c>
      <c r="C242" s="927" t="s">
        <v>2486</v>
      </c>
    </row>
    <row r="243" spans="1:3">
      <c r="A243" s="680" t="s">
        <v>1143</v>
      </c>
      <c r="B243" s="829" t="s">
        <v>1067</v>
      </c>
      <c r="C243" s="927" t="s">
        <v>2487</v>
      </c>
    </row>
    <row r="244" spans="1:3">
      <c r="A244" s="680" t="s">
        <v>1144</v>
      </c>
      <c r="B244" s="829" t="s">
        <v>1068</v>
      </c>
      <c r="C244" s="927" t="s">
        <v>2488</v>
      </c>
    </row>
    <row r="245" spans="1:3">
      <c r="A245" s="680" t="s">
        <v>1145</v>
      </c>
      <c r="B245" s="829" t="s">
        <v>1069</v>
      </c>
      <c r="C245" s="927" t="s">
        <v>2489</v>
      </c>
    </row>
    <row r="246" spans="1:3">
      <c r="A246" s="680" t="s">
        <v>1115</v>
      </c>
      <c r="B246" s="680" t="s">
        <v>939</v>
      </c>
      <c r="C246" s="927" t="s">
        <v>2490</v>
      </c>
    </row>
    <row r="247" spans="1:3">
      <c r="A247" s="680" t="s">
        <v>1116</v>
      </c>
      <c r="B247" s="829" t="s">
        <v>944</v>
      </c>
      <c r="C247" s="927" t="s">
        <v>2491</v>
      </c>
    </row>
    <row r="248" spans="1:3">
      <c r="A248" s="680" t="s">
        <v>1117</v>
      </c>
      <c r="B248" s="829" t="s">
        <v>949</v>
      </c>
      <c r="C248" s="927" t="s">
        <v>2492</v>
      </c>
    </row>
    <row r="249" spans="1:3">
      <c r="A249" s="680" t="s">
        <v>1118</v>
      </c>
      <c r="B249" s="829" t="s">
        <v>950</v>
      </c>
      <c r="C249" s="927" t="s">
        <v>2493</v>
      </c>
    </row>
    <row r="250" spans="1:3">
      <c r="A250" s="680" t="s">
        <v>1119</v>
      </c>
      <c r="B250" s="829" t="s">
        <v>951</v>
      </c>
      <c r="C250" s="927" t="s">
        <v>2494</v>
      </c>
    </row>
    <row r="251" spans="1:3">
      <c r="A251" s="680" t="s">
        <v>1146</v>
      </c>
      <c r="B251" s="829" t="s">
        <v>945</v>
      </c>
      <c r="C251" s="927" t="s">
        <v>2495</v>
      </c>
    </row>
    <row r="252" spans="1:3">
      <c r="A252" s="680" t="s">
        <v>1149</v>
      </c>
      <c r="B252" s="829" t="s">
        <v>952</v>
      </c>
      <c r="C252" s="927" t="s">
        <v>2496</v>
      </c>
    </row>
    <row r="253" spans="1:3">
      <c r="A253" s="680" t="s">
        <v>1147</v>
      </c>
      <c r="B253" s="829" t="s">
        <v>953</v>
      </c>
      <c r="C253" s="927" t="s">
        <v>2497</v>
      </c>
    </row>
    <row r="254" spans="1:3">
      <c r="A254" s="680" t="s">
        <v>1148</v>
      </c>
      <c r="B254" s="829" t="s">
        <v>954</v>
      </c>
      <c r="C254" s="927" t="s">
        <v>2498</v>
      </c>
    </row>
    <row r="255" spans="1:3">
      <c r="A255" s="680" t="s">
        <v>940</v>
      </c>
      <c r="B255" s="680" t="s">
        <v>940</v>
      </c>
      <c r="C255" s="927" t="s">
        <v>2499</v>
      </c>
    </row>
    <row r="256" spans="1:3">
      <c r="A256" s="680" t="s">
        <v>1120</v>
      </c>
      <c r="B256" s="680" t="s">
        <v>1057</v>
      </c>
      <c r="C256" s="927" t="s">
        <v>2500</v>
      </c>
    </row>
    <row r="257" spans="1:3">
      <c r="A257" s="680" t="s">
        <v>1121</v>
      </c>
      <c r="B257" s="680" t="s">
        <v>1072</v>
      </c>
      <c r="C257" s="927" t="s">
        <v>2501</v>
      </c>
    </row>
    <row r="258" spans="1:3">
      <c r="A258" s="680" t="s">
        <v>1150</v>
      </c>
      <c r="B258" s="680" t="s">
        <v>1073</v>
      </c>
      <c r="C258" s="927" t="s">
        <v>2502</v>
      </c>
    </row>
    <row r="259" spans="1:3">
      <c r="A259" s="680" t="s">
        <v>1129</v>
      </c>
      <c r="B259" s="680" t="s">
        <v>943</v>
      </c>
      <c r="C259" s="927" t="s">
        <v>2503</v>
      </c>
    </row>
    <row r="260" spans="1:3">
      <c r="A260" s="680" t="s">
        <v>1122</v>
      </c>
      <c r="B260" s="680" t="s">
        <v>1074</v>
      </c>
      <c r="C260" s="927" t="s">
        <v>2504</v>
      </c>
    </row>
    <row r="261" spans="1:3">
      <c r="A261" s="681"/>
      <c r="B261" s="681"/>
      <c r="C261" s="927"/>
    </row>
    <row r="262" spans="1:3">
      <c r="A262" s="680" t="s">
        <v>1151</v>
      </c>
      <c r="B262" s="680" t="s">
        <v>1130</v>
      </c>
      <c r="C262" s="927" t="s">
        <v>2505</v>
      </c>
    </row>
    <row r="263" spans="1:3">
      <c r="A263" s="680" t="s">
        <v>1153</v>
      </c>
      <c r="B263" s="680" t="s">
        <v>1131</v>
      </c>
      <c r="C263" s="927" t="s">
        <v>2421</v>
      </c>
    </row>
    <row r="264" spans="1:3">
      <c r="A264" s="680" t="s">
        <v>1152</v>
      </c>
      <c r="B264" s="680" t="s">
        <v>1132</v>
      </c>
      <c r="C264" s="927" t="s">
        <v>2506</v>
      </c>
    </row>
    <row r="265" spans="1:3">
      <c r="A265" s="680" t="s">
        <v>1759</v>
      </c>
      <c r="B265" s="680" t="s">
        <v>1758</v>
      </c>
      <c r="C265" s="849" t="s">
        <v>2568</v>
      </c>
    </row>
    <row r="266" spans="1:3">
      <c r="A266" s="680" t="s">
        <v>1764</v>
      </c>
      <c r="B266" s="680" t="s">
        <v>1760</v>
      </c>
      <c r="C266" s="849" t="s">
        <v>2565</v>
      </c>
    </row>
    <row r="267" spans="1:3">
      <c r="A267" s="680" t="s">
        <v>1765</v>
      </c>
      <c r="B267" s="680" t="s">
        <v>1761</v>
      </c>
      <c r="C267" s="849" t="s">
        <v>2566</v>
      </c>
    </row>
    <row r="268" spans="1:3">
      <c r="A268" s="680" t="s">
        <v>1762</v>
      </c>
      <c r="B268" s="680" t="s">
        <v>1763</v>
      </c>
      <c r="C268" s="849" t="s">
        <v>2567</v>
      </c>
    </row>
    <row r="269" spans="1:3">
      <c r="A269" s="680" t="s">
        <v>2507</v>
      </c>
      <c r="B269" s="680" t="s">
        <v>2508</v>
      </c>
      <c r="C269" s="931" t="s">
        <v>2569</v>
      </c>
    </row>
    <row r="270" spans="1:3">
      <c r="A270" s="985" t="s">
        <v>3348</v>
      </c>
      <c r="B270" s="985" t="s">
        <v>3349</v>
      </c>
      <c r="C270" s="985" t="s">
        <v>3349</v>
      </c>
    </row>
    <row r="271" spans="1:3">
      <c r="A271" s="985" t="s">
        <v>3346</v>
      </c>
      <c r="B271" s="985" t="s">
        <v>3346</v>
      </c>
      <c r="C271" s="985" t="s">
        <v>3346</v>
      </c>
    </row>
  </sheetData>
  <sheetProtection algorithmName="SHA-512" hashValue="k9aMOdTrNLNi8vnM2SwFMhPzSA4AIUauJYzytEBTrVDThAMydSBFa98CY1g0j1cZ/RINj4btxyJMHKUSfPbHyw==" saltValue="ic3yIVHGb9sjJ1ZERJEEQQ==" spinCount="100000" sheet="1" objects="1" scenarios="1"/>
  <customSheetViews>
    <customSheetView guid="{727552C9-10E3-4948-B2AE-8FE165517887}" state="hidden" topLeftCell="A82">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639" priority="132"/>
  </conditionalFormatting>
  <conditionalFormatting sqref="A2">
    <cfRule type="duplicateValues" dxfId="638" priority="131"/>
  </conditionalFormatting>
  <conditionalFormatting sqref="A4:A5">
    <cfRule type="duplicateValues" dxfId="637" priority="130"/>
  </conditionalFormatting>
  <conditionalFormatting sqref="A9">
    <cfRule type="duplicateValues" dxfId="636" priority="129"/>
  </conditionalFormatting>
  <conditionalFormatting sqref="A10:A11">
    <cfRule type="duplicateValues" dxfId="635" priority="128"/>
  </conditionalFormatting>
  <conditionalFormatting sqref="A12">
    <cfRule type="duplicateValues" dxfId="634" priority="127"/>
  </conditionalFormatting>
  <conditionalFormatting sqref="A13">
    <cfRule type="duplicateValues" dxfId="633" priority="126"/>
  </conditionalFormatting>
  <conditionalFormatting sqref="A14:A16">
    <cfRule type="duplicateValues" dxfId="632" priority="125"/>
  </conditionalFormatting>
  <conditionalFormatting sqref="A19:A20">
    <cfRule type="duplicateValues" dxfId="631" priority="124"/>
  </conditionalFormatting>
  <conditionalFormatting sqref="A21">
    <cfRule type="duplicateValues" dxfId="630" priority="123"/>
  </conditionalFormatting>
  <conditionalFormatting sqref="A22">
    <cfRule type="duplicateValues" dxfId="629" priority="122"/>
  </conditionalFormatting>
  <conditionalFormatting sqref="A27">
    <cfRule type="duplicateValues" dxfId="628" priority="121"/>
  </conditionalFormatting>
  <conditionalFormatting sqref="A24">
    <cfRule type="duplicateValues" dxfId="627" priority="120"/>
  </conditionalFormatting>
  <conditionalFormatting sqref="A26">
    <cfRule type="duplicateValues" dxfId="626" priority="119"/>
  </conditionalFormatting>
  <conditionalFormatting sqref="A28">
    <cfRule type="duplicateValues" dxfId="625" priority="118"/>
  </conditionalFormatting>
  <conditionalFormatting sqref="A29:A30">
    <cfRule type="duplicateValues" dxfId="624" priority="117"/>
  </conditionalFormatting>
  <conditionalFormatting sqref="A31">
    <cfRule type="duplicateValues" dxfId="623" priority="116"/>
  </conditionalFormatting>
  <conditionalFormatting sqref="A32">
    <cfRule type="duplicateValues" dxfId="622" priority="115"/>
  </conditionalFormatting>
  <conditionalFormatting sqref="A33">
    <cfRule type="duplicateValues" dxfId="621" priority="114"/>
  </conditionalFormatting>
  <conditionalFormatting sqref="A35:A38">
    <cfRule type="duplicateValues" dxfId="620" priority="113"/>
  </conditionalFormatting>
  <conditionalFormatting sqref="A34">
    <cfRule type="duplicateValues" dxfId="619" priority="112"/>
  </conditionalFormatting>
  <conditionalFormatting sqref="A39">
    <cfRule type="duplicateValues" dxfId="618" priority="111"/>
  </conditionalFormatting>
  <conditionalFormatting sqref="A41:A42">
    <cfRule type="duplicateValues" dxfId="617" priority="110"/>
  </conditionalFormatting>
  <conditionalFormatting sqref="A43:A44 A69">
    <cfRule type="duplicateValues" dxfId="616" priority="109"/>
  </conditionalFormatting>
  <conditionalFormatting sqref="A45:A48">
    <cfRule type="duplicateValues" dxfId="615" priority="108"/>
  </conditionalFormatting>
  <conditionalFormatting sqref="B49:B50">
    <cfRule type="duplicateValues" dxfId="614" priority="107"/>
  </conditionalFormatting>
  <conditionalFormatting sqref="A49:A51">
    <cfRule type="duplicateValues" dxfId="613" priority="106"/>
  </conditionalFormatting>
  <conditionalFormatting sqref="A67">
    <cfRule type="duplicateValues" dxfId="612" priority="105"/>
  </conditionalFormatting>
  <conditionalFormatting sqref="A68">
    <cfRule type="duplicateValues" dxfId="611" priority="104"/>
  </conditionalFormatting>
  <conditionalFormatting sqref="A71">
    <cfRule type="duplicateValues" dxfId="610" priority="103"/>
  </conditionalFormatting>
  <conditionalFormatting sqref="A72">
    <cfRule type="duplicateValues" dxfId="609" priority="102"/>
  </conditionalFormatting>
  <conditionalFormatting sqref="A74:A75">
    <cfRule type="duplicateValues" dxfId="608" priority="101"/>
  </conditionalFormatting>
  <conditionalFormatting sqref="A73">
    <cfRule type="duplicateValues" dxfId="607" priority="100"/>
  </conditionalFormatting>
  <conditionalFormatting sqref="A76">
    <cfRule type="duplicateValues" dxfId="606" priority="99"/>
  </conditionalFormatting>
  <conditionalFormatting sqref="A77">
    <cfRule type="duplicateValues" dxfId="605" priority="98"/>
  </conditionalFormatting>
  <conditionalFormatting sqref="A78:A79">
    <cfRule type="duplicateValues" dxfId="604" priority="97"/>
  </conditionalFormatting>
  <conditionalFormatting sqref="A83">
    <cfRule type="duplicateValues" dxfId="603" priority="96"/>
  </conditionalFormatting>
  <conditionalFormatting sqref="A84">
    <cfRule type="duplicateValues" dxfId="602" priority="95"/>
  </conditionalFormatting>
  <conditionalFormatting sqref="A80:A82">
    <cfRule type="duplicateValues" dxfId="601" priority="94"/>
  </conditionalFormatting>
  <conditionalFormatting sqref="A85:A88">
    <cfRule type="duplicateValues" dxfId="600" priority="93"/>
  </conditionalFormatting>
  <conditionalFormatting sqref="A89">
    <cfRule type="duplicateValues" dxfId="599" priority="92"/>
  </conditionalFormatting>
  <conditionalFormatting sqref="A90">
    <cfRule type="duplicateValues" dxfId="598" priority="91"/>
  </conditionalFormatting>
  <conditionalFormatting sqref="A91:A92">
    <cfRule type="duplicateValues" dxfId="597" priority="90"/>
  </conditionalFormatting>
  <conditionalFormatting sqref="A93:A94">
    <cfRule type="duplicateValues" dxfId="596" priority="89"/>
  </conditionalFormatting>
  <conditionalFormatting sqref="A95">
    <cfRule type="duplicateValues" dxfId="595" priority="88"/>
  </conditionalFormatting>
  <conditionalFormatting sqref="A97">
    <cfRule type="duplicateValues" dxfId="594" priority="87"/>
  </conditionalFormatting>
  <conditionalFormatting sqref="A98">
    <cfRule type="duplicateValues" dxfId="593" priority="86"/>
  </conditionalFormatting>
  <conditionalFormatting sqref="A103">
    <cfRule type="duplicateValues" dxfId="592" priority="85"/>
  </conditionalFormatting>
  <conditionalFormatting sqref="A104">
    <cfRule type="duplicateValues" dxfId="591" priority="84"/>
  </conditionalFormatting>
  <conditionalFormatting sqref="A105">
    <cfRule type="duplicateValues" dxfId="590" priority="83"/>
  </conditionalFormatting>
  <conditionalFormatting sqref="A106">
    <cfRule type="duplicateValues" dxfId="589" priority="82"/>
  </conditionalFormatting>
  <conditionalFormatting sqref="A107">
    <cfRule type="duplicateValues" dxfId="588" priority="81"/>
  </conditionalFormatting>
  <conditionalFormatting sqref="A116:A118 A120:A121">
    <cfRule type="duplicateValues" dxfId="587" priority="80"/>
  </conditionalFormatting>
  <conditionalFormatting sqref="A124:A127">
    <cfRule type="duplicateValues" dxfId="586" priority="79"/>
  </conditionalFormatting>
  <conditionalFormatting sqref="A129:A133">
    <cfRule type="duplicateValues" dxfId="585" priority="133"/>
  </conditionalFormatting>
  <conditionalFormatting sqref="A109 A111:A113">
    <cfRule type="duplicateValues" dxfId="584" priority="78"/>
  </conditionalFormatting>
  <conditionalFormatting sqref="A108">
    <cfRule type="duplicateValues" dxfId="583" priority="77"/>
  </conditionalFormatting>
  <conditionalFormatting sqref="A122">
    <cfRule type="duplicateValues" dxfId="582" priority="76"/>
  </conditionalFormatting>
  <conditionalFormatting sqref="A128">
    <cfRule type="duplicateValues" dxfId="581" priority="75"/>
  </conditionalFormatting>
  <conditionalFormatting sqref="A135">
    <cfRule type="duplicateValues" dxfId="580" priority="74"/>
  </conditionalFormatting>
  <conditionalFormatting sqref="A136">
    <cfRule type="duplicateValues" dxfId="579" priority="73"/>
  </conditionalFormatting>
  <conditionalFormatting sqref="A139:A140">
    <cfRule type="duplicateValues" dxfId="578" priority="72"/>
  </conditionalFormatting>
  <conditionalFormatting sqref="A137:A138">
    <cfRule type="duplicateValues" dxfId="577" priority="71"/>
  </conditionalFormatting>
  <conditionalFormatting sqref="A141">
    <cfRule type="duplicateValues" dxfId="576" priority="70"/>
  </conditionalFormatting>
  <conditionalFormatting sqref="B142">
    <cfRule type="duplicateValues" dxfId="575" priority="69"/>
  </conditionalFormatting>
  <conditionalFormatting sqref="A142">
    <cfRule type="duplicateValues" dxfId="574" priority="68"/>
  </conditionalFormatting>
  <conditionalFormatting sqref="A144">
    <cfRule type="duplicateValues" dxfId="573" priority="67"/>
  </conditionalFormatting>
  <conditionalFormatting sqref="A143">
    <cfRule type="duplicateValues" dxfId="572" priority="66"/>
  </conditionalFormatting>
  <conditionalFormatting sqref="A145">
    <cfRule type="duplicateValues" dxfId="571" priority="65"/>
  </conditionalFormatting>
  <conditionalFormatting sqref="A146">
    <cfRule type="duplicateValues" dxfId="570" priority="64"/>
  </conditionalFormatting>
  <conditionalFormatting sqref="A147:A148">
    <cfRule type="duplicateValues" dxfId="569" priority="63"/>
  </conditionalFormatting>
  <conditionalFormatting sqref="A149:A150">
    <cfRule type="duplicateValues" dxfId="568" priority="62"/>
  </conditionalFormatting>
  <conditionalFormatting sqref="A151">
    <cfRule type="duplicateValues" dxfId="567" priority="61"/>
  </conditionalFormatting>
  <conditionalFormatting sqref="A152:A160">
    <cfRule type="duplicateValues" dxfId="566" priority="60"/>
  </conditionalFormatting>
  <conditionalFormatting sqref="A161">
    <cfRule type="duplicateValues" dxfId="565" priority="59"/>
  </conditionalFormatting>
  <conditionalFormatting sqref="A162">
    <cfRule type="duplicateValues" dxfId="564" priority="58"/>
  </conditionalFormatting>
  <conditionalFormatting sqref="A163">
    <cfRule type="duplicateValues" dxfId="563" priority="57"/>
  </conditionalFormatting>
  <conditionalFormatting sqref="A164:A166">
    <cfRule type="duplicateValues" dxfId="562" priority="56"/>
  </conditionalFormatting>
  <conditionalFormatting sqref="A167">
    <cfRule type="duplicateValues" dxfId="561" priority="55"/>
  </conditionalFormatting>
  <conditionalFormatting sqref="A168">
    <cfRule type="duplicateValues" dxfId="560" priority="54"/>
  </conditionalFormatting>
  <conditionalFormatting sqref="A175">
    <cfRule type="duplicateValues" dxfId="559" priority="53"/>
  </conditionalFormatting>
  <conditionalFormatting sqref="A177">
    <cfRule type="duplicateValues" dxfId="558" priority="52"/>
  </conditionalFormatting>
  <conditionalFormatting sqref="A179">
    <cfRule type="duplicateValues" dxfId="557" priority="51"/>
  </conditionalFormatting>
  <conditionalFormatting sqref="A180:A186">
    <cfRule type="duplicateValues" dxfId="556" priority="50"/>
  </conditionalFormatting>
  <conditionalFormatting sqref="A189">
    <cfRule type="duplicateValues" dxfId="555" priority="49"/>
  </conditionalFormatting>
  <conditionalFormatting sqref="A188">
    <cfRule type="duplicateValues" dxfId="554" priority="48"/>
  </conditionalFormatting>
  <conditionalFormatting sqref="A190">
    <cfRule type="duplicateValues" dxfId="553" priority="47"/>
  </conditionalFormatting>
  <conditionalFormatting sqref="A191">
    <cfRule type="duplicateValues" dxfId="552" priority="46"/>
  </conditionalFormatting>
  <conditionalFormatting sqref="A193">
    <cfRule type="duplicateValues" dxfId="551" priority="44"/>
  </conditionalFormatting>
  <conditionalFormatting sqref="A194">
    <cfRule type="duplicateValues" dxfId="550" priority="43"/>
  </conditionalFormatting>
  <conditionalFormatting sqref="A195">
    <cfRule type="duplicateValues" dxfId="549" priority="42"/>
  </conditionalFormatting>
  <conditionalFormatting sqref="A196">
    <cfRule type="duplicateValues" dxfId="548" priority="41"/>
  </conditionalFormatting>
  <conditionalFormatting sqref="A197">
    <cfRule type="duplicateValues" dxfId="547" priority="40"/>
  </conditionalFormatting>
  <conditionalFormatting sqref="A198">
    <cfRule type="duplicateValues" dxfId="546" priority="39"/>
  </conditionalFormatting>
  <conditionalFormatting sqref="A199">
    <cfRule type="duplicateValues" dxfId="545" priority="38"/>
  </conditionalFormatting>
  <conditionalFormatting sqref="A200">
    <cfRule type="duplicateValues" dxfId="544" priority="37"/>
  </conditionalFormatting>
  <conditionalFormatting sqref="A201">
    <cfRule type="duplicateValues" dxfId="543" priority="36"/>
  </conditionalFormatting>
  <conditionalFormatting sqref="A202">
    <cfRule type="duplicateValues" dxfId="542" priority="35"/>
  </conditionalFormatting>
  <conditionalFormatting sqref="A203">
    <cfRule type="duplicateValues" dxfId="541" priority="34"/>
  </conditionalFormatting>
  <conditionalFormatting sqref="A204:A205">
    <cfRule type="duplicateValues" dxfId="540" priority="33"/>
  </conditionalFormatting>
  <conditionalFormatting sqref="A207:A210">
    <cfRule type="duplicateValues" dxfId="539" priority="32"/>
  </conditionalFormatting>
  <conditionalFormatting sqref="A211">
    <cfRule type="duplicateValues" dxfId="538" priority="31"/>
  </conditionalFormatting>
  <conditionalFormatting sqref="A212:A213">
    <cfRule type="duplicateValues" dxfId="537" priority="30"/>
  </conditionalFormatting>
  <conditionalFormatting sqref="A214:A215">
    <cfRule type="duplicateValues" dxfId="536" priority="29"/>
  </conditionalFormatting>
  <conditionalFormatting sqref="A221:A222">
    <cfRule type="duplicateValues" dxfId="535" priority="28"/>
  </conditionalFormatting>
  <conditionalFormatting sqref="A216">
    <cfRule type="duplicateValues" dxfId="534" priority="27"/>
  </conditionalFormatting>
  <conditionalFormatting sqref="A217">
    <cfRule type="duplicateValues" dxfId="533" priority="26"/>
  </conditionalFormatting>
  <conditionalFormatting sqref="A218:A220">
    <cfRule type="duplicateValues" dxfId="532" priority="134"/>
  </conditionalFormatting>
  <conditionalFormatting sqref="A223 A225">
    <cfRule type="duplicateValues" dxfId="531" priority="25"/>
  </conditionalFormatting>
  <conditionalFormatting sqref="A224">
    <cfRule type="duplicateValues" dxfId="530" priority="24"/>
  </conditionalFormatting>
  <conditionalFormatting sqref="A226">
    <cfRule type="duplicateValues" dxfId="529" priority="23"/>
  </conditionalFormatting>
  <conditionalFormatting sqref="A229">
    <cfRule type="duplicateValues" dxfId="528" priority="22"/>
  </conditionalFormatting>
  <conditionalFormatting sqref="A230">
    <cfRule type="duplicateValues" dxfId="527" priority="21"/>
  </conditionalFormatting>
  <conditionalFormatting sqref="A40">
    <cfRule type="duplicateValues" dxfId="526" priority="20"/>
  </conditionalFormatting>
  <conditionalFormatting sqref="A23">
    <cfRule type="duplicateValues" dxfId="525" priority="19"/>
  </conditionalFormatting>
  <conditionalFormatting sqref="A232">
    <cfRule type="duplicateValues" dxfId="524" priority="18"/>
  </conditionalFormatting>
  <conditionalFormatting sqref="B233:B234">
    <cfRule type="duplicateValues" dxfId="523" priority="17"/>
  </conditionalFormatting>
  <conditionalFormatting sqref="B157:B160">
    <cfRule type="duplicateValues" dxfId="522" priority="16"/>
  </conditionalFormatting>
  <conditionalFormatting sqref="A25">
    <cfRule type="duplicateValues" dxfId="521" priority="15"/>
  </conditionalFormatting>
  <conditionalFormatting sqref="A192">
    <cfRule type="duplicateValues" dxfId="520" priority="14"/>
  </conditionalFormatting>
  <conditionalFormatting sqref="A187">
    <cfRule type="duplicateValues" dxfId="519" priority="13"/>
  </conditionalFormatting>
  <conditionalFormatting sqref="A268 A266">
    <cfRule type="duplicateValues" dxfId="518" priority="12"/>
  </conditionalFormatting>
  <conditionalFormatting sqref="A267">
    <cfRule type="duplicateValues" dxfId="517" priority="11"/>
  </conditionalFormatting>
  <conditionalFormatting sqref="B267">
    <cfRule type="duplicateValues" dxfId="516" priority="10"/>
  </conditionalFormatting>
  <conditionalFormatting sqref="A269">
    <cfRule type="duplicateValues" dxfId="515" priority="9"/>
  </conditionalFormatting>
  <conditionalFormatting sqref="A271">
    <cfRule type="duplicateValues" dxfId="514" priority="3"/>
  </conditionalFormatting>
  <conditionalFormatting sqref="B271">
    <cfRule type="duplicateValues" dxfId="513" priority="2"/>
  </conditionalFormatting>
  <conditionalFormatting sqref="C271">
    <cfRule type="duplicateValues" dxfId="512" priority="1"/>
  </conditionalFormatting>
  <pageMargins left="0.7" right="0.7" top="0.78740157499999996" bottom="0.78740157499999996" header="0.3" footer="0.3"/>
  <pageSetup paperSize="9"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1"/>
  <sheetViews>
    <sheetView topLeftCell="A262" workbookViewId="0">
      <selection activeCell="A270" sqref="A270:C271"/>
    </sheetView>
  </sheetViews>
  <sheetFormatPr defaultColWidth="11.44140625" defaultRowHeight="14.4"/>
  <cols>
    <col min="1" max="1" width="48.44140625" style="680" customWidth="1"/>
    <col min="2" max="2" width="42.88671875" style="680" customWidth="1"/>
    <col min="3" max="3" width="42.88671875" style="832" customWidth="1"/>
  </cols>
  <sheetData>
    <row r="1" spans="1:3">
      <c r="A1" s="827" t="s">
        <v>7</v>
      </c>
      <c r="B1" s="827" t="s">
        <v>9</v>
      </c>
      <c r="C1" s="828" t="s">
        <v>8</v>
      </c>
    </row>
    <row r="2" spans="1:3">
      <c r="A2" s="680" t="s">
        <v>593</v>
      </c>
      <c r="B2" s="680" t="s">
        <v>594</v>
      </c>
      <c r="C2" s="847"/>
    </row>
    <row r="3" spans="1:3">
      <c r="A3" s="680" t="s">
        <v>357</v>
      </c>
      <c r="B3" s="680" t="s">
        <v>357</v>
      </c>
      <c r="C3" s="847"/>
    </row>
    <row r="4" spans="1:3">
      <c r="A4" s="681" t="s">
        <v>482</v>
      </c>
      <c r="B4" s="681" t="s">
        <v>483</v>
      </c>
      <c r="C4" s="847"/>
    </row>
    <row r="5" spans="1:3">
      <c r="A5" s="680" t="s">
        <v>11</v>
      </c>
      <c r="B5" s="680" t="s">
        <v>10</v>
      </c>
      <c r="C5" s="847"/>
    </row>
    <row r="6" spans="1:3">
      <c r="A6" s="680" t="s">
        <v>21</v>
      </c>
      <c r="B6" s="680" t="s">
        <v>20</v>
      </c>
      <c r="C6" s="847"/>
    </row>
    <row r="7" spans="1:3">
      <c r="A7" s="680" t="s">
        <v>903</v>
      </c>
      <c r="B7" s="680" t="s">
        <v>902</v>
      </c>
      <c r="C7" s="847"/>
    </row>
    <row r="8" spans="1:3">
      <c r="A8" s="680" t="s">
        <v>55</v>
      </c>
      <c r="B8" s="680" t="s">
        <v>904</v>
      </c>
      <c r="C8" s="847"/>
    </row>
    <row r="9" spans="1:3">
      <c r="A9" s="680" t="s">
        <v>484</v>
      </c>
      <c r="B9" s="680" t="s">
        <v>480</v>
      </c>
      <c r="C9" s="847"/>
    </row>
    <row r="10" spans="1:3">
      <c r="A10" s="680" t="s">
        <v>485</v>
      </c>
      <c r="B10" s="680" t="s">
        <v>469</v>
      </c>
      <c r="C10" s="847"/>
    </row>
    <row r="11" spans="1:3">
      <c r="A11" s="680" t="s">
        <v>486</v>
      </c>
      <c r="B11" s="680" t="s">
        <v>470</v>
      </c>
      <c r="C11" s="847"/>
    </row>
    <row r="12" spans="1:3">
      <c r="A12" s="680" t="s">
        <v>13</v>
      </c>
      <c r="B12" s="680" t="s">
        <v>12</v>
      </c>
      <c r="C12" s="847"/>
    </row>
    <row r="13" spans="1:3">
      <c r="A13" s="681" t="s">
        <v>490</v>
      </c>
      <c r="B13" s="681" t="s">
        <v>448</v>
      </c>
      <c r="C13" s="847"/>
    </row>
    <row r="14" spans="1:3">
      <c r="A14" s="682" t="s">
        <v>900</v>
      </c>
      <c r="B14" s="682" t="s">
        <v>900</v>
      </c>
      <c r="C14" s="847"/>
    </row>
    <row r="15" spans="1:3">
      <c r="A15" s="680" t="s">
        <v>487</v>
      </c>
      <c r="B15" s="680" t="s">
        <v>488</v>
      </c>
      <c r="C15" s="847"/>
    </row>
    <row r="16" spans="1:3">
      <c r="A16" s="680" t="s">
        <v>468</v>
      </c>
      <c r="B16" s="680" t="s">
        <v>468</v>
      </c>
      <c r="C16" s="847"/>
    </row>
    <row r="17" spans="1:3">
      <c r="A17" s="680" t="s">
        <v>364</v>
      </c>
      <c r="B17" s="680" t="s">
        <v>364</v>
      </c>
      <c r="C17" s="847"/>
    </row>
    <row r="18" spans="1:3">
      <c r="A18" s="680" t="s">
        <v>905</v>
      </c>
      <c r="B18" s="680" t="s">
        <v>905</v>
      </c>
      <c r="C18" s="847"/>
    </row>
    <row r="19" spans="1:3">
      <c r="A19" s="680" t="s">
        <v>18</v>
      </c>
      <c r="B19" s="680" t="s">
        <v>19</v>
      </c>
      <c r="C19" s="848"/>
    </row>
    <row r="20" spans="1:3">
      <c r="A20" s="680" t="s">
        <v>123</v>
      </c>
      <c r="B20" s="680" t="s">
        <v>124</v>
      </c>
      <c r="C20" s="847"/>
    </row>
    <row r="21" spans="1:3">
      <c r="A21" s="680" t="s">
        <v>489</v>
      </c>
      <c r="B21" s="680" t="s">
        <v>22</v>
      </c>
      <c r="C21" s="847"/>
    </row>
    <row r="22" spans="1:3">
      <c r="A22" s="681" t="s">
        <v>1095</v>
      </c>
      <c r="B22" s="681" t="s">
        <v>1095</v>
      </c>
      <c r="C22" s="847"/>
    </row>
    <row r="23" spans="1:3">
      <c r="A23" s="680" t="s">
        <v>1008</v>
      </c>
      <c r="B23" s="680" t="s">
        <v>1007</v>
      </c>
      <c r="C23" s="847"/>
    </row>
    <row r="24" spans="1:3">
      <c r="A24" s="680" t="s">
        <v>33</v>
      </c>
      <c r="B24" s="680" t="s">
        <v>32</v>
      </c>
      <c r="C24" s="847"/>
    </row>
    <row r="25" spans="1:3">
      <c r="A25" s="680" t="s">
        <v>1742</v>
      </c>
      <c r="B25" s="680" t="s">
        <v>1741</v>
      </c>
      <c r="C25" s="847"/>
    </row>
    <row r="26" spans="1:3">
      <c r="A26" s="829" t="s">
        <v>854</v>
      </c>
      <c r="B26" s="829" t="s">
        <v>854</v>
      </c>
      <c r="C26" s="847"/>
    </row>
    <row r="27" spans="1:3">
      <c r="A27" s="680" t="s">
        <v>491</v>
      </c>
      <c r="B27" s="680" t="s">
        <v>449</v>
      </c>
      <c r="C27" s="847"/>
    </row>
    <row r="28" spans="1:3">
      <c r="A28" s="681" t="s">
        <v>1104</v>
      </c>
      <c r="B28" s="681" t="s">
        <v>1096</v>
      </c>
      <c r="C28" s="847"/>
    </row>
    <row r="29" spans="1:3">
      <c r="A29" s="680" t="s">
        <v>577</v>
      </c>
      <c r="B29" s="680" t="s">
        <v>30</v>
      </c>
      <c r="C29" s="847"/>
    </row>
    <row r="30" spans="1:3">
      <c r="A30" s="680" t="s">
        <v>578</v>
      </c>
      <c r="B30" s="680" t="s">
        <v>31</v>
      </c>
      <c r="C30" s="847"/>
    </row>
    <row r="31" spans="1:3">
      <c r="A31" s="680" t="s">
        <v>14</v>
      </c>
      <c r="B31" s="680" t="s">
        <v>778</v>
      </c>
      <c r="C31" s="847"/>
    </row>
    <row r="32" spans="1:3">
      <c r="A32" s="680" t="s">
        <v>15</v>
      </c>
      <c r="B32" s="680" t="s">
        <v>16</v>
      </c>
      <c r="C32" s="847"/>
    </row>
    <row r="33" spans="1:3">
      <c r="A33" s="680" t="s">
        <v>362</v>
      </c>
      <c r="B33" s="680" t="s">
        <v>363</v>
      </c>
      <c r="C33" s="847"/>
    </row>
    <row r="34" spans="1:3">
      <c r="A34" s="680" t="s">
        <v>29</v>
      </c>
      <c r="B34" s="680" t="s">
        <v>28</v>
      </c>
      <c r="C34" s="847"/>
    </row>
    <row r="35" spans="1:3">
      <c r="A35" s="829" t="s">
        <v>504</v>
      </c>
      <c r="B35" s="680" t="s">
        <v>507</v>
      </c>
      <c r="C35" s="847"/>
    </row>
    <row r="36" spans="1:3">
      <c r="A36" s="829" t="s">
        <v>26</v>
      </c>
      <c r="B36" s="680" t="s">
        <v>25</v>
      </c>
      <c r="C36" s="847"/>
    </row>
    <row r="37" spans="1:3">
      <c r="A37" s="829" t="s">
        <v>906</v>
      </c>
      <c r="B37" s="680" t="s">
        <v>27</v>
      </c>
      <c r="C37" s="847"/>
    </row>
    <row r="38" spans="1:3">
      <c r="A38" s="829" t="s">
        <v>89</v>
      </c>
      <c r="B38" s="680" t="s">
        <v>89</v>
      </c>
      <c r="C38" s="847"/>
    </row>
    <row r="39" spans="1:3">
      <c r="A39" s="829" t="s">
        <v>506</v>
      </c>
      <c r="B39" s="680" t="s">
        <v>509</v>
      </c>
      <c r="C39" s="847"/>
    </row>
    <row r="40" spans="1:3">
      <c r="A40" s="680" t="s">
        <v>934</v>
      </c>
      <c r="B40" s="680" t="s">
        <v>935</v>
      </c>
      <c r="C40" s="847"/>
    </row>
    <row r="41" spans="1:3">
      <c r="A41" s="680" t="s">
        <v>105</v>
      </c>
      <c r="B41" s="680" t="s">
        <v>100</v>
      </c>
      <c r="C41" s="849"/>
    </row>
    <row r="42" spans="1:3">
      <c r="A42" s="680" t="s">
        <v>106</v>
      </c>
      <c r="B42" s="680" t="s">
        <v>99</v>
      </c>
      <c r="C42" s="847"/>
    </row>
    <row r="43" spans="1:3">
      <c r="A43" s="829" t="s">
        <v>873</v>
      </c>
      <c r="B43" s="829" t="s">
        <v>848</v>
      </c>
      <c r="C43" s="847"/>
    </row>
    <row r="44" spans="1:3">
      <c r="A44" s="829" t="s">
        <v>874</v>
      </c>
      <c r="B44" s="829" t="s">
        <v>849</v>
      </c>
      <c r="C44" s="847"/>
    </row>
    <row r="45" spans="1:3">
      <c r="A45" s="829" t="s">
        <v>875</v>
      </c>
      <c r="B45" s="829" t="s">
        <v>850</v>
      </c>
      <c r="C45" s="847"/>
    </row>
    <row r="46" spans="1:3">
      <c r="A46" s="829" t="s">
        <v>876</v>
      </c>
      <c r="B46" s="829" t="s">
        <v>852</v>
      </c>
      <c r="C46" s="847"/>
    </row>
    <row r="47" spans="1:3">
      <c r="A47" s="829" t="s">
        <v>877</v>
      </c>
      <c r="B47" s="829" t="s">
        <v>851</v>
      </c>
      <c r="C47" s="847"/>
    </row>
    <row r="48" spans="1:3">
      <c r="A48" s="829" t="s">
        <v>878</v>
      </c>
      <c r="B48" s="829" t="s">
        <v>853</v>
      </c>
      <c r="C48" s="847"/>
    </row>
    <row r="49" spans="1:3">
      <c r="A49" s="830" t="s">
        <v>879</v>
      </c>
      <c r="B49" s="829" t="s">
        <v>855</v>
      </c>
      <c r="C49" s="847"/>
    </row>
    <row r="50" spans="1:3">
      <c r="A50" s="830" t="s">
        <v>880</v>
      </c>
      <c r="B50" s="829" t="s">
        <v>857</v>
      </c>
      <c r="C50" s="847"/>
    </row>
    <row r="51" spans="1:3" ht="27.6">
      <c r="A51" s="830" t="s">
        <v>881</v>
      </c>
      <c r="B51" s="830" t="s">
        <v>867</v>
      </c>
      <c r="C51" s="847"/>
    </row>
    <row r="52" spans="1:3">
      <c r="A52" s="830" t="s">
        <v>882</v>
      </c>
      <c r="B52" s="829" t="s">
        <v>859</v>
      </c>
      <c r="C52" s="847"/>
    </row>
    <row r="53" spans="1:3" ht="27.6">
      <c r="A53" s="830" t="s">
        <v>1083</v>
      </c>
      <c r="B53" s="830" t="s">
        <v>1082</v>
      </c>
      <c r="C53" s="847"/>
    </row>
    <row r="54" spans="1:3" ht="41.4">
      <c r="A54" s="830" t="s">
        <v>883</v>
      </c>
      <c r="B54" s="830" t="s">
        <v>861</v>
      </c>
      <c r="C54" s="847"/>
    </row>
    <row r="55" spans="1:3">
      <c r="A55" s="830" t="s">
        <v>884</v>
      </c>
      <c r="B55" s="830" t="s">
        <v>868</v>
      </c>
      <c r="C55" s="847"/>
    </row>
    <row r="56" spans="1:3" ht="41.4">
      <c r="A56" s="830" t="s">
        <v>885</v>
      </c>
      <c r="B56" s="830" t="s">
        <v>862</v>
      </c>
      <c r="C56" s="847"/>
    </row>
    <row r="57" spans="1:3" ht="27.6">
      <c r="A57" s="830" t="s">
        <v>886</v>
      </c>
      <c r="B57" s="830" t="s">
        <v>856</v>
      </c>
      <c r="C57" s="847"/>
    </row>
    <row r="58" spans="1:3" ht="27.6">
      <c r="A58" s="830" t="s">
        <v>893</v>
      </c>
      <c r="B58" s="830" t="s">
        <v>869</v>
      </c>
      <c r="C58" s="847"/>
    </row>
    <row r="59" spans="1:3">
      <c r="A59" s="830" t="s">
        <v>887</v>
      </c>
      <c r="B59" s="829" t="s">
        <v>858</v>
      </c>
      <c r="C59" s="847"/>
    </row>
    <row r="60" spans="1:3" ht="41.4">
      <c r="A60" s="830" t="s">
        <v>888</v>
      </c>
      <c r="B60" s="830" t="s">
        <v>860</v>
      </c>
      <c r="C60" s="847"/>
    </row>
    <row r="61" spans="1:3" ht="27.6">
      <c r="A61" s="830" t="s">
        <v>889</v>
      </c>
      <c r="B61" s="830" t="s">
        <v>863</v>
      </c>
      <c r="C61" s="847"/>
    </row>
    <row r="62" spans="1:3" ht="27.6">
      <c r="A62" s="830" t="s">
        <v>890</v>
      </c>
      <c r="B62" s="830" t="s">
        <v>864</v>
      </c>
      <c r="C62" s="847"/>
    </row>
    <row r="63" spans="1:3" ht="27.6">
      <c r="A63" s="830" t="s">
        <v>891</v>
      </c>
      <c r="B63" s="829" t="s">
        <v>865</v>
      </c>
      <c r="C63" s="847"/>
    </row>
    <row r="64" spans="1:3" ht="27.6">
      <c r="A64" s="830" t="s">
        <v>892</v>
      </c>
      <c r="B64" s="829" t="s">
        <v>866</v>
      </c>
      <c r="C64" s="847"/>
    </row>
    <row r="65" spans="1:3">
      <c r="A65" s="830" t="s">
        <v>1105</v>
      </c>
      <c r="B65" s="829" t="s">
        <v>932</v>
      </c>
      <c r="C65" s="847"/>
    </row>
    <row r="66" spans="1:3">
      <c r="A66" s="830" t="s">
        <v>1106</v>
      </c>
      <c r="B66" s="829" t="s">
        <v>933</v>
      </c>
      <c r="C66" s="847"/>
    </row>
    <row r="67" spans="1:3">
      <c r="A67" s="681" t="s">
        <v>1107</v>
      </c>
      <c r="B67" s="681" t="s">
        <v>1097</v>
      </c>
      <c r="C67" s="847"/>
    </row>
    <row r="68" spans="1:3">
      <c r="A68" s="680" t="s">
        <v>453</v>
      </c>
      <c r="B68" s="680" t="s">
        <v>453</v>
      </c>
      <c r="C68" s="847"/>
    </row>
    <row r="69" spans="1:3">
      <c r="A69" s="829" t="s">
        <v>50</v>
      </c>
      <c r="B69" s="829" t="s">
        <v>49</v>
      </c>
      <c r="C69" s="847"/>
    </row>
    <row r="70" spans="1:3">
      <c r="A70" s="680" t="s">
        <v>787</v>
      </c>
      <c r="B70" s="829" t="s">
        <v>786</v>
      </c>
      <c r="C70" s="847"/>
    </row>
    <row r="71" spans="1:3">
      <c r="A71" s="680" t="s">
        <v>501</v>
      </c>
      <c r="B71" s="680" t="s">
        <v>471</v>
      </c>
      <c r="C71" s="847"/>
    </row>
    <row r="72" spans="1:3">
      <c r="A72" s="829" t="s">
        <v>834</v>
      </c>
      <c r="B72" s="829" t="s">
        <v>835</v>
      </c>
      <c r="C72" s="847"/>
    </row>
    <row r="73" spans="1:3">
      <c r="A73" s="680" t="s">
        <v>836</v>
      </c>
      <c r="B73" s="680" t="s">
        <v>837</v>
      </c>
      <c r="C73" s="847"/>
    </row>
    <row r="74" spans="1:3">
      <c r="A74" s="680" t="s">
        <v>359</v>
      </c>
      <c r="B74" s="680" t="s">
        <v>361</v>
      </c>
      <c r="C74" s="847"/>
    </row>
    <row r="75" spans="1:3">
      <c r="A75" s="680" t="s">
        <v>358</v>
      </c>
      <c r="B75" s="680" t="s">
        <v>360</v>
      </c>
      <c r="C75" s="847"/>
    </row>
    <row r="76" spans="1:3">
      <c r="A76" s="680" t="s">
        <v>502</v>
      </c>
      <c r="B76" s="680" t="s">
        <v>474</v>
      </c>
      <c r="C76" s="847"/>
    </row>
    <row r="77" spans="1:3">
      <c r="A77" s="680" t="s">
        <v>35</v>
      </c>
      <c r="B77" s="680" t="s">
        <v>34</v>
      </c>
      <c r="C77" s="847"/>
    </row>
    <row r="78" spans="1:3">
      <c r="A78" s="680" t="s">
        <v>37</v>
      </c>
      <c r="B78" s="680" t="s">
        <v>40</v>
      </c>
      <c r="C78" s="847"/>
    </row>
    <row r="79" spans="1:3">
      <c r="A79" s="680" t="s">
        <v>39</v>
      </c>
      <c r="B79" s="680" t="s">
        <v>38</v>
      </c>
      <c r="C79" s="847"/>
    </row>
    <row r="80" spans="1:3">
      <c r="A80" s="680" t="s">
        <v>493</v>
      </c>
      <c r="B80" s="680" t="s">
        <v>797</v>
      </c>
      <c r="C80" s="847"/>
    </row>
    <row r="81" spans="1:3">
      <c r="A81" s="680" t="s">
        <v>1056</v>
      </c>
      <c r="B81" s="680" t="s">
        <v>942</v>
      </c>
      <c r="C81" s="847"/>
    </row>
    <row r="82" spans="1:3">
      <c r="A82" s="680" t="s">
        <v>72</v>
      </c>
      <c r="B82" s="680" t="s">
        <v>73</v>
      </c>
      <c r="C82" s="847"/>
    </row>
    <row r="83" spans="1:3">
      <c r="A83" s="680" t="s">
        <v>36</v>
      </c>
      <c r="B83" s="680" t="s">
        <v>1</v>
      </c>
      <c r="C83" s="847"/>
    </row>
    <row r="84" spans="1:3">
      <c r="A84" s="829" t="s">
        <v>583</v>
      </c>
      <c r="B84" s="829" t="s">
        <v>582</v>
      </c>
      <c r="C84" s="847"/>
    </row>
    <row r="85" spans="1:3">
      <c r="A85" s="680" t="s">
        <v>1055</v>
      </c>
      <c r="B85" s="680" t="s">
        <v>450</v>
      </c>
      <c r="C85" s="847"/>
    </row>
    <row r="86" spans="1:3">
      <c r="A86" s="680" t="s">
        <v>495</v>
      </c>
      <c r="B86" s="680" t="s">
        <v>452</v>
      </c>
      <c r="C86" s="847"/>
    </row>
    <row r="87" spans="1:3">
      <c r="A87" s="680" t="s">
        <v>496</v>
      </c>
      <c r="B87" s="680" t="s">
        <v>494</v>
      </c>
      <c r="C87" s="847"/>
    </row>
    <row r="88" spans="1:3">
      <c r="A88" s="680" t="s">
        <v>497</v>
      </c>
      <c r="B88" s="680" t="s">
        <v>451</v>
      </c>
      <c r="C88" s="847"/>
    </row>
    <row r="89" spans="1:3">
      <c r="A89" s="680" t="s">
        <v>3341</v>
      </c>
      <c r="B89" s="680" t="s">
        <v>3341</v>
      </c>
      <c r="C89" s="847"/>
    </row>
    <row r="90" spans="1:3">
      <c r="A90" s="680" t="s">
        <v>498</v>
      </c>
      <c r="B90" s="680" t="s">
        <v>472</v>
      </c>
      <c r="C90" s="847"/>
    </row>
    <row r="91" spans="1:3">
      <c r="A91" s="680" t="s">
        <v>499</v>
      </c>
      <c r="B91" s="680" t="s">
        <v>473</v>
      </c>
      <c r="C91" s="847"/>
    </row>
    <row r="92" spans="1:3">
      <c r="A92" s="680" t="s">
        <v>500</v>
      </c>
      <c r="B92" s="680" t="s">
        <v>475</v>
      </c>
      <c r="C92" s="849"/>
    </row>
    <row r="93" spans="1:3">
      <c r="A93" s="680" t="s">
        <v>503</v>
      </c>
      <c r="B93" s="680" t="s">
        <v>459</v>
      </c>
      <c r="C93" s="849"/>
    </row>
    <row r="94" spans="1:3">
      <c r="A94" s="680" t="s">
        <v>908</v>
      </c>
      <c r="B94" s="680" t="s">
        <v>907</v>
      </c>
      <c r="C94" s="849"/>
    </row>
    <row r="95" spans="1:3">
      <c r="A95" s="680" t="s">
        <v>492</v>
      </c>
      <c r="B95" s="680" t="s">
        <v>466</v>
      </c>
      <c r="C95" s="849"/>
    </row>
    <row r="96" spans="1:3">
      <c r="A96" s="681" t="s">
        <v>927</v>
      </c>
      <c r="B96" s="831" t="s">
        <v>927</v>
      </c>
      <c r="C96" s="847"/>
    </row>
    <row r="97" spans="1:3">
      <c r="A97" s="829" t="s">
        <v>805</v>
      </c>
      <c r="B97" s="682" t="s">
        <v>806</v>
      </c>
      <c r="C97" s="847"/>
    </row>
    <row r="98" spans="1:3">
      <c r="A98" s="829" t="s">
        <v>589</v>
      </c>
      <c r="B98" s="680" t="s">
        <v>590</v>
      </c>
      <c r="C98" s="847"/>
    </row>
    <row r="99" spans="1:3">
      <c r="A99" s="680" t="s">
        <v>792</v>
      </c>
      <c r="B99" s="832" t="s">
        <v>782</v>
      </c>
      <c r="C99" s="847"/>
    </row>
    <row r="100" spans="1:3">
      <c r="A100" s="680" t="s">
        <v>793</v>
      </c>
      <c r="B100" s="832" t="s">
        <v>783</v>
      </c>
      <c r="C100" s="847"/>
    </row>
    <row r="101" spans="1:3">
      <c r="A101" s="680" t="s">
        <v>794</v>
      </c>
      <c r="B101" s="832" t="s">
        <v>784</v>
      </c>
      <c r="C101" s="847"/>
    </row>
    <row r="102" spans="1:3">
      <c r="A102" s="680" t="s">
        <v>781</v>
      </c>
      <c r="B102" s="829" t="s">
        <v>780</v>
      </c>
      <c r="C102" s="847"/>
    </row>
    <row r="103" spans="1:3">
      <c r="A103" s="829" t="s">
        <v>505</v>
      </c>
      <c r="B103" s="680" t="s">
        <v>508</v>
      </c>
      <c r="C103" s="847"/>
    </row>
    <row r="104" spans="1:3">
      <c r="A104" s="829" t="s">
        <v>510</v>
      </c>
      <c r="B104" s="680" t="s">
        <v>511</v>
      </c>
      <c r="C104" s="847"/>
    </row>
    <row r="105" spans="1:3" ht="41.4">
      <c r="A105" s="833" t="s">
        <v>513</v>
      </c>
      <c r="B105" s="682" t="s">
        <v>481</v>
      </c>
      <c r="C105" s="847"/>
    </row>
    <row r="106" spans="1:3">
      <c r="A106" s="684" t="s">
        <v>928</v>
      </c>
      <c r="B106" s="684" t="s">
        <v>929</v>
      </c>
      <c r="C106" s="847"/>
    </row>
    <row r="107" spans="1:3" ht="27.6">
      <c r="A107" s="829" t="s">
        <v>516</v>
      </c>
      <c r="B107" s="682" t="s">
        <v>515</v>
      </c>
      <c r="C107" s="847"/>
    </row>
    <row r="108" spans="1:3">
      <c r="A108" s="680" t="s">
        <v>70</v>
      </c>
      <c r="B108" s="680" t="s">
        <v>71</v>
      </c>
      <c r="C108" s="847"/>
    </row>
    <row r="109" spans="1:3">
      <c r="A109" s="829" t="s">
        <v>533</v>
      </c>
      <c r="B109" s="680" t="s">
        <v>444</v>
      </c>
      <c r="C109" s="847"/>
    </row>
    <row r="110" spans="1:3" ht="27.6">
      <c r="A110" s="830" t="s">
        <v>534</v>
      </c>
      <c r="B110" s="680" t="s">
        <v>430</v>
      </c>
      <c r="C110" s="847"/>
    </row>
    <row r="111" spans="1:3">
      <c r="A111" s="829" t="s">
        <v>535</v>
      </c>
      <c r="B111" s="680" t="s">
        <v>434</v>
      </c>
      <c r="C111" s="847"/>
    </row>
    <row r="112" spans="1:3">
      <c r="A112" s="829" t="s">
        <v>536</v>
      </c>
      <c r="B112" s="680" t="s">
        <v>438</v>
      </c>
      <c r="C112" s="847"/>
    </row>
    <row r="113" spans="1:3">
      <c r="A113" s="829" t="s">
        <v>538</v>
      </c>
      <c r="B113" s="680" t="s">
        <v>537</v>
      </c>
      <c r="C113" s="847"/>
    </row>
    <row r="114" spans="1:3" ht="27.6">
      <c r="A114" s="830" t="s">
        <v>539</v>
      </c>
      <c r="B114" s="680" t="s">
        <v>445</v>
      </c>
      <c r="C114" s="847"/>
    </row>
    <row r="115" spans="1:3">
      <c r="A115" s="680" t="s">
        <v>24</v>
      </c>
      <c r="B115" s="680" t="s">
        <v>23</v>
      </c>
      <c r="C115" s="847"/>
    </row>
    <row r="116" spans="1:3">
      <c r="A116" s="829" t="s">
        <v>517</v>
      </c>
      <c r="B116" s="680" t="s">
        <v>427</v>
      </c>
      <c r="C116" s="847"/>
    </row>
    <row r="117" spans="1:3">
      <c r="A117" s="829" t="s">
        <v>518</v>
      </c>
      <c r="B117" s="680" t="s">
        <v>431</v>
      </c>
      <c r="C117" s="847"/>
    </row>
    <row r="118" spans="1:3">
      <c r="A118" s="829" t="s">
        <v>519</v>
      </c>
      <c r="B118" s="680" t="s">
        <v>435</v>
      </c>
      <c r="C118" s="847"/>
    </row>
    <row r="119" spans="1:3" ht="27.6">
      <c r="A119" s="830" t="s">
        <v>520</v>
      </c>
      <c r="B119" s="830" t="s">
        <v>439</v>
      </c>
      <c r="C119" s="847"/>
    </row>
    <row r="120" spans="1:3">
      <c r="A120" s="829" t="s">
        <v>521</v>
      </c>
      <c r="B120" s="680" t="s">
        <v>442</v>
      </c>
      <c r="C120" s="847"/>
    </row>
    <row r="121" spans="1:3">
      <c r="A121" s="829" t="s">
        <v>522</v>
      </c>
      <c r="B121" s="680" t="s">
        <v>446</v>
      </c>
      <c r="C121" s="847"/>
    </row>
    <row r="122" spans="1:3">
      <c r="A122" s="680" t="s">
        <v>74</v>
      </c>
      <c r="B122" s="680" t="s">
        <v>74</v>
      </c>
      <c r="C122" s="847"/>
    </row>
    <row r="123" spans="1:3" ht="27.6">
      <c r="A123" s="830" t="s">
        <v>528</v>
      </c>
      <c r="B123" s="680" t="s">
        <v>447</v>
      </c>
      <c r="C123" s="847"/>
    </row>
    <row r="124" spans="1:3">
      <c r="A124" s="829" t="s">
        <v>529</v>
      </c>
      <c r="B124" s="680" t="s">
        <v>429</v>
      </c>
      <c r="C124" s="847"/>
    </row>
    <row r="125" spans="1:3">
      <c r="A125" s="829" t="s">
        <v>530</v>
      </c>
      <c r="B125" s="680" t="s">
        <v>433</v>
      </c>
      <c r="C125" s="847"/>
    </row>
    <row r="126" spans="1:3">
      <c r="A126" s="829" t="s">
        <v>531</v>
      </c>
      <c r="B126" s="680" t="s">
        <v>437</v>
      </c>
      <c r="C126" s="849"/>
    </row>
    <row r="127" spans="1:3">
      <c r="A127" s="829" t="s">
        <v>532</v>
      </c>
      <c r="B127" s="680" t="s">
        <v>441</v>
      </c>
      <c r="C127" s="849"/>
    </row>
    <row r="128" spans="1:3">
      <c r="A128" s="680" t="s">
        <v>72</v>
      </c>
      <c r="B128" s="680" t="s">
        <v>73</v>
      </c>
      <c r="C128" s="847"/>
    </row>
    <row r="129" spans="1:3">
      <c r="A129" s="829" t="s">
        <v>523</v>
      </c>
      <c r="B129" s="680" t="s">
        <v>428</v>
      </c>
      <c r="C129" s="847"/>
    </row>
    <row r="130" spans="1:3">
      <c r="A130" s="829" t="s">
        <v>524</v>
      </c>
      <c r="B130" s="680" t="s">
        <v>432</v>
      </c>
      <c r="C130" s="847"/>
    </row>
    <row r="131" spans="1:3">
      <c r="A131" s="829" t="s">
        <v>525</v>
      </c>
      <c r="B131" s="680" t="s">
        <v>436</v>
      </c>
      <c r="C131" s="847"/>
    </row>
    <row r="132" spans="1:3">
      <c r="A132" s="829" t="s">
        <v>526</v>
      </c>
      <c r="B132" s="680" t="s">
        <v>440</v>
      </c>
      <c r="C132" s="847"/>
    </row>
    <row r="133" spans="1:3">
      <c r="A133" s="829" t="s">
        <v>527</v>
      </c>
      <c r="B133" s="680" t="s">
        <v>443</v>
      </c>
      <c r="C133" s="847"/>
    </row>
    <row r="134" spans="1:3">
      <c r="A134" s="680" t="s">
        <v>909</v>
      </c>
      <c r="B134" s="680" t="s">
        <v>75</v>
      </c>
      <c r="C134" s="847"/>
    </row>
    <row r="135" spans="1:3">
      <c r="A135" s="680" t="s">
        <v>514</v>
      </c>
      <c r="B135" s="680" t="s">
        <v>5</v>
      </c>
      <c r="C135" s="847"/>
    </row>
    <row r="136" spans="1:3">
      <c r="A136" s="681" t="s">
        <v>41</v>
      </c>
      <c r="B136" s="681" t="s">
        <v>46</v>
      </c>
      <c r="C136" s="847"/>
    </row>
    <row r="137" spans="1:3">
      <c r="A137" s="680" t="s">
        <v>871</v>
      </c>
      <c r="B137" s="680" t="s">
        <v>870</v>
      </c>
      <c r="C137" s="847"/>
    </row>
    <row r="138" spans="1:3">
      <c r="A138" s="680" t="s">
        <v>872</v>
      </c>
      <c r="B138" s="680" t="s">
        <v>899</v>
      </c>
      <c r="C138" s="847"/>
    </row>
    <row r="139" spans="1:3">
      <c r="A139" s="680" t="s">
        <v>42</v>
      </c>
      <c r="B139" s="680" t="s">
        <v>47</v>
      </c>
      <c r="C139" s="847"/>
    </row>
    <row r="140" spans="1:3">
      <c r="A140" s="680" t="s">
        <v>44</v>
      </c>
      <c r="B140" s="680" t="s">
        <v>43</v>
      </c>
      <c r="C140" s="847"/>
    </row>
    <row r="141" spans="1:3">
      <c r="A141" s="682" t="s">
        <v>896</v>
      </c>
      <c r="B141" s="680" t="s">
        <v>894</v>
      </c>
      <c r="C141" s="848"/>
    </row>
    <row r="142" spans="1:3" ht="27.6">
      <c r="A142" s="682" t="s">
        <v>898</v>
      </c>
      <c r="B142" s="682" t="s">
        <v>897</v>
      </c>
      <c r="C142" s="850"/>
    </row>
    <row r="143" spans="1:3">
      <c r="A143" s="831" t="s">
        <v>923</v>
      </c>
      <c r="B143" s="681" t="s">
        <v>924</v>
      </c>
      <c r="C143" s="847"/>
    </row>
    <row r="144" spans="1:3">
      <c r="A144" s="829" t="s">
        <v>911</v>
      </c>
      <c r="B144" s="680" t="s">
        <v>910</v>
      </c>
      <c r="C144" s="847"/>
    </row>
    <row r="145" spans="1:3">
      <c r="A145" s="681" t="s">
        <v>912</v>
      </c>
      <c r="B145" s="681" t="s">
        <v>913</v>
      </c>
      <c r="C145" s="847"/>
    </row>
    <row r="146" spans="1:3">
      <c r="A146" s="829" t="s">
        <v>788</v>
      </c>
      <c r="B146" s="829" t="s">
        <v>789</v>
      </c>
      <c r="C146" s="851"/>
    </row>
    <row r="147" spans="1:3">
      <c r="A147" s="829" t="s">
        <v>790</v>
      </c>
      <c r="B147" s="829" t="s">
        <v>795</v>
      </c>
      <c r="C147" s="851"/>
    </row>
    <row r="148" spans="1:3">
      <c r="A148" s="829" t="s">
        <v>791</v>
      </c>
      <c r="B148" s="829" t="s">
        <v>796</v>
      </c>
      <c r="C148" s="851"/>
    </row>
    <row r="149" spans="1:3">
      <c r="A149" s="829" t="s">
        <v>541</v>
      </c>
      <c r="B149" s="680" t="s">
        <v>419</v>
      </c>
      <c r="C149" s="851"/>
    </row>
    <row r="150" spans="1:3">
      <c r="A150" s="829" t="s">
        <v>549</v>
      </c>
      <c r="B150" s="680" t="s">
        <v>548</v>
      </c>
      <c r="C150" s="851"/>
    </row>
    <row r="151" spans="1:3">
      <c r="A151" s="829" t="s">
        <v>580</v>
      </c>
      <c r="B151" s="680" t="s">
        <v>550</v>
      </c>
      <c r="C151" s="851"/>
    </row>
    <row r="152" spans="1:3">
      <c r="A152" s="829" t="s">
        <v>551</v>
      </c>
      <c r="B152" s="680" t="s">
        <v>421</v>
      </c>
      <c r="C152" s="851"/>
    </row>
    <row r="153" spans="1:3">
      <c r="A153" s="829" t="s">
        <v>552</v>
      </c>
      <c r="B153" s="680" t="s">
        <v>422</v>
      </c>
      <c r="C153" s="851"/>
    </row>
    <row r="154" spans="1:3">
      <c r="A154" s="829" t="s">
        <v>543</v>
      </c>
      <c r="B154" s="680" t="s">
        <v>423</v>
      </c>
      <c r="C154" s="851"/>
    </row>
    <row r="155" spans="1:3">
      <c r="A155" s="829" t="s">
        <v>544</v>
      </c>
      <c r="B155" s="680" t="s">
        <v>424</v>
      </c>
      <c r="C155" s="851"/>
    </row>
    <row r="156" spans="1:3">
      <c r="A156" s="829" t="s">
        <v>545</v>
      </c>
      <c r="B156" s="680" t="s">
        <v>425</v>
      </c>
      <c r="C156" s="851"/>
    </row>
    <row r="157" spans="1:3">
      <c r="A157" s="829" t="s">
        <v>994</v>
      </c>
      <c r="B157" s="829" t="s">
        <v>1075</v>
      </c>
      <c r="C157" s="851"/>
    </row>
    <row r="158" spans="1:3">
      <c r="A158" s="829" t="s">
        <v>995</v>
      </c>
      <c r="B158" s="829" t="s">
        <v>1076</v>
      </c>
      <c r="C158" s="851"/>
    </row>
    <row r="159" spans="1:3">
      <c r="A159" s="829" t="s">
        <v>1124</v>
      </c>
      <c r="B159" s="829" t="s">
        <v>1123</v>
      </c>
      <c r="C159" s="851"/>
    </row>
    <row r="160" spans="1:3">
      <c r="A160" s="829" t="s">
        <v>996</v>
      </c>
      <c r="B160" s="829" t="s">
        <v>1077</v>
      </c>
      <c r="C160" s="851"/>
    </row>
    <row r="161" spans="1:3">
      <c r="A161" s="831" t="s">
        <v>540</v>
      </c>
      <c r="B161" s="681" t="s">
        <v>1125</v>
      </c>
      <c r="C161" s="851"/>
    </row>
    <row r="162" spans="1:3">
      <c r="A162" s="831" t="s">
        <v>914</v>
      </c>
      <c r="B162" s="681" t="s">
        <v>840</v>
      </c>
      <c r="C162" s="851"/>
    </row>
    <row r="163" spans="1:3">
      <c r="A163" s="829" t="s">
        <v>542</v>
      </c>
      <c r="B163" s="680" t="s">
        <v>420</v>
      </c>
      <c r="C163" s="851"/>
    </row>
    <row r="164" spans="1:3">
      <c r="A164" s="829" t="s">
        <v>546</v>
      </c>
      <c r="B164" s="680" t="s">
        <v>45</v>
      </c>
      <c r="C164" s="851"/>
    </row>
    <row r="165" spans="1:3">
      <c r="A165" s="829" t="s">
        <v>547</v>
      </c>
      <c r="B165" s="680" t="s">
        <v>584</v>
      </c>
      <c r="C165" s="851"/>
    </row>
    <row r="166" spans="1:3">
      <c r="A166" s="829" t="s">
        <v>581</v>
      </c>
      <c r="B166" s="829" t="s">
        <v>48</v>
      </c>
      <c r="C166" s="851"/>
    </row>
    <row r="167" spans="1:3" ht="27.6">
      <c r="A167" s="834" t="s">
        <v>801</v>
      </c>
      <c r="B167" s="834" t="s">
        <v>802</v>
      </c>
      <c r="C167" s="851"/>
    </row>
    <row r="168" spans="1:3">
      <c r="A168" s="829" t="s">
        <v>585</v>
      </c>
      <c r="B168" s="829" t="s">
        <v>426</v>
      </c>
      <c r="C168" s="851"/>
    </row>
    <row r="169" spans="1:3">
      <c r="A169" s="829" t="s">
        <v>764</v>
      </c>
      <c r="B169" s="680" t="s">
        <v>764</v>
      </c>
      <c r="C169" s="851"/>
    </row>
    <row r="170" spans="1:3" ht="41.4">
      <c r="A170" s="830" t="s">
        <v>765</v>
      </c>
      <c r="B170" s="830" t="s">
        <v>766</v>
      </c>
      <c r="C170" s="851"/>
    </row>
    <row r="171" spans="1:3">
      <c r="A171" s="680" t="s">
        <v>768</v>
      </c>
      <c r="B171" s="829" t="s">
        <v>767</v>
      </c>
      <c r="C171" s="851"/>
    </row>
    <row r="172" spans="1:3">
      <c r="A172" s="680" t="s">
        <v>586</v>
      </c>
      <c r="B172" s="680" t="s">
        <v>779</v>
      </c>
      <c r="C172" s="851"/>
    </row>
    <row r="173" spans="1:3">
      <c r="A173" s="680" t="s">
        <v>770</v>
      </c>
      <c r="B173" s="829" t="s">
        <v>769</v>
      </c>
      <c r="C173" s="851"/>
    </row>
    <row r="174" spans="1:3">
      <c r="A174" s="680" t="s">
        <v>592</v>
      </c>
      <c r="B174" s="829" t="s">
        <v>591</v>
      </c>
      <c r="C174" s="851"/>
    </row>
    <row r="175" spans="1:3">
      <c r="A175" s="829" t="s">
        <v>1154</v>
      </c>
      <c r="B175" s="680" t="s">
        <v>1058</v>
      </c>
      <c r="C175" s="851"/>
    </row>
    <row r="176" spans="1:3" ht="27.6">
      <c r="A176" s="830" t="s">
        <v>1155</v>
      </c>
      <c r="B176" s="830" t="s">
        <v>1059</v>
      </c>
      <c r="C176" s="851"/>
    </row>
    <row r="177" spans="1:3">
      <c r="A177" s="835"/>
      <c r="B177" s="685"/>
      <c r="C177" s="851"/>
    </row>
    <row r="178" spans="1:3">
      <c r="A178" s="681" t="s">
        <v>923</v>
      </c>
      <c r="B178" s="681" t="s">
        <v>1128</v>
      </c>
      <c r="C178" s="851"/>
    </row>
    <row r="179" spans="1:3">
      <c r="A179" s="680" t="s">
        <v>587</v>
      </c>
      <c r="B179" s="682" t="s">
        <v>588</v>
      </c>
      <c r="C179" s="851"/>
    </row>
    <row r="180" spans="1:3">
      <c r="A180" s="680" t="s">
        <v>553</v>
      </c>
      <c r="B180" s="680" t="s">
        <v>455</v>
      </c>
      <c r="C180" s="851"/>
    </row>
    <row r="181" spans="1:3">
      <c r="A181" s="680" t="s">
        <v>554</v>
      </c>
      <c r="B181" s="680" t="s">
        <v>456</v>
      </c>
      <c r="C181" s="851"/>
    </row>
    <row r="182" spans="1:3">
      <c r="A182" s="680" t="s">
        <v>555</v>
      </c>
      <c r="B182" s="680" t="s">
        <v>476</v>
      </c>
      <c r="C182" s="851"/>
    </row>
    <row r="183" spans="1:3">
      <c r="A183" s="680" t="s">
        <v>556</v>
      </c>
      <c r="B183" s="680" t="s">
        <v>477</v>
      </c>
      <c r="C183" s="851"/>
    </row>
    <row r="184" spans="1:3">
      <c r="A184" s="680" t="s">
        <v>557</v>
      </c>
      <c r="B184" s="680" t="s">
        <v>478</v>
      </c>
      <c r="C184" s="851"/>
    </row>
    <row r="185" spans="1:3">
      <c r="A185" s="680" t="s">
        <v>558</v>
      </c>
      <c r="B185" s="680" t="s">
        <v>479</v>
      </c>
      <c r="C185" s="851"/>
    </row>
    <row r="186" spans="1:3">
      <c r="A186" s="680" t="s">
        <v>915</v>
      </c>
      <c r="B186" s="680" t="s">
        <v>595</v>
      </c>
      <c r="C186" s="851"/>
    </row>
    <row r="187" spans="1:3">
      <c r="A187" s="680" t="s">
        <v>1746</v>
      </c>
      <c r="B187" s="680" t="s">
        <v>1747</v>
      </c>
      <c r="C187" s="851"/>
    </row>
    <row r="188" spans="1:3">
      <c r="A188" s="681" t="s">
        <v>1126</v>
      </c>
      <c r="B188" s="681" t="s">
        <v>1127</v>
      </c>
      <c r="C188" s="851"/>
    </row>
    <row r="189" spans="1:3">
      <c r="A189" s="680" t="s">
        <v>916</v>
      </c>
      <c r="B189" s="680" t="s">
        <v>917</v>
      </c>
      <c r="C189" s="851"/>
    </row>
    <row r="190" spans="1:3">
      <c r="A190" s="680" t="s">
        <v>570</v>
      </c>
      <c r="B190" s="680" t="s">
        <v>596</v>
      </c>
      <c r="C190" s="851"/>
    </row>
    <row r="191" spans="1:3">
      <c r="A191" s="680" t="s">
        <v>119</v>
      </c>
      <c r="B191" s="680" t="s">
        <v>367</v>
      </c>
      <c r="C191" s="851"/>
    </row>
    <row r="192" spans="1:3">
      <c r="A192" s="680" t="s">
        <v>1745</v>
      </c>
      <c r="B192" s="680" t="s">
        <v>1744</v>
      </c>
      <c r="C192" s="851"/>
    </row>
    <row r="193" spans="1:3">
      <c r="A193" s="681" t="s">
        <v>1108</v>
      </c>
      <c r="B193" s="681" t="s">
        <v>1109</v>
      </c>
      <c r="C193" s="851"/>
    </row>
    <row r="194" spans="1:3">
      <c r="A194" s="680" t="s">
        <v>562</v>
      </c>
      <c r="B194" s="680" t="s">
        <v>457</v>
      </c>
      <c r="C194" s="851"/>
    </row>
    <row r="195" spans="1:3">
      <c r="A195" s="680" t="s">
        <v>563</v>
      </c>
      <c r="B195" s="680" t="s">
        <v>458</v>
      </c>
      <c r="C195" s="851"/>
    </row>
    <row r="196" spans="1:3">
      <c r="A196" s="680" t="s">
        <v>571</v>
      </c>
      <c r="B196" s="680" t="s">
        <v>2</v>
      </c>
      <c r="C196" s="851"/>
    </row>
    <row r="197" spans="1:3">
      <c r="A197" s="680" t="s">
        <v>0</v>
      </c>
      <c r="B197" s="680" t="s">
        <v>0</v>
      </c>
      <c r="C197" s="851"/>
    </row>
    <row r="198" spans="1:3">
      <c r="A198" s="680" t="s">
        <v>52</v>
      </c>
      <c r="B198" s="680" t="s">
        <v>4</v>
      </c>
      <c r="C198" s="851"/>
    </row>
    <row r="199" spans="1:3">
      <c r="A199" s="680" t="s">
        <v>51</v>
      </c>
      <c r="B199" s="680" t="s">
        <v>3</v>
      </c>
      <c r="C199" s="851"/>
    </row>
    <row r="200" spans="1:3">
      <c r="A200" s="680" t="s">
        <v>564</v>
      </c>
      <c r="B200" s="680" t="s">
        <v>460</v>
      </c>
      <c r="C200" s="851"/>
    </row>
    <row r="201" spans="1:3">
      <c r="A201" s="680" t="s">
        <v>565</v>
      </c>
      <c r="B201" s="680" t="s">
        <v>512</v>
      </c>
      <c r="C201" s="851"/>
    </row>
    <row r="202" spans="1:3">
      <c r="A202" s="680" t="s">
        <v>566</v>
      </c>
      <c r="B202" s="680" t="s">
        <v>463</v>
      </c>
      <c r="C202" s="851"/>
    </row>
    <row r="203" spans="1:3">
      <c r="A203" s="680" t="s">
        <v>567</v>
      </c>
      <c r="B203" s="680" t="s">
        <v>461</v>
      </c>
      <c r="C203" s="851"/>
    </row>
    <row r="204" spans="1:3">
      <c r="A204" s="680" t="s">
        <v>572</v>
      </c>
      <c r="B204" s="680" t="s">
        <v>464</v>
      </c>
      <c r="C204" s="851"/>
    </row>
    <row r="205" spans="1:3">
      <c r="A205" s="680" t="s">
        <v>568</v>
      </c>
      <c r="B205" s="680" t="s">
        <v>462</v>
      </c>
      <c r="C205" s="851"/>
    </row>
    <row r="206" spans="1:3">
      <c r="A206" s="680" t="s">
        <v>807</v>
      </c>
      <c r="B206" s="680" t="s">
        <v>808</v>
      </c>
      <c r="C206" s="851"/>
    </row>
    <row r="207" spans="1:3">
      <c r="A207" s="680" t="s">
        <v>918</v>
      </c>
      <c r="B207" s="680" t="s">
        <v>919</v>
      </c>
      <c r="C207" s="851"/>
    </row>
    <row r="208" spans="1:3">
      <c r="A208" s="680" t="s">
        <v>569</v>
      </c>
      <c r="B208" s="680" t="s">
        <v>560</v>
      </c>
      <c r="C208" s="851"/>
    </row>
    <row r="209" spans="1:3">
      <c r="A209" s="680" t="s">
        <v>920</v>
      </c>
      <c r="B209" s="680" t="s">
        <v>465</v>
      </c>
      <c r="C209" s="851"/>
    </row>
    <row r="210" spans="1:3">
      <c r="A210" s="680" t="s">
        <v>559</v>
      </c>
      <c r="B210" s="680" t="s">
        <v>561</v>
      </c>
      <c r="C210" s="851"/>
    </row>
    <row r="211" spans="1:3">
      <c r="A211" s="680" t="s">
        <v>107</v>
      </c>
      <c r="B211" s="680" t="s">
        <v>798</v>
      </c>
      <c r="C211" s="851"/>
    </row>
    <row r="212" spans="1:3">
      <c r="A212" s="680" t="s">
        <v>920</v>
      </c>
      <c r="B212" s="680" t="s">
        <v>921</v>
      </c>
      <c r="C212" s="851"/>
    </row>
    <row r="213" spans="1:3">
      <c r="A213" s="680" t="s">
        <v>559</v>
      </c>
      <c r="B213" s="680" t="s">
        <v>561</v>
      </c>
      <c r="C213" s="851"/>
    </row>
    <row r="214" spans="1:3">
      <c r="A214" s="681" t="s">
        <v>1110</v>
      </c>
      <c r="B214" s="681" t="s">
        <v>1111</v>
      </c>
      <c r="C214" s="851"/>
    </row>
    <row r="215" spans="1:3">
      <c r="A215" s="680" t="s">
        <v>1112</v>
      </c>
      <c r="B215" s="680" t="s">
        <v>1113</v>
      </c>
      <c r="C215" s="851"/>
    </row>
    <row r="216" spans="1:3">
      <c r="A216" s="680" t="s">
        <v>830</v>
      </c>
      <c r="B216" s="680" t="s">
        <v>831</v>
      </c>
      <c r="C216" s="851"/>
    </row>
    <row r="217" spans="1:3">
      <c r="A217" s="680" t="s">
        <v>111</v>
      </c>
      <c r="B217" s="680" t="s">
        <v>112</v>
      </c>
      <c r="C217" s="851"/>
    </row>
    <row r="218" spans="1:3">
      <c r="A218" s="680" t="s">
        <v>117</v>
      </c>
      <c r="B218" s="680" t="s">
        <v>113</v>
      </c>
      <c r="C218" s="851"/>
    </row>
    <row r="219" spans="1:3">
      <c r="A219" s="680" t="s">
        <v>803</v>
      </c>
      <c r="B219" s="680" t="s">
        <v>804</v>
      </c>
      <c r="C219" s="851"/>
    </row>
    <row r="220" spans="1:3">
      <c r="A220" s="680" t="s">
        <v>832</v>
      </c>
      <c r="B220" s="680" t="s">
        <v>833</v>
      </c>
      <c r="C220" s="851"/>
    </row>
    <row r="221" spans="1:3">
      <c r="A221" s="680" t="s">
        <v>467</v>
      </c>
      <c r="B221" s="680" t="s">
        <v>467</v>
      </c>
      <c r="C221" s="851"/>
    </row>
    <row r="222" spans="1:3">
      <c r="A222" s="680" t="s">
        <v>365</v>
      </c>
      <c r="B222" s="680" t="s">
        <v>365</v>
      </c>
      <c r="C222" s="851"/>
    </row>
    <row r="223" spans="1:3">
      <c r="A223" s="680" t="s">
        <v>53</v>
      </c>
      <c r="B223" s="680" t="s">
        <v>54</v>
      </c>
      <c r="C223" s="851"/>
    </row>
    <row r="224" spans="1:3">
      <c r="A224" s="680" t="s">
        <v>355</v>
      </c>
      <c r="B224" s="680" t="s">
        <v>356</v>
      </c>
      <c r="C224" s="851"/>
    </row>
    <row r="225" spans="1:3">
      <c r="A225" s="680" t="s">
        <v>17</v>
      </c>
      <c r="B225" s="680" t="s">
        <v>800</v>
      </c>
      <c r="C225" s="851"/>
    </row>
    <row r="226" spans="1:3">
      <c r="A226" s="829" t="s">
        <v>799</v>
      </c>
      <c r="B226" s="829" t="s">
        <v>922</v>
      </c>
      <c r="C226" s="851"/>
    </row>
    <row r="227" spans="1:3">
      <c r="A227" s="680" t="s">
        <v>771</v>
      </c>
      <c r="B227" s="829" t="s">
        <v>776</v>
      </c>
      <c r="C227" s="851"/>
    </row>
    <row r="228" spans="1:3">
      <c r="A228" s="680" t="s">
        <v>774</v>
      </c>
      <c r="B228" s="829" t="s">
        <v>775</v>
      </c>
      <c r="C228" s="851"/>
    </row>
    <row r="229" spans="1:3">
      <c r="A229" s="829" t="s">
        <v>772</v>
      </c>
      <c r="B229" s="829" t="s">
        <v>773</v>
      </c>
      <c r="C229" s="851"/>
    </row>
    <row r="230" spans="1:3">
      <c r="A230" s="680" t="s">
        <v>925</v>
      </c>
      <c r="B230" s="680" t="s">
        <v>926</v>
      </c>
      <c r="C230" s="851"/>
    </row>
    <row r="231" spans="1:3">
      <c r="A231" s="680" t="s">
        <v>829</v>
      </c>
      <c r="B231" s="680" t="s">
        <v>828</v>
      </c>
      <c r="C231" s="851"/>
    </row>
    <row r="232" spans="1:3">
      <c r="A232" s="680" t="s">
        <v>1114</v>
      </c>
      <c r="B232" s="680" t="s">
        <v>1084</v>
      </c>
      <c r="C232" s="851"/>
    </row>
    <row r="233" spans="1:3">
      <c r="A233" s="681" t="s">
        <v>1100</v>
      </c>
      <c r="B233" s="681" t="s">
        <v>1101</v>
      </c>
      <c r="C233" s="851"/>
    </row>
    <row r="234" spans="1:3">
      <c r="A234" s="680" t="s">
        <v>1071</v>
      </c>
      <c r="B234" s="680" t="s">
        <v>956</v>
      </c>
      <c r="C234" s="851"/>
    </row>
    <row r="235" spans="1:3">
      <c r="A235" s="680" t="s">
        <v>1070</v>
      </c>
      <c r="B235" s="680" t="s">
        <v>955</v>
      </c>
      <c r="C235" s="851"/>
    </row>
    <row r="236" spans="1:3">
      <c r="A236" s="680" t="s">
        <v>1136</v>
      </c>
      <c r="B236" s="829" t="s">
        <v>1060</v>
      </c>
      <c r="C236" s="851"/>
    </row>
    <row r="237" spans="1:3">
      <c r="A237" s="680" t="s">
        <v>1137</v>
      </c>
      <c r="B237" s="829" t="s">
        <v>1061</v>
      </c>
      <c r="C237" s="851"/>
    </row>
    <row r="238" spans="1:3">
      <c r="A238" s="680" t="s">
        <v>1138</v>
      </c>
      <c r="B238" s="829" t="s">
        <v>1062</v>
      </c>
      <c r="C238" s="851"/>
    </row>
    <row r="239" spans="1:3">
      <c r="A239" s="680" t="s">
        <v>1139</v>
      </c>
      <c r="B239" s="829" t="s">
        <v>1063</v>
      </c>
      <c r="C239" s="851"/>
    </row>
    <row r="240" spans="1:3">
      <c r="A240" s="680" t="s">
        <v>1140</v>
      </c>
      <c r="B240" s="829" t="s">
        <v>1064</v>
      </c>
      <c r="C240" s="851"/>
    </row>
    <row r="241" spans="1:3">
      <c r="A241" s="680" t="s">
        <v>1141</v>
      </c>
      <c r="B241" s="829" t="s">
        <v>1065</v>
      </c>
      <c r="C241" s="851"/>
    </row>
    <row r="242" spans="1:3">
      <c r="A242" s="680" t="s">
        <v>1142</v>
      </c>
      <c r="B242" s="829" t="s">
        <v>1066</v>
      </c>
      <c r="C242" s="851"/>
    </row>
    <row r="243" spans="1:3">
      <c r="A243" s="680" t="s">
        <v>1143</v>
      </c>
      <c r="B243" s="829" t="s">
        <v>1067</v>
      </c>
      <c r="C243" s="851"/>
    </row>
    <row r="244" spans="1:3">
      <c r="A244" s="680" t="s">
        <v>1144</v>
      </c>
      <c r="B244" s="829" t="s">
        <v>1068</v>
      </c>
      <c r="C244" s="851"/>
    </row>
    <row r="245" spans="1:3">
      <c r="A245" s="680" t="s">
        <v>1145</v>
      </c>
      <c r="B245" s="829" t="s">
        <v>1069</v>
      </c>
      <c r="C245" s="851"/>
    </row>
    <row r="246" spans="1:3">
      <c r="A246" s="680" t="s">
        <v>1115</v>
      </c>
      <c r="B246" s="680" t="s">
        <v>939</v>
      </c>
      <c r="C246" s="851"/>
    </row>
    <row r="247" spans="1:3">
      <c r="A247" s="680" t="s">
        <v>1116</v>
      </c>
      <c r="B247" s="829" t="s">
        <v>944</v>
      </c>
      <c r="C247" s="851"/>
    </row>
    <row r="248" spans="1:3">
      <c r="A248" s="680" t="s">
        <v>1117</v>
      </c>
      <c r="B248" s="829" t="s">
        <v>949</v>
      </c>
      <c r="C248" s="851"/>
    </row>
    <row r="249" spans="1:3">
      <c r="A249" s="680" t="s">
        <v>1118</v>
      </c>
      <c r="B249" s="829" t="s">
        <v>950</v>
      </c>
      <c r="C249" s="851"/>
    </row>
    <row r="250" spans="1:3">
      <c r="A250" s="680" t="s">
        <v>1119</v>
      </c>
      <c r="B250" s="829" t="s">
        <v>951</v>
      </c>
      <c r="C250" s="851"/>
    </row>
    <row r="251" spans="1:3">
      <c r="A251" s="680" t="s">
        <v>1146</v>
      </c>
      <c r="B251" s="829" t="s">
        <v>945</v>
      </c>
      <c r="C251" s="851"/>
    </row>
    <row r="252" spans="1:3">
      <c r="A252" s="680" t="s">
        <v>1149</v>
      </c>
      <c r="B252" s="829" t="s">
        <v>952</v>
      </c>
      <c r="C252" s="851"/>
    </row>
    <row r="253" spans="1:3">
      <c r="A253" s="680" t="s">
        <v>1147</v>
      </c>
      <c r="B253" s="829" t="s">
        <v>953</v>
      </c>
      <c r="C253" s="851"/>
    </row>
    <row r="254" spans="1:3">
      <c r="A254" s="680" t="s">
        <v>1148</v>
      </c>
      <c r="B254" s="829" t="s">
        <v>954</v>
      </c>
      <c r="C254" s="851"/>
    </row>
    <row r="255" spans="1:3">
      <c r="A255" s="680" t="s">
        <v>940</v>
      </c>
      <c r="B255" s="680" t="s">
        <v>940</v>
      </c>
      <c r="C255" s="851"/>
    </row>
    <row r="256" spans="1:3">
      <c r="A256" s="680" t="s">
        <v>1120</v>
      </c>
      <c r="B256" s="680" t="s">
        <v>1057</v>
      </c>
      <c r="C256" s="851"/>
    </row>
    <row r="257" spans="1:3">
      <c r="A257" s="680" t="s">
        <v>1121</v>
      </c>
      <c r="B257" s="680" t="s">
        <v>1072</v>
      </c>
      <c r="C257" s="851"/>
    </row>
    <row r="258" spans="1:3">
      <c r="A258" s="680" t="s">
        <v>1150</v>
      </c>
      <c r="B258" s="680" t="s">
        <v>1073</v>
      </c>
      <c r="C258" s="851"/>
    </row>
    <row r="259" spans="1:3">
      <c r="A259" s="680" t="s">
        <v>1129</v>
      </c>
      <c r="B259" s="680" t="s">
        <v>943</v>
      </c>
      <c r="C259" s="851"/>
    </row>
    <row r="260" spans="1:3">
      <c r="A260" s="680" t="s">
        <v>1122</v>
      </c>
      <c r="B260" s="680" t="s">
        <v>1074</v>
      </c>
      <c r="C260" s="851"/>
    </row>
    <row r="261" spans="1:3">
      <c r="A261" s="681"/>
      <c r="B261" s="681"/>
      <c r="C261" s="851"/>
    </row>
    <row r="262" spans="1:3">
      <c r="A262" s="680" t="s">
        <v>1151</v>
      </c>
      <c r="B262" s="680" t="s">
        <v>1130</v>
      </c>
      <c r="C262" s="851"/>
    </row>
    <row r="263" spans="1:3">
      <c r="A263" s="680" t="s">
        <v>1153</v>
      </c>
      <c r="B263" s="680" t="s">
        <v>1131</v>
      </c>
      <c r="C263" s="851"/>
    </row>
    <row r="264" spans="1:3">
      <c r="A264" s="680" t="s">
        <v>1152</v>
      </c>
      <c r="B264" s="680" t="s">
        <v>1132</v>
      </c>
      <c r="C264" s="851"/>
    </row>
    <row r="265" spans="1:3">
      <c r="A265" s="680" t="s">
        <v>1759</v>
      </c>
      <c r="B265" s="680" t="s">
        <v>1758</v>
      </c>
    </row>
    <row r="266" spans="1:3">
      <c r="A266" s="680" t="s">
        <v>1764</v>
      </c>
      <c r="B266" s="680" t="s">
        <v>1760</v>
      </c>
    </row>
    <row r="267" spans="1:3">
      <c r="A267" s="680" t="s">
        <v>1765</v>
      </c>
      <c r="B267" s="680" t="s">
        <v>1761</v>
      </c>
    </row>
    <row r="268" spans="1:3">
      <c r="A268" s="680" t="s">
        <v>1762</v>
      </c>
      <c r="B268" s="680" t="s">
        <v>1763</v>
      </c>
    </row>
    <row r="269" spans="1:3">
      <c r="A269" s="680" t="s">
        <v>2507</v>
      </c>
      <c r="B269" s="680" t="s">
        <v>2508</v>
      </c>
    </row>
    <row r="270" spans="1:3">
      <c r="A270" s="985" t="s">
        <v>3348</v>
      </c>
      <c r="B270" s="985" t="s">
        <v>3349</v>
      </c>
      <c r="C270" s="985" t="s">
        <v>3349</v>
      </c>
    </row>
    <row r="271" spans="1:3">
      <c r="A271" s="985" t="s">
        <v>3346</v>
      </c>
      <c r="B271" s="985" t="s">
        <v>3346</v>
      </c>
      <c r="C271" s="985" t="s">
        <v>3346</v>
      </c>
    </row>
  </sheetData>
  <sheetProtection algorithmName="SHA-512" hashValue="lk1wlJfTTPjLHyNrFh/5tDKddZUJrmPpHNJ63MEtjWwBBqC/N+VJb0G6KMP6qDUmZiC7rFgNBcmO0OLnMEI6Wg==" saltValue="/HgTQMkpEMrZqR8fPOjbpw==" spinCount="100000" sheet="1" objects="1" scenarios="1"/>
  <customSheetViews>
    <customSheetView guid="{727552C9-10E3-4948-B2AE-8FE165517887}" state="hidden">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511" priority="132"/>
  </conditionalFormatting>
  <conditionalFormatting sqref="A2">
    <cfRule type="duplicateValues" dxfId="510" priority="131"/>
  </conditionalFormatting>
  <conditionalFormatting sqref="A4:A5">
    <cfRule type="duplicateValues" dxfId="509" priority="130"/>
  </conditionalFormatting>
  <conditionalFormatting sqref="A9">
    <cfRule type="duplicateValues" dxfId="508" priority="129"/>
  </conditionalFormatting>
  <conditionalFormatting sqref="A10:A11">
    <cfRule type="duplicateValues" dxfId="507" priority="128"/>
  </conditionalFormatting>
  <conditionalFormatting sqref="A12">
    <cfRule type="duplicateValues" dxfId="506" priority="127"/>
  </conditionalFormatting>
  <conditionalFormatting sqref="A13">
    <cfRule type="duplicateValues" dxfId="505" priority="126"/>
  </conditionalFormatting>
  <conditionalFormatting sqref="A14:A16">
    <cfRule type="duplicateValues" dxfId="504" priority="125"/>
  </conditionalFormatting>
  <conditionalFormatting sqref="A19:A20">
    <cfRule type="duplicateValues" dxfId="503" priority="124"/>
  </conditionalFormatting>
  <conditionalFormatting sqref="A21">
    <cfRule type="duplicateValues" dxfId="502" priority="123"/>
  </conditionalFormatting>
  <conditionalFormatting sqref="A22">
    <cfRule type="duplicateValues" dxfId="501" priority="122"/>
  </conditionalFormatting>
  <conditionalFormatting sqref="A27">
    <cfRule type="duplicateValues" dxfId="500" priority="121"/>
  </conditionalFormatting>
  <conditionalFormatting sqref="A24">
    <cfRule type="duplicateValues" dxfId="499" priority="120"/>
  </conditionalFormatting>
  <conditionalFormatting sqref="A26">
    <cfRule type="duplicateValues" dxfId="498" priority="119"/>
  </conditionalFormatting>
  <conditionalFormatting sqref="A28">
    <cfRule type="duplicateValues" dxfId="497" priority="118"/>
  </conditionalFormatting>
  <conditionalFormatting sqref="A29:A30">
    <cfRule type="duplicateValues" dxfId="496" priority="117"/>
  </conditionalFormatting>
  <conditionalFormatting sqref="A31">
    <cfRule type="duplicateValues" dxfId="495" priority="116"/>
  </conditionalFormatting>
  <conditionalFormatting sqref="A32">
    <cfRule type="duplicateValues" dxfId="494" priority="115"/>
  </conditionalFormatting>
  <conditionalFormatting sqref="A33">
    <cfRule type="duplicateValues" dxfId="493" priority="114"/>
  </conditionalFormatting>
  <conditionalFormatting sqref="A35:A38">
    <cfRule type="duplicateValues" dxfId="492" priority="113"/>
  </conditionalFormatting>
  <conditionalFormatting sqref="A34">
    <cfRule type="duplicateValues" dxfId="491" priority="112"/>
  </conditionalFormatting>
  <conditionalFormatting sqref="A39">
    <cfRule type="duplicateValues" dxfId="490" priority="111"/>
  </conditionalFormatting>
  <conditionalFormatting sqref="A41:A42">
    <cfRule type="duplicateValues" dxfId="489" priority="110"/>
  </conditionalFormatting>
  <conditionalFormatting sqref="A43:A44 A69">
    <cfRule type="duplicateValues" dxfId="488" priority="109"/>
  </conditionalFormatting>
  <conditionalFormatting sqref="A45:A48">
    <cfRule type="duplicateValues" dxfId="487" priority="108"/>
  </conditionalFormatting>
  <conditionalFormatting sqref="B49:B50">
    <cfRule type="duplicateValues" dxfId="486" priority="107"/>
  </conditionalFormatting>
  <conditionalFormatting sqref="A49:A51">
    <cfRule type="duplicateValues" dxfId="485" priority="106"/>
  </conditionalFormatting>
  <conditionalFormatting sqref="A67">
    <cfRule type="duplicateValues" dxfId="484" priority="105"/>
  </conditionalFormatting>
  <conditionalFormatting sqref="A68">
    <cfRule type="duplicateValues" dxfId="483" priority="104"/>
  </conditionalFormatting>
  <conditionalFormatting sqref="A71">
    <cfRule type="duplicateValues" dxfId="482" priority="103"/>
  </conditionalFormatting>
  <conditionalFormatting sqref="A72">
    <cfRule type="duplicateValues" dxfId="481" priority="102"/>
  </conditionalFormatting>
  <conditionalFormatting sqref="A74:A75">
    <cfRule type="duplicateValues" dxfId="480" priority="101"/>
  </conditionalFormatting>
  <conditionalFormatting sqref="A73">
    <cfRule type="duplicateValues" dxfId="479" priority="100"/>
  </conditionalFormatting>
  <conditionalFormatting sqref="A76">
    <cfRule type="duplicateValues" dxfId="478" priority="99"/>
  </conditionalFormatting>
  <conditionalFormatting sqref="A77">
    <cfRule type="duplicateValues" dxfId="477" priority="98"/>
  </conditionalFormatting>
  <conditionalFormatting sqref="A78:A79">
    <cfRule type="duplicateValues" dxfId="476" priority="97"/>
  </conditionalFormatting>
  <conditionalFormatting sqref="A83">
    <cfRule type="duplicateValues" dxfId="475" priority="96"/>
  </conditionalFormatting>
  <conditionalFormatting sqref="A84">
    <cfRule type="duplicateValues" dxfId="474" priority="95"/>
  </conditionalFormatting>
  <conditionalFormatting sqref="A80:A82">
    <cfRule type="duplicateValues" dxfId="473" priority="94"/>
  </conditionalFormatting>
  <conditionalFormatting sqref="A85:A88">
    <cfRule type="duplicateValues" dxfId="472" priority="93"/>
  </conditionalFormatting>
  <conditionalFormatting sqref="A89">
    <cfRule type="duplicateValues" dxfId="471" priority="92"/>
  </conditionalFormatting>
  <conditionalFormatting sqref="A90">
    <cfRule type="duplicateValues" dxfId="470" priority="91"/>
  </conditionalFormatting>
  <conditionalFormatting sqref="A91:A92">
    <cfRule type="duplicateValues" dxfId="469" priority="90"/>
  </conditionalFormatting>
  <conditionalFormatting sqref="A93:A94">
    <cfRule type="duplicateValues" dxfId="468" priority="89"/>
  </conditionalFormatting>
  <conditionalFormatting sqref="A95">
    <cfRule type="duplicateValues" dxfId="467" priority="88"/>
  </conditionalFormatting>
  <conditionalFormatting sqref="A97">
    <cfRule type="duplicateValues" dxfId="466" priority="87"/>
  </conditionalFormatting>
  <conditionalFormatting sqref="A98">
    <cfRule type="duplicateValues" dxfId="465" priority="86"/>
  </conditionalFormatting>
  <conditionalFormatting sqref="A103">
    <cfRule type="duplicateValues" dxfId="464" priority="85"/>
  </conditionalFormatting>
  <conditionalFormatting sqref="A104">
    <cfRule type="duplicateValues" dxfId="463" priority="84"/>
  </conditionalFormatting>
  <conditionalFormatting sqref="A105">
    <cfRule type="duplicateValues" dxfId="462" priority="83"/>
  </conditionalFormatting>
  <conditionalFormatting sqref="A106">
    <cfRule type="duplicateValues" dxfId="461" priority="82"/>
  </conditionalFormatting>
  <conditionalFormatting sqref="A107">
    <cfRule type="duplicateValues" dxfId="460" priority="81"/>
  </conditionalFormatting>
  <conditionalFormatting sqref="A116:A118 A120:A121">
    <cfRule type="duplicateValues" dxfId="459" priority="80"/>
  </conditionalFormatting>
  <conditionalFormatting sqref="A124:A127">
    <cfRule type="duplicateValues" dxfId="458" priority="79"/>
  </conditionalFormatting>
  <conditionalFormatting sqref="A129:A133">
    <cfRule type="duplicateValues" dxfId="457" priority="133"/>
  </conditionalFormatting>
  <conditionalFormatting sqref="A109 A111:A113">
    <cfRule type="duplicateValues" dxfId="456" priority="78"/>
  </conditionalFormatting>
  <conditionalFormatting sqref="A108">
    <cfRule type="duplicateValues" dxfId="455" priority="77"/>
  </conditionalFormatting>
  <conditionalFormatting sqref="A122">
    <cfRule type="duplicateValues" dxfId="454" priority="76"/>
  </conditionalFormatting>
  <conditionalFormatting sqref="A128">
    <cfRule type="duplicateValues" dxfId="453" priority="75"/>
  </conditionalFormatting>
  <conditionalFormatting sqref="A135">
    <cfRule type="duplicateValues" dxfId="452" priority="74"/>
  </conditionalFormatting>
  <conditionalFormatting sqref="A136">
    <cfRule type="duplicateValues" dxfId="451" priority="73"/>
  </conditionalFormatting>
  <conditionalFormatting sqref="A139:A140">
    <cfRule type="duplicateValues" dxfId="450" priority="72"/>
  </conditionalFormatting>
  <conditionalFormatting sqref="A137:A138">
    <cfRule type="duplicateValues" dxfId="449" priority="71"/>
  </conditionalFormatting>
  <conditionalFormatting sqref="A141">
    <cfRule type="duplicateValues" dxfId="448" priority="70"/>
  </conditionalFormatting>
  <conditionalFormatting sqref="B142">
    <cfRule type="duplicateValues" dxfId="447" priority="69"/>
  </conditionalFormatting>
  <conditionalFormatting sqref="A142">
    <cfRule type="duplicateValues" dxfId="446" priority="68"/>
  </conditionalFormatting>
  <conditionalFormatting sqref="A144">
    <cfRule type="duplicateValues" dxfId="445" priority="67"/>
  </conditionalFormatting>
  <conditionalFormatting sqref="A143">
    <cfRule type="duplicateValues" dxfId="444" priority="66"/>
  </conditionalFormatting>
  <conditionalFormatting sqref="A145">
    <cfRule type="duplicateValues" dxfId="443" priority="65"/>
  </conditionalFormatting>
  <conditionalFormatting sqref="A146">
    <cfRule type="duplicateValues" dxfId="442" priority="64"/>
  </conditionalFormatting>
  <conditionalFormatting sqref="A147:A148">
    <cfRule type="duplicateValues" dxfId="441" priority="63"/>
  </conditionalFormatting>
  <conditionalFormatting sqref="A149:A150">
    <cfRule type="duplicateValues" dxfId="440" priority="62"/>
  </conditionalFormatting>
  <conditionalFormatting sqref="A151">
    <cfRule type="duplicateValues" dxfId="439" priority="61"/>
  </conditionalFormatting>
  <conditionalFormatting sqref="A152:A160">
    <cfRule type="duplicateValues" dxfId="438" priority="60"/>
  </conditionalFormatting>
  <conditionalFormatting sqref="A161">
    <cfRule type="duplicateValues" dxfId="437" priority="59"/>
  </conditionalFormatting>
  <conditionalFormatting sqref="A162">
    <cfRule type="duplicateValues" dxfId="436" priority="58"/>
  </conditionalFormatting>
  <conditionalFormatting sqref="A163">
    <cfRule type="duplicateValues" dxfId="435" priority="57"/>
  </conditionalFormatting>
  <conditionalFormatting sqref="A164:A166">
    <cfRule type="duplicateValues" dxfId="434" priority="56"/>
  </conditionalFormatting>
  <conditionalFormatting sqref="A167">
    <cfRule type="duplicateValues" dxfId="433" priority="55"/>
  </conditionalFormatting>
  <conditionalFormatting sqref="A168">
    <cfRule type="duplicateValues" dxfId="432" priority="54"/>
  </conditionalFormatting>
  <conditionalFormatting sqref="A175">
    <cfRule type="duplicateValues" dxfId="431" priority="53"/>
  </conditionalFormatting>
  <conditionalFormatting sqref="A177">
    <cfRule type="duplicateValues" dxfId="430" priority="52"/>
  </conditionalFormatting>
  <conditionalFormatting sqref="A179">
    <cfRule type="duplicateValues" dxfId="429" priority="51"/>
  </conditionalFormatting>
  <conditionalFormatting sqref="A180:A186">
    <cfRule type="duplicateValues" dxfId="428" priority="50"/>
  </conditionalFormatting>
  <conditionalFormatting sqref="A189">
    <cfRule type="duplicateValues" dxfId="427" priority="49"/>
  </conditionalFormatting>
  <conditionalFormatting sqref="A188">
    <cfRule type="duplicateValues" dxfId="426" priority="48"/>
  </conditionalFormatting>
  <conditionalFormatting sqref="A190">
    <cfRule type="duplicateValues" dxfId="425" priority="47"/>
  </conditionalFormatting>
  <conditionalFormatting sqref="A191">
    <cfRule type="duplicateValues" dxfId="424" priority="46"/>
  </conditionalFormatting>
  <conditionalFormatting sqref="A193">
    <cfRule type="duplicateValues" dxfId="423" priority="44"/>
  </conditionalFormatting>
  <conditionalFormatting sqref="A194">
    <cfRule type="duplicateValues" dxfId="422" priority="43"/>
  </conditionalFormatting>
  <conditionalFormatting sqref="A195">
    <cfRule type="duplicateValues" dxfId="421" priority="42"/>
  </conditionalFormatting>
  <conditionalFormatting sqref="A196">
    <cfRule type="duplicateValues" dxfId="420" priority="41"/>
  </conditionalFormatting>
  <conditionalFormatting sqref="A197">
    <cfRule type="duplicateValues" dxfId="419" priority="40"/>
  </conditionalFormatting>
  <conditionalFormatting sqref="A198">
    <cfRule type="duplicateValues" dxfId="418" priority="39"/>
  </conditionalFormatting>
  <conditionalFormatting sqref="A199">
    <cfRule type="duplicateValues" dxfId="417" priority="38"/>
  </conditionalFormatting>
  <conditionalFormatting sqref="A200">
    <cfRule type="duplicateValues" dxfId="416" priority="37"/>
  </conditionalFormatting>
  <conditionalFormatting sqref="A201">
    <cfRule type="duplicateValues" dxfId="415" priority="36"/>
  </conditionalFormatting>
  <conditionalFormatting sqref="A202">
    <cfRule type="duplicateValues" dxfId="414" priority="35"/>
  </conditionalFormatting>
  <conditionalFormatting sqref="A203">
    <cfRule type="duplicateValues" dxfId="413" priority="34"/>
  </conditionalFormatting>
  <conditionalFormatting sqref="A204:A205">
    <cfRule type="duplicateValues" dxfId="412" priority="33"/>
  </conditionalFormatting>
  <conditionalFormatting sqref="A207:A210">
    <cfRule type="duplicateValues" dxfId="411" priority="32"/>
  </conditionalFormatting>
  <conditionalFormatting sqref="A211">
    <cfRule type="duplicateValues" dxfId="410" priority="31"/>
  </conditionalFormatting>
  <conditionalFormatting sqref="A212:A213">
    <cfRule type="duplicateValues" dxfId="409" priority="30"/>
  </conditionalFormatting>
  <conditionalFormatting sqref="A214:A215">
    <cfRule type="duplicateValues" dxfId="408" priority="29"/>
  </conditionalFormatting>
  <conditionalFormatting sqref="A221:A222">
    <cfRule type="duplicateValues" dxfId="407" priority="28"/>
  </conditionalFormatting>
  <conditionalFormatting sqref="A216">
    <cfRule type="duplicateValues" dxfId="406" priority="27"/>
  </conditionalFormatting>
  <conditionalFormatting sqref="A217">
    <cfRule type="duplicateValues" dxfId="405" priority="26"/>
  </conditionalFormatting>
  <conditionalFormatting sqref="A218:A220">
    <cfRule type="duplicateValues" dxfId="404" priority="134"/>
  </conditionalFormatting>
  <conditionalFormatting sqref="A223 A225">
    <cfRule type="duplicateValues" dxfId="403" priority="25"/>
  </conditionalFormatting>
  <conditionalFormatting sqref="A224">
    <cfRule type="duplicateValues" dxfId="402" priority="24"/>
  </conditionalFormatting>
  <conditionalFormatting sqref="A226">
    <cfRule type="duplicateValues" dxfId="401" priority="23"/>
  </conditionalFormatting>
  <conditionalFormatting sqref="A229">
    <cfRule type="duplicateValues" dxfId="400" priority="22"/>
  </conditionalFormatting>
  <conditionalFormatting sqref="A230">
    <cfRule type="duplicateValues" dxfId="399" priority="21"/>
  </conditionalFormatting>
  <conditionalFormatting sqref="A40">
    <cfRule type="duplicateValues" dxfId="398" priority="20"/>
  </conditionalFormatting>
  <conditionalFormatting sqref="A23">
    <cfRule type="duplicateValues" dxfId="397" priority="19"/>
  </conditionalFormatting>
  <conditionalFormatting sqref="A232">
    <cfRule type="duplicateValues" dxfId="396" priority="18"/>
  </conditionalFormatting>
  <conditionalFormatting sqref="B233:B234">
    <cfRule type="duplicateValues" dxfId="395" priority="17"/>
  </conditionalFormatting>
  <conditionalFormatting sqref="B157:B160">
    <cfRule type="duplicateValues" dxfId="394" priority="16"/>
  </conditionalFormatting>
  <conditionalFormatting sqref="A25">
    <cfRule type="duplicateValues" dxfId="393" priority="15"/>
  </conditionalFormatting>
  <conditionalFormatting sqref="A192">
    <cfRule type="duplicateValues" dxfId="392" priority="14"/>
  </conditionalFormatting>
  <conditionalFormatting sqref="A187">
    <cfRule type="duplicateValues" dxfId="391" priority="13"/>
  </conditionalFormatting>
  <conditionalFormatting sqref="A268 A266">
    <cfRule type="duplicateValues" dxfId="390" priority="10"/>
  </conditionalFormatting>
  <conditionalFormatting sqref="A267">
    <cfRule type="duplicateValues" dxfId="389" priority="9"/>
  </conditionalFormatting>
  <conditionalFormatting sqref="B267">
    <cfRule type="duplicateValues" dxfId="388" priority="8"/>
  </conditionalFormatting>
  <conditionalFormatting sqref="A269">
    <cfRule type="duplicateValues" dxfId="387" priority="7"/>
  </conditionalFormatting>
  <conditionalFormatting sqref="A271">
    <cfRule type="duplicateValues" dxfId="386" priority="3"/>
  </conditionalFormatting>
  <conditionalFormatting sqref="B271">
    <cfRule type="duplicateValues" dxfId="385" priority="2"/>
  </conditionalFormatting>
  <conditionalFormatting sqref="C271">
    <cfRule type="duplicateValues" dxfId="384" priority="1"/>
  </conditionalFormatting>
  <pageMargins left="0.7" right="0.7" top="0.78740157499999996" bottom="0.78740157499999996" header="0.3" footer="0.3"/>
  <pageSetup paperSize="9" orientation="portrait"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A1:C271"/>
  <sheetViews>
    <sheetView topLeftCell="A250" workbookViewId="0">
      <selection activeCell="A270" sqref="A270:C271"/>
    </sheetView>
  </sheetViews>
  <sheetFormatPr defaultColWidth="11.44140625" defaultRowHeight="14.4"/>
  <cols>
    <col min="1" max="1" width="48.44140625" style="680" customWidth="1"/>
    <col min="2" max="2" width="42.88671875" style="680" customWidth="1"/>
    <col min="3" max="3" width="42.88671875" style="923" customWidth="1"/>
  </cols>
  <sheetData>
    <row r="1" spans="1:3">
      <c r="A1" s="827" t="s">
        <v>7</v>
      </c>
      <c r="B1" s="827" t="s">
        <v>9</v>
      </c>
      <c r="C1" s="916" t="s">
        <v>8</v>
      </c>
    </row>
    <row r="2" spans="1:3">
      <c r="A2" s="680" t="s">
        <v>593</v>
      </c>
      <c r="B2" s="680" t="s">
        <v>594</v>
      </c>
      <c r="C2" s="917" t="s">
        <v>1766</v>
      </c>
    </row>
    <row r="3" spans="1:3">
      <c r="A3" s="680" t="s">
        <v>357</v>
      </c>
      <c r="B3" s="680" t="s">
        <v>357</v>
      </c>
      <c r="C3" s="917" t="s">
        <v>1767</v>
      </c>
    </row>
    <row r="4" spans="1:3">
      <c r="A4" s="681" t="s">
        <v>482</v>
      </c>
      <c r="B4" s="681" t="s">
        <v>483</v>
      </c>
      <c r="C4" s="917" t="s">
        <v>1768</v>
      </c>
    </row>
    <row r="5" spans="1:3">
      <c r="A5" s="680" t="s">
        <v>11</v>
      </c>
      <c r="B5" s="680" t="s">
        <v>10</v>
      </c>
      <c r="C5" s="917" t="s">
        <v>1769</v>
      </c>
    </row>
    <row r="6" spans="1:3">
      <c r="A6" s="680" t="s">
        <v>21</v>
      </c>
      <c r="B6" s="680" t="s">
        <v>20</v>
      </c>
      <c r="C6" s="917" t="s">
        <v>1770</v>
      </c>
    </row>
    <row r="7" spans="1:3">
      <c r="A7" s="680" t="s">
        <v>903</v>
      </c>
      <c r="B7" s="680" t="s">
        <v>902</v>
      </c>
      <c r="C7" s="917" t="s">
        <v>1771</v>
      </c>
    </row>
    <row r="8" spans="1:3">
      <c r="A8" s="680" t="s">
        <v>55</v>
      </c>
      <c r="B8" s="680" t="s">
        <v>904</v>
      </c>
      <c r="C8" s="917" t="s">
        <v>1772</v>
      </c>
    </row>
    <row r="9" spans="1:3">
      <c r="A9" s="680" t="s">
        <v>484</v>
      </c>
      <c r="B9" s="680" t="s">
        <v>480</v>
      </c>
      <c r="C9" s="917" t="s">
        <v>1773</v>
      </c>
    </row>
    <row r="10" spans="1:3">
      <c r="A10" s="680" t="s">
        <v>485</v>
      </c>
      <c r="B10" s="680" t="s">
        <v>469</v>
      </c>
      <c r="C10" s="917" t="s">
        <v>1774</v>
      </c>
    </row>
    <row r="11" spans="1:3">
      <c r="A11" s="680" t="s">
        <v>486</v>
      </c>
      <c r="B11" s="680" t="s">
        <v>470</v>
      </c>
      <c r="C11" s="917" t="s">
        <v>486</v>
      </c>
    </row>
    <row r="12" spans="1:3">
      <c r="A12" s="680" t="s">
        <v>13</v>
      </c>
      <c r="B12" s="680" t="s">
        <v>12</v>
      </c>
      <c r="C12" s="917" t="s">
        <v>1775</v>
      </c>
    </row>
    <row r="13" spans="1:3">
      <c r="A13" s="681" t="s">
        <v>490</v>
      </c>
      <c r="B13" s="681" t="s">
        <v>448</v>
      </c>
      <c r="C13" s="917" t="s">
        <v>1776</v>
      </c>
    </row>
    <row r="14" spans="1:3">
      <c r="A14" s="682" t="s">
        <v>900</v>
      </c>
      <c r="B14" s="682" t="s">
        <v>900</v>
      </c>
      <c r="C14" s="917" t="s">
        <v>900</v>
      </c>
    </row>
    <row r="15" spans="1:3">
      <c r="A15" s="680" t="s">
        <v>487</v>
      </c>
      <c r="B15" s="680" t="s">
        <v>488</v>
      </c>
      <c r="C15" s="917" t="s">
        <v>1777</v>
      </c>
    </row>
    <row r="16" spans="1:3">
      <c r="A16" s="680" t="s">
        <v>468</v>
      </c>
      <c r="B16" s="680" t="s">
        <v>468</v>
      </c>
      <c r="C16" s="917" t="s">
        <v>1778</v>
      </c>
    </row>
    <row r="17" spans="1:3">
      <c r="A17" s="680" t="s">
        <v>364</v>
      </c>
      <c r="B17" s="680" t="s">
        <v>364</v>
      </c>
      <c r="C17" s="917" t="s">
        <v>364</v>
      </c>
    </row>
    <row r="18" spans="1:3">
      <c r="A18" s="680" t="s">
        <v>905</v>
      </c>
      <c r="B18" s="680" t="s">
        <v>905</v>
      </c>
      <c r="C18" s="917" t="s">
        <v>1779</v>
      </c>
    </row>
    <row r="19" spans="1:3">
      <c r="A19" s="680" t="s">
        <v>18</v>
      </c>
      <c r="B19" s="680" t="s">
        <v>19</v>
      </c>
      <c r="C19" s="918" t="s">
        <v>1780</v>
      </c>
    </row>
    <row r="20" spans="1:3">
      <c r="A20" s="680" t="s">
        <v>123</v>
      </c>
      <c r="B20" s="680" t="s">
        <v>124</v>
      </c>
      <c r="C20" s="917" t="s">
        <v>1781</v>
      </c>
    </row>
    <row r="21" spans="1:3">
      <c r="A21" s="680" t="s">
        <v>489</v>
      </c>
      <c r="B21" s="680" t="s">
        <v>22</v>
      </c>
      <c r="C21" s="917" t="s">
        <v>1782</v>
      </c>
    </row>
    <row r="22" spans="1:3">
      <c r="A22" s="681" t="s">
        <v>1095</v>
      </c>
      <c r="B22" s="681" t="s">
        <v>1095</v>
      </c>
      <c r="C22" s="917" t="s">
        <v>1783</v>
      </c>
    </row>
    <row r="23" spans="1:3">
      <c r="A23" s="680" t="s">
        <v>1008</v>
      </c>
      <c r="B23" s="680" t="s">
        <v>1007</v>
      </c>
      <c r="C23" s="917" t="s">
        <v>1784</v>
      </c>
    </row>
    <row r="24" spans="1:3">
      <c r="A24" s="680" t="s">
        <v>33</v>
      </c>
      <c r="B24" s="680" t="s">
        <v>32</v>
      </c>
      <c r="C24" s="917" t="s">
        <v>1785</v>
      </c>
    </row>
    <row r="25" spans="1:3">
      <c r="A25" s="680" t="s">
        <v>1742</v>
      </c>
      <c r="B25" s="680" t="s">
        <v>1741</v>
      </c>
      <c r="C25" s="989" t="s">
        <v>3357</v>
      </c>
    </row>
    <row r="26" spans="1:3">
      <c r="A26" s="829" t="s">
        <v>854</v>
      </c>
      <c r="B26" s="829" t="s">
        <v>854</v>
      </c>
      <c r="C26" s="917" t="s">
        <v>1786</v>
      </c>
    </row>
    <row r="27" spans="1:3">
      <c r="A27" s="680" t="s">
        <v>491</v>
      </c>
      <c r="B27" s="680" t="s">
        <v>449</v>
      </c>
      <c r="C27" s="917" t="s">
        <v>1787</v>
      </c>
    </row>
    <row r="28" spans="1:3">
      <c r="A28" s="681" t="s">
        <v>1104</v>
      </c>
      <c r="B28" s="681" t="s">
        <v>1096</v>
      </c>
      <c r="C28" s="917" t="s">
        <v>1788</v>
      </c>
    </row>
    <row r="29" spans="1:3">
      <c r="A29" s="680" t="s">
        <v>577</v>
      </c>
      <c r="B29" s="680" t="s">
        <v>30</v>
      </c>
      <c r="C29" s="917" t="s">
        <v>1789</v>
      </c>
    </row>
    <row r="30" spans="1:3">
      <c r="A30" s="680" t="s">
        <v>578</v>
      </c>
      <c r="B30" s="680" t="s">
        <v>31</v>
      </c>
      <c r="C30" s="917" t="s">
        <v>1790</v>
      </c>
    </row>
    <row r="31" spans="1:3">
      <c r="A31" s="680" t="s">
        <v>14</v>
      </c>
      <c r="B31" s="680" t="s">
        <v>778</v>
      </c>
      <c r="C31" s="917" t="s">
        <v>1791</v>
      </c>
    </row>
    <row r="32" spans="1:3">
      <c r="A32" s="680" t="s">
        <v>15</v>
      </c>
      <c r="B32" s="680" t="s">
        <v>16</v>
      </c>
      <c r="C32" s="917" t="s">
        <v>1792</v>
      </c>
    </row>
    <row r="33" spans="1:3">
      <c r="A33" s="680" t="s">
        <v>362</v>
      </c>
      <c r="B33" s="680" t="s">
        <v>363</v>
      </c>
      <c r="C33" s="917" t="s">
        <v>1793</v>
      </c>
    </row>
    <row r="34" spans="1:3">
      <c r="A34" s="680" t="s">
        <v>29</v>
      </c>
      <c r="B34" s="680" t="s">
        <v>28</v>
      </c>
      <c r="C34" s="917" t="s">
        <v>1794</v>
      </c>
    </row>
    <row r="35" spans="1:3">
      <c r="A35" s="829" t="s">
        <v>504</v>
      </c>
      <c r="B35" s="680" t="s">
        <v>507</v>
      </c>
      <c r="C35" s="917" t="s">
        <v>1795</v>
      </c>
    </row>
    <row r="36" spans="1:3">
      <c r="A36" s="829" t="s">
        <v>26</v>
      </c>
      <c r="B36" s="680" t="s">
        <v>25</v>
      </c>
      <c r="C36" s="917" t="s">
        <v>1796</v>
      </c>
    </row>
    <row r="37" spans="1:3">
      <c r="A37" s="829" t="s">
        <v>906</v>
      </c>
      <c r="B37" s="680" t="s">
        <v>27</v>
      </c>
      <c r="C37" s="917" t="s">
        <v>1797</v>
      </c>
    </row>
    <row r="38" spans="1:3">
      <c r="A38" s="829" t="s">
        <v>89</v>
      </c>
      <c r="B38" s="680" t="s">
        <v>89</v>
      </c>
      <c r="C38" s="917" t="s">
        <v>1798</v>
      </c>
    </row>
    <row r="39" spans="1:3">
      <c r="A39" s="829" t="s">
        <v>506</v>
      </c>
      <c r="B39" s="680" t="s">
        <v>509</v>
      </c>
      <c r="C39" s="917" t="s">
        <v>1799</v>
      </c>
    </row>
    <row r="40" spans="1:3">
      <c r="A40" s="680" t="s">
        <v>934</v>
      </c>
      <c r="B40" s="680" t="s">
        <v>935</v>
      </c>
      <c r="C40" s="917" t="s">
        <v>1800</v>
      </c>
    </row>
    <row r="41" spans="1:3">
      <c r="A41" s="680" t="s">
        <v>105</v>
      </c>
      <c r="B41" s="680" t="s">
        <v>100</v>
      </c>
      <c r="C41" s="919" t="s">
        <v>1801</v>
      </c>
    </row>
    <row r="42" spans="1:3">
      <c r="A42" s="680" t="s">
        <v>106</v>
      </c>
      <c r="B42" s="680" t="s">
        <v>99</v>
      </c>
      <c r="C42" s="917" t="s">
        <v>1802</v>
      </c>
    </row>
    <row r="43" spans="1:3">
      <c r="A43" s="829" t="s">
        <v>873</v>
      </c>
      <c r="B43" s="829" t="s">
        <v>848</v>
      </c>
      <c r="C43" s="917" t="s">
        <v>1803</v>
      </c>
    </row>
    <row r="44" spans="1:3">
      <c r="A44" s="829" t="s">
        <v>874</v>
      </c>
      <c r="B44" s="829" t="s">
        <v>849</v>
      </c>
      <c r="C44" s="917" t="s">
        <v>1804</v>
      </c>
    </row>
    <row r="45" spans="1:3">
      <c r="A45" s="829" t="s">
        <v>875</v>
      </c>
      <c r="B45" s="829" t="s">
        <v>850</v>
      </c>
      <c r="C45" s="917" t="s">
        <v>1805</v>
      </c>
    </row>
    <row r="46" spans="1:3">
      <c r="A46" s="829" t="s">
        <v>876</v>
      </c>
      <c r="B46" s="829" t="s">
        <v>852</v>
      </c>
      <c r="C46" s="917" t="s">
        <v>1806</v>
      </c>
    </row>
    <row r="47" spans="1:3">
      <c r="A47" s="829" t="s">
        <v>877</v>
      </c>
      <c r="B47" s="829" t="s">
        <v>851</v>
      </c>
      <c r="C47" s="917" t="s">
        <v>1807</v>
      </c>
    </row>
    <row r="48" spans="1:3">
      <c r="A48" s="829" t="s">
        <v>878</v>
      </c>
      <c r="B48" s="829" t="s">
        <v>853</v>
      </c>
      <c r="C48" s="917" t="s">
        <v>1808</v>
      </c>
    </row>
    <row r="49" spans="1:3">
      <c r="A49" s="830" t="s">
        <v>879</v>
      </c>
      <c r="B49" s="829" t="s">
        <v>855</v>
      </c>
      <c r="C49" s="917" t="s">
        <v>1809</v>
      </c>
    </row>
    <row r="50" spans="1:3">
      <c r="A50" s="830" t="s">
        <v>880</v>
      </c>
      <c r="B50" s="829" t="s">
        <v>857</v>
      </c>
      <c r="C50" s="917" t="s">
        <v>1810</v>
      </c>
    </row>
    <row r="51" spans="1:3" ht="27.6">
      <c r="A51" s="830" t="s">
        <v>881</v>
      </c>
      <c r="B51" s="830" t="s">
        <v>867</v>
      </c>
      <c r="C51" s="961" t="s">
        <v>1811</v>
      </c>
    </row>
    <row r="52" spans="1:3">
      <c r="A52" s="830" t="s">
        <v>882</v>
      </c>
      <c r="B52" s="829" t="s">
        <v>859</v>
      </c>
      <c r="C52" s="917" t="s">
        <v>1812</v>
      </c>
    </row>
    <row r="53" spans="1:3" ht="27.6">
      <c r="A53" s="830" t="s">
        <v>1083</v>
      </c>
      <c r="B53" s="830" t="s">
        <v>1082</v>
      </c>
      <c r="C53" s="917" t="s">
        <v>1813</v>
      </c>
    </row>
    <row r="54" spans="1:3" ht="41.4">
      <c r="A54" s="830" t="s">
        <v>883</v>
      </c>
      <c r="B54" s="830" t="s">
        <v>861</v>
      </c>
      <c r="C54" s="917" t="s">
        <v>1814</v>
      </c>
    </row>
    <row r="55" spans="1:3">
      <c r="A55" s="830" t="s">
        <v>884</v>
      </c>
      <c r="B55" s="830" t="s">
        <v>868</v>
      </c>
      <c r="C55" s="917" t="s">
        <v>1815</v>
      </c>
    </row>
    <row r="56" spans="1:3" ht="41.4">
      <c r="A56" s="830" t="s">
        <v>885</v>
      </c>
      <c r="B56" s="830" t="s">
        <v>862</v>
      </c>
      <c r="C56" s="917" t="s">
        <v>1816</v>
      </c>
    </row>
    <row r="57" spans="1:3" ht="27.6">
      <c r="A57" s="830" t="s">
        <v>886</v>
      </c>
      <c r="B57" s="830" t="s">
        <v>856</v>
      </c>
      <c r="C57" s="917" t="s">
        <v>1817</v>
      </c>
    </row>
    <row r="58" spans="1:3" ht="27.6">
      <c r="A58" s="830" t="s">
        <v>893</v>
      </c>
      <c r="B58" s="830" t="s">
        <v>869</v>
      </c>
      <c r="C58" s="917" t="s">
        <v>1818</v>
      </c>
    </row>
    <row r="59" spans="1:3">
      <c r="A59" s="830" t="s">
        <v>887</v>
      </c>
      <c r="B59" s="829" t="s">
        <v>858</v>
      </c>
      <c r="C59" s="917" t="s">
        <v>1819</v>
      </c>
    </row>
    <row r="60" spans="1:3" ht="41.4">
      <c r="A60" s="830" t="s">
        <v>888</v>
      </c>
      <c r="B60" s="830" t="s">
        <v>860</v>
      </c>
      <c r="C60" s="917" t="s">
        <v>1820</v>
      </c>
    </row>
    <row r="61" spans="1:3" ht="27.6">
      <c r="A61" s="830" t="s">
        <v>889</v>
      </c>
      <c r="B61" s="830" t="s">
        <v>863</v>
      </c>
      <c r="C61" s="917" t="s">
        <v>1821</v>
      </c>
    </row>
    <row r="62" spans="1:3" ht="27.6">
      <c r="A62" s="830" t="s">
        <v>890</v>
      </c>
      <c r="B62" s="830" t="s">
        <v>864</v>
      </c>
      <c r="C62" s="917" t="s">
        <v>1822</v>
      </c>
    </row>
    <row r="63" spans="1:3" ht="27.6">
      <c r="A63" s="830" t="s">
        <v>891</v>
      </c>
      <c r="B63" s="829" t="s">
        <v>865</v>
      </c>
      <c r="C63" s="917" t="s">
        <v>1823</v>
      </c>
    </row>
    <row r="64" spans="1:3" ht="27.6">
      <c r="A64" s="830" t="s">
        <v>892</v>
      </c>
      <c r="B64" s="829" t="s">
        <v>866</v>
      </c>
      <c r="C64" s="917" t="s">
        <v>1824</v>
      </c>
    </row>
    <row r="65" spans="1:3">
      <c r="A65" s="830" t="s">
        <v>1105</v>
      </c>
      <c r="B65" s="829" t="s">
        <v>932</v>
      </c>
      <c r="C65" s="917" t="s">
        <v>1825</v>
      </c>
    </row>
    <row r="66" spans="1:3">
      <c r="A66" s="830" t="s">
        <v>1106</v>
      </c>
      <c r="B66" s="829" t="s">
        <v>933</v>
      </c>
      <c r="C66" s="917" t="s">
        <v>1826</v>
      </c>
    </row>
    <row r="67" spans="1:3">
      <c r="A67" s="681" t="s">
        <v>1107</v>
      </c>
      <c r="B67" s="681" t="s">
        <v>1097</v>
      </c>
      <c r="C67" s="917" t="s">
        <v>1827</v>
      </c>
    </row>
    <row r="68" spans="1:3">
      <c r="A68" s="680" t="s">
        <v>453</v>
      </c>
      <c r="B68" s="680" t="s">
        <v>453</v>
      </c>
      <c r="C68" s="917" t="s">
        <v>453</v>
      </c>
    </row>
    <row r="69" spans="1:3">
      <c r="A69" s="829" t="s">
        <v>50</v>
      </c>
      <c r="B69" s="829" t="s">
        <v>49</v>
      </c>
      <c r="C69" s="917" t="s">
        <v>1828</v>
      </c>
    </row>
    <row r="70" spans="1:3">
      <c r="A70" s="680" t="s">
        <v>787</v>
      </c>
      <c r="B70" s="829" t="s">
        <v>786</v>
      </c>
      <c r="C70" s="917" t="s">
        <v>1829</v>
      </c>
    </row>
    <row r="71" spans="1:3">
      <c r="A71" s="680" t="s">
        <v>501</v>
      </c>
      <c r="B71" s="680" t="s">
        <v>471</v>
      </c>
      <c r="C71" s="917" t="s">
        <v>1830</v>
      </c>
    </row>
    <row r="72" spans="1:3">
      <c r="A72" s="829" t="s">
        <v>834</v>
      </c>
      <c r="B72" s="829" t="s">
        <v>835</v>
      </c>
      <c r="C72" s="917" t="s">
        <v>1831</v>
      </c>
    </row>
    <row r="73" spans="1:3">
      <c r="A73" s="680" t="s">
        <v>836</v>
      </c>
      <c r="B73" s="680" t="s">
        <v>837</v>
      </c>
      <c r="C73" s="917" t="s">
        <v>1832</v>
      </c>
    </row>
    <row r="74" spans="1:3">
      <c r="A74" s="680" t="s">
        <v>359</v>
      </c>
      <c r="B74" s="680" t="s">
        <v>361</v>
      </c>
      <c r="C74" s="917" t="s">
        <v>1833</v>
      </c>
    </row>
    <row r="75" spans="1:3">
      <c r="A75" s="680" t="s">
        <v>358</v>
      </c>
      <c r="B75" s="680" t="s">
        <v>360</v>
      </c>
      <c r="C75" s="917" t="s">
        <v>1834</v>
      </c>
    </row>
    <row r="76" spans="1:3">
      <c r="A76" s="680" t="s">
        <v>502</v>
      </c>
      <c r="B76" s="680" t="s">
        <v>474</v>
      </c>
      <c r="C76" s="917" t="s">
        <v>1835</v>
      </c>
    </row>
    <row r="77" spans="1:3">
      <c r="A77" s="680" t="s">
        <v>35</v>
      </c>
      <c r="B77" s="680" t="s">
        <v>34</v>
      </c>
      <c r="C77" s="917" t="s">
        <v>1836</v>
      </c>
    </row>
    <row r="78" spans="1:3">
      <c r="A78" s="680" t="s">
        <v>37</v>
      </c>
      <c r="B78" s="680" t="s">
        <v>40</v>
      </c>
      <c r="C78" s="917" t="s">
        <v>1837</v>
      </c>
    </row>
    <row r="79" spans="1:3">
      <c r="A79" s="680" t="s">
        <v>39</v>
      </c>
      <c r="B79" s="680" t="s">
        <v>38</v>
      </c>
      <c r="C79" s="917" t="s">
        <v>1838</v>
      </c>
    </row>
    <row r="80" spans="1:3">
      <c r="A80" s="680" t="s">
        <v>493</v>
      </c>
      <c r="B80" s="680" t="s">
        <v>797</v>
      </c>
      <c r="C80" s="917" t="s">
        <v>1839</v>
      </c>
    </row>
    <row r="81" spans="1:3">
      <c r="A81" s="680" t="s">
        <v>1056</v>
      </c>
      <c r="B81" s="680" t="s">
        <v>942</v>
      </c>
      <c r="C81" s="917" t="s">
        <v>1840</v>
      </c>
    </row>
    <row r="82" spans="1:3">
      <c r="A82" s="680" t="s">
        <v>72</v>
      </c>
      <c r="B82" s="680" t="s">
        <v>73</v>
      </c>
      <c r="C82" s="917" t="s">
        <v>1841</v>
      </c>
    </row>
    <row r="83" spans="1:3">
      <c r="A83" s="680" t="s">
        <v>36</v>
      </c>
      <c r="B83" s="680" t="s">
        <v>1</v>
      </c>
      <c r="C83" s="917" t="s">
        <v>1842</v>
      </c>
    </row>
    <row r="84" spans="1:3">
      <c r="A84" s="829" t="s">
        <v>583</v>
      </c>
      <c r="B84" s="829" t="s">
        <v>582</v>
      </c>
      <c r="C84" s="917" t="s">
        <v>1843</v>
      </c>
    </row>
    <row r="85" spans="1:3">
      <c r="A85" s="680" t="s">
        <v>1055</v>
      </c>
      <c r="B85" s="680" t="s">
        <v>450</v>
      </c>
      <c r="C85" s="961" t="s">
        <v>1844</v>
      </c>
    </row>
    <row r="86" spans="1:3">
      <c r="A86" s="680" t="s">
        <v>495</v>
      </c>
      <c r="B86" s="680" t="s">
        <v>452</v>
      </c>
      <c r="C86" s="917" t="s">
        <v>1845</v>
      </c>
    </row>
    <row r="87" spans="1:3">
      <c r="A87" s="680" t="s">
        <v>496</v>
      </c>
      <c r="B87" s="680" t="s">
        <v>494</v>
      </c>
      <c r="C87" s="917" t="s">
        <v>1846</v>
      </c>
    </row>
    <row r="88" spans="1:3">
      <c r="A88" s="680" t="s">
        <v>497</v>
      </c>
      <c r="B88" s="680" t="s">
        <v>451</v>
      </c>
      <c r="C88" s="917" t="s">
        <v>1847</v>
      </c>
    </row>
    <row r="89" spans="1:3">
      <c r="A89" s="680" t="s">
        <v>3341</v>
      </c>
      <c r="B89" s="680" t="s">
        <v>3341</v>
      </c>
      <c r="C89" s="961" t="s">
        <v>3341</v>
      </c>
    </row>
    <row r="90" spans="1:3">
      <c r="A90" s="680" t="s">
        <v>498</v>
      </c>
      <c r="B90" s="680" t="s">
        <v>472</v>
      </c>
      <c r="C90" s="917" t="s">
        <v>1848</v>
      </c>
    </row>
    <row r="91" spans="1:3">
      <c r="A91" s="680" t="s">
        <v>499</v>
      </c>
      <c r="B91" s="680" t="s">
        <v>473</v>
      </c>
      <c r="C91" s="917" t="s">
        <v>1849</v>
      </c>
    </row>
    <row r="92" spans="1:3">
      <c r="A92" s="680" t="s">
        <v>500</v>
      </c>
      <c r="B92" s="680" t="s">
        <v>475</v>
      </c>
      <c r="C92" s="919" t="s">
        <v>1850</v>
      </c>
    </row>
    <row r="93" spans="1:3">
      <c r="A93" s="680" t="s">
        <v>503</v>
      </c>
      <c r="B93" s="680" t="s">
        <v>459</v>
      </c>
      <c r="C93" s="919" t="s">
        <v>1851</v>
      </c>
    </row>
    <row r="94" spans="1:3">
      <c r="A94" s="680" t="s">
        <v>908</v>
      </c>
      <c r="B94" s="680" t="s">
        <v>907</v>
      </c>
      <c r="C94" s="919" t="s">
        <v>1852</v>
      </c>
    </row>
    <row r="95" spans="1:3">
      <c r="A95" s="680" t="s">
        <v>492</v>
      </c>
      <c r="B95" s="680" t="s">
        <v>466</v>
      </c>
      <c r="C95" s="919" t="s">
        <v>1853</v>
      </c>
    </row>
    <row r="96" spans="1:3">
      <c r="A96" s="681" t="s">
        <v>927</v>
      </c>
      <c r="B96" s="831" t="s">
        <v>927</v>
      </c>
      <c r="C96" s="917" t="s">
        <v>1854</v>
      </c>
    </row>
    <row r="97" spans="1:3">
      <c r="A97" s="829" t="s">
        <v>805</v>
      </c>
      <c r="B97" s="682" t="s">
        <v>806</v>
      </c>
      <c r="C97" s="917" t="s">
        <v>1855</v>
      </c>
    </row>
    <row r="98" spans="1:3">
      <c r="A98" s="829" t="s">
        <v>589</v>
      </c>
      <c r="B98" s="680" t="s">
        <v>590</v>
      </c>
      <c r="C98" s="917" t="s">
        <v>1856</v>
      </c>
    </row>
    <row r="99" spans="1:3">
      <c r="A99" s="680" t="s">
        <v>792</v>
      </c>
      <c r="B99" s="832" t="s">
        <v>782</v>
      </c>
      <c r="C99" s="917" t="s">
        <v>1857</v>
      </c>
    </row>
    <row r="100" spans="1:3">
      <c r="A100" s="680" t="s">
        <v>793</v>
      </c>
      <c r="B100" s="832" t="s">
        <v>783</v>
      </c>
      <c r="C100" s="917" t="s">
        <v>1858</v>
      </c>
    </row>
    <row r="101" spans="1:3">
      <c r="A101" s="680" t="s">
        <v>794</v>
      </c>
      <c r="B101" s="832" t="s">
        <v>784</v>
      </c>
      <c r="C101" s="917" t="s">
        <v>1859</v>
      </c>
    </row>
    <row r="102" spans="1:3">
      <c r="A102" s="680" t="s">
        <v>781</v>
      </c>
      <c r="B102" s="829" t="s">
        <v>780</v>
      </c>
      <c r="C102" s="917" t="s">
        <v>1860</v>
      </c>
    </row>
    <row r="103" spans="1:3">
      <c r="A103" s="829" t="s">
        <v>505</v>
      </c>
      <c r="B103" s="680" t="s">
        <v>508</v>
      </c>
      <c r="C103" s="917" t="s">
        <v>1861</v>
      </c>
    </row>
    <row r="104" spans="1:3">
      <c r="A104" s="829" t="s">
        <v>510</v>
      </c>
      <c r="B104" s="680" t="s">
        <v>511</v>
      </c>
      <c r="C104" s="917" t="s">
        <v>1862</v>
      </c>
    </row>
    <row r="105" spans="1:3" ht="41.4">
      <c r="A105" s="833" t="s">
        <v>513</v>
      </c>
      <c r="B105" s="682" t="s">
        <v>481</v>
      </c>
      <c r="C105" s="917" t="s">
        <v>1863</v>
      </c>
    </row>
    <row r="106" spans="1:3">
      <c r="A106" s="684" t="s">
        <v>928</v>
      </c>
      <c r="B106" s="684" t="s">
        <v>929</v>
      </c>
      <c r="C106" s="917" t="s">
        <v>1864</v>
      </c>
    </row>
    <row r="107" spans="1:3" ht="27.6">
      <c r="A107" s="829" t="s">
        <v>516</v>
      </c>
      <c r="B107" s="682" t="s">
        <v>515</v>
      </c>
      <c r="C107" s="917" t="s">
        <v>1865</v>
      </c>
    </row>
    <row r="108" spans="1:3">
      <c r="A108" s="680" t="s">
        <v>70</v>
      </c>
      <c r="B108" s="680" t="s">
        <v>71</v>
      </c>
      <c r="C108" s="917" t="s">
        <v>1866</v>
      </c>
    </row>
    <row r="109" spans="1:3">
      <c r="A109" s="829" t="s">
        <v>533</v>
      </c>
      <c r="B109" s="680" t="s">
        <v>444</v>
      </c>
      <c r="C109" s="917" t="s">
        <v>1867</v>
      </c>
    </row>
    <row r="110" spans="1:3" ht="27.6">
      <c r="A110" s="830" t="s">
        <v>534</v>
      </c>
      <c r="B110" s="680" t="s">
        <v>430</v>
      </c>
      <c r="C110" s="917" t="s">
        <v>1868</v>
      </c>
    </row>
    <row r="111" spans="1:3">
      <c r="A111" s="829" t="s">
        <v>535</v>
      </c>
      <c r="B111" s="680" t="s">
        <v>434</v>
      </c>
      <c r="C111" s="917" t="s">
        <v>1869</v>
      </c>
    </row>
    <row r="112" spans="1:3">
      <c r="A112" s="829" t="s">
        <v>536</v>
      </c>
      <c r="B112" s="680" t="s">
        <v>438</v>
      </c>
      <c r="C112" s="917" t="s">
        <v>1870</v>
      </c>
    </row>
    <row r="113" spans="1:3">
      <c r="A113" s="829" t="s">
        <v>538</v>
      </c>
      <c r="B113" s="680" t="s">
        <v>537</v>
      </c>
      <c r="C113" s="917" t="s">
        <v>1871</v>
      </c>
    </row>
    <row r="114" spans="1:3" ht="27.6">
      <c r="A114" s="830" t="s">
        <v>539</v>
      </c>
      <c r="B114" s="680" t="s">
        <v>445</v>
      </c>
      <c r="C114" s="917" t="s">
        <v>1872</v>
      </c>
    </row>
    <row r="115" spans="1:3">
      <c r="A115" s="680" t="s">
        <v>24</v>
      </c>
      <c r="B115" s="680" t="s">
        <v>23</v>
      </c>
      <c r="C115" s="917" t="s">
        <v>1873</v>
      </c>
    </row>
    <row r="116" spans="1:3">
      <c r="A116" s="829" t="s">
        <v>517</v>
      </c>
      <c r="B116" s="680" t="s">
        <v>427</v>
      </c>
      <c r="C116" s="917" t="s">
        <v>1874</v>
      </c>
    </row>
    <row r="117" spans="1:3">
      <c r="A117" s="829" t="s">
        <v>518</v>
      </c>
      <c r="B117" s="680" t="s">
        <v>431</v>
      </c>
      <c r="C117" s="917" t="s">
        <v>1875</v>
      </c>
    </row>
    <row r="118" spans="1:3">
      <c r="A118" s="829" t="s">
        <v>519</v>
      </c>
      <c r="B118" s="680" t="s">
        <v>435</v>
      </c>
      <c r="C118" s="917" t="s">
        <v>1876</v>
      </c>
    </row>
    <row r="119" spans="1:3" ht="27.6">
      <c r="A119" s="830" t="s">
        <v>520</v>
      </c>
      <c r="B119" s="830" t="s">
        <v>439</v>
      </c>
      <c r="C119" s="917" t="s">
        <v>1877</v>
      </c>
    </row>
    <row r="120" spans="1:3">
      <c r="A120" s="829" t="s">
        <v>521</v>
      </c>
      <c r="B120" s="680" t="s">
        <v>442</v>
      </c>
      <c r="C120" s="917" t="s">
        <v>1878</v>
      </c>
    </row>
    <row r="121" spans="1:3">
      <c r="A121" s="829" t="s">
        <v>522</v>
      </c>
      <c r="B121" s="680" t="s">
        <v>446</v>
      </c>
      <c r="C121" s="917" t="s">
        <v>1879</v>
      </c>
    </row>
    <row r="122" spans="1:3">
      <c r="A122" s="680" t="s">
        <v>74</v>
      </c>
      <c r="B122" s="680" t="s">
        <v>74</v>
      </c>
      <c r="C122" s="917" t="s">
        <v>1880</v>
      </c>
    </row>
    <row r="123" spans="1:3" ht="27.6">
      <c r="A123" s="830" t="s">
        <v>528</v>
      </c>
      <c r="B123" s="680" t="s">
        <v>447</v>
      </c>
      <c r="C123" s="917" t="s">
        <v>1881</v>
      </c>
    </row>
    <row r="124" spans="1:3">
      <c r="A124" s="829" t="s">
        <v>529</v>
      </c>
      <c r="B124" s="680" t="s">
        <v>429</v>
      </c>
      <c r="C124" s="917" t="s">
        <v>1882</v>
      </c>
    </row>
    <row r="125" spans="1:3">
      <c r="A125" s="829" t="s">
        <v>530</v>
      </c>
      <c r="B125" s="680" t="s">
        <v>433</v>
      </c>
      <c r="C125" s="917" t="s">
        <v>1883</v>
      </c>
    </row>
    <row r="126" spans="1:3">
      <c r="A126" s="829" t="s">
        <v>531</v>
      </c>
      <c r="B126" s="680" t="s">
        <v>437</v>
      </c>
      <c r="C126" s="919" t="s">
        <v>1884</v>
      </c>
    </row>
    <row r="127" spans="1:3">
      <c r="A127" s="829" t="s">
        <v>532</v>
      </c>
      <c r="B127" s="680" t="s">
        <v>441</v>
      </c>
      <c r="C127" s="919" t="s">
        <v>1885</v>
      </c>
    </row>
    <row r="128" spans="1:3">
      <c r="A128" s="680" t="s">
        <v>72</v>
      </c>
      <c r="B128" s="680" t="s">
        <v>73</v>
      </c>
      <c r="C128" s="917" t="s">
        <v>1841</v>
      </c>
    </row>
    <row r="129" spans="1:3">
      <c r="A129" s="829" t="s">
        <v>523</v>
      </c>
      <c r="B129" s="680" t="s">
        <v>428</v>
      </c>
      <c r="C129" s="917" t="s">
        <v>1886</v>
      </c>
    </row>
    <row r="130" spans="1:3">
      <c r="A130" s="829" t="s">
        <v>524</v>
      </c>
      <c r="B130" s="680" t="s">
        <v>432</v>
      </c>
      <c r="C130" s="917" t="s">
        <v>1887</v>
      </c>
    </row>
    <row r="131" spans="1:3">
      <c r="A131" s="829" t="s">
        <v>525</v>
      </c>
      <c r="B131" s="680" t="s">
        <v>436</v>
      </c>
      <c r="C131" s="917" t="s">
        <v>1888</v>
      </c>
    </row>
    <row r="132" spans="1:3">
      <c r="A132" s="829" t="s">
        <v>526</v>
      </c>
      <c r="B132" s="680" t="s">
        <v>440</v>
      </c>
      <c r="C132" s="917" t="s">
        <v>1889</v>
      </c>
    </row>
    <row r="133" spans="1:3">
      <c r="A133" s="829" t="s">
        <v>527</v>
      </c>
      <c r="B133" s="680" t="s">
        <v>443</v>
      </c>
      <c r="C133" s="917" t="s">
        <v>1890</v>
      </c>
    </row>
    <row r="134" spans="1:3">
      <c r="A134" s="680" t="s">
        <v>909</v>
      </c>
      <c r="B134" s="680" t="s">
        <v>75</v>
      </c>
      <c r="C134" s="917" t="s">
        <v>1891</v>
      </c>
    </row>
    <row r="135" spans="1:3">
      <c r="A135" s="680" t="s">
        <v>514</v>
      </c>
      <c r="B135" s="680" t="s">
        <v>5</v>
      </c>
      <c r="C135" s="917" t="s">
        <v>1892</v>
      </c>
    </row>
    <row r="136" spans="1:3">
      <c r="A136" s="681" t="s">
        <v>41</v>
      </c>
      <c r="B136" s="681" t="s">
        <v>46</v>
      </c>
      <c r="C136" s="917" t="s">
        <v>1893</v>
      </c>
    </row>
    <row r="137" spans="1:3">
      <c r="A137" s="680" t="s">
        <v>871</v>
      </c>
      <c r="B137" s="680" t="s">
        <v>870</v>
      </c>
      <c r="C137" s="917" t="s">
        <v>1894</v>
      </c>
    </row>
    <row r="138" spans="1:3">
      <c r="A138" s="680" t="s">
        <v>872</v>
      </c>
      <c r="B138" s="680" t="s">
        <v>899</v>
      </c>
      <c r="C138" s="917" t="s">
        <v>1895</v>
      </c>
    </row>
    <row r="139" spans="1:3">
      <c r="A139" s="680" t="s">
        <v>42</v>
      </c>
      <c r="B139" s="680" t="s">
        <v>47</v>
      </c>
      <c r="C139" s="917" t="s">
        <v>1896</v>
      </c>
    </row>
    <row r="140" spans="1:3">
      <c r="A140" s="680" t="s">
        <v>44</v>
      </c>
      <c r="B140" s="680" t="s">
        <v>43</v>
      </c>
      <c r="C140" s="917" t="s">
        <v>1897</v>
      </c>
    </row>
    <row r="141" spans="1:3">
      <c r="A141" s="682" t="s">
        <v>896</v>
      </c>
      <c r="B141" s="680" t="s">
        <v>894</v>
      </c>
      <c r="C141" s="918" t="s">
        <v>1898</v>
      </c>
    </row>
    <row r="142" spans="1:3" ht="27.6">
      <c r="A142" s="682" t="s">
        <v>898</v>
      </c>
      <c r="B142" s="682" t="s">
        <v>897</v>
      </c>
      <c r="C142" s="920" t="s">
        <v>1899</v>
      </c>
    </row>
    <row r="143" spans="1:3">
      <c r="A143" s="831" t="s">
        <v>923</v>
      </c>
      <c r="B143" s="681" t="s">
        <v>924</v>
      </c>
      <c r="C143" s="917" t="s">
        <v>1900</v>
      </c>
    </row>
    <row r="144" spans="1:3">
      <c r="A144" s="829" t="s">
        <v>911</v>
      </c>
      <c r="B144" s="680" t="s">
        <v>910</v>
      </c>
      <c r="C144" s="917" t="s">
        <v>1901</v>
      </c>
    </row>
    <row r="145" spans="1:3">
      <c r="A145" s="681" t="s">
        <v>912</v>
      </c>
      <c r="B145" s="681" t="s">
        <v>913</v>
      </c>
      <c r="C145" s="917" t="s">
        <v>1902</v>
      </c>
    </row>
    <row r="146" spans="1:3">
      <c r="A146" s="829" t="s">
        <v>788</v>
      </c>
      <c r="B146" s="829" t="s">
        <v>789</v>
      </c>
      <c r="C146" s="921" t="s">
        <v>1903</v>
      </c>
    </row>
    <row r="147" spans="1:3">
      <c r="A147" s="829" t="s">
        <v>790</v>
      </c>
      <c r="B147" s="829" t="s">
        <v>795</v>
      </c>
      <c r="C147" s="921" t="s">
        <v>1904</v>
      </c>
    </row>
    <row r="148" spans="1:3">
      <c r="A148" s="829" t="s">
        <v>791</v>
      </c>
      <c r="B148" s="829" t="s">
        <v>796</v>
      </c>
      <c r="C148" s="921" t="s">
        <v>1905</v>
      </c>
    </row>
    <row r="149" spans="1:3">
      <c r="A149" s="829" t="s">
        <v>541</v>
      </c>
      <c r="B149" s="680" t="s">
        <v>419</v>
      </c>
      <c r="C149" s="921" t="s">
        <v>1906</v>
      </c>
    </row>
    <row r="150" spans="1:3">
      <c r="A150" s="829" t="s">
        <v>549</v>
      </c>
      <c r="B150" s="680" t="s">
        <v>548</v>
      </c>
      <c r="C150" s="921" t="s">
        <v>1907</v>
      </c>
    </row>
    <row r="151" spans="1:3">
      <c r="A151" s="829" t="s">
        <v>580</v>
      </c>
      <c r="B151" s="680" t="s">
        <v>550</v>
      </c>
      <c r="C151" s="921" t="s">
        <v>1908</v>
      </c>
    </row>
    <row r="152" spans="1:3">
      <c r="A152" s="829" t="s">
        <v>551</v>
      </c>
      <c r="B152" s="680" t="s">
        <v>421</v>
      </c>
      <c r="C152" s="921" t="s">
        <v>1909</v>
      </c>
    </row>
    <row r="153" spans="1:3">
      <c r="A153" s="829" t="s">
        <v>552</v>
      </c>
      <c r="B153" s="680" t="s">
        <v>422</v>
      </c>
      <c r="C153" s="921" t="s">
        <v>1910</v>
      </c>
    </row>
    <row r="154" spans="1:3">
      <c r="A154" s="829" t="s">
        <v>543</v>
      </c>
      <c r="B154" s="680" t="s">
        <v>423</v>
      </c>
      <c r="C154" s="921" t="s">
        <v>1911</v>
      </c>
    </row>
    <row r="155" spans="1:3">
      <c r="A155" s="829" t="s">
        <v>544</v>
      </c>
      <c r="B155" s="680" t="s">
        <v>424</v>
      </c>
      <c r="C155" s="921" t="s">
        <v>1912</v>
      </c>
    </row>
    <row r="156" spans="1:3">
      <c r="A156" s="829" t="s">
        <v>545</v>
      </c>
      <c r="B156" s="680" t="s">
        <v>425</v>
      </c>
      <c r="C156" s="921" t="s">
        <v>1913</v>
      </c>
    </row>
    <row r="157" spans="1:3">
      <c r="A157" s="829" t="s">
        <v>994</v>
      </c>
      <c r="B157" s="829" t="s">
        <v>1075</v>
      </c>
      <c r="C157" s="921" t="s">
        <v>1914</v>
      </c>
    </row>
    <row r="158" spans="1:3">
      <c r="A158" s="829" t="s">
        <v>995</v>
      </c>
      <c r="B158" s="829" t="s">
        <v>1076</v>
      </c>
      <c r="C158" s="921" t="s">
        <v>1915</v>
      </c>
    </row>
    <row r="159" spans="1:3">
      <c r="A159" s="829" t="s">
        <v>1124</v>
      </c>
      <c r="B159" s="829" t="s">
        <v>1123</v>
      </c>
      <c r="C159" s="921" t="s">
        <v>1916</v>
      </c>
    </row>
    <row r="160" spans="1:3">
      <c r="A160" s="829" t="s">
        <v>996</v>
      </c>
      <c r="B160" s="829" t="s">
        <v>1077</v>
      </c>
      <c r="C160" s="921" t="s">
        <v>1917</v>
      </c>
    </row>
    <row r="161" spans="1:3">
      <c r="A161" s="831" t="s">
        <v>540</v>
      </c>
      <c r="B161" s="681" t="s">
        <v>1125</v>
      </c>
      <c r="C161" s="921" t="s">
        <v>1918</v>
      </c>
    </row>
    <row r="162" spans="1:3">
      <c r="A162" s="831" t="s">
        <v>914</v>
      </c>
      <c r="B162" s="681" t="s">
        <v>840</v>
      </c>
      <c r="C162" s="921" t="s">
        <v>1919</v>
      </c>
    </row>
    <row r="163" spans="1:3">
      <c r="A163" s="829" t="s">
        <v>542</v>
      </c>
      <c r="B163" s="680" t="s">
        <v>420</v>
      </c>
      <c r="C163" s="921" t="s">
        <v>1920</v>
      </c>
    </row>
    <row r="164" spans="1:3">
      <c r="A164" s="829" t="s">
        <v>546</v>
      </c>
      <c r="B164" s="680" t="s">
        <v>45</v>
      </c>
      <c r="C164" s="921" t="s">
        <v>1921</v>
      </c>
    </row>
    <row r="165" spans="1:3">
      <c r="A165" s="829" t="s">
        <v>547</v>
      </c>
      <c r="B165" s="680" t="s">
        <v>584</v>
      </c>
      <c r="C165" s="921" t="s">
        <v>1922</v>
      </c>
    </row>
    <row r="166" spans="1:3">
      <c r="A166" s="829" t="s">
        <v>581</v>
      </c>
      <c r="B166" s="829" t="s">
        <v>48</v>
      </c>
      <c r="C166" s="921" t="s">
        <v>1923</v>
      </c>
    </row>
    <row r="167" spans="1:3" ht="27.6">
      <c r="A167" s="834" t="s">
        <v>801</v>
      </c>
      <c r="B167" s="834" t="s">
        <v>802</v>
      </c>
      <c r="C167" s="922" t="s">
        <v>1924</v>
      </c>
    </row>
    <row r="168" spans="1:3">
      <c r="A168" s="829" t="s">
        <v>585</v>
      </c>
      <c r="B168" s="829" t="s">
        <v>426</v>
      </c>
      <c r="C168" s="921" t="s">
        <v>1925</v>
      </c>
    </row>
    <row r="169" spans="1:3">
      <c r="A169" s="829" t="s">
        <v>764</v>
      </c>
      <c r="B169" s="680" t="s">
        <v>764</v>
      </c>
      <c r="C169" s="921" t="s">
        <v>1926</v>
      </c>
    </row>
    <row r="170" spans="1:3" ht="41.4">
      <c r="A170" s="830" t="s">
        <v>765</v>
      </c>
      <c r="B170" s="830" t="s">
        <v>766</v>
      </c>
      <c r="C170" s="921" t="s">
        <v>1927</v>
      </c>
    </row>
    <row r="171" spans="1:3">
      <c r="A171" s="680" t="s">
        <v>768</v>
      </c>
      <c r="B171" s="829" t="s">
        <v>767</v>
      </c>
      <c r="C171" s="921" t="s">
        <v>1928</v>
      </c>
    </row>
    <row r="172" spans="1:3">
      <c r="A172" s="680" t="s">
        <v>586</v>
      </c>
      <c r="B172" s="680" t="s">
        <v>779</v>
      </c>
      <c r="C172" s="921" t="s">
        <v>1929</v>
      </c>
    </row>
    <row r="173" spans="1:3">
      <c r="A173" s="680" t="s">
        <v>770</v>
      </c>
      <c r="B173" s="829" t="s">
        <v>769</v>
      </c>
      <c r="C173" s="921" t="s">
        <v>1930</v>
      </c>
    </row>
    <row r="174" spans="1:3">
      <c r="A174" s="680" t="s">
        <v>592</v>
      </c>
      <c r="B174" s="829" t="s">
        <v>591</v>
      </c>
      <c r="C174" s="921" t="s">
        <v>1931</v>
      </c>
    </row>
    <row r="175" spans="1:3">
      <c r="A175" s="829" t="s">
        <v>1154</v>
      </c>
      <c r="B175" s="680" t="s">
        <v>1058</v>
      </c>
      <c r="C175" s="921" t="s">
        <v>1932</v>
      </c>
    </row>
    <row r="176" spans="1:3" ht="27.6">
      <c r="A176" s="830" t="s">
        <v>1155</v>
      </c>
      <c r="B176" s="830" t="s">
        <v>1059</v>
      </c>
      <c r="C176" s="921" t="s">
        <v>1933</v>
      </c>
    </row>
    <row r="177" spans="1:3">
      <c r="A177" s="835"/>
      <c r="B177" s="685"/>
      <c r="C177" s="921"/>
    </row>
    <row r="178" spans="1:3">
      <c r="A178" s="681" t="s">
        <v>923</v>
      </c>
      <c r="B178" s="681" t="s">
        <v>1128</v>
      </c>
      <c r="C178" s="921" t="s">
        <v>1900</v>
      </c>
    </row>
    <row r="179" spans="1:3">
      <c r="A179" s="680" t="s">
        <v>587</v>
      </c>
      <c r="B179" s="682" t="s">
        <v>588</v>
      </c>
      <c r="C179" s="968" t="s">
        <v>1934</v>
      </c>
    </row>
    <row r="180" spans="1:3">
      <c r="A180" s="680" t="s">
        <v>553</v>
      </c>
      <c r="B180" s="680" t="s">
        <v>455</v>
      </c>
      <c r="C180" s="921" t="s">
        <v>1935</v>
      </c>
    </row>
    <row r="181" spans="1:3">
      <c r="A181" s="680" t="s">
        <v>554</v>
      </c>
      <c r="B181" s="680" t="s">
        <v>456</v>
      </c>
      <c r="C181" s="921" t="s">
        <v>1936</v>
      </c>
    </row>
    <row r="182" spans="1:3">
      <c r="A182" s="680" t="s">
        <v>555</v>
      </c>
      <c r="B182" s="680" t="s">
        <v>476</v>
      </c>
      <c r="C182" s="921" t="s">
        <v>1937</v>
      </c>
    </row>
    <row r="183" spans="1:3">
      <c r="A183" s="680" t="s">
        <v>556</v>
      </c>
      <c r="B183" s="680" t="s">
        <v>477</v>
      </c>
      <c r="C183" s="921" t="s">
        <v>1938</v>
      </c>
    </row>
    <row r="184" spans="1:3">
      <c r="A184" s="680" t="s">
        <v>557</v>
      </c>
      <c r="B184" s="680" t="s">
        <v>478</v>
      </c>
      <c r="C184" s="921" t="s">
        <v>1939</v>
      </c>
    </row>
    <row r="185" spans="1:3">
      <c r="A185" s="680" t="s">
        <v>558</v>
      </c>
      <c r="B185" s="680" t="s">
        <v>479</v>
      </c>
      <c r="C185" s="921" t="s">
        <v>1940</v>
      </c>
    </row>
    <row r="186" spans="1:3">
      <c r="A186" s="680" t="s">
        <v>915</v>
      </c>
      <c r="B186" s="680" t="s">
        <v>595</v>
      </c>
      <c r="C186" s="921" t="s">
        <v>1941</v>
      </c>
    </row>
    <row r="187" spans="1:3">
      <c r="A187" s="680" t="s">
        <v>1746</v>
      </c>
      <c r="B187" s="680" t="s">
        <v>1747</v>
      </c>
      <c r="C187" s="921" t="s">
        <v>1942</v>
      </c>
    </row>
    <row r="188" spans="1:3">
      <c r="A188" s="681" t="s">
        <v>1126</v>
      </c>
      <c r="B188" s="681" t="s">
        <v>1127</v>
      </c>
      <c r="C188" s="921" t="s">
        <v>1943</v>
      </c>
    </row>
    <row r="189" spans="1:3">
      <c r="A189" s="680" t="s">
        <v>916</v>
      </c>
      <c r="B189" s="680" t="s">
        <v>917</v>
      </c>
      <c r="C189" s="921" t="s">
        <v>1944</v>
      </c>
    </row>
    <row r="190" spans="1:3">
      <c r="A190" s="680" t="s">
        <v>570</v>
      </c>
      <c r="B190" s="680" t="s">
        <v>596</v>
      </c>
      <c r="C190" s="921" t="s">
        <v>1945</v>
      </c>
    </row>
    <row r="191" spans="1:3">
      <c r="A191" s="680" t="s">
        <v>119</v>
      </c>
      <c r="B191" s="680" t="s">
        <v>367</v>
      </c>
      <c r="C191" s="921" t="s">
        <v>1946</v>
      </c>
    </row>
    <row r="192" spans="1:3">
      <c r="A192" s="680" t="s">
        <v>1745</v>
      </c>
      <c r="B192" s="680" t="s">
        <v>1744</v>
      </c>
      <c r="C192" s="921" t="s">
        <v>1947</v>
      </c>
    </row>
    <row r="193" spans="1:3">
      <c r="A193" s="681" t="s">
        <v>1108</v>
      </c>
      <c r="B193" s="681" t="s">
        <v>1109</v>
      </c>
      <c r="C193" s="921" t="s">
        <v>1948</v>
      </c>
    </row>
    <row r="194" spans="1:3">
      <c r="A194" s="680" t="s">
        <v>562</v>
      </c>
      <c r="B194" s="680" t="s">
        <v>457</v>
      </c>
      <c r="C194" s="921" t="s">
        <v>1949</v>
      </c>
    </row>
    <row r="195" spans="1:3">
      <c r="A195" s="680" t="s">
        <v>563</v>
      </c>
      <c r="B195" s="680" t="s">
        <v>458</v>
      </c>
      <c r="C195" s="921" t="s">
        <v>1950</v>
      </c>
    </row>
    <row r="196" spans="1:3">
      <c r="A196" s="680" t="s">
        <v>571</v>
      </c>
      <c r="B196" s="680" t="s">
        <v>2</v>
      </c>
      <c r="C196" s="921" t="s">
        <v>1951</v>
      </c>
    </row>
    <row r="197" spans="1:3">
      <c r="A197" s="680" t="s">
        <v>0</v>
      </c>
      <c r="B197" s="680" t="s">
        <v>0</v>
      </c>
      <c r="C197" s="921" t="s">
        <v>0</v>
      </c>
    </row>
    <row r="198" spans="1:3">
      <c r="A198" s="680" t="s">
        <v>52</v>
      </c>
      <c r="B198" s="680" t="s">
        <v>4</v>
      </c>
      <c r="C198" s="921" t="s">
        <v>52</v>
      </c>
    </row>
    <row r="199" spans="1:3">
      <c r="A199" s="680" t="s">
        <v>51</v>
      </c>
      <c r="B199" s="680" t="s">
        <v>3</v>
      </c>
      <c r="C199" s="921" t="s">
        <v>51</v>
      </c>
    </row>
    <row r="200" spans="1:3">
      <c r="A200" s="680" t="s">
        <v>564</v>
      </c>
      <c r="B200" s="680" t="s">
        <v>460</v>
      </c>
      <c r="C200" s="921" t="s">
        <v>1952</v>
      </c>
    </row>
    <row r="201" spans="1:3">
      <c r="A201" s="680" t="s">
        <v>565</v>
      </c>
      <c r="B201" s="680" t="s">
        <v>512</v>
      </c>
      <c r="C201" s="921" t="s">
        <v>1953</v>
      </c>
    </row>
    <row r="202" spans="1:3">
      <c r="A202" s="680" t="s">
        <v>566</v>
      </c>
      <c r="B202" s="680" t="s">
        <v>463</v>
      </c>
      <c r="C202" s="921" t="s">
        <v>1954</v>
      </c>
    </row>
    <row r="203" spans="1:3">
      <c r="A203" s="680" t="s">
        <v>567</v>
      </c>
      <c r="B203" s="680" t="s">
        <v>461</v>
      </c>
      <c r="C203" s="921" t="s">
        <v>1955</v>
      </c>
    </row>
    <row r="204" spans="1:3">
      <c r="A204" s="680" t="s">
        <v>572</v>
      </c>
      <c r="B204" s="680" t="s">
        <v>464</v>
      </c>
      <c r="C204" s="921" t="s">
        <v>1956</v>
      </c>
    </row>
    <row r="205" spans="1:3">
      <c r="A205" s="680" t="s">
        <v>568</v>
      </c>
      <c r="B205" s="680" t="s">
        <v>462</v>
      </c>
      <c r="C205" s="921" t="s">
        <v>1957</v>
      </c>
    </row>
    <row r="206" spans="1:3">
      <c r="A206" s="680" t="s">
        <v>807</v>
      </c>
      <c r="B206" s="680" t="s">
        <v>808</v>
      </c>
      <c r="C206" s="921" t="s">
        <v>1958</v>
      </c>
    </row>
    <row r="207" spans="1:3">
      <c r="A207" s="680" t="s">
        <v>918</v>
      </c>
      <c r="B207" s="680" t="s">
        <v>919</v>
      </c>
      <c r="C207" s="921" t="s">
        <v>1959</v>
      </c>
    </row>
    <row r="208" spans="1:3">
      <c r="A208" s="680" t="s">
        <v>569</v>
      </c>
      <c r="B208" s="680" t="s">
        <v>560</v>
      </c>
      <c r="C208" s="921" t="s">
        <v>1960</v>
      </c>
    </row>
    <row r="209" spans="1:3">
      <c r="A209" s="680" t="s">
        <v>920</v>
      </c>
      <c r="B209" s="680" t="s">
        <v>465</v>
      </c>
      <c r="C209" s="921" t="s">
        <v>1961</v>
      </c>
    </row>
    <row r="210" spans="1:3">
      <c r="A210" s="680" t="s">
        <v>559</v>
      </c>
      <c r="B210" s="680" t="s">
        <v>561</v>
      </c>
      <c r="C210" s="921" t="s">
        <v>1962</v>
      </c>
    </row>
    <row r="211" spans="1:3">
      <c r="A211" s="680" t="s">
        <v>107</v>
      </c>
      <c r="B211" s="680" t="s">
        <v>798</v>
      </c>
      <c r="C211" s="921" t="s">
        <v>1963</v>
      </c>
    </row>
    <row r="212" spans="1:3">
      <c r="A212" s="680" t="s">
        <v>920</v>
      </c>
      <c r="B212" s="680" t="s">
        <v>921</v>
      </c>
      <c r="C212" s="921" t="s">
        <v>1961</v>
      </c>
    </row>
    <row r="213" spans="1:3">
      <c r="A213" s="680" t="s">
        <v>559</v>
      </c>
      <c r="B213" s="680" t="s">
        <v>561</v>
      </c>
      <c r="C213" s="921" t="s">
        <v>1962</v>
      </c>
    </row>
    <row r="214" spans="1:3">
      <c r="A214" s="681" t="s">
        <v>1110</v>
      </c>
      <c r="B214" s="681" t="s">
        <v>1111</v>
      </c>
      <c r="C214" s="921" t="s">
        <v>1964</v>
      </c>
    </row>
    <row r="215" spans="1:3">
      <c r="A215" s="680" t="s">
        <v>1112</v>
      </c>
      <c r="B215" s="680" t="s">
        <v>1113</v>
      </c>
      <c r="C215" s="921" t="s">
        <v>1965</v>
      </c>
    </row>
    <row r="216" spans="1:3">
      <c r="A216" s="680" t="s">
        <v>830</v>
      </c>
      <c r="B216" s="680" t="s">
        <v>831</v>
      </c>
      <c r="C216" s="921" t="s">
        <v>1966</v>
      </c>
    </row>
    <row r="217" spans="1:3">
      <c r="A217" s="680" t="s">
        <v>111</v>
      </c>
      <c r="B217" s="680" t="s">
        <v>112</v>
      </c>
      <c r="C217" s="921" t="s">
        <v>1967</v>
      </c>
    </row>
    <row r="218" spans="1:3">
      <c r="A218" s="680" t="s">
        <v>117</v>
      </c>
      <c r="B218" s="680" t="s">
        <v>113</v>
      </c>
      <c r="C218" s="921" t="s">
        <v>1968</v>
      </c>
    </row>
    <row r="219" spans="1:3">
      <c r="A219" s="680" t="s">
        <v>803</v>
      </c>
      <c r="B219" s="680" t="s">
        <v>804</v>
      </c>
      <c r="C219" s="921" t="s">
        <v>1969</v>
      </c>
    </row>
    <row r="220" spans="1:3">
      <c r="A220" s="680" t="s">
        <v>832</v>
      </c>
      <c r="B220" s="680" t="s">
        <v>833</v>
      </c>
      <c r="C220" s="921" t="s">
        <v>1970</v>
      </c>
    </row>
    <row r="221" spans="1:3">
      <c r="A221" s="680" t="s">
        <v>467</v>
      </c>
      <c r="B221" s="680" t="s">
        <v>467</v>
      </c>
      <c r="C221" s="921" t="s">
        <v>1971</v>
      </c>
    </row>
    <row r="222" spans="1:3">
      <c r="A222" s="680" t="s">
        <v>365</v>
      </c>
      <c r="B222" s="680" t="s">
        <v>365</v>
      </c>
      <c r="C222" s="921" t="s">
        <v>365</v>
      </c>
    </row>
    <row r="223" spans="1:3">
      <c r="A223" s="680" t="s">
        <v>53</v>
      </c>
      <c r="B223" s="680" t="s">
        <v>54</v>
      </c>
      <c r="C223" s="921" t="s">
        <v>1972</v>
      </c>
    </row>
    <row r="224" spans="1:3">
      <c r="A224" s="680" t="s">
        <v>355</v>
      </c>
      <c r="B224" s="680" t="s">
        <v>356</v>
      </c>
      <c r="C224" s="921" t="s">
        <v>1973</v>
      </c>
    </row>
    <row r="225" spans="1:3">
      <c r="A225" s="680" t="s">
        <v>17</v>
      </c>
      <c r="B225" s="680" t="s">
        <v>800</v>
      </c>
      <c r="C225" s="921" t="s">
        <v>1974</v>
      </c>
    </row>
    <row r="226" spans="1:3">
      <c r="A226" s="829" t="s">
        <v>799</v>
      </c>
      <c r="B226" s="829" t="s">
        <v>922</v>
      </c>
      <c r="C226" s="921" t="s">
        <v>1975</v>
      </c>
    </row>
    <row r="227" spans="1:3">
      <c r="A227" s="680" t="s">
        <v>771</v>
      </c>
      <c r="B227" s="829" t="s">
        <v>776</v>
      </c>
      <c r="C227" s="921" t="s">
        <v>1976</v>
      </c>
    </row>
    <row r="228" spans="1:3">
      <c r="A228" s="680" t="s">
        <v>774</v>
      </c>
      <c r="B228" s="829" t="s">
        <v>775</v>
      </c>
      <c r="C228" s="921" t="s">
        <v>1977</v>
      </c>
    </row>
    <row r="229" spans="1:3">
      <c r="A229" s="829" t="s">
        <v>772</v>
      </c>
      <c r="B229" s="829" t="s">
        <v>773</v>
      </c>
      <c r="C229" s="921" t="s">
        <v>1978</v>
      </c>
    </row>
    <row r="230" spans="1:3">
      <c r="A230" s="680" t="s">
        <v>925</v>
      </c>
      <c r="B230" s="680" t="s">
        <v>926</v>
      </c>
      <c r="C230" s="921" t="s">
        <v>1979</v>
      </c>
    </row>
    <row r="231" spans="1:3">
      <c r="A231" s="680" t="s">
        <v>829</v>
      </c>
      <c r="B231" s="680" t="s">
        <v>828</v>
      </c>
      <c r="C231" s="921" t="s">
        <v>1980</v>
      </c>
    </row>
    <row r="232" spans="1:3">
      <c r="A232" s="680" t="s">
        <v>1114</v>
      </c>
      <c r="B232" s="680" t="s">
        <v>1084</v>
      </c>
      <c r="C232" s="921" t="s">
        <v>1981</v>
      </c>
    </row>
    <row r="233" spans="1:3">
      <c r="A233" s="681" t="s">
        <v>1100</v>
      </c>
      <c r="B233" s="681" t="s">
        <v>1101</v>
      </c>
      <c r="C233" s="921" t="s">
        <v>1982</v>
      </c>
    </row>
    <row r="234" spans="1:3">
      <c r="A234" s="680" t="s">
        <v>1071</v>
      </c>
      <c r="B234" s="680" t="s">
        <v>956</v>
      </c>
      <c r="C234" s="921" t="s">
        <v>1983</v>
      </c>
    </row>
    <row r="235" spans="1:3">
      <c r="A235" s="680" t="s">
        <v>1070</v>
      </c>
      <c r="B235" s="680" t="s">
        <v>955</v>
      </c>
      <c r="C235" s="921" t="s">
        <v>1984</v>
      </c>
    </row>
    <row r="236" spans="1:3">
      <c r="A236" s="680" t="s">
        <v>1136</v>
      </c>
      <c r="B236" s="829" t="s">
        <v>1060</v>
      </c>
      <c r="C236" s="921" t="s">
        <v>1985</v>
      </c>
    </row>
    <row r="237" spans="1:3">
      <c r="A237" s="680" t="s">
        <v>1137</v>
      </c>
      <c r="B237" s="829" t="s">
        <v>1061</v>
      </c>
      <c r="C237" s="921" t="s">
        <v>1986</v>
      </c>
    </row>
    <row r="238" spans="1:3">
      <c r="A238" s="680" t="s">
        <v>1138</v>
      </c>
      <c r="B238" s="829" t="s">
        <v>1062</v>
      </c>
      <c r="C238" s="921" t="s">
        <v>1987</v>
      </c>
    </row>
    <row r="239" spans="1:3">
      <c r="A239" s="680" t="s">
        <v>1139</v>
      </c>
      <c r="B239" s="829" t="s">
        <v>1063</v>
      </c>
      <c r="C239" s="921" t="s">
        <v>1988</v>
      </c>
    </row>
    <row r="240" spans="1:3">
      <c r="A240" s="680" t="s">
        <v>1140</v>
      </c>
      <c r="B240" s="829" t="s">
        <v>1064</v>
      </c>
      <c r="C240" s="921" t="s">
        <v>1989</v>
      </c>
    </row>
    <row r="241" spans="1:3">
      <c r="A241" s="680" t="s">
        <v>1141</v>
      </c>
      <c r="B241" s="829" t="s">
        <v>1065</v>
      </c>
      <c r="C241" s="921" t="s">
        <v>1990</v>
      </c>
    </row>
    <row r="242" spans="1:3">
      <c r="A242" s="680" t="s">
        <v>1142</v>
      </c>
      <c r="B242" s="829" t="s">
        <v>1066</v>
      </c>
      <c r="C242" s="921" t="s">
        <v>1991</v>
      </c>
    </row>
    <row r="243" spans="1:3">
      <c r="A243" s="680" t="s">
        <v>1143</v>
      </c>
      <c r="B243" s="829" t="s">
        <v>1067</v>
      </c>
      <c r="C243" s="921" t="s">
        <v>1992</v>
      </c>
    </row>
    <row r="244" spans="1:3">
      <c r="A244" s="680" t="s">
        <v>1144</v>
      </c>
      <c r="B244" s="829" t="s">
        <v>1068</v>
      </c>
      <c r="C244" s="921" t="s">
        <v>1993</v>
      </c>
    </row>
    <row r="245" spans="1:3">
      <c r="A245" s="680" t="s">
        <v>1145</v>
      </c>
      <c r="B245" s="829" t="s">
        <v>1069</v>
      </c>
      <c r="C245" s="921" t="s">
        <v>1994</v>
      </c>
    </row>
    <row r="246" spans="1:3">
      <c r="A246" s="680" t="s">
        <v>1115</v>
      </c>
      <c r="B246" s="680" t="s">
        <v>939</v>
      </c>
      <c r="C246" s="921" t="s">
        <v>1995</v>
      </c>
    </row>
    <row r="247" spans="1:3">
      <c r="A247" s="680" t="s">
        <v>1116</v>
      </c>
      <c r="B247" s="829" t="s">
        <v>944</v>
      </c>
      <c r="C247" s="921" t="s">
        <v>1996</v>
      </c>
    </row>
    <row r="248" spans="1:3">
      <c r="A248" s="680" t="s">
        <v>1117</v>
      </c>
      <c r="B248" s="829" t="s">
        <v>949</v>
      </c>
      <c r="C248" s="921" t="s">
        <v>1997</v>
      </c>
    </row>
    <row r="249" spans="1:3">
      <c r="A249" s="680" t="s">
        <v>1118</v>
      </c>
      <c r="B249" s="829" t="s">
        <v>950</v>
      </c>
      <c r="C249" s="921" t="s">
        <v>1998</v>
      </c>
    </row>
    <row r="250" spans="1:3">
      <c r="A250" s="680" t="s">
        <v>1119</v>
      </c>
      <c r="B250" s="829" t="s">
        <v>951</v>
      </c>
      <c r="C250" s="921" t="s">
        <v>1999</v>
      </c>
    </row>
    <row r="251" spans="1:3">
      <c r="A251" s="680" t="s">
        <v>1146</v>
      </c>
      <c r="B251" s="829" t="s">
        <v>945</v>
      </c>
      <c r="C251" s="921" t="s">
        <v>2000</v>
      </c>
    </row>
    <row r="252" spans="1:3">
      <c r="A252" s="680" t="s">
        <v>1149</v>
      </c>
      <c r="B252" s="829" t="s">
        <v>952</v>
      </c>
      <c r="C252" s="921" t="s">
        <v>2001</v>
      </c>
    </row>
    <row r="253" spans="1:3">
      <c r="A253" s="680" t="s">
        <v>1147</v>
      </c>
      <c r="B253" s="829" t="s">
        <v>953</v>
      </c>
      <c r="C253" s="921" t="s">
        <v>2002</v>
      </c>
    </row>
    <row r="254" spans="1:3">
      <c r="A254" s="680" t="s">
        <v>1148</v>
      </c>
      <c r="B254" s="829" t="s">
        <v>954</v>
      </c>
      <c r="C254" s="921" t="s">
        <v>2003</v>
      </c>
    </row>
    <row r="255" spans="1:3">
      <c r="A255" s="680" t="s">
        <v>940</v>
      </c>
      <c r="B255" s="680" t="s">
        <v>940</v>
      </c>
      <c r="C255" s="921" t="s">
        <v>2004</v>
      </c>
    </row>
    <row r="256" spans="1:3">
      <c r="A256" s="680" t="s">
        <v>1120</v>
      </c>
      <c r="B256" s="680" t="s">
        <v>1057</v>
      </c>
      <c r="C256" s="921" t="s">
        <v>2005</v>
      </c>
    </row>
    <row r="257" spans="1:3">
      <c r="A257" s="680" t="s">
        <v>1121</v>
      </c>
      <c r="B257" s="680" t="s">
        <v>1072</v>
      </c>
      <c r="C257" s="921" t="s">
        <v>2006</v>
      </c>
    </row>
    <row r="258" spans="1:3">
      <c r="A258" s="680" t="s">
        <v>1150</v>
      </c>
      <c r="B258" s="680" t="s">
        <v>1073</v>
      </c>
      <c r="C258" s="921" t="s">
        <v>2007</v>
      </c>
    </row>
    <row r="259" spans="1:3">
      <c r="A259" s="680" t="s">
        <v>1129</v>
      </c>
      <c r="B259" s="680" t="s">
        <v>943</v>
      </c>
      <c r="C259" s="921" t="s">
        <v>1839</v>
      </c>
    </row>
    <row r="260" spans="1:3">
      <c r="A260" s="680" t="s">
        <v>1122</v>
      </c>
      <c r="B260" s="680" t="s">
        <v>1074</v>
      </c>
      <c r="C260" s="921" t="s">
        <v>2008</v>
      </c>
    </row>
    <row r="261" spans="1:3">
      <c r="A261" s="681"/>
      <c r="B261" s="681"/>
      <c r="C261" s="921"/>
    </row>
    <row r="262" spans="1:3">
      <c r="A262" s="680" t="s">
        <v>1151</v>
      </c>
      <c r="B262" s="680" t="s">
        <v>1130</v>
      </c>
      <c r="C262" s="921" t="s">
        <v>1773</v>
      </c>
    </row>
    <row r="263" spans="1:3">
      <c r="A263" s="680" t="s">
        <v>1153</v>
      </c>
      <c r="B263" s="680" t="s">
        <v>1131</v>
      </c>
      <c r="C263" s="921" t="s">
        <v>2009</v>
      </c>
    </row>
    <row r="264" spans="1:3">
      <c r="A264" s="680" t="s">
        <v>1152</v>
      </c>
      <c r="B264" s="680" t="s">
        <v>1132</v>
      </c>
      <c r="C264" s="921" t="s">
        <v>2010</v>
      </c>
    </row>
    <row r="265" spans="1:3">
      <c r="A265" s="680" t="s">
        <v>1759</v>
      </c>
      <c r="B265" s="680" t="s">
        <v>1758</v>
      </c>
      <c r="C265" s="849" t="s">
        <v>2573</v>
      </c>
    </row>
    <row r="266" spans="1:3">
      <c r="A266" s="680" t="s">
        <v>1764</v>
      </c>
      <c r="B266" s="680" t="s">
        <v>1760</v>
      </c>
      <c r="C266" s="849" t="s">
        <v>2570</v>
      </c>
    </row>
    <row r="267" spans="1:3">
      <c r="A267" s="680" t="s">
        <v>1765</v>
      </c>
      <c r="B267" s="680" t="s">
        <v>1761</v>
      </c>
      <c r="C267" s="849" t="s">
        <v>2571</v>
      </c>
    </row>
    <row r="268" spans="1:3">
      <c r="A268" s="680" t="s">
        <v>1762</v>
      </c>
      <c r="B268" s="680" t="s">
        <v>1763</v>
      </c>
      <c r="C268" s="849" t="s">
        <v>2572</v>
      </c>
    </row>
    <row r="269" spans="1:3">
      <c r="A269" s="680" t="s">
        <v>2507</v>
      </c>
      <c r="B269" s="680" t="s">
        <v>2508</v>
      </c>
      <c r="C269" s="936" t="s">
        <v>2574</v>
      </c>
    </row>
    <row r="270" spans="1:3">
      <c r="A270" s="985" t="s">
        <v>3348</v>
      </c>
      <c r="B270" s="985" t="s">
        <v>3349</v>
      </c>
      <c r="C270" s="985" t="s">
        <v>3349</v>
      </c>
    </row>
    <row r="271" spans="1:3">
      <c r="A271" s="985" t="s">
        <v>3346</v>
      </c>
      <c r="B271" s="985" t="s">
        <v>3346</v>
      </c>
      <c r="C271" s="985" t="s">
        <v>3346</v>
      </c>
    </row>
  </sheetData>
  <sheetProtection algorithmName="SHA-512" hashValue="ni9h1WQ2wrs86oIEROWYtPg1qGY82kNnb3379TIaHcJNzai8Z8mNEzPBVc2VyjFMILiZ/pizzeYqee/ihvHMew==" saltValue="+zWcz/2jvj14501TxyOZNw==" spinCount="100000" sheet="1" objects="1" scenarios="1"/>
  <customSheetViews>
    <customSheetView guid="{727552C9-10E3-4948-B2AE-8FE165517887}" state="hidden" topLeftCell="A16">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383" priority="132"/>
  </conditionalFormatting>
  <conditionalFormatting sqref="A2">
    <cfRule type="duplicateValues" dxfId="382" priority="131"/>
  </conditionalFormatting>
  <conditionalFormatting sqref="A4:A5">
    <cfRule type="duplicateValues" dxfId="381" priority="130"/>
  </conditionalFormatting>
  <conditionalFormatting sqref="A9">
    <cfRule type="duplicateValues" dxfId="380" priority="129"/>
  </conditionalFormatting>
  <conditionalFormatting sqref="A10:A11">
    <cfRule type="duplicateValues" dxfId="379" priority="128"/>
  </conditionalFormatting>
  <conditionalFormatting sqref="A12">
    <cfRule type="duplicateValues" dxfId="378" priority="127"/>
  </conditionalFormatting>
  <conditionalFormatting sqref="A13">
    <cfRule type="duplicateValues" dxfId="377" priority="126"/>
  </conditionalFormatting>
  <conditionalFormatting sqref="A14:A16">
    <cfRule type="duplicateValues" dxfId="376" priority="125"/>
  </conditionalFormatting>
  <conditionalFormatting sqref="A19:A20">
    <cfRule type="duplicateValues" dxfId="375" priority="124"/>
  </conditionalFormatting>
  <conditionalFormatting sqref="A21">
    <cfRule type="duplicateValues" dxfId="374" priority="123"/>
  </conditionalFormatting>
  <conditionalFormatting sqref="A22">
    <cfRule type="duplicateValues" dxfId="373" priority="122"/>
  </conditionalFormatting>
  <conditionalFormatting sqref="A27">
    <cfRule type="duplicateValues" dxfId="372" priority="121"/>
  </conditionalFormatting>
  <conditionalFormatting sqref="A24">
    <cfRule type="duplicateValues" dxfId="371" priority="120"/>
  </conditionalFormatting>
  <conditionalFormatting sqref="A26">
    <cfRule type="duplicateValues" dxfId="370" priority="119"/>
  </conditionalFormatting>
  <conditionalFormatting sqref="A28">
    <cfRule type="duplicateValues" dxfId="369" priority="118"/>
  </conditionalFormatting>
  <conditionalFormatting sqref="A29:A30">
    <cfRule type="duplicateValues" dxfId="368" priority="117"/>
  </conditionalFormatting>
  <conditionalFormatting sqref="A31">
    <cfRule type="duplicateValues" dxfId="367" priority="116"/>
  </conditionalFormatting>
  <conditionalFormatting sqref="A32">
    <cfRule type="duplicateValues" dxfId="366" priority="115"/>
  </conditionalFormatting>
  <conditionalFormatting sqref="A33">
    <cfRule type="duplicateValues" dxfId="365" priority="114"/>
  </conditionalFormatting>
  <conditionalFormatting sqref="A35:A38">
    <cfRule type="duplicateValues" dxfId="364" priority="113"/>
  </conditionalFormatting>
  <conditionalFormatting sqref="A34">
    <cfRule type="duplicateValues" dxfId="363" priority="112"/>
  </conditionalFormatting>
  <conditionalFormatting sqref="A39">
    <cfRule type="duplicateValues" dxfId="362" priority="111"/>
  </conditionalFormatting>
  <conditionalFormatting sqref="A41:A42">
    <cfRule type="duplicateValues" dxfId="361" priority="110"/>
  </conditionalFormatting>
  <conditionalFormatting sqref="A43:A44 A69">
    <cfRule type="duplicateValues" dxfId="360" priority="109"/>
  </conditionalFormatting>
  <conditionalFormatting sqref="A45:A48">
    <cfRule type="duplicateValues" dxfId="359" priority="108"/>
  </conditionalFormatting>
  <conditionalFormatting sqref="B49:B50">
    <cfRule type="duplicateValues" dxfId="358" priority="107"/>
  </conditionalFormatting>
  <conditionalFormatting sqref="A49:A51">
    <cfRule type="duplicateValues" dxfId="357" priority="106"/>
  </conditionalFormatting>
  <conditionalFormatting sqref="A67">
    <cfRule type="duplicateValues" dxfId="356" priority="105"/>
  </conditionalFormatting>
  <conditionalFormatting sqref="A68">
    <cfRule type="duplicateValues" dxfId="355" priority="104"/>
  </conditionalFormatting>
  <conditionalFormatting sqref="A71">
    <cfRule type="duplicateValues" dxfId="354" priority="103"/>
  </conditionalFormatting>
  <conditionalFormatting sqref="A72">
    <cfRule type="duplicateValues" dxfId="353" priority="102"/>
  </conditionalFormatting>
  <conditionalFormatting sqref="A74:A75">
    <cfRule type="duplicateValues" dxfId="352" priority="101"/>
  </conditionalFormatting>
  <conditionalFormatting sqref="A73">
    <cfRule type="duplicateValues" dxfId="351" priority="100"/>
  </conditionalFormatting>
  <conditionalFormatting sqref="A76">
    <cfRule type="duplicateValues" dxfId="350" priority="99"/>
  </conditionalFormatting>
  <conditionalFormatting sqref="A77">
    <cfRule type="duplicateValues" dxfId="349" priority="98"/>
  </conditionalFormatting>
  <conditionalFormatting sqref="A78:A79">
    <cfRule type="duplicateValues" dxfId="348" priority="97"/>
  </conditionalFormatting>
  <conditionalFormatting sqref="A83">
    <cfRule type="duplicateValues" dxfId="347" priority="96"/>
  </conditionalFormatting>
  <conditionalFormatting sqref="A84">
    <cfRule type="duplicateValues" dxfId="346" priority="95"/>
  </conditionalFormatting>
  <conditionalFormatting sqref="A80:A82">
    <cfRule type="duplicateValues" dxfId="345" priority="94"/>
  </conditionalFormatting>
  <conditionalFormatting sqref="A85:A88">
    <cfRule type="duplicateValues" dxfId="344" priority="93"/>
  </conditionalFormatting>
  <conditionalFormatting sqref="A89">
    <cfRule type="duplicateValues" dxfId="343" priority="92"/>
  </conditionalFormatting>
  <conditionalFormatting sqref="A90">
    <cfRule type="duplicateValues" dxfId="342" priority="91"/>
  </conditionalFormatting>
  <conditionalFormatting sqref="A91:A92">
    <cfRule type="duplicateValues" dxfId="341" priority="90"/>
  </conditionalFormatting>
  <conditionalFormatting sqref="A93:A94">
    <cfRule type="duplicateValues" dxfId="340" priority="89"/>
  </conditionalFormatting>
  <conditionalFormatting sqref="A95">
    <cfRule type="duplicateValues" dxfId="339" priority="88"/>
  </conditionalFormatting>
  <conditionalFormatting sqref="A97">
    <cfRule type="duplicateValues" dxfId="338" priority="87"/>
  </conditionalFormatting>
  <conditionalFormatting sqref="A98">
    <cfRule type="duplicateValues" dxfId="337" priority="86"/>
  </conditionalFormatting>
  <conditionalFormatting sqref="A103">
    <cfRule type="duplicateValues" dxfId="336" priority="85"/>
  </conditionalFormatting>
  <conditionalFormatting sqref="A104">
    <cfRule type="duplicateValues" dxfId="335" priority="84"/>
  </conditionalFormatting>
  <conditionalFormatting sqref="A105">
    <cfRule type="duplicateValues" dxfId="334" priority="83"/>
  </conditionalFormatting>
  <conditionalFormatting sqref="A106">
    <cfRule type="duplicateValues" dxfId="333" priority="82"/>
  </conditionalFormatting>
  <conditionalFormatting sqref="A107">
    <cfRule type="duplicateValues" dxfId="332" priority="81"/>
  </conditionalFormatting>
  <conditionalFormatting sqref="A116:A118 A120:A121">
    <cfRule type="duplicateValues" dxfId="331" priority="80"/>
  </conditionalFormatting>
  <conditionalFormatting sqref="A124:A127">
    <cfRule type="duplicateValues" dxfId="330" priority="79"/>
  </conditionalFormatting>
  <conditionalFormatting sqref="A129:A133">
    <cfRule type="duplicateValues" dxfId="329" priority="133"/>
  </conditionalFormatting>
  <conditionalFormatting sqref="A109 A111:A113">
    <cfRule type="duplicateValues" dxfId="328" priority="78"/>
  </conditionalFormatting>
  <conditionalFormatting sqref="A108">
    <cfRule type="duplicateValues" dxfId="327" priority="77"/>
  </conditionalFormatting>
  <conditionalFormatting sqref="A122">
    <cfRule type="duplicateValues" dxfId="326" priority="76"/>
  </conditionalFormatting>
  <conditionalFormatting sqref="A128">
    <cfRule type="duplicateValues" dxfId="325" priority="75"/>
  </conditionalFormatting>
  <conditionalFormatting sqref="A135">
    <cfRule type="duplicateValues" dxfId="324" priority="74"/>
  </conditionalFormatting>
  <conditionalFormatting sqref="A136">
    <cfRule type="duplicateValues" dxfId="323" priority="73"/>
  </conditionalFormatting>
  <conditionalFormatting sqref="A139:A140">
    <cfRule type="duplicateValues" dxfId="322" priority="72"/>
  </conditionalFormatting>
  <conditionalFormatting sqref="A137:A138">
    <cfRule type="duplicateValues" dxfId="321" priority="71"/>
  </conditionalFormatting>
  <conditionalFormatting sqref="A141">
    <cfRule type="duplicateValues" dxfId="320" priority="70"/>
  </conditionalFormatting>
  <conditionalFormatting sqref="B142">
    <cfRule type="duplicateValues" dxfId="319" priority="69"/>
  </conditionalFormatting>
  <conditionalFormatting sqref="A142">
    <cfRule type="duplicateValues" dxfId="318" priority="68"/>
  </conditionalFormatting>
  <conditionalFormatting sqref="A144">
    <cfRule type="duplicateValues" dxfId="317" priority="67"/>
  </conditionalFormatting>
  <conditionalFormatting sqref="A143">
    <cfRule type="duplicateValues" dxfId="316" priority="66"/>
  </conditionalFormatting>
  <conditionalFormatting sqref="A145">
    <cfRule type="duplicateValues" dxfId="315" priority="65"/>
  </conditionalFormatting>
  <conditionalFormatting sqref="A146">
    <cfRule type="duplicateValues" dxfId="314" priority="64"/>
  </conditionalFormatting>
  <conditionalFormatting sqref="A147:A148">
    <cfRule type="duplicateValues" dxfId="313" priority="63"/>
  </conditionalFormatting>
  <conditionalFormatting sqref="A149:A150">
    <cfRule type="duplicateValues" dxfId="312" priority="62"/>
  </conditionalFormatting>
  <conditionalFormatting sqref="A151">
    <cfRule type="duplicateValues" dxfId="311" priority="61"/>
  </conditionalFormatting>
  <conditionalFormatting sqref="A152:A160">
    <cfRule type="duplicateValues" dxfId="310" priority="60"/>
  </conditionalFormatting>
  <conditionalFormatting sqref="A161">
    <cfRule type="duplicateValues" dxfId="309" priority="59"/>
  </conditionalFormatting>
  <conditionalFormatting sqref="A162">
    <cfRule type="duplicateValues" dxfId="308" priority="58"/>
  </conditionalFormatting>
  <conditionalFormatting sqref="A163">
    <cfRule type="duplicateValues" dxfId="307" priority="57"/>
  </conditionalFormatting>
  <conditionalFormatting sqref="A164:A166">
    <cfRule type="duplicateValues" dxfId="306" priority="56"/>
  </conditionalFormatting>
  <conditionalFormatting sqref="A167">
    <cfRule type="duplicateValues" dxfId="305" priority="55"/>
  </conditionalFormatting>
  <conditionalFormatting sqref="A168">
    <cfRule type="duplicateValues" dxfId="304" priority="54"/>
  </conditionalFormatting>
  <conditionalFormatting sqref="A175">
    <cfRule type="duplicateValues" dxfId="303" priority="53"/>
  </conditionalFormatting>
  <conditionalFormatting sqref="A177">
    <cfRule type="duplicateValues" dxfId="302" priority="52"/>
  </conditionalFormatting>
  <conditionalFormatting sqref="A179">
    <cfRule type="duplicateValues" dxfId="301" priority="51"/>
  </conditionalFormatting>
  <conditionalFormatting sqref="A180:A186">
    <cfRule type="duplicateValues" dxfId="300" priority="50"/>
  </conditionalFormatting>
  <conditionalFormatting sqref="A189">
    <cfRule type="duplicateValues" dxfId="299" priority="49"/>
  </conditionalFormatting>
  <conditionalFormatting sqref="A188">
    <cfRule type="duplicateValues" dxfId="298" priority="48"/>
  </conditionalFormatting>
  <conditionalFormatting sqref="A190">
    <cfRule type="duplicateValues" dxfId="297" priority="47"/>
  </conditionalFormatting>
  <conditionalFormatting sqref="A191">
    <cfRule type="duplicateValues" dxfId="296" priority="46"/>
  </conditionalFormatting>
  <conditionalFormatting sqref="A193">
    <cfRule type="duplicateValues" dxfId="295" priority="44"/>
  </conditionalFormatting>
  <conditionalFormatting sqref="A194">
    <cfRule type="duplicateValues" dxfId="294" priority="43"/>
  </conditionalFormatting>
  <conditionalFormatting sqref="A195">
    <cfRule type="duplicateValues" dxfId="293" priority="42"/>
  </conditionalFormatting>
  <conditionalFormatting sqref="A196">
    <cfRule type="duplicateValues" dxfId="292" priority="41"/>
  </conditionalFormatting>
  <conditionalFormatting sqref="A197">
    <cfRule type="duplicateValues" dxfId="291" priority="40"/>
  </conditionalFormatting>
  <conditionalFormatting sqref="A198">
    <cfRule type="duplicateValues" dxfId="290" priority="39"/>
  </conditionalFormatting>
  <conditionalFormatting sqref="A199">
    <cfRule type="duplicateValues" dxfId="289" priority="38"/>
  </conditionalFormatting>
  <conditionalFormatting sqref="A200">
    <cfRule type="duplicateValues" dxfId="288" priority="37"/>
  </conditionalFormatting>
  <conditionalFormatting sqref="A201">
    <cfRule type="duplicateValues" dxfId="287" priority="36"/>
  </conditionalFormatting>
  <conditionalFormatting sqref="A202">
    <cfRule type="duplicateValues" dxfId="286" priority="35"/>
  </conditionalFormatting>
  <conditionalFormatting sqref="A203">
    <cfRule type="duplicateValues" dxfId="285" priority="34"/>
  </conditionalFormatting>
  <conditionalFormatting sqref="A204:A205">
    <cfRule type="duplicateValues" dxfId="284" priority="33"/>
  </conditionalFormatting>
  <conditionalFormatting sqref="A207:A210">
    <cfRule type="duplicateValues" dxfId="283" priority="32"/>
  </conditionalFormatting>
  <conditionalFormatting sqref="A211">
    <cfRule type="duplicateValues" dxfId="282" priority="31"/>
  </conditionalFormatting>
  <conditionalFormatting sqref="A212:A213">
    <cfRule type="duplicateValues" dxfId="281" priority="30"/>
  </conditionalFormatting>
  <conditionalFormatting sqref="A214:A215">
    <cfRule type="duplicateValues" dxfId="280" priority="29"/>
  </conditionalFormatting>
  <conditionalFormatting sqref="A221:A222">
    <cfRule type="duplicateValues" dxfId="279" priority="28"/>
  </conditionalFormatting>
  <conditionalFormatting sqref="A216">
    <cfRule type="duplicateValues" dxfId="278" priority="27"/>
  </conditionalFormatting>
  <conditionalFormatting sqref="A217">
    <cfRule type="duplicateValues" dxfId="277" priority="26"/>
  </conditionalFormatting>
  <conditionalFormatting sqref="A218:A220">
    <cfRule type="duplicateValues" dxfId="276" priority="134"/>
  </conditionalFormatting>
  <conditionalFormatting sqref="A223 A225">
    <cfRule type="duplicateValues" dxfId="275" priority="25"/>
  </conditionalFormatting>
  <conditionalFormatting sqref="A224">
    <cfRule type="duplicateValues" dxfId="274" priority="24"/>
  </conditionalFormatting>
  <conditionalFormatting sqref="A226">
    <cfRule type="duplicateValues" dxfId="273" priority="23"/>
  </conditionalFormatting>
  <conditionalFormatting sqref="A229">
    <cfRule type="duplicateValues" dxfId="272" priority="22"/>
  </conditionalFormatting>
  <conditionalFormatting sqref="A230">
    <cfRule type="duplicateValues" dxfId="271" priority="21"/>
  </conditionalFormatting>
  <conditionalFormatting sqref="A40">
    <cfRule type="duplicateValues" dxfId="270" priority="20"/>
  </conditionalFormatting>
  <conditionalFormatting sqref="A23">
    <cfRule type="duplicateValues" dxfId="269" priority="19"/>
  </conditionalFormatting>
  <conditionalFormatting sqref="A232">
    <cfRule type="duplicateValues" dxfId="268" priority="18"/>
  </conditionalFormatting>
  <conditionalFormatting sqref="B233:B234">
    <cfRule type="duplicateValues" dxfId="267" priority="17"/>
  </conditionalFormatting>
  <conditionalFormatting sqref="B157:B160">
    <cfRule type="duplicateValues" dxfId="266" priority="16"/>
  </conditionalFormatting>
  <conditionalFormatting sqref="A25">
    <cfRule type="duplicateValues" dxfId="265" priority="15"/>
  </conditionalFormatting>
  <conditionalFormatting sqref="A192">
    <cfRule type="duplicateValues" dxfId="264" priority="14"/>
  </conditionalFormatting>
  <conditionalFormatting sqref="A187">
    <cfRule type="duplicateValues" dxfId="263" priority="13"/>
  </conditionalFormatting>
  <conditionalFormatting sqref="A268 A266">
    <cfRule type="duplicateValues" dxfId="262" priority="12"/>
  </conditionalFormatting>
  <conditionalFormatting sqref="A267">
    <cfRule type="duplicateValues" dxfId="261" priority="11"/>
  </conditionalFormatting>
  <conditionalFormatting sqref="B267">
    <cfRule type="duplicateValues" dxfId="260" priority="10"/>
  </conditionalFormatting>
  <conditionalFormatting sqref="A269">
    <cfRule type="duplicateValues" dxfId="259" priority="9"/>
  </conditionalFormatting>
  <conditionalFormatting sqref="A271">
    <cfRule type="duplicateValues" dxfId="258" priority="3"/>
  </conditionalFormatting>
  <conditionalFormatting sqref="B271">
    <cfRule type="duplicateValues" dxfId="257" priority="2"/>
  </conditionalFormatting>
  <conditionalFormatting sqref="C271">
    <cfRule type="duplicateValues" dxfId="256" priority="1"/>
  </conditionalFormatting>
  <pageMargins left="0.7" right="0.7" top="0.78740157499999996" bottom="0.78740157499999996" header="0.3" footer="0.3"/>
  <pageSetup paperSize="9" orientation="portrait"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A1:C271"/>
  <sheetViews>
    <sheetView topLeftCell="A258" workbookViewId="0">
      <selection activeCell="A270" sqref="A270:C271"/>
    </sheetView>
  </sheetViews>
  <sheetFormatPr defaultColWidth="10.6640625" defaultRowHeight="14.4"/>
  <cols>
    <col min="1" max="1" width="48.44140625" style="680" customWidth="1"/>
    <col min="2" max="2" width="42.88671875" style="680" customWidth="1"/>
    <col min="3" max="3" width="42.88671875" style="832" customWidth="1"/>
    <col min="4" max="16384" width="10.6640625" style="8"/>
  </cols>
  <sheetData>
    <row r="1" spans="1:3">
      <c r="A1" s="827" t="s">
        <v>7</v>
      </c>
      <c r="B1" s="827" t="s">
        <v>9</v>
      </c>
      <c r="C1" s="828" t="s">
        <v>8</v>
      </c>
    </row>
    <row r="2" spans="1:3">
      <c r="A2" s="680" t="s">
        <v>593</v>
      </c>
      <c r="B2" s="680" t="s">
        <v>594</v>
      </c>
      <c r="C2" s="847"/>
    </row>
    <row r="3" spans="1:3">
      <c r="A3" s="680" t="s">
        <v>357</v>
      </c>
      <c r="B3" s="680" t="s">
        <v>357</v>
      </c>
      <c r="C3" s="847"/>
    </row>
    <row r="4" spans="1:3">
      <c r="A4" s="681" t="s">
        <v>482</v>
      </c>
      <c r="B4" s="681" t="s">
        <v>483</v>
      </c>
      <c r="C4" s="847"/>
    </row>
    <row r="5" spans="1:3">
      <c r="A5" s="680" t="s">
        <v>11</v>
      </c>
      <c r="B5" s="680" t="s">
        <v>10</v>
      </c>
      <c r="C5" s="847"/>
    </row>
    <row r="6" spans="1:3">
      <c r="A6" s="680" t="s">
        <v>21</v>
      </c>
      <c r="B6" s="680" t="s">
        <v>20</v>
      </c>
      <c r="C6" s="847"/>
    </row>
    <row r="7" spans="1:3">
      <c r="A7" s="680" t="s">
        <v>903</v>
      </c>
      <c r="B7" s="680" t="s">
        <v>902</v>
      </c>
      <c r="C7" s="847"/>
    </row>
    <row r="8" spans="1:3">
      <c r="A8" s="680" t="s">
        <v>55</v>
      </c>
      <c r="B8" s="680" t="s">
        <v>904</v>
      </c>
      <c r="C8" s="847"/>
    </row>
    <row r="9" spans="1:3">
      <c r="A9" s="680" t="s">
        <v>484</v>
      </c>
      <c r="B9" s="680" t="s">
        <v>480</v>
      </c>
      <c r="C9" s="847"/>
    </row>
    <row r="10" spans="1:3">
      <c r="A10" s="680" t="s">
        <v>485</v>
      </c>
      <c r="B10" s="680" t="s">
        <v>469</v>
      </c>
      <c r="C10" s="847"/>
    </row>
    <row r="11" spans="1:3">
      <c r="A11" s="680" t="s">
        <v>486</v>
      </c>
      <c r="B11" s="680" t="s">
        <v>470</v>
      </c>
      <c r="C11" s="847"/>
    </row>
    <row r="12" spans="1:3">
      <c r="A12" s="680" t="s">
        <v>13</v>
      </c>
      <c r="B12" s="680" t="s">
        <v>12</v>
      </c>
      <c r="C12" s="847"/>
    </row>
    <row r="13" spans="1:3">
      <c r="A13" s="681" t="s">
        <v>490</v>
      </c>
      <c r="B13" s="681" t="s">
        <v>448</v>
      </c>
      <c r="C13" s="847"/>
    </row>
    <row r="14" spans="1:3">
      <c r="A14" s="682" t="s">
        <v>900</v>
      </c>
      <c r="B14" s="682" t="s">
        <v>900</v>
      </c>
      <c r="C14" s="847"/>
    </row>
    <row r="15" spans="1:3">
      <c r="A15" s="680" t="s">
        <v>487</v>
      </c>
      <c r="B15" s="680" t="s">
        <v>488</v>
      </c>
      <c r="C15" s="847"/>
    </row>
    <row r="16" spans="1:3">
      <c r="A16" s="680" t="s">
        <v>468</v>
      </c>
      <c r="B16" s="680" t="s">
        <v>468</v>
      </c>
      <c r="C16" s="847"/>
    </row>
    <row r="17" spans="1:3">
      <c r="A17" s="680" t="s">
        <v>364</v>
      </c>
      <c r="B17" s="680" t="s">
        <v>364</v>
      </c>
      <c r="C17" s="847"/>
    </row>
    <row r="18" spans="1:3">
      <c r="A18" s="680" t="s">
        <v>905</v>
      </c>
      <c r="B18" s="680" t="s">
        <v>905</v>
      </c>
      <c r="C18" s="847"/>
    </row>
    <row r="19" spans="1:3">
      <c r="A19" s="680" t="s">
        <v>18</v>
      </c>
      <c r="B19" s="680" t="s">
        <v>19</v>
      </c>
      <c r="C19" s="848"/>
    </row>
    <row r="20" spans="1:3">
      <c r="A20" s="680" t="s">
        <v>123</v>
      </c>
      <c r="B20" s="680" t="s">
        <v>124</v>
      </c>
      <c r="C20" s="847"/>
    </row>
    <row r="21" spans="1:3">
      <c r="A21" s="680" t="s">
        <v>489</v>
      </c>
      <c r="B21" s="680" t="s">
        <v>22</v>
      </c>
      <c r="C21" s="847"/>
    </row>
    <row r="22" spans="1:3">
      <c r="A22" s="681" t="s">
        <v>1095</v>
      </c>
      <c r="B22" s="681" t="s">
        <v>1095</v>
      </c>
      <c r="C22" s="847"/>
    </row>
    <row r="23" spans="1:3">
      <c r="A23" s="680" t="s">
        <v>1008</v>
      </c>
      <c r="B23" s="680" t="s">
        <v>1007</v>
      </c>
      <c r="C23" s="847"/>
    </row>
    <row r="24" spans="1:3">
      <c r="A24" s="680" t="s">
        <v>33</v>
      </c>
      <c r="B24" s="680" t="s">
        <v>32</v>
      </c>
      <c r="C24" s="847"/>
    </row>
    <row r="25" spans="1:3">
      <c r="A25" s="680" t="s">
        <v>1742</v>
      </c>
      <c r="B25" s="680" t="s">
        <v>1741</v>
      </c>
      <c r="C25" s="847"/>
    </row>
    <row r="26" spans="1:3">
      <c r="A26" s="829" t="s">
        <v>854</v>
      </c>
      <c r="B26" s="829" t="s">
        <v>854</v>
      </c>
      <c r="C26" s="847"/>
    </row>
    <row r="27" spans="1:3">
      <c r="A27" s="680" t="s">
        <v>491</v>
      </c>
      <c r="B27" s="680" t="s">
        <v>449</v>
      </c>
      <c r="C27" s="847"/>
    </row>
    <row r="28" spans="1:3">
      <c r="A28" s="681" t="s">
        <v>1104</v>
      </c>
      <c r="B28" s="681" t="s">
        <v>1096</v>
      </c>
      <c r="C28" s="847"/>
    </row>
    <row r="29" spans="1:3">
      <c r="A29" s="680" t="s">
        <v>577</v>
      </c>
      <c r="B29" s="680" t="s">
        <v>30</v>
      </c>
      <c r="C29" s="847"/>
    </row>
    <row r="30" spans="1:3">
      <c r="A30" s="680" t="s">
        <v>578</v>
      </c>
      <c r="B30" s="680" t="s">
        <v>31</v>
      </c>
      <c r="C30" s="847"/>
    </row>
    <row r="31" spans="1:3">
      <c r="A31" s="680" t="s">
        <v>14</v>
      </c>
      <c r="B31" s="680" t="s">
        <v>778</v>
      </c>
      <c r="C31" s="847"/>
    </row>
    <row r="32" spans="1:3">
      <c r="A32" s="680" t="s">
        <v>15</v>
      </c>
      <c r="B32" s="680" t="s">
        <v>16</v>
      </c>
      <c r="C32" s="847"/>
    </row>
    <row r="33" spans="1:3">
      <c r="A33" s="680" t="s">
        <v>362</v>
      </c>
      <c r="B33" s="680" t="s">
        <v>363</v>
      </c>
      <c r="C33" s="847"/>
    </row>
    <row r="34" spans="1:3">
      <c r="A34" s="680" t="s">
        <v>29</v>
      </c>
      <c r="B34" s="680" t="s">
        <v>28</v>
      </c>
      <c r="C34" s="847"/>
    </row>
    <row r="35" spans="1:3">
      <c r="A35" s="829" t="s">
        <v>504</v>
      </c>
      <c r="B35" s="680" t="s">
        <v>507</v>
      </c>
      <c r="C35" s="847"/>
    </row>
    <row r="36" spans="1:3">
      <c r="A36" s="829" t="s">
        <v>26</v>
      </c>
      <c r="B36" s="680" t="s">
        <v>25</v>
      </c>
      <c r="C36" s="847"/>
    </row>
    <row r="37" spans="1:3">
      <c r="A37" s="829" t="s">
        <v>906</v>
      </c>
      <c r="B37" s="680" t="s">
        <v>27</v>
      </c>
      <c r="C37" s="847"/>
    </row>
    <row r="38" spans="1:3">
      <c r="A38" s="829" t="s">
        <v>89</v>
      </c>
      <c r="B38" s="680" t="s">
        <v>89</v>
      </c>
      <c r="C38" s="847"/>
    </row>
    <row r="39" spans="1:3">
      <c r="A39" s="829" t="s">
        <v>506</v>
      </c>
      <c r="B39" s="680" t="s">
        <v>509</v>
      </c>
      <c r="C39" s="847"/>
    </row>
    <row r="40" spans="1:3">
      <c r="A40" s="680" t="s">
        <v>934</v>
      </c>
      <c r="B40" s="680" t="s">
        <v>935</v>
      </c>
      <c r="C40" s="847"/>
    </row>
    <row r="41" spans="1:3">
      <c r="A41" s="680" t="s">
        <v>105</v>
      </c>
      <c r="B41" s="680" t="s">
        <v>100</v>
      </c>
      <c r="C41" s="849"/>
    </row>
    <row r="42" spans="1:3">
      <c r="A42" s="680" t="s">
        <v>106</v>
      </c>
      <c r="B42" s="680" t="s">
        <v>99</v>
      </c>
      <c r="C42" s="847"/>
    </row>
    <row r="43" spans="1:3">
      <c r="A43" s="829" t="s">
        <v>873</v>
      </c>
      <c r="B43" s="829" t="s">
        <v>848</v>
      </c>
      <c r="C43" s="847"/>
    </row>
    <row r="44" spans="1:3">
      <c r="A44" s="829" t="s">
        <v>874</v>
      </c>
      <c r="B44" s="829" t="s">
        <v>849</v>
      </c>
      <c r="C44" s="847"/>
    </row>
    <row r="45" spans="1:3">
      <c r="A45" s="829" t="s">
        <v>875</v>
      </c>
      <c r="B45" s="829" t="s">
        <v>850</v>
      </c>
      <c r="C45" s="847"/>
    </row>
    <row r="46" spans="1:3">
      <c r="A46" s="829" t="s">
        <v>876</v>
      </c>
      <c r="B46" s="829" t="s">
        <v>852</v>
      </c>
      <c r="C46" s="847"/>
    </row>
    <row r="47" spans="1:3">
      <c r="A47" s="829" t="s">
        <v>877</v>
      </c>
      <c r="B47" s="829" t="s">
        <v>851</v>
      </c>
      <c r="C47" s="847"/>
    </row>
    <row r="48" spans="1:3">
      <c r="A48" s="829" t="s">
        <v>878</v>
      </c>
      <c r="B48" s="829" t="s">
        <v>853</v>
      </c>
      <c r="C48" s="847"/>
    </row>
    <row r="49" spans="1:3">
      <c r="A49" s="830" t="s">
        <v>879</v>
      </c>
      <c r="B49" s="829" t="s">
        <v>855</v>
      </c>
      <c r="C49" s="847"/>
    </row>
    <row r="50" spans="1:3">
      <c r="A50" s="830" t="s">
        <v>880</v>
      </c>
      <c r="B50" s="829" t="s">
        <v>857</v>
      </c>
      <c r="C50" s="847"/>
    </row>
    <row r="51" spans="1:3" ht="27.6">
      <c r="A51" s="830" t="s">
        <v>881</v>
      </c>
      <c r="B51" s="830" t="s">
        <v>867</v>
      </c>
      <c r="C51" s="847"/>
    </row>
    <row r="52" spans="1:3">
      <c r="A52" s="830" t="s">
        <v>882</v>
      </c>
      <c r="B52" s="829" t="s">
        <v>859</v>
      </c>
      <c r="C52" s="847"/>
    </row>
    <row r="53" spans="1:3" ht="27.6">
      <c r="A53" s="830" t="s">
        <v>1083</v>
      </c>
      <c r="B53" s="830" t="s">
        <v>1082</v>
      </c>
      <c r="C53" s="847"/>
    </row>
    <row r="54" spans="1:3" ht="41.4">
      <c r="A54" s="830" t="s">
        <v>883</v>
      </c>
      <c r="B54" s="830" t="s">
        <v>861</v>
      </c>
      <c r="C54" s="847"/>
    </row>
    <row r="55" spans="1:3">
      <c r="A55" s="830" t="s">
        <v>884</v>
      </c>
      <c r="B55" s="830" t="s">
        <v>868</v>
      </c>
      <c r="C55" s="847"/>
    </row>
    <row r="56" spans="1:3" ht="41.4">
      <c r="A56" s="830" t="s">
        <v>885</v>
      </c>
      <c r="B56" s="830" t="s">
        <v>862</v>
      </c>
      <c r="C56" s="847"/>
    </row>
    <row r="57" spans="1:3" ht="27.6">
      <c r="A57" s="830" t="s">
        <v>886</v>
      </c>
      <c r="B57" s="830" t="s">
        <v>856</v>
      </c>
      <c r="C57" s="847"/>
    </row>
    <row r="58" spans="1:3" ht="27.6">
      <c r="A58" s="830" t="s">
        <v>893</v>
      </c>
      <c r="B58" s="830" t="s">
        <v>869</v>
      </c>
      <c r="C58" s="847"/>
    </row>
    <row r="59" spans="1:3">
      <c r="A59" s="830" t="s">
        <v>887</v>
      </c>
      <c r="B59" s="829" t="s">
        <v>858</v>
      </c>
      <c r="C59" s="847"/>
    </row>
    <row r="60" spans="1:3" ht="41.4">
      <c r="A60" s="830" t="s">
        <v>888</v>
      </c>
      <c r="B60" s="830" t="s">
        <v>860</v>
      </c>
      <c r="C60" s="847"/>
    </row>
    <row r="61" spans="1:3" ht="27.6">
      <c r="A61" s="830" t="s">
        <v>889</v>
      </c>
      <c r="B61" s="830" t="s">
        <v>863</v>
      </c>
      <c r="C61" s="847"/>
    </row>
    <row r="62" spans="1:3" ht="27.6">
      <c r="A62" s="830" t="s">
        <v>890</v>
      </c>
      <c r="B62" s="830" t="s">
        <v>864</v>
      </c>
      <c r="C62" s="847"/>
    </row>
    <row r="63" spans="1:3" ht="27.6">
      <c r="A63" s="830" t="s">
        <v>891</v>
      </c>
      <c r="B63" s="829" t="s">
        <v>865</v>
      </c>
      <c r="C63" s="847"/>
    </row>
    <row r="64" spans="1:3" ht="27.6">
      <c r="A64" s="830" t="s">
        <v>892</v>
      </c>
      <c r="B64" s="829" t="s">
        <v>866</v>
      </c>
      <c r="C64" s="847"/>
    </row>
    <row r="65" spans="1:3">
      <c r="A65" s="830" t="s">
        <v>1105</v>
      </c>
      <c r="B65" s="829" t="s">
        <v>932</v>
      </c>
      <c r="C65" s="847"/>
    </row>
    <row r="66" spans="1:3">
      <c r="A66" s="830" t="s">
        <v>1106</v>
      </c>
      <c r="B66" s="829" t="s">
        <v>933</v>
      </c>
      <c r="C66" s="847"/>
    </row>
    <row r="67" spans="1:3">
      <c r="A67" s="681" t="s">
        <v>1107</v>
      </c>
      <c r="B67" s="681" t="s">
        <v>1097</v>
      </c>
      <c r="C67" s="847"/>
    </row>
    <row r="68" spans="1:3">
      <c r="A68" s="680" t="s">
        <v>453</v>
      </c>
      <c r="B68" s="680" t="s">
        <v>453</v>
      </c>
      <c r="C68" s="847"/>
    </row>
    <row r="69" spans="1:3">
      <c r="A69" s="829" t="s">
        <v>50</v>
      </c>
      <c r="B69" s="829" t="s">
        <v>49</v>
      </c>
      <c r="C69" s="847"/>
    </row>
    <row r="70" spans="1:3">
      <c r="A70" s="680" t="s">
        <v>787</v>
      </c>
      <c r="B70" s="829" t="s">
        <v>786</v>
      </c>
      <c r="C70" s="847"/>
    </row>
    <row r="71" spans="1:3">
      <c r="A71" s="680" t="s">
        <v>501</v>
      </c>
      <c r="B71" s="680" t="s">
        <v>471</v>
      </c>
      <c r="C71" s="847"/>
    </row>
    <row r="72" spans="1:3">
      <c r="A72" s="829" t="s">
        <v>834</v>
      </c>
      <c r="B72" s="829" t="s">
        <v>835</v>
      </c>
      <c r="C72" s="847"/>
    </row>
    <row r="73" spans="1:3">
      <c r="A73" s="680" t="s">
        <v>836</v>
      </c>
      <c r="B73" s="680" t="s">
        <v>837</v>
      </c>
      <c r="C73" s="847"/>
    </row>
    <row r="74" spans="1:3">
      <c r="A74" s="680" t="s">
        <v>359</v>
      </c>
      <c r="B74" s="680" t="s">
        <v>361</v>
      </c>
      <c r="C74" s="847"/>
    </row>
    <row r="75" spans="1:3">
      <c r="A75" s="680" t="s">
        <v>358</v>
      </c>
      <c r="B75" s="680" t="s">
        <v>360</v>
      </c>
      <c r="C75" s="847"/>
    </row>
    <row r="76" spans="1:3">
      <c r="A76" s="680" t="s">
        <v>502</v>
      </c>
      <c r="B76" s="680" t="s">
        <v>474</v>
      </c>
      <c r="C76" s="847"/>
    </row>
    <row r="77" spans="1:3">
      <c r="A77" s="680" t="s">
        <v>35</v>
      </c>
      <c r="B77" s="680" t="s">
        <v>34</v>
      </c>
      <c r="C77" s="847"/>
    </row>
    <row r="78" spans="1:3">
      <c r="A78" s="680" t="s">
        <v>37</v>
      </c>
      <c r="B78" s="680" t="s">
        <v>40</v>
      </c>
      <c r="C78" s="847"/>
    </row>
    <row r="79" spans="1:3">
      <c r="A79" s="680" t="s">
        <v>39</v>
      </c>
      <c r="B79" s="680" t="s">
        <v>38</v>
      </c>
      <c r="C79" s="847"/>
    </row>
    <row r="80" spans="1:3">
      <c r="A80" s="680" t="s">
        <v>493</v>
      </c>
      <c r="B80" s="680" t="s">
        <v>797</v>
      </c>
      <c r="C80" s="847"/>
    </row>
    <row r="81" spans="1:3">
      <c r="A81" s="680" t="s">
        <v>1056</v>
      </c>
      <c r="B81" s="680" t="s">
        <v>942</v>
      </c>
      <c r="C81" s="847"/>
    </row>
    <row r="82" spans="1:3">
      <c r="A82" s="680" t="s">
        <v>72</v>
      </c>
      <c r="B82" s="680" t="s">
        <v>73</v>
      </c>
      <c r="C82" s="847"/>
    </row>
    <row r="83" spans="1:3">
      <c r="A83" s="680" t="s">
        <v>36</v>
      </c>
      <c r="B83" s="680" t="s">
        <v>1</v>
      </c>
      <c r="C83" s="847"/>
    </row>
    <row r="84" spans="1:3">
      <c r="A84" s="829" t="s">
        <v>583</v>
      </c>
      <c r="B84" s="829" t="s">
        <v>582</v>
      </c>
      <c r="C84" s="847"/>
    </row>
    <row r="85" spans="1:3">
      <c r="A85" s="680" t="s">
        <v>1055</v>
      </c>
      <c r="B85" s="680" t="s">
        <v>450</v>
      </c>
      <c r="C85" s="847"/>
    </row>
    <row r="86" spans="1:3">
      <c r="A86" s="680" t="s">
        <v>495</v>
      </c>
      <c r="B86" s="680" t="s">
        <v>452</v>
      </c>
      <c r="C86" s="847"/>
    </row>
    <row r="87" spans="1:3">
      <c r="A87" s="680" t="s">
        <v>496</v>
      </c>
      <c r="B87" s="680" t="s">
        <v>494</v>
      </c>
      <c r="C87" s="847"/>
    </row>
    <row r="88" spans="1:3">
      <c r="A88" s="680" t="s">
        <v>497</v>
      </c>
      <c r="B88" s="680" t="s">
        <v>451</v>
      </c>
      <c r="C88" s="847"/>
    </row>
    <row r="89" spans="1:3">
      <c r="A89" s="680" t="s">
        <v>3341</v>
      </c>
      <c r="B89" s="680" t="s">
        <v>3341</v>
      </c>
      <c r="C89" s="847"/>
    </row>
    <row r="90" spans="1:3">
      <c r="A90" s="680" t="s">
        <v>498</v>
      </c>
      <c r="B90" s="680" t="s">
        <v>472</v>
      </c>
      <c r="C90" s="847"/>
    </row>
    <row r="91" spans="1:3">
      <c r="A91" s="680" t="s">
        <v>499</v>
      </c>
      <c r="B91" s="680" t="s">
        <v>473</v>
      </c>
      <c r="C91" s="847"/>
    </row>
    <row r="92" spans="1:3">
      <c r="A92" s="680" t="s">
        <v>500</v>
      </c>
      <c r="B92" s="680" t="s">
        <v>475</v>
      </c>
      <c r="C92" s="849"/>
    </row>
    <row r="93" spans="1:3">
      <c r="A93" s="680" t="s">
        <v>503</v>
      </c>
      <c r="B93" s="680" t="s">
        <v>459</v>
      </c>
      <c r="C93" s="849"/>
    </row>
    <row r="94" spans="1:3">
      <c r="A94" s="680" t="s">
        <v>908</v>
      </c>
      <c r="B94" s="680" t="s">
        <v>907</v>
      </c>
      <c r="C94" s="849"/>
    </row>
    <row r="95" spans="1:3">
      <c r="A95" s="680" t="s">
        <v>492</v>
      </c>
      <c r="B95" s="680" t="s">
        <v>466</v>
      </c>
      <c r="C95" s="849"/>
    </row>
    <row r="96" spans="1:3">
      <c r="A96" s="681" t="s">
        <v>927</v>
      </c>
      <c r="B96" s="831" t="s">
        <v>927</v>
      </c>
      <c r="C96" s="847"/>
    </row>
    <row r="97" spans="1:3">
      <c r="A97" s="829" t="s">
        <v>805</v>
      </c>
      <c r="B97" s="682" t="s">
        <v>806</v>
      </c>
      <c r="C97" s="847"/>
    </row>
    <row r="98" spans="1:3">
      <c r="A98" s="829" t="s">
        <v>589</v>
      </c>
      <c r="B98" s="680" t="s">
        <v>590</v>
      </c>
      <c r="C98" s="847"/>
    </row>
    <row r="99" spans="1:3">
      <c r="A99" s="680" t="s">
        <v>792</v>
      </c>
      <c r="B99" s="832" t="s">
        <v>782</v>
      </c>
      <c r="C99" s="847"/>
    </row>
    <row r="100" spans="1:3">
      <c r="A100" s="680" t="s">
        <v>793</v>
      </c>
      <c r="B100" s="832" t="s">
        <v>783</v>
      </c>
      <c r="C100" s="847"/>
    </row>
    <row r="101" spans="1:3">
      <c r="A101" s="680" t="s">
        <v>794</v>
      </c>
      <c r="B101" s="832" t="s">
        <v>784</v>
      </c>
      <c r="C101" s="847"/>
    </row>
    <row r="102" spans="1:3">
      <c r="A102" s="680" t="s">
        <v>781</v>
      </c>
      <c r="B102" s="829" t="s">
        <v>780</v>
      </c>
      <c r="C102" s="847"/>
    </row>
    <row r="103" spans="1:3">
      <c r="A103" s="829" t="s">
        <v>505</v>
      </c>
      <c r="B103" s="680" t="s">
        <v>508</v>
      </c>
      <c r="C103" s="847"/>
    </row>
    <row r="104" spans="1:3">
      <c r="A104" s="829" t="s">
        <v>510</v>
      </c>
      <c r="B104" s="680" t="s">
        <v>511</v>
      </c>
      <c r="C104" s="847"/>
    </row>
    <row r="105" spans="1:3" ht="41.4">
      <c r="A105" s="833" t="s">
        <v>513</v>
      </c>
      <c r="B105" s="682" t="s">
        <v>481</v>
      </c>
      <c r="C105" s="847"/>
    </row>
    <row r="106" spans="1:3">
      <c r="A106" s="684" t="s">
        <v>928</v>
      </c>
      <c r="B106" s="684" t="s">
        <v>929</v>
      </c>
      <c r="C106" s="847"/>
    </row>
    <row r="107" spans="1:3" ht="27.6">
      <c r="A107" s="829" t="s">
        <v>516</v>
      </c>
      <c r="B107" s="682" t="s">
        <v>515</v>
      </c>
      <c r="C107" s="847"/>
    </row>
    <row r="108" spans="1:3">
      <c r="A108" s="680" t="s">
        <v>70</v>
      </c>
      <c r="B108" s="680" t="s">
        <v>71</v>
      </c>
      <c r="C108" s="847"/>
    </row>
    <row r="109" spans="1:3">
      <c r="A109" s="829" t="s">
        <v>533</v>
      </c>
      <c r="B109" s="680" t="s">
        <v>444</v>
      </c>
      <c r="C109" s="847"/>
    </row>
    <row r="110" spans="1:3" ht="27.6">
      <c r="A110" s="830" t="s">
        <v>534</v>
      </c>
      <c r="B110" s="680" t="s">
        <v>430</v>
      </c>
      <c r="C110" s="847"/>
    </row>
    <row r="111" spans="1:3">
      <c r="A111" s="829" t="s">
        <v>535</v>
      </c>
      <c r="B111" s="680" t="s">
        <v>434</v>
      </c>
      <c r="C111" s="847"/>
    </row>
    <row r="112" spans="1:3">
      <c r="A112" s="829" t="s">
        <v>536</v>
      </c>
      <c r="B112" s="680" t="s">
        <v>438</v>
      </c>
      <c r="C112" s="847"/>
    </row>
    <row r="113" spans="1:3">
      <c r="A113" s="829" t="s">
        <v>538</v>
      </c>
      <c r="B113" s="680" t="s">
        <v>537</v>
      </c>
      <c r="C113" s="847"/>
    </row>
    <row r="114" spans="1:3" ht="27.6">
      <c r="A114" s="830" t="s">
        <v>539</v>
      </c>
      <c r="B114" s="680" t="s">
        <v>445</v>
      </c>
      <c r="C114" s="847"/>
    </row>
    <row r="115" spans="1:3">
      <c r="A115" s="680" t="s">
        <v>24</v>
      </c>
      <c r="B115" s="680" t="s">
        <v>23</v>
      </c>
      <c r="C115" s="847"/>
    </row>
    <row r="116" spans="1:3">
      <c r="A116" s="829" t="s">
        <v>517</v>
      </c>
      <c r="B116" s="680" t="s">
        <v>427</v>
      </c>
      <c r="C116" s="847"/>
    </row>
    <row r="117" spans="1:3">
      <c r="A117" s="829" t="s">
        <v>518</v>
      </c>
      <c r="B117" s="680" t="s">
        <v>431</v>
      </c>
      <c r="C117" s="847"/>
    </row>
    <row r="118" spans="1:3">
      <c r="A118" s="829" t="s">
        <v>519</v>
      </c>
      <c r="B118" s="680" t="s">
        <v>435</v>
      </c>
      <c r="C118" s="847"/>
    </row>
    <row r="119" spans="1:3" ht="27.6">
      <c r="A119" s="830" t="s">
        <v>520</v>
      </c>
      <c r="B119" s="830" t="s">
        <v>439</v>
      </c>
      <c r="C119" s="847"/>
    </row>
    <row r="120" spans="1:3">
      <c r="A120" s="829" t="s">
        <v>521</v>
      </c>
      <c r="B120" s="680" t="s">
        <v>442</v>
      </c>
      <c r="C120" s="847"/>
    </row>
    <row r="121" spans="1:3">
      <c r="A121" s="829" t="s">
        <v>522</v>
      </c>
      <c r="B121" s="680" t="s">
        <v>446</v>
      </c>
      <c r="C121" s="847"/>
    </row>
    <row r="122" spans="1:3">
      <c r="A122" s="680" t="s">
        <v>74</v>
      </c>
      <c r="B122" s="680" t="s">
        <v>74</v>
      </c>
      <c r="C122" s="847"/>
    </row>
    <row r="123" spans="1:3" ht="27.6">
      <c r="A123" s="830" t="s">
        <v>528</v>
      </c>
      <c r="B123" s="680" t="s">
        <v>447</v>
      </c>
      <c r="C123" s="847"/>
    </row>
    <row r="124" spans="1:3">
      <c r="A124" s="829" t="s">
        <v>529</v>
      </c>
      <c r="B124" s="680" t="s">
        <v>429</v>
      </c>
      <c r="C124" s="847"/>
    </row>
    <row r="125" spans="1:3">
      <c r="A125" s="829" t="s">
        <v>530</v>
      </c>
      <c r="B125" s="680" t="s">
        <v>433</v>
      </c>
      <c r="C125" s="847"/>
    </row>
    <row r="126" spans="1:3">
      <c r="A126" s="829" t="s">
        <v>531</v>
      </c>
      <c r="B126" s="680" t="s">
        <v>437</v>
      </c>
      <c r="C126" s="849"/>
    </row>
    <row r="127" spans="1:3">
      <c r="A127" s="829" t="s">
        <v>532</v>
      </c>
      <c r="B127" s="680" t="s">
        <v>441</v>
      </c>
      <c r="C127" s="849"/>
    </row>
    <row r="128" spans="1:3">
      <c r="A128" s="680" t="s">
        <v>72</v>
      </c>
      <c r="B128" s="680" t="s">
        <v>73</v>
      </c>
      <c r="C128" s="847"/>
    </row>
    <row r="129" spans="1:3">
      <c r="A129" s="829" t="s">
        <v>523</v>
      </c>
      <c r="B129" s="680" t="s">
        <v>428</v>
      </c>
      <c r="C129" s="847"/>
    </row>
    <row r="130" spans="1:3">
      <c r="A130" s="829" t="s">
        <v>524</v>
      </c>
      <c r="B130" s="680" t="s">
        <v>432</v>
      </c>
      <c r="C130" s="847"/>
    </row>
    <row r="131" spans="1:3">
      <c r="A131" s="829" t="s">
        <v>525</v>
      </c>
      <c r="B131" s="680" t="s">
        <v>436</v>
      </c>
      <c r="C131" s="847"/>
    </row>
    <row r="132" spans="1:3">
      <c r="A132" s="829" t="s">
        <v>526</v>
      </c>
      <c r="B132" s="680" t="s">
        <v>440</v>
      </c>
      <c r="C132" s="847"/>
    </row>
    <row r="133" spans="1:3">
      <c r="A133" s="829" t="s">
        <v>527</v>
      </c>
      <c r="B133" s="680" t="s">
        <v>443</v>
      </c>
      <c r="C133" s="847"/>
    </row>
    <row r="134" spans="1:3">
      <c r="A134" s="680" t="s">
        <v>909</v>
      </c>
      <c r="B134" s="680" t="s">
        <v>75</v>
      </c>
      <c r="C134" s="847"/>
    </row>
    <row r="135" spans="1:3">
      <c r="A135" s="680" t="s">
        <v>514</v>
      </c>
      <c r="B135" s="680" t="s">
        <v>5</v>
      </c>
      <c r="C135" s="847"/>
    </row>
    <row r="136" spans="1:3">
      <c r="A136" s="681" t="s">
        <v>41</v>
      </c>
      <c r="B136" s="681" t="s">
        <v>46</v>
      </c>
      <c r="C136" s="847"/>
    </row>
    <row r="137" spans="1:3">
      <c r="A137" s="680" t="s">
        <v>871</v>
      </c>
      <c r="B137" s="680" t="s">
        <v>870</v>
      </c>
      <c r="C137" s="847"/>
    </row>
    <row r="138" spans="1:3">
      <c r="A138" s="680" t="s">
        <v>872</v>
      </c>
      <c r="B138" s="680" t="s">
        <v>899</v>
      </c>
      <c r="C138" s="847"/>
    </row>
    <row r="139" spans="1:3">
      <c r="A139" s="680" t="s">
        <v>42</v>
      </c>
      <c r="B139" s="680" t="s">
        <v>47</v>
      </c>
      <c r="C139" s="847"/>
    </row>
    <row r="140" spans="1:3">
      <c r="A140" s="680" t="s">
        <v>44</v>
      </c>
      <c r="B140" s="680" t="s">
        <v>43</v>
      </c>
      <c r="C140" s="847"/>
    </row>
    <row r="141" spans="1:3">
      <c r="A141" s="682" t="s">
        <v>896</v>
      </c>
      <c r="B141" s="680" t="s">
        <v>894</v>
      </c>
      <c r="C141" s="848"/>
    </row>
    <row r="142" spans="1:3" ht="27.6">
      <c r="A142" s="682" t="s">
        <v>898</v>
      </c>
      <c r="B142" s="682" t="s">
        <v>897</v>
      </c>
      <c r="C142" s="850"/>
    </row>
    <row r="143" spans="1:3">
      <c r="A143" s="831" t="s">
        <v>923</v>
      </c>
      <c r="B143" s="681" t="s">
        <v>924</v>
      </c>
      <c r="C143" s="847"/>
    </row>
    <row r="144" spans="1:3">
      <c r="A144" s="829" t="s">
        <v>911</v>
      </c>
      <c r="B144" s="680" t="s">
        <v>910</v>
      </c>
      <c r="C144" s="847"/>
    </row>
    <row r="145" spans="1:3">
      <c r="A145" s="681" t="s">
        <v>912</v>
      </c>
      <c r="B145" s="681" t="s">
        <v>913</v>
      </c>
      <c r="C145" s="847"/>
    </row>
    <row r="146" spans="1:3">
      <c r="A146" s="829" t="s">
        <v>788</v>
      </c>
      <c r="B146" s="829" t="s">
        <v>789</v>
      </c>
      <c r="C146" s="851"/>
    </row>
    <row r="147" spans="1:3">
      <c r="A147" s="829" t="s">
        <v>790</v>
      </c>
      <c r="B147" s="829" t="s">
        <v>795</v>
      </c>
      <c r="C147" s="851"/>
    </row>
    <row r="148" spans="1:3">
      <c r="A148" s="829" t="s">
        <v>791</v>
      </c>
      <c r="B148" s="829" t="s">
        <v>796</v>
      </c>
      <c r="C148" s="851"/>
    </row>
    <row r="149" spans="1:3">
      <c r="A149" s="829" t="s">
        <v>541</v>
      </c>
      <c r="B149" s="680" t="s">
        <v>419</v>
      </c>
      <c r="C149" s="851"/>
    </row>
    <row r="150" spans="1:3">
      <c r="A150" s="829" t="s">
        <v>549</v>
      </c>
      <c r="B150" s="680" t="s">
        <v>548</v>
      </c>
      <c r="C150" s="851"/>
    </row>
    <row r="151" spans="1:3">
      <c r="A151" s="829" t="s">
        <v>580</v>
      </c>
      <c r="B151" s="680" t="s">
        <v>550</v>
      </c>
      <c r="C151" s="851"/>
    </row>
    <row r="152" spans="1:3">
      <c r="A152" s="829" t="s">
        <v>551</v>
      </c>
      <c r="B152" s="680" t="s">
        <v>421</v>
      </c>
      <c r="C152" s="851"/>
    </row>
    <row r="153" spans="1:3">
      <c r="A153" s="829" t="s">
        <v>552</v>
      </c>
      <c r="B153" s="680" t="s">
        <v>422</v>
      </c>
      <c r="C153" s="851"/>
    </row>
    <row r="154" spans="1:3">
      <c r="A154" s="829" t="s">
        <v>543</v>
      </c>
      <c r="B154" s="680" t="s">
        <v>423</v>
      </c>
      <c r="C154" s="851"/>
    </row>
    <row r="155" spans="1:3">
      <c r="A155" s="829" t="s">
        <v>544</v>
      </c>
      <c r="B155" s="680" t="s">
        <v>424</v>
      </c>
      <c r="C155" s="851"/>
    </row>
    <row r="156" spans="1:3">
      <c r="A156" s="829" t="s">
        <v>545</v>
      </c>
      <c r="B156" s="680" t="s">
        <v>425</v>
      </c>
      <c r="C156" s="851"/>
    </row>
    <row r="157" spans="1:3">
      <c r="A157" s="829" t="s">
        <v>994</v>
      </c>
      <c r="B157" s="829" t="s">
        <v>1075</v>
      </c>
      <c r="C157" s="851"/>
    </row>
    <row r="158" spans="1:3">
      <c r="A158" s="829" t="s">
        <v>995</v>
      </c>
      <c r="B158" s="829" t="s">
        <v>1076</v>
      </c>
      <c r="C158" s="851"/>
    </row>
    <row r="159" spans="1:3">
      <c r="A159" s="829" t="s">
        <v>1124</v>
      </c>
      <c r="B159" s="829" t="s">
        <v>1123</v>
      </c>
      <c r="C159" s="851"/>
    </row>
    <row r="160" spans="1:3">
      <c r="A160" s="829" t="s">
        <v>996</v>
      </c>
      <c r="B160" s="829" t="s">
        <v>1077</v>
      </c>
      <c r="C160" s="851"/>
    </row>
    <row r="161" spans="1:3">
      <c r="A161" s="831" t="s">
        <v>540</v>
      </c>
      <c r="B161" s="681" t="s">
        <v>1125</v>
      </c>
      <c r="C161" s="851"/>
    </row>
    <row r="162" spans="1:3">
      <c r="A162" s="831" t="s">
        <v>914</v>
      </c>
      <c r="B162" s="681" t="s">
        <v>840</v>
      </c>
      <c r="C162" s="851"/>
    </row>
    <row r="163" spans="1:3">
      <c r="A163" s="829" t="s">
        <v>542</v>
      </c>
      <c r="B163" s="680" t="s">
        <v>420</v>
      </c>
      <c r="C163" s="851"/>
    </row>
    <row r="164" spans="1:3">
      <c r="A164" s="829" t="s">
        <v>546</v>
      </c>
      <c r="B164" s="680" t="s">
        <v>45</v>
      </c>
      <c r="C164" s="851"/>
    </row>
    <row r="165" spans="1:3">
      <c r="A165" s="829" t="s">
        <v>547</v>
      </c>
      <c r="B165" s="680" t="s">
        <v>584</v>
      </c>
      <c r="C165" s="851"/>
    </row>
    <row r="166" spans="1:3">
      <c r="A166" s="829" t="s">
        <v>581</v>
      </c>
      <c r="B166" s="829" t="s">
        <v>48</v>
      </c>
      <c r="C166" s="851"/>
    </row>
    <row r="167" spans="1:3" ht="27.6">
      <c r="A167" s="834" t="s">
        <v>801</v>
      </c>
      <c r="B167" s="834" t="s">
        <v>802</v>
      </c>
      <c r="C167" s="851"/>
    </row>
    <row r="168" spans="1:3">
      <c r="A168" s="829" t="s">
        <v>585</v>
      </c>
      <c r="B168" s="829" t="s">
        <v>426</v>
      </c>
      <c r="C168" s="851"/>
    </row>
    <row r="169" spans="1:3">
      <c r="A169" s="829" t="s">
        <v>764</v>
      </c>
      <c r="B169" s="680" t="s">
        <v>764</v>
      </c>
      <c r="C169" s="851"/>
    </row>
    <row r="170" spans="1:3" ht="41.4">
      <c r="A170" s="830" t="s">
        <v>765</v>
      </c>
      <c r="B170" s="830" t="s">
        <v>766</v>
      </c>
      <c r="C170" s="851"/>
    </row>
    <row r="171" spans="1:3">
      <c r="A171" s="680" t="s">
        <v>768</v>
      </c>
      <c r="B171" s="829" t="s">
        <v>767</v>
      </c>
      <c r="C171" s="851"/>
    </row>
    <row r="172" spans="1:3">
      <c r="A172" s="680" t="s">
        <v>586</v>
      </c>
      <c r="B172" s="680" t="s">
        <v>779</v>
      </c>
      <c r="C172" s="851"/>
    </row>
    <row r="173" spans="1:3">
      <c r="A173" s="680" t="s">
        <v>770</v>
      </c>
      <c r="B173" s="829" t="s">
        <v>769</v>
      </c>
      <c r="C173" s="851"/>
    </row>
    <row r="174" spans="1:3">
      <c r="A174" s="680" t="s">
        <v>592</v>
      </c>
      <c r="B174" s="829" t="s">
        <v>591</v>
      </c>
      <c r="C174" s="851"/>
    </row>
    <row r="175" spans="1:3">
      <c r="A175" s="829" t="s">
        <v>1154</v>
      </c>
      <c r="B175" s="680" t="s">
        <v>1058</v>
      </c>
      <c r="C175" s="851"/>
    </row>
    <row r="176" spans="1:3" ht="27.6">
      <c r="A176" s="830" t="s">
        <v>1155</v>
      </c>
      <c r="B176" s="830" t="s">
        <v>1059</v>
      </c>
      <c r="C176" s="851"/>
    </row>
    <row r="177" spans="1:3">
      <c r="A177" s="835"/>
      <c r="B177" s="685"/>
      <c r="C177" s="851"/>
    </row>
    <row r="178" spans="1:3">
      <c r="A178" s="681" t="s">
        <v>923</v>
      </c>
      <c r="B178" s="681" t="s">
        <v>1128</v>
      </c>
      <c r="C178" s="851"/>
    </row>
    <row r="179" spans="1:3">
      <c r="A179" s="680" t="s">
        <v>587</v>
      </c>
      <c r="B179" s="682" t="s">
        <v>588</v>
      </c>
      <c r="C179" s="851"/>
    </row>
    <row r="180" spans="1:3">
      <c r="A180" s="680" t="s">
        <v>553</v>
      </c>
      <c r="B180" s="680" t="s">
        <v>455</v>
      </c>
      <c r="C180" s="851"/>
    </row>
    <row r="181" spans="1:3">
      <c r="A181" s="680" t="s">
        <v>554</v>
      </c>
      <c r="B181" s="680" t="s">
        <v>456</v>
      </c>
      <c r="C181" s="851"/>
    </row>
    <row r="182" spans="1:3">
      <c r="A182" s="680" t="s">
        <v>555</v>
      </c>
      <c r="B182" s="680" t="s">
        <v>476</v>
      </c>
      <c r="C182" s="851"/>
    </row>
    <row r="183" spans="1:3">
      <c r="A183" s="680" t="s">
        <v>556</v>
      </c>
      <c r="B183" s="680" t="s">
        <v>477</v>
      </c>
      <c r="C183" s="851"/>
    </row>
    <row r="184" spans="1:3">
      <c r="A184" s="680" t="s">
        <v>557</v>
      </c>
      <c r="B184" s="680" t="s">
        <v>478</v>
      </c>
      <c r="C184" s="851"/>
    </row>
    <row r="185" spans="1:3">
      <c r="A185" s="680" t="s">
        <v>558</v>
      </c>
      <c r="B185" s="680" t="s">
        <v>479</v>
      </c>
      <c r="C185" s="851"/>
    </row>
    <row r="186" spans="1:3">
      <c r="A186" s="680" t="s">
        <v>915</v>
      </c>
      <c r="B186" s="680" t="s">
        <v>595</v>
      </c>
      <c r="C186" s="851"/>
    </row>
    <row r="187" spans="1:3">
      <c r="A187" s="680" t="s">
        <v>1746</v>
      </c>
      <c r="B187" s="680" t="s">
        <v>1747</v>
      </c>
      <c r="C187" s="851"/>
    </row>
    <row r="188" spans="1:3">
      <c r="A188" s="681" t="s">
        <v>1126</v>
      </c>
      <c r="B188" s="681" t="s">
        <v>1127</v>
      </c>
      <c r="C188" s="851"/>
    </row>
    <row r="189" spans="1:3">
      <c r="A189" s="680" t="s">
        <v>916</v>
      </c>
      <c r="B189" s="680" t="s">
        <v>917</v>
      </c>
      <c r="C189" s="851"/>
    </row>
    <row r="190" spans="1:3">
      <c r="A190" s="680" t="s">
        <v>570</v>
      </c>
      <c r="B190" s="680" t="s">
        <v>596</v>
      </c>
      <c r="C190" s="851"/>
    </row>
    <row r="191" spans="1:3">
      <c r="A191" s="680" t="s">
        <v>119</v>
      </c>
      <c r="B191" s="680" t="s">
        <v>367</v>
      </c>
      <c r="C191" s="851"/>
    </row>
    <row r="192" spans="1:3">
      <c r="A192" s="680" t="s">
        <v>1745</v>
      </c>
      <c r="B192" s="680" t="s">
        <v>1744</v>
      </c>
      <c r="C192" s="851"/>
    </row>
    <row r="193" spans="1:3">
      <c r="A193" s="681" t="s">
        <v>1108</v>
      </c>
      <c r="B193" s="681" t="s">
        <v>1109</v>
      </c>
      <c r="C193" s="851"/>
    </row>
    <row r="194" spans="1:3">
      <c r="A194" s="680" t="s">
        <v>562</v>
      </c>
      <c r="B194" s="680" t="s">
        <v>457</v>
      </c>
      <c r="C194" s="851"/>
    </row>
    <row r="195" spans="1:3">
      <c r="A195" s="680" t="s">
        <v>563</v>
      </c>
      <c r="B195" s="680" t="s">
        <v>458</v>
      </c>
      <c r="C195" s="851"/>
    </row>
    <row r="196" spans="1:3">
      <c r="A196" s="680" t="s">
        <v>571</v>
      </c>
      <c r="B196" s="680" t="s">
        <v>2</v>
      </c>
      <c r="C196" s="851"/>
    </row>
    <row r="197" spans="1:3">
      <c r="A197" s="680" t="s">
        <v>0</v>
      </c>
      <c r="B197" s="680" t="s">
        <v>0</v>
      </c>
      <c r="C197" s="851"/>
    </row>
    <row r="198" spans="1:3">
      <c r="A198" s="680" t="s">
        <v>52</v>
      </c>
      <c r="B198" s="680" t="s">
        <v>4</v>
      </c>
      <c r="C198" s="851"/>
    </row>
    <row r="199" spans="1:3">
      <c r="A199" s="680" t="s">
        <v>51</v>
      </c>
      <c r="B199" s="680" t="s">
        <v>3</v>
      </c>
      <c r="C199" s="851"/>
    </row>
    <row r="200" spans="1:3">
      <c r="A200" s="680" t="s">
        <v>564</v>
      </c>
      <c r="B200" s="680" t="s">
        <v>460</v>
      </c>
      <c r="C200" s="851"/>
    </row>
    <row r="201" spans="1:3">
      <c r="A201" s="680" t="s">
        <v>565</v>
      </c>
      <c r="B201" s="680" t="s">
        <v>512</v>
      </c>
      <c r="C201" s="851"/>
    </row>
    <row r="202" spans="1:3">
      <c r="A202" s="680" t="s">
        <v>566</v>
      </c>
      <c r="B202" s="680" t="s">
        <v>463</v>
      </c>
      <c r="C202" s="851"/>
    </row>
    <row r="203" spans="1:3">
      <c r="A203" s="680" t="s">
        <v>567</v>
      </c>
      <c r="B203" s="680" t="s">
        <v>461</v>
      </c>
      <c r="C203" s="851"/>
    </row>
    <row r="204" spans="1:3">
      <c r="A204" s="680" t="s">
        <v>572</v>
      </c>
      <c r="B204" s="680" t="s">
        <v>464</v>
      </c>
      <c r="C204" s="851"/>
    </row>
    <row r="205" spans="1:3">
      <c r="A205" s="680" t="s">
        <v>568</v>
      </c>
      <c r="B205" s="680" t="s">
        <v>462</v>
      </c>
      <c r="C205" s="851"/>
    </row>
    <row r="206" spans="1:3">
      <c r="A206" s="680" t="s">
        <v>807</v>
      </c>
      <c r="B206" s="680" t="s">
        <v>808</v>
      </c>
      <c r="C206" s="851"/>
    </row>
    <row r="207" spans="1:3">
      <c r="A207" s="680" t="s">
        <v>918</v>
      </c>
      <c r="B207" s="680" t="s">
        <v>919</v>
      </c>
      <c r="C207" s="851"/>
    </row>
    <row r="208" spans="1:3">
      <c r="A208" s="680" t="s">
        <v>569</v>
      </c>
      <c r="B208" s="680" t="s">
        <v>560</v>
      </c>
      <c r="C208" s="851"/>
    </row>
    <row r="209" spans="1:3">
      <c r="A209" s="680" t="s">
        <v>920</v>
      </c>
      <c r="B209" s="680" t="s">
        <v>465</v>
      </c>
      <c r="C209" s="851"/>
    </row>
    <row r="210" spans="1:3">
      <c r="A210" s="680" t="s">
        <v>559</v>
      </c>
      <c r="B210" s="680" t="s">
        <v>561</v>
      </c>
      <c r="C210" s="851"/>
    </row>
    <row r="211" spans="1:3">
      <c r="A211" s="680" t="s">
        <v>107</v>
      </c>
      <c r="B211" s="680" t="s">
        <v>798</v>
      </c>
      <c r="C211" s="851"/>
    </row>
    <row r="212" spans="1:3">
      <c r="A212" s="680" t="s">
        <v>920</v>
      </c>
      <c r="B212" s="680" t="s">
        <v>921</v>
      </c>
      <c r="C212" s="851"/>
    </row>
    <row r="213" spans="1:3">
      <c r="A213" s="680" t="s">
        <v>559</v>
      </c>
      <c r="B213" s="680" t="s">
        <v>561</v>
      </c>
      <c r="C213" s="851"/>
    </row>
    <row r="214" spans="1:3">
      <c r="A214" s="681" t="s">
        <v>1110</v>
      </c>
      <c r="B214" s="681" t="s">
        <v>1111</v>
      </c>
      <c r="C214" s="851"/>
    </row>
    <row r="215" spans="1:3">
      <c r="A215" s="680" t="s">
        <v>1112</v>
      </c>
      <c r="B215" s="680" t="s">
        <v>1113</v>
      </c>
      <c r="C215" s="851"/>
    </row>
    <row r="216" spans="1:3">
      <c r="A216" s="680" t="s">
        <v>830</v>
      </c>
      <c r="B216" s="680" t="s">
        <v>831</v>
      </c>
      <c r="C216" s="851"/>
    </row>
    <row r="217" spans="1:3">
      <c r="A217" s="680" t="s">
        <v>111</v>
      </c>
      <c r="B217" s="680" t="s">
        <v>112</v>
      </c>
      <c r="C217" s="851"/>
    </row>
    <row r="218" spans="1:3">
      <c r="A218" s="680" t="s">
        <v>117</v>
      </c>
      <c r="B218" s="680" t="s">
        <v>113</v>
      </c>
      <c r="C218" s="851"/>
    </row>
    <row r="219" spans="1:3">
      <c r="A219" s="680" t="s">
        <v>803</v>
      </c>
      <c r="B219" s="680" t="s">
        <v>804</v>
      </c>
      <c r="C219" s="851"/>
    </row>
    <row r="220" spans="1:3">
      <c r="A220" s="680" t="s">
        <v>832</v>
      </c>
      <c r="B220" s="680" t="s">
        <v>833</v>
      </c>
      <c r="C220" s="851"/>
    </row>
    <row r="221" spans="1:3">
      <c r="A221" s="680" t="s">
        <v>467</v>
      </c>
      <c r="B221" s="680" t="s">
        <v>467</v>
      </c>
      <c r="C221" s="851"/>
    </row>
    <row r="222" spans="1:3">
      <c r="A222" s="680" t="s">
        <v>365</v>
      </c>
      <c r="B222" s="680" t="s">
        <v>365</v>
      </c>
      <c r="C222" s="851"/>
    </row>
    <row r="223" spans="1:3">
      <c r="A223" s="680" t="s">
        <v>53</v>
      </c>
      <c r="B223" s="680" t="s">
        <v>54</v>
      </c>
      <c r="C223" s="851"/>
    </row>
    <row r="224" spans="1:3">
      <c r="A224" s="680" t="s">
        <v>355</v>
      </c>
      <c r="B224" s="680" t="s">
        <v>356</v>
      </c>
      <c r="C224" s="851"/>
    </row>
    <row r="225" spans="1:3">
      <c r="A225" s="680" t="s">
        <v>17</v>
      </c>
      <c r="B225" s="680" t="s">
        <v>800</v>
      </c>
      <c r="C225" s="851"/>
    </row>
    <row r="226" spans="1:3">
      <c r="A226" s="829" t="s">
        <v>799</v>
      </c>
      <c r="B226" s="829" t="s">
        <v>922</v>
      </c>
      <c r="C226" s="851"/>
    </row>
    <row r="227" spans="1:3">
      <c r="A227" s="680" t="s">
        <v>771</v>
      </c>
      <c r="B227" s="829" t="s">
        <v>776</v>
      </c>
      <c r="C227" s="851"/>
    </row>
    <row r="228" spans="1:3">
      <c r="A228" s="680" t="s">
        <v>774</v>
      </c>
      <c r="B228" s="829" t="s">
        <v>775</v>
      </c>
      <c r="C228" s="851"/>
    </row>
    <row r="229" spans="1:3">
      <c r="A229" s="829" t="s">
        <v>772</v>
      </c>
      <c r="B229" s="829" t="s">
        <v>773</v>
      </c>
      <c r="C229" s="851"/>
    </row>
    <row r="230" spans="1:3">
      <c r="A230" s="680" t="s">
        <v>925</v>
      </c>
      <c r="B230" s="680" t="s">
        <v>926</v>
      </c>
      <c r="C230" s="851"/>
    </row>
    <row r="231" spans="1:3">
      <c r="A231" s="680" t="s">
        <v>829</v>
      </c>
      <c r="B231" s="680" t="s">
        <v>828</v>
      </c>
      <c r="C231" s="851"/>
    </row>
    <row r="232" spans="1:3">
      <c r="A232" s="680" t="s">
        <v>1114</v>
      </c>
      <c r="B232" s="680" t="s">
        <v>1084</v>
      </c>
      <c r="C232" s="851"/>
    </row>
    <row r="233" spans="1:3">
      <c r="A233" s="681" t="s">
        <v>1100</v>
      </c>
      <c r="B233" s="681" t="s">
        <v>1101</v>
      </c>
      <c r="C233" s="851"/>
    </row>
    <row r="234" spans="1:3">
      <c r="A234" s="680" t="s">
        <v>1071</v>
      </c>
      <c r="B234" s="680" t="s">
        <v>956</v>
      </c>
      <c r="C234" s="851"/>
    </row>
    <row r="235" spans="1:3">
      <c r="A235" s="680" t="s">
        <v>1070</v>
      </c>
      <c r="B235" s="680" t="s">
        <v>955</v>
      </c>
      <c r="C235" s="851"/>
    </row>
    <row r="236" spans="1:3">
      <c r="A236" s="680" t="s">
        <v>1136</v>
      </c>
      <c r="B236" s="829" t="s">
        <v>1060</v>
      </c>
      <c r="C236" s="851"/>
    </row>
    <row r="237" spans="1:3">
      <c r="A237" s="680" t="s">
        <v>1137</v>
      </c>
      <c r="B237" s="829" t="s">
        <v>1061</v>
      </c>
      <c r="C237" s="851"/>
    </row>
    <row r="238" spans="1:3">
      <c r="A238" s="680" t="s">
        <v>1138</v>
      </c>
      <c r="B238" s="829" t="s">
        <v>1062</v>
      </c>
      <c r="C238" s="851"/>
    </row>
    <row r="239" spans="1:3">
      <c r="A239" s="680" t="s">
        <v>1139</v>
      </c>
      <c r="B239" s="829" t="s">
        <v>1063</v>
      </c>
      <c r="C239" s="851"/>
    </row>
    <row r="240" spans="1:3">
      <c r="A240" s="680" t="s">
        <v>1140</v>
      </c>
      <c r="B240" s="829" t="s">
        <v>1064</v>
      </c>
      <c r="C240" s="851"/>
    </row>
    <row r="241" spans="1:3">
      <c r="A241" s="680" t="s">
        <v>1141</v>
      </c>
      <c r="B241" s="829" t="s">
        <v>1065</v>
      </c>
      <c r="C241" s="851"/>
    </row>
    <row r="242" spans="1:3">
      <c r="A242" s="680" t="s">
        <v>1142</v>
      </c>
      <c r="B242" s="829" t="s">
        <v>1066</v>
      </c>
      <c r="C242" s="851"/>
    </row>
    <row r="243" spans="1:3">
      <c r="A243" s="680" t="s">
        <v>1143</v>
      </c>
      <c r="B243" s="829" t="s">
        <v>1067</v>
      </c>
      <c r="C243" s="851"/>
    </row>
    <row r="244" spans="1:3">
      <c r="A244" s="680" t="s">
        <v>1144</v>
      </c>
      <c r="B244" s="829" t="s">
        <v>1068</v>
      </c>
      <c r="C244" s="851"/>
    </row>
    <row r="245" spans="1:3">
      <c r="A245" s="680" t="s">
        <v>1145</v>
      </c>
      <c r="B245" s="829" t="s">
        <v>1069</v>
      </c>
      <c r="C245" s="851"/>
    </row>
    <row r="246" spans="1:3">
      <c r="A246" s="680" t="s">
        <v>1115</v>
      </c>
      <c r="B246" s="680" t="s">
        <v>939</v>
      </c>
      <c r="C246" s="851"/>
    </row>
    <row r="247" spans="1:3">
      <c r="A247" s="680" t="s">
        <v>1116</v>
      </c>
      <c r="B247" s="829" t="s">
        <v>944</v>
      </c>
      <c r="C247" s="851"/>
    </row>
    <row r="248" spans="1:3">
      <c r="A248" s="680" t="s">
        <v>1117</v>
      </c>
      <c r="B248" s="829" t="s">
        <v>949</v>
      </c>
      <c r="C248" s="851"/>
    </row>
    <row r="249" spans="1:3">
      <c r="A249" s="680" t="s">
        <v>1118</v>
      </c>
      <c r="B249" s="829" t="s">
        <v>950</v>
      </c>
      <c r="C249" s="851"/>
    </row>
    <row r="250" spans="1:3">
      <c r="A250" s="680" t="s">
        <v>1119</v>
      </c>
      <c r="B250" s="829" t="s">
        <v>951</v>
      </c>
      <c r="C250" s="851"/>
    </row>
    <row r="251" spans="1:3">
      <c r="A251" s="680" t="s">
        <v>1146</v>
      </c>
      <c r="B251" s="829" t="s">
        <v>945</v>
      </c>
      <c r="C251" s="851"/>
    </row>
    <row r="252" spans="1:3">
      <c r="A252" s="680" t="s">
        <v>1149</v>
      </c>
      <c r="B252" s="829" t="s">
        <v>952</v>
      </c>
      <c r="C252" s="851"/>
    </row>
    <row r="253" spans="1:3">
      <c r="A253" s="680" t="s">
        <v>1147</v>
      </c>
      <c r="B253" s="829" t="s">
        <v>953</v>
      </c>
      <c r="C253" s="851"/>
    </row>
    <row r="254" spans="1:3">
      <c r="A254" s="680" t="s">
        <v>1148</v>
      </c>
      <c r="B254" s="829" t="s">
        <v>954</v>
      </c>
      <c r="C254" s="851"/>
    </row>
    <row r="255" spans="1:3">
      <c r="A255" s="680" t="s">
        <v>940</v>
      </c>
      <c r="B255" s="680" t="s">
        <v>940</v>
      </c>
      <c r="C255" s="851"/>
    </row>
    <row r="256" spans="1:3">
      <c r="A256" s="680" t="s">
        <v>1120</v>
      </c>
      <c r="B256" s="680" t="s">
        <v>1057</v>
      </c>
      <c r="C256" s="851"/>
    </row>
    <row r="257" spans="1:3">
      <c r="A257" s="680" t="s">
        <v>1121</v>
      </c>
      <c r="B257" s="680" t="s">
        <v>1072</v>
      </c>
      <c r="C257" s="851"/>
    </row>
    <row r="258" spans="1:3">
      <c r="A258" s="680" t="s">
        <v>1150</v>
      </c>
      <c r="B258" s="680" t="s">
        <v>1073</v>
      </c>
      <c r="C258" s="851"/>
    </row>
    <row r="259" spans="1:3">
      <c r="A259" s="680" t="s">
        <v>1129</v>
      </c>
      <c r="B259" s="680" t="s">
        <v>943</v>
      </c>
      <c r="C259" s="851"/>
    </row>
    <row r="260" spans="1:3">
      <c r="A260" s="680" t="s">
        <v>1122</v>
      </c>
      <c r="B260" s="680" t="s">
        <v>1074</v>
      </c>
      <c r="C260" s="851"/>
    </row>
    <row r="261" spans="1:3">
      <c r="A261" s="681"/>
      <c r="B261" s="681"/>
      <c r="C261" s="851"/>
    </row>
    <row r="262" spans="1:3">
      <c r="A262" s="680" t="s">
        <v>1151</v>
      </c>
      <c r="B262" s="680" t="s">
        <v>1130</v>
      </c>
      <c r="C262" s="851"/>
    </row>
    <row r="263" spans="1:3">
      <c r="A263" s="680" t="s">
        <v>1153</v>
      </c>
      <c r="B263" s="680" t="s">
        <v>1131</v>
      </c>
      <c r="C263" s="851"/>
    </row>
    <row r="264" spans="1:3">
      <c r="A264" s="680" t="s">
        <v>1152</v>
      </c>
      <c r="B264" s="680" t="s">
        <v>1132</v>
      </c>
      <c r="C264" s="851"/>
    </row>
    <row r="265" spans="1:3">
      <c r="A265" s="680" t="s">
        <v>1759</v>
      </c>
      <c r="B265" s="680" t="s">
        <v>1758</v>
      </c>
    </row>
    <row r="266" spans="1:3">
      <c r="A266" s="680" t="s">
        <v>1764</v>
      </c>
      <c r="B266" s="680" t="s">
        <v>1760</v>
      </c>
    </row>
    <row r="267" spans="1:3">
      <c r="A267" s="680" t="s">
        <v>1765</v>
      </c>
      <c r="B267" s="680" t="s">
        <v>1761</v>
      </c>
    </row>
    <row r="268" spans="1:3">
      <c r="A268" s="680" t="s">
        <v>1762</v>
      </c>
      <c r="B268" s="680" t="s">
        <v>1763</v>
      </c>
    </row>
    <row r="269" spans="1:3">
      <c r="A269" s="680" t="s">
        <v>2507</v>
      </c>
      <c r="B269" s="680" t="s">
        <v>2508</v>
      </c>
    </row>
    <row r="270" spans="1:3">
      <c r="A270" s="985" t="s">
        <v>3348</v>
      </c>
      <c r="B270" s="985" t="s">
        <v>3349</v>
      </c>
      <c r="C270" s="985" t="s">
        <v>3349</v>
      </c>
    </row>
    <row r="271" spans="1:3">
      <c r="A271" s="985" t="s">
        <v>3346</v>
      </c>
      <c r="B271" s="985" t="s">
        <v>3346</v>
      </c>
      <c r="C271" s="985" t="s">
        <v>3346</v>
      </c>
    </row>
  </sheetData>
  <sheetProtection algorithmName="SHA-512" hashValue="e47PS1WRmVB5nR2IJJ2j5d92QBOk+AwDQzqnu/NVx1WXw5uwgy5Tk7A9TCSkzeAIbYHQ4XgZ9q0sWkWzMavwaw==" saltValue="nR0kpdai62Dd8DM/vFs8RQ==" spinCount="100000" sheet="1" objects="1" scenarios="1"/>
  <customSheetViews>
    <customSheetView guid="{727552C9-10E3-4948-B2AE-8FE165517887}" state="hidden" topLeftCell="A19">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255" priority="132"/>
  </conditionalFormatting>
  <conditionalFormatting sqref="A2">
    <cfRule type="duplicateValues" dxfId="254" priority="131"/>
  </conditionalFormatting>
  <conditionalFormatting sqref="A4:A5">
    <cfRule type="duplicateValues" dxfId="253" priority="130"/>
  </conditionalFormatting>
  <conditionalFormatting sqref="A9">
    <cfRule type="duplicateValues" dxfId="252" priority="129"/>
  </conditionalFormatting>
  <conditionalFormatting sqref="A10:A11">
    <cfRule type="duplicateValues" dxfId="251" priority="128"/>
  </conditionalFormatting>
  <conditionalFormatting sqref="A12">
    <cfRule type="duplicateValues" dxfId="250" priority="127"/>
  </conditionalFormatting>
  <conditionalFormatting sqref="A13">
    <cfRule type="duplicateValues" dxfId="249" priority="126"/>
  </conditionalFormatting>
  <conditionalFormatting sqref="A14:A16">
    <cfRule type="duplicateValues" dxfId="248" priority="125"/>
  </conditionalFormatting>
  <conditionalFormatting sqref="A19:A20">
    <cfRule type="duplicateValues" dxfId="247" priority="124"/>
  </conditionalFormatting>
  <conditionalFormatting sqref="A21">
    <cfRule type="duplicateValues" dxfId="246" priority="123"/>
  </conditionalFormatting>
  <conditionalFormatting sqref="A22">
    <cfRule type="duplicateValues" dxfId="245" priority="122"/>
  </conditionalFormatting>
  <conditionalFormatting sqref="A27">
    <cfRule type="duplicateValues" dxfId="244" priority="121"/>
  </conditionalFormatting>
  <conditionalFormatting sqref="A24">
    <cfRule type="duplicateValues" dxfId="243" priority="120"/>
  </conditionalFormatting>
  <conditionalFormatting sqref="A26">
    <cfRule type="duplicateValues" dxfId="242" priority="119"/>
  </conditionalFormatting>
  <conditionalFormatting sqref="A28">
    <cfRule type="duplicateValues" dxfId="241" priority="118"/>
  </conditionalFormatting>
  <conditionalFormatting sqref="A29:A30">
    <cfRule type="duplicateValues" dxfId="240" priority="117"/>
  </conditionalFormatting>
  <conditionalFormatting sqref="A31">
    <cfRule type="duplicateValues" dxfId="239" priority="116"/>
  </conditionalFormatting>
  <conditionalFormatting sqref="A32">
    <cfRule type="duplicateValues" dxfId="238" priority="115"/>
  </conditionalFormatting>
  <conditionalFormatting sqref="A33">
    <cfRule type="duplicateValues" dxfId="237" priority="114"/>
  </conditionalFormatting>
  <conditionalFormatting sqref="A35:A38">
    <cfRule type="duplicateValues" dxfId="236" priority="113"/>
  </conditionalFormatting>
  <conditionalFormatting sqref="A34">
    <cfRule type="duplicateValues" dxfId="235" priority="112"/>
  </conditionalFormatting>
  <conditionalFormatting sqref="A39">
    <cfRule type="duplicateValues" dxfId="234" priority="111"/>
  </conditionalFormatting>
  <conditionalFormatting sqref="A41:A42">
    <cfRule type="duplicateValues" dxfId="233" priority="110"/>
  </conditionalFormatting>
  <conditionalFormatting sqref="A43:A44 A69">
    <cfRule type="duplicateValues" dxfId="232" priority="109"/>
  </conditionalFormatting>
  <conditionalFormatting sqref="A45:A48">
    <cfRule type="duplicateValues" dxfId="231" priority="108"/>
  </conditionalFormatting>
  <conditionalFormatting sqref="B49:B50">
    <cfRule type="duplicateValues" dxfId="230" priority="107"/>
  </conditionalFormatting>
  <conditionalFormatting sqref="A49:A51">
    <cfRule type="duplicateValues" dxfId="229" priority="106"/>
  </conditionalFormatting>
  <conditionalFormatting sqref="A67">
    <cfRule type="duplicateValues" dxfId="228" priority="105"/>
  </conditionalFormatting>
  <conditionalFormatting sqref="A68">
    <cfRule type="duplicateValues" dxfId="227" priority="104"/>
  </conditionalFormatting>
  <conditionalFormatting sqref="A71">
    <cfRule type="duplicateValues" dxfId="226" priority="103"/>
  </conditionalFormatting>
  <conditionalFormatting sqref="A72">
    <cfRule type="duplicateValues" dxfId="225" priority="102"/>
  </conditionalFormatting>
  <conditionalFormatting sqref="A74:A75">
    <cfRule type="duplicateValues" dxfId="224" priority="101"/>
  </conditionalFormatting>
  <conditionalFormatting sqref="A73">
    <cfRule type="duplicateValues" dxfId="223" priority="100"/>
  </conditionalFormatting>
  <conditionalFormatting sqref="A76">
    <cfRule type="duplicateValues" dxfId="222" priority="99"/>
  </conditionalFormatting>
  <conditionalFormatting sqref="A77">
    <cfRule type="duplicateValues" dxfId="221" priority="98"/>
  </conditionalFormatting>
  <conditionalFormatting sqref="A78:A79">
    <cfRule type="duplicateValues" dxfId="220" priority="97"/>
  </conditionalFormatting>
  <conditionalFormatting sqref="A83">
    <cfRule type="duplicateValues" dxfId="219" priority="96"/>
  </conditionalFormatting>
  <conditionalFormatting sqref="A84">
    <cfRule type="duplicateValues" dxfId="218" priority="95"/>
  </conditionalFormatting>
  <conditionalFormatting sqref="A80:A82">
    <cfRule type="duplicateValues" dxfId="217" priority="94"/>
  </conditionalFormatting>
  <conditionalFormatting sqref="A85:A88">
    <cfRule type="duplicateValues" dxfId="216" priority="93"/>
  </conditionalFormatting>
  <conditionalFormatting sqref="A89">
    <cfRule type="duplicateValues" dxfId="215" priority="92"/>
  </conditionalFormatting>
  <conditionalFormatting sqref="A90">
    <cfRule type="duplicateValues" dxfId="214" priority="91"/>
  </conditionalFormatting>
  <conditionalFormatting sqref="A91:A92">
    <cfRule type="duplicateValues" dxfId="213" priority="90"/>
  </conditionalFormatting>
  <conditionalFormatting sqref="A93:A94">
    <cfRule type="duplicateValues" dxfId="212" priority="89"/>
  </conditionalFormatting>
  <conditionalFormatting sqref="A95">
    <cfRule type="duplicateValues" dxfId="211" priority="88"/>
  </conditionalFormatting>
  <conditionalFormatting sqref="A97">
    <cfRule type="duplicateValues" dxfId="210" priority="87"/>
  </conditionalFormatting>
  <conditionalFormatting sqref="A98">
    <cfRule type="duplicateValues" dxfId="209" priority="86"/>
  </conditionalFormatting>
  <conditionalFormatting sqref="A103">
    <cfRule type="duplicateValues" dxfId="208" priority="85"/>
  </conditionalFormatting>
  <conditionalFormatting sqref="A104">
    <cfRule type="duplicateValues" dxfId="207" priority="84"/>
  </conditionalFormatting>
  <conditionalFormatting sqref="A105">
    <cfRule type="duplicateValues" dxfId="206" priority="83"/>
  </conditionalFormatting>
  <conditionalFormatting sqref="A106">
    <cfRule type="duplicateValues" dxfId="205" priority="82"/>
  </conditionalFormatting>
  <conditionalFormatting sqref="A107">
    <cfRule type="duplicateValues" dxfId="204" priority="81"/>
  </conditionalFormatting>
  <conditionalFormatting sqref="A116:A118 A120:A121">
    <cfRule type="duplicateValues" dxfId="203" priority="80"/>
  </conditionalFormatting>
  <conditionalFormatting sqref="A124:A127">
    <cfRule type="duplicateValues" dxfId="202" priority="79"/>
  </conditionalFormatting>
  <conditionalFormatting sqref="A129:A133">
    <cfRule type="duplicateValues" dxfId="201" priority="133"/>
  </conditionalFormatting>
  <conditionalFormatting sqref="A109 A111:A113">
    <cfRule type="duplicateValues" dxfId="200" priority="78"/>
  </conditionalFormatting>
  <conditionalFormatting sqref="A108">
    <cfRule type="duplicateValues" dxfId="199" priority="77"/>
  </conditionalFormatting>
  <conditionalFormatting sqref="A122">
    <cfRule type="duplicateValues" dxfId="198" priority="76"/>
  </conditionalFormatting>
  <conditionalFormatting sqref="A128">
    <cfRule type="duplicateValues" dxfId="197" priority="75"/>
  </conditionalFormatting>
  <conditionalFormatting sqref="A135">
    <cfRule type="duplicateValues" dxfId="196" priority="74"/>
  </conditionalFormatting>
  <conditionalFormatting sqref="A136">
    <cfRule type="duplicateValues" dxfId="195" priority="73"/>
  </conditionalFormatting>
  <conditionalFormatting sqref="A139:A140">
    <cfRule type="duplicateValues" dxfId="194" priority="72"/>
  </conditionalFormatting>
  <conditionalFormatting sqref="A137:A138">
    <cfRule type="duplicateValues" dxfId="193" priority="71"/>
  </conditionalFormatting>
  <conditionalFormatting sqref="A141">
    <cfRule type="duplicateValues" dxfId="192" priority="70"/>
  </conditionalFormatting>
  <conditionalFormatting sqref="B142">
    <cfRule type="duplicateValues" dxfId="191" priority="69"/>
  </conditionalFormatting>
  <conditionalFormatting sqref="A142">
    <cfRule type="duplicateValues" dxfId="190" priority="68"/>
  </conditionalFormatting>
  <conditionalFormatting sqref="A144">
    <cfRule type="duplicateValues" dxfId="189" priority="67"/>
  </conditionalFormatting>
  <conditionalFormatting sqref="A143">
    <cfRule type="duplicateValues" dxfId="188" priority="66"/>
  </conditionalFormatting>
  <conditionalFormatting sqref="A145">
    <cfRule type="duplicateValues" dxfId="187" priority="65"/>
  </conditionalFormatting>
  <conditionalFormatting sqref="A146">
    <cfRule type="duplicateValues" dxfId="186" priority="64"/>
  </conditionalFormatting>
  <conditionalFormatting sqref="A147:A148">
    <cfRule type="duplicateValues" dxfId="185" priority="63"/>
  </conditionalFormatting>
  <conditionalFormatting sqref="A149:A150">
    <cfRule type="duplicateValues" dxfId="184" priority="62"/>
  </conditionalFormatting>
  <conditionalFormatting sqref="A151">
    <cfRule type="duplicateValues" dxfId="183" priority="61"/>
  </conditionalFormatting>
  <conditionalFormatting sqref="A152:A160">
    <cfRule type="duplicateValues" dxfId="182" priority="60"/>
  </conditionalFormatting>
  <conditionalFormatting sqref="A161">
    <cfRule type="duplicateValues" dxfId="181" priority="59"/>
  </conditionalFormatting>
  <conditionalFormatting sqref="A162">
    <cfRule type="duplicateValues" dxfId="180" priority="58"/>
  </conditionalFormatting>
  <conditionalFormatting sqref="A163">
    <cfRule type="duplicateValues" dxfId="179" priority="57"/>
  </conditionalFormatting>
  <conditionalFormatting sqref="A164:A166">
    <cfRule type="duplicateValues" dxfId="178" priority="56"/>
  </conditionalFormatting>
  <conditionalFormatting sqref="A167">
    <cfRule type="duplicateValues" dxfId="177" priority="55"/>
  </conditionalFormatting>
  <conditionalFormatting sqref="A168">
    <cfRule type="duplicateValues" dxfId="176" priority="54"/>
  </conditionalFormatting>
  <conditionalFormatting sqref="A175">
    <cfRule type="duplicateValues" dxfId="175" priority="53"/>
  </conditionalFormatting>
  <conditionalFormatting sqref="A177">
    <cfRule type="duplicateValues" dxfId="174" priority="52"/>
  </conditionalFormatting>
  <conditionalFormatting sqref="A179">
    <cfRule type="duplicateValues" dxfId="173" priority="51"/>
  </conditionalFormatting>
  <conditionalFormatting sqref="A180:A186">
    <cfRule type="duplicateValues" dxfId="172" priority="50"/>
  </conditionalFormatting>
  <conditionalFormatting sqref="A189">
    <cfRule type="duplicateValues" dxfId="171" priority="49"/>
  </conditionalFormatting>
  <conditionalFormatting sqref="A188">
    <cfRule type="duplicateValues" dxfId="170" priority="48"/>
  </conditionalFormatting>
  <conditionalFormatting sqref="A190">
    <cfRule type="duplicateValues" dxfId="169" priority="47"/>
  </conditionalFormatting>
  <conditionalFormatting sqref="A191">
    <cfRule type="duplicateValues" dxfId="168" priority="46"/>
  </conditionalFormatting>
  <conditionalFormatting sqref="A193">
    <cfRule type="duplicateValues" dxfId="167" priority="44"/>
  </conditionalFormatting>
  <conditionalFormatting sqref="A194">
    <cfRule type="duplicateValues" dxfId="166" priority="43"/>
  </conditionalFormatting>
  <conditionalFormatting sqref="A195">
    <cfRule type="duplicateValues" dxfId="165" priority="42"/>
  </conditionalFormatting>
  <conditionalFormatting sqref="A196">
    <cfRule type="duplicateValues" dxfId="164" priority="41"/>
  </conditionalFormatting>
  <conditionalFormatting sqref="A197">
    <cfRule type="duplicateValues" dxfId="163" priority="40"/>
  </conditionalFormatting>
  <conditionalFormatting sqref="A198">
    <cfRule type="duplicateValues" dxfId="162" priority="39"/>
  </conditionalFormatting>
  <conditionalFormatting sqref="A199">
    <cfRule type="duplicateValues" dxfId="161" priority="38"/>
  </conditionalFormatting>
  <conditionalFormatting sqref="A200">
    <cfRule type="duplicateValues" dxfId="160" priority="37"/>
  </conditionalFormatting>
  <conditionalFormatting sqref="A201">
    <cfRule type="duplicateValues" dxfId="159" priority="36"/>
  </conditionalFormatting>
  <conditionalFormatting sqref="A202">
    <cfRule type="duplicateValues" dxfId="158" priority="35"/>
  </conditionalFormatting>
  <conditionalFormatting sqref="A203">
    <cfRule type="duplicateValues" dxfId="157" priority="34"/>
  </conditionalFormatting>
  <conditionalFormatting sqref="A204:A205">
    <cfRule type="duplicateValues" dxfId="156" priority="33"/>
  </conditionalFormatting>
  <conditionalFormatting sqref="A207:A210">
    <cfRule type="duplicateValues" dxfId="155" priority="32"/>
  </conditionalFormatting>
  <conditionalFormatting sqref="A211">
    <cfRule type="duplicateValues" dxfId="154" priority="31"/>
  </conditionalFormatting>
  <conditionalFormatting sqref="A212:A213">
    <cfRule type="duplicateValues" dxfId="153" priority="30"/>
  </conditionalFormatting>
  <conditionalFormatting sqref="A214:A215">
    <cfRule type="duplicateValues" dxfId="152" priority="29"/>
  </conditionalFormatting>
  <conditionalFormatting sqref="A221:A222">
    <cfRule type="duplicateValues" dxfId="151" priority="28"/>
  </conditionalFormatting>
  <conditionalFormatting sqref="A216">
    <cfRule type="duplicateValues" dxfId="150" priority="27"/>
  </conditionalFormatting>
  <conditionalFormatting sqref="A217">
    <cfRule type="duplicateValues" dxfId="149" priority="26"/>
  </conditionalFormatting>
  <conditionalFormatting sqref="A218:A220">
    <cfRule type="duplicateValues" dxfId="148" priority="134"/>
  </conditionalFormatting>
  <conditionalFormatting sqref="A223 A225">
    <cfRule type="duplicateValues" dxfId="147" priority="25"/>
  </conditionalFormatting>
  <conditionalFormatting sqref="A224">
    <cfRule type="duplicateValues" dxfId="146" priority="24"/>
  </conditionalFormatting>
  <conditionalFormatting sqref="A226">
    <cfRule type="duplicateValues" dxfId="145" priority="23"/>
  </conditionalFormatting>
  <conditionalFormatting sqref="A229">
    <cfRule type="duplicateValues" dxfId="144" priority="22"/>
  </conditionalFormatting>
  <conditionalFormatting sqref="A230">
    <cfRule type="duplicateValues" dxfId="143" priority="21"/>
  </conditionalFormatting>
  <conditionalFormatting sqref="A40">
    <cfRule type="duplicateValues" dxfId="142" priority="20"/>
  </conditionalFormatting>
  <conditionalFormatting sqref="A23">
    <cfRule type="duplicateValues" dxfId="141" priority="19"/>
  </conditionalFormatting>
  <conditionalFormatting sqref="A232">
    <cfRule type="duplicateValues" dxfId="140" priority="18"/>
  </conditionalFormatting>
  <conditionalFormatting sqref="B233:B234">
    <cfRule type="duplicateValues" dxfId="139" priority="17"/>
  </conditionalFormatting>
  <conditionalFormatting sqref="B157:B160">
    <cfRule type="duplicateValues" dxfId="138" priority="16"/>
  </conditionalFormatting>
  <conditionalFormatting sqref="A25">
    <cfRule type="duplicateValues" dxfId="137" priority="15"/>
  </conditionalFormatting>
  <conditionalFormatting sqref="A192">
    <cfRule type="duplicateValues" dxfId="136" priority="14"/>
  </conditionalFormatting>
  <conditionalFormatting sqref="A187">
    <cfRule type="duplicateValues" dxfId="135" priority="13"/>
  </conditionalFormatting>
  <conditionalFormatting sqref="A268 A266">
    <cfRule type="duplicateValues" dxfId="134" priority="10"/>
  </conditionalFormatting>
  <conditionalFormatting sqref="A267">
    <cfRule type="duplicateValues" dxfId="133" priority="9"/>
  </conditionalFormatting>
  <conditionalFormatting sqref="B267">
    <cfRule type="duplicateValues" dxfId="132" priority="8"/>
  </conditionalFormatting>
  <conditionalFormatting sqref="A269">
    <cfRule type="duplicateValues" dxfId="131" priority="7"/>
  </conditionalFormatting>
  <conditionalFormatting sqref="A271">
    <cfRule type="duplicateValues" dxfId="130" priority="3"/>
  </conditionalFormatting>
  <conditionalFormatting sqref="B271">
    <cfRule type="duplicateValues" dxfId="129" priority="2"/>
  </conditionalFormatting>
  <conditionalFormatting sqref="C271">
    <cfRule type="duplicateValues" dxfId="128" priority="1"/>
  </conditionalFormatting>
  <pageMargins left="0.7" right="0.7" top="0.78740157499999996" bottom="0.78740157499999996" header="0.3" footer="0.3"/>
  <pageSetup paperSize="9"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71"/>
  <sheetViews>
    <sheetView tabSelected="1" topLeftCell="A148" workbookViewId="0">
      <selection activeCell="C278" sqref="C278"/>
    </sheetView>
  </sheetViews>
  <sheetFormatPr defaultColWidth="11.44140625" defaultRowHeight="14.4"/>
  <cols>
    <col min="1" max="1" width="48.44140625" style="680" customWidth="1"/>
    <col min="2" max="2" width="42.88671875" style="680" customWidth="1"/>
    <col min="3" max="3" width="42.88671875" style="832" customWidth="1"/>
  </cols>
  <sheetData>
    <row r="1" spans="1:3">
      <c r="A1" s="827" t="s">
        <v>7</v>
      </c>
      <c r="B1" s="827" t="s">
        <v>9</v>
      </c>
      <c r="C1" s="828" t="s">
        <v>8</v>
      </c>
    </row>
    <row r="2" spans="1:3">
      <c r="A2" s="680" t="s">
        <v>593</v>
      </c>
      <c r="B2" s="680" t="s">
        <v>594</v>
      </c>
      <c r="C2" s="847"/>
    </row>
    <row r="3" spans="1:3">
      <c r="A3" s="680" t="s">
        <v>357</v>
      </c>
      <c r="B3" s="680" t="s">
        <v>357</v>
      </c>
      <c r="C3" s="847"/>
    </row>
    <row r="4" spans="1:3">
      <c r="A4" s="681" t="s">
        <v>482</v>
      </c>
      <c r="B4" s="681" t="s">
        <v>483</v>
      </c>
      <c r="C4" s="847"/>
    </row>
    <row r="5" spans="1:3">
      <c r="A5" s="680" t="s">
        <v>11</v>
      </c>
      <c r="B5" s="680" t="s">
        <v>10</v>
      </c>
      <c r="C5" s="847"/>
    </row>
    <row r="6" spans="1:3">
      <c r="A6" s="680" t="s">
        <v>21</v>
      </c>
      <c r="B6" s="680" t="s">
        <v>20</v>
      </c>
      <c r="C6" s="847"/>
    </row>
    <row r="7" spans="1:3">
      <c r="A7" s="680" t="s">
        <v>903</v>
      </c>
      <c r="B7" s="680" t="s">
        <v>902</v>
      </c>
      <c r="C7" s="847"/>
    </row>
    <row r="8" spans="1:3">
      <c r="A8" s="680" t="s">
        <v>55</v>
      </c>
      <c r="B8" s="680" t="s">
        <v>904</v>
      </c>
      <c r="C8" s="847"/>
    </row>
    <row r="9" spans="1:3">
      <c r="A9" s="680" t="s">
        <v>484</v>
      </c>
      <c r="B9" s="680" t="s">
        <v>480</v>
      </c>
      <c r="C9" s="847"/>
    </row>
    <row r="10" spans="1:3">
      <c r="A10" s="680" t="s">
        <v>485</v>
      </c>
      <c r="B10" s="680" t="s">
        <v>469</v>
      </c>
      <c r="C10" s="847"/>
    </row>
    <row r="11" spans="1:3">
      <c r="A11" s="680" t="s">
        <v>486</v>
      </c>
      <c r="B11" s="680" t="s">
        <v>470</v>
      </c>
      <c r="C11" s="847"/>
    </row>
    <row r="12" spans="1:3">
      <c r="A12" s="680" t="s">
        <v>13</v>
      </c>
      <c r="B12" s="680" t="s">
        <v>12</v>
      </c>
      <c r="C12" s="847"/>
    </row>
    <row r="13" spans="1:3">
      <c r="A13" s="681" t="s">
        <v>490</v>
      </c>
      <c r="B13" s="681" t="s">
        <v>448</v>
      </c>
      <c r="C13" s="847"/>
    </row>
    <row r="14" spans="1:3">
      <c r="A14" s="682" t="s">
        <v>900</v>
      </c>
      <c r="B14" s="682" t="s">
        <v>900</v>
      </c>
      <c r="C14" s="847"/>
    </row>
    <row r="15" spans="1:3">
      <c r="A15" s="680" t="s">
        <v>487</v>
      </c>
      <c r="B15" s="680" t="s">
        <v>488</v>
      </c>
      <c r="C15" s="847"/>
    </row>
    <row r="16" spans="1:3">
      <c r="A16" s="680" t="s">
        <v>468</v>
      </c>
      <c r="B16" s="680" t="s">
        <v>468</v>
      </c>
      <c r="C16" s="847"/>
    </row>
    <row r="17" spans="1:3">
      <c r="A17" s="680" t="s">
        <v>364</v>
      </c>
      <c r="B17" s="680" t="s">
        <v>364</v>
      </c>
      <c r="C17" s="847"/>
    </row>
    <row r="18" spans="1:3">
      <c r="A18" s="680" t="s">
        <v>905</v>
      </c>
      <c r="B18" s="680" t="s">
        <v>905</v>
      </c>
      <c r="C18" s="847"/>
    </row>
    <row r="19" spans="1:3">
      <c r="A19" s="680" t="s">
        <v>18</v>
      </c>
      <c r="B19" s="680" t="s">
        <v>19</v>
      </c>
      <c r="C19" s="848"/>
    </row>
    <row r="20" spans="1:3">
      <c r="A20" s="680" t="s">
        <v>123</v>
      </c>
      <c r="B20" s="680" t="s">
        <v>124</v>
      </c>
      <c r="C20" s="847"/>
    </row>
    <row r="21" spans="1:3">
      <c r="A21" s="680" t="s">
        <v>489</v>
      </c>
      <c r="B21" s="680" t="s">
        <v>22</v>
      </c>
      <c r="C21" s="847"/>
    </row>
    <row r="22" spans="1:3">
      <c r="A22" s="681" t="s">
        <v>1095</v>
      </c>
      <c r="B22" s="681" t="s">
        <v>1095</v>
      </c>
      <c r="C22" s="847"/>
    </row>
    <row r="23" spans="1:3">
      <c r="A23" s="680" t="s">
        <v>1008</v>
      </c>
      <c r="B23" s="680" t="s">
        <v>1007</v>
      </c>
      <c r="C23" s="847"/>
    </row>
    <row r="24" spans="1:3">
      <c r="A24" s="680" t="s">
        <v>33</v>
      </c>
      <c r="B24" s="680" t="s">
        <v>32</v>
      </c>
      <c r="C24" s="847"/>
    </row>
    <row r="25" spans="1:3">
      <c r="A25" s="680" t="s">
        <v>1742</v>
      </c>
      <c r="B25" s="680" t="s">
        <v>1741</v>
      </c>
      <c r="C25" s="847"/>
    </row>
    <row r="26" spans="1:3">
      <c r="A26" s="829" t="s">
        <v>854</v>
      </c>
      <c r="B26" s="829" t="s">
        <v>854</v>
      </c>
      <c r="C26" s="847"/>
    </row>
    <row r="27" spans="1:3">
      <c r="A27" s="680" t="s">
        <v>491</v>
      </c>
      <c r="B27" s="680" t="s">
        <v>449</v>
      </c>
      <c r="C27" s="847"/>
    </row>
    <row r="28" spans="1:3">
      <c r="A28" s="681" t="s">
        <v>1104</v>
      </c>
      <c r="B28" s="681" t="s">
        <v>1096</v>
      </c>
      <c r="C28" s="847"/>
    </row>
    <row r="29" spans="1:3">
      <c r="A29" s="680" t="s">
        <v>577</v>
      </c>
      <c r="B29" s="680" t="s">
        <v>30</v>
      </c>
      <c r="C29" s="847"/>
    </row>
    <row r="30" spans="1:3">
      <c r="A30" s="680" t="s">
        <v>578</v>
      </c>
      <c r="B30" s="680" t="s">
        <v>31</v>
      </c>
      <c r="C30" s="847"/>
    </row>
    <row r="31" spans="1:3">
      <c r="A31" s="680" t="s">
        <v>14</v>
      </c>
      <c r="B31" s="680" t="s">
        <v>778</v>
      </c>
      <c r="C31" s="847"/>
    </row>
    <row r="32" spans="1:3">
      <c r="A32" s="680" t="s">
        <v>15</v>
      </c>
      <c r="B32" s="680" t="s">
        <v>16</v>
      </c>
      <c r="C32" s="847"/>
    </row>
    <row r="33" spans="1:3">
      <c r="A33" s="680" t="s">
        <v>362</v>
      </c>
      <c r="B33" s="680" t="s">
        <v>363</v>
      </c>
      <c r="C33" s="847"/>
    </row>
    <row r="34" spans="1:3">
      <c r="A34" s="680" t="s">
        <v>29</v>
      </c>
      <c r="B34" s="680" t="s">
        <v>28</v>
      </c>
      <c r="C34" s="847"/>
    </row>
    <row r="35" spans="1:3">
      <c r="A35" s="829" t="s">
        <v>504</v>
      </c>
      <c r="B35" s="680" t="s">
        <v>507</v>
      </c>
      <c r="C35" s="847"/>
    </row>
    <row r="36" spans="1:3">
      <c r="A36" s="829" t="s">
        <v>26</v>
      </c>
      <c r="B36" s="680" t="s">
        <v>25</v>
      </c>
      <c r="C36" s="847"/>
    </row>
    <row r="37" spans="1:3">
      <c r="A37" s="829" t="s">
        <v>906</v>
      </c>
      <c r="B37" s="680" t="s">
        <v>27</v>
      </c>
      <c r="C37" s="847"/>
    </row>
    <row r="38" spans="1:3">
      <c r="A38" s="829" t="s">
        <v>89</v>
      </c>
      <c r="B38" s="680" t="s">
        <v>89</v>
      </c>
      <c r="C38" s="847"/>
    </row>
    <row r="39" spans="1:3">
      <c r="A39" s="829" t="s">
        <v>506</v>
      </c>
      <c r="B39" s="680" t="s">
        <v>509</v>
      </c>
      <c r="C39" s="847"/>
    </row>
    <row r="40" spans="1:3">
      <c r="A40" s="680" t="s">
        <v>934</v>
      </c>
      <c r="B40" s="680" t="s">
        <v>935</v>
      </c>
      <c r="C40" s="847"/>
    </row>
    <row r="41" spans="1:3">
      <c r="A41" s="680" t="s">
        <v>105</v>
      </c>
      <c r="B41" s="680" t="s">
        <v>100</v>
      </c>
      <c r="C41" s="849"/>
    </row>
    <row r="42" spans="1:3">
      <c r="A42" s="680" t="s">
        <v>106</v>
      </c>
      <c r="B42" s="680" t="s">
        <v>99</v>
      </c>
      <c r="C42" s="847"/>
    </row>
    <row r="43" spans="1:3">
      <c r="A43" s="829" t="s">
        <v>873</v>
      </c>
      <c r="B43" s="829" t="s">
        <v>848</v>
      </c>
      <c r="C43" s="847"/>
    </row>
    <row r="44" spans="1:3">
      <c r="A44" s="829" t="s">
        <v>874</v>
      </c>
      <c r="B44" s="829" t="s">
        <v>849</v>
      </c>
      <c r="C44" s="847"/>
    </row>
    <row r="45" spans="1:3">
      <c r="A45" s="829" t="s">
        <v>875</v>
      </c>
      <c r="B45" s="829" t="s">
        <v>850</v>
      </c>
      <c r="C45" s="847"/>
    </row>
    <row r="46" spans="1:3">
      <c r="A46" s="829" t="s">
        <v>876</v>
      </c>
      <c r="B46" s="829" t="s">
        <v>852</v>
      </c>
      <c r="C46" s="847"/>
    </row>
    <row r="47" spans="1:3">
      <c r="A47" s="829" t="s">
        <v>877</v>
      </c>
      <c r="B47" s="829" t="s">
        <v>851</v>
      </c>
      <c r="C47" s="847"/>
    </row>
    <row r="48" spans="1:3">
      <c r="A48" s="829" t="s">
        <v>878</v>
      </c>
      <c r="B48" s="829" t="s">
        <v>853</v>
      </c>
      <c r="C48" s="847"/>
    </row>
    <row r="49" spans="1:3">
      <c r="A49" s="830" t="s">
        <v>879</v>
      </c>
      <c r="B49" s="829" t="s">
        <v>855</v>
      </c>
      <c r="C49" s="847"/>
    </row>
    <row r="50" spans="1:3">
      <c r="A50" s="830" t="s">
        <v>880</v>
      </c>
      <c r="B50" s="829" t="s">
        <v>857</v>
      </c>
      <c r="C50" s="847"/>
    </row>
    <row r="51" spans="1:3" ht="27.6">
      <c r="A51" s="830" t="s">
        <v>881</v>
      </c>
      <c r="B51" s="830" t="s">
        <v>867</v>
      </c>
      <c r="C51" s="847"/>
    </row>
    <row r="52" spans="1:3">
      <c r="A52" s="830" t="s">
        <v>882</v>
      </c>
      <c r="B52" s="829" t="s">
        <v>859</v>
      </c>
      <c r="C52" s="847"/>
    </row>
    <row r="53" spans="1:3" ht="27.6">
      <c r="A53" s="830" t="s">
        <v>1083</v>
      </c>
      <c r="B53" s="830" t="s">
        <v>1082</v>
      </c>
      <c r="C53" s="847"/>
    </row>
    <row r="54" spans="1:3" ht="41.4">
      <c r="A54" s="830" t="s">
        <v>883</v>
      </c>
      <c r="B54" s="830" t="s">
        <v>861</v>
      </c>
      <c r="C54" s="847"/>
    </row>
    <row r="55" spans="1:3">
      <c r="A55" s="830" t="s">
        <v>884</v>
      </c>
      <c r="B55" s="830" t="s">
        <v>868</v>
      </c>
      <c r="C55" s="847"/>
    </row>
    <row r="56" spans="1:3" ht="41.4">
      <c r="A56" s="830" t="s">
        <v>885</v>
      </c>
      <c r="B56" s="830" t="s">
        <v>862</v>
      </c>
      <c r="C56" s="847"/>
    </row>
    <row r="57" spans="1:3" ht="27.6">
      <c r="A57" s="830" t="s">
        <v>886</v>
      </c>
      <c r="B57" s="830" t="s">
        <v>856</v>
      </c>
      <c r="C57" s="847"/>
    </row>
    <row r="58" spans="1:3" ht="27.6">
      <c r="A58" s="830" t="s">
        <v>893</v>
      </c>
      <c r="B58" s="830" t="s">
        <v>869</v>
      </c>
      <c r="C58" s="847"/>
    </row>
    <row r="59" spans="1:3">
      <c r="A59" s="830" t="s">
        <v>887</v>
      </c>
      <c r="B59" s="829" t="s">
        <v>858</v>
      </c>
      <c r="C59" s="847"/>
    </row>
    <row r="60" spans="1:3" ht="41.4">
      <c r="A60" s="830" t="s">
        <v>888</v>
      </c>
      <c r="B60" s="830" t="s">
        <v>860</v>
      </c>
      <c r="C60" s="847"/>
    </row>
    <row r="61" spans="1:3" ht="27.6">
      <c r="A61" s="830" t="s">
        <v>889</v>
      </c>
      <c r="B61" s="830" t="s">
        <v>863</v>
      </c>
      <c r="C61" s="847"/>
    </row>
    <row r="62" spans="1:3" ht="27.6">
      <c r="A62" s="830" t="s">
        <v>890</v>
      </c>
      <c r="B62" s="830" t="s">
        <v>864</v>
      </c>
      <c r="C62" s="847"/>
    </row>
    <row r="63" spans="1:3" ht="27.6">
      <c r="A63" s="830" t="s">
        <v>891</v>
      </c>
      <c r="B63" s="829" t="s">
        <v>865</v>
      </c>
      <c r="C63" s="847"/>
    </row>
    <row r="64" spans="1:3" ht="27.6">
      <c r="A64" s="830" t="s">
        <v>892</v>
      </c>
      <c r="B64" s="829" t="s">
        <v>866</v>
      </c>
      <c r="C64" s="847"/>
    </row>
    <row r="65" spans="1:3">
      <c r="A65" s="830" t="s">
        <v>1105</v>
      </c>
      <c r="B65" s="829" t="s">
        <v>932</v>
      </c>
      <c r="C65" s="847"/>
    </row>
    <row r="66" spans="1:3">
      <c r="A66" s="830" t="s">
        <v>1106</v>
      </c>
      <c r="B66" s="829" t="s">
        <v>933</v>
      </c>
      <c r="C66" s="847"/>
    </row>
    <row r="67" spans="1:3">
      <c r="A67" s="681" t="s">
        <v>1107</v>
      </c>
      <c r="B67" s="681" t="s">
        <v>1097</v>
      </c>
      <c r="C67" s="847"/>
    </row>
    <row r="68" spans="1:3">
      <c r="A68" s="680" t="s">
        <v>453</v>
      </c>
      <c r="B68" s="680" t="s">
        <v>453</v>
      </c>
      <c r="C68" s="847"/>
    </row>
    <row r="69" spans="1:3">
      <c r="A69" s="829" t="s">
        <v>50</v>
      </c>
      <c r="B69" s="829" t="s">
        <v>49</v>
      </c>
      <c r="C69" s="847"/>
    </row>
    <row r="70" spans="1:3">
      <c r="A70" s="680" t="s">
        <v>787</v>
      </c>
      <c r="B70" s="829" t="s">
        <v>786</v>
      </c>
      <c r="C70" s="847"/>
    </row>
    <row r="71" spans="1:3">
      <c r="A71" s="680" t="s">
        <v>501</v>
      </c>
      <c r="B71" s="680" t="s">
        <v>471</v>
      </c>
      <c r="C71" s="847"/>
    </row>
    <row r="72" spans="1:3">
      <c r="A72" s="829" t="s">
        <v>834</v>
      </c>
      <c r="B72" s="829" t="s">
        <v>835</v>
      </c>
      <c r="C72" s="847"/>
    </row>
    <row r="73" spans="1:3">
      <c r="A73" s="680" t="s">
        <v>836</v>
      </c>
      <c r="B73" s="680" t="s">
        <v>837</v>
      </c>
      <c r="C73" s="847"/>
    </row>
    <row r="74" spans="1:3">
      <c r="A74" s="680" t="s">
        <v>359</v>
      </c>
      <c r="B74" s="680" t="s">
        <v>361</v>
      </c>
      <c r="C74" s="847"/>
    </row>
    <row r="75" spans="1:3">
      <c r="A75" s="680" t="s">
        <v>358</v>
      </c>
      <c r="B75" s="680" t="s">
        <v>360</v>
      </c>
      <c r="C75" s="847"/>
    </row>
    <row r="76" spans="1:3">
      <c r="A76" s="680" t="s">
        <v>502</v>
      </c>
      <c r="B76" s="680" t="s">
        <v>474</v>
      </c>
      <c r="C76" s="847"/>
    </row>
    <row r="77" spans="1:3">
      <c r="A77" s="680" t="s">
        <v>35</v>
      </c>
      <c r="B77" s="680" t="s">
        <v>34</v>
      </c>
      <c r="C77" s="847"/>
    </row>
    <row r="78" spans="1:3">
      <c r="A78" s="680" t="s">
        <v>37</v>
      </c>
      <c r="B78" s="680" t="s">
        <v>40</v>
      </c>
      <c r="C78" s="847"/>
    </row>
    <row r="79" spans="1:3">
      <c r="A79" s="680" t="s">
        <v>39</v>
      </c>
      <c r="B79" s="680" t="s">
        <v>38</v>
      </c>
      <c r="C79" s="847"/>
    </row>
    <row r="80" spans="1:3">
      <c r="A80" s="680" t="s">
        <v>493</v>
      </c>
      <c r="B80" s="680" t="s">
        <v>797</v>
      </c>
      <c r="C80" s="847"/>
    </row>
    <row r="81" spans="1:3">
      <c r="A81" s="680" t="s">
        <v>1056</v>
      </c>
      <c r="B81" s="680" t="s">
        <v>942</v>
      </c>
      <c r="C81" s="847"/>
    </row>
    <row r="82" spans="1:3">
      <c r="A82" s="680" t="s">
        <v>72</v>
      </c>
      <c r="B82" s="680" t="s">
        <v>73</v>
      </c>
      <c r="C82" s="847"/>
    </row>
    <row r="83" spans="1:3">
      <c r="A83" s="680" t="s">
        <v>36</v>
      </c>
      <c r="B83" s="680" t="s">
        <v>1</v>
      </c>
      <c r="C83" s="847"/>
    </row>
    <row r="84" spans="1:3">
      <c r="A84" s="829" t="s">
        <v>583</v>
      </c>
      <c r="B84" s="829" t="s">
        <v>582</v>
      </c>
      <c r="C84" s="847"/>
    </row>
    <row r="85" spans="1:3">
      <c r="A85" s="680" t="s">
        <v>1055</v>
      </c>
      <c r="B85" s="680" t="s">
        <v>450</v>
      </c>
      <c r="C85" s="847"/>
    </row>
    <row r="86" spans="1:3">
      <c r="A86" s="680" t="s">
        <v>495</v>
      </c>
      <c r="B86" s="680" t="s">
        <v>452</v>
      </c>
      <c r="C86" s="847"/>
    </row>
    <row r="87" spans="1:3">
      <c r="A87" s="680" t="s">
        <v>496</v>
      </c>
      <c r="B87" s="680" t="s">
        <v>494</v>
      </c>
      <c r="C87" s="847"/>
    </row>
    <row r="88" spans="1:3">
      <c r="A88" s="680" t="s">
        <v>3342</v>
      </c>
      <c r="B88" s="680" t="s">
        <v>3341</v>
      </c>
      <c r="C88" s="847"/>
    </row>
    <row r="89" spans="1:3">
      <c r="A89" s="680" t="s">
        <v>785</v>
      </c>
      <c r="B89" s="680" t="s">
        <v>809</v>
      </c>
      <c r="C89" s="847"/>
    </row>
    <row r="90" spans="1:3">
      <c r="A90" s="680" t="s">
        <v>498</v>
      </c>
      <c r="B90" s="680" t="s">
        <v>472</v>
      </c>
      <c r="C90" s="847"/>
    </row>
    <row r="91" spans="1:3">
      <c r="A91" s="680" t="s">
        <v>499</v>
      </c>
      <c r="B91" s="680" t="s">
        <v>473</v>
      </c>
      <c r="C91" s="847"/>
    </row>
    <row r="92" spans="1:3">
      <c r="A92" s="680" t="s">
        <v>500</v>
      </c>
      <c r="B92" s="680" t="s">
        <v>475</v>
      </c>
      <c r="C92" s="849"/>
    </row>
    <row r="93" spans="1:3">
      <c r="A93" s="680" t="s">
        <v>503</v>
      </c>
      <c r="B93" s="680" t="s">
        <v>459</v>
      </c>
      <c r="C93" s="849"/>
    </row>
    <row r="94" spans="1:3">
      <c r="A94" s="680" t="s">
        <v>908</v>
      </c>
      <c r="B94" s="680" t="s">
        <v>907</v>
      </c>
      <c r="C94" s="849"/>
    </row>
    <row r="95" spans="1:3">
      <c r="A95" s="680" t="s">
        <v>492</v>
      </c>
      <c r="B95" s="680" t="s">
        <v>466</v>
      </c>
      <c r="C95" s="849"/>
    </row>
    <row r="96" spans="1:3">
      <c r="A96" s="681" t="s">
        <v>927</v>
      </c>
      <c r="B96" s="831" t="s">
        <v>927</v>
      </c>
      <c r="C96" s="847"/>
    </row>
    <row r="97" spans="1:3">
      <c r="A97" s="829" t="s">
        <v>805</v>
      </c>
      <c r="B97" s="682" t="s">
        <v>806</v>
      </c>
      <c r="C97" s="847"/>
    </row>
    <row r="98" spans="1:3">
      <c r="A98" s="829" t="s">
        <v>589</v>
      </c>
      <c r="B98" s="680" t="s">
        <v>590</v>
      </c>
      <c r="C98" s="847"/>
    </row>
    <row r="99" spans="1:3">
      <c r="A99" s="680" t="s">
        <v>792</v>
      </c>
      <c r="B99" s="832" t="s">
        <v>782</v>
      </c>
      <c r="C99" s="847"/>
    </row>
    <row r="100" spans="1:3">
      <c r="A100" s="680" t="s">
        <v>793</v>
      </c>
      <c r="B100" s="832" t="s">
        <v>783</v>
      </c>
      <c r="C100" s="847"/>
    </row>
    <row r="101" spans="1:3">
      <c r="A101" s="680" t="s">
        <v>794</v>
      </c>
      <c r="B101" s="832" t="s">
        <v>784</v>
      </c>
      <c r="C101" s="847"/>
    </row>
    <row r="102" spans="1:3">
      <c r="A102" s="680" t="s">
        <v>781</v>
      </c>
      <c r="B102" s="829" t="s">
        <v>780</v>
      </c>
      <c r="C102" s="847"/>
    </row>
    <row r="103" spans="1:3">
      <c r="A103" s="829" t="s">
        <v>505</v>
      </c>
      <c r="B103" s="680" t="s">
        <v>508</v>
      </c>
      <c r="C103" s="847"/>
    </row>
    <row r="104" spans="1:3">
      <c r="A104" s="829" t="s">
        <v>510</v>
      </c>
      <c r="B104" s="680" t="s">
        <v>511</v>
      </c>
      <c r="C104" s="847"/>
    </row>
    <row r="105" spans="1:3" ht="41.4">
      <c r="A105" s="833" t="s">
        <v>513</v>
      </c>
      <c r="B105" s="682" t="s">
        <v>481</v>
      </c>
      <c r="C105" s="847"/>
    </row>
    <row r="106" spans="1:3">
      <c r="A106" s="684" t="s">
        <v>928</v>
      </c>
      <c r="B106" s="684" t="s">
        <v>929</v>
      </c>
      <c r="C106" s="847"/>
    </row>
    <row r="107" spans="1:3" ht="27.6">
      <c r="A107" s="829" t="s">
        <v>516</v>
      </c>
      <c r="B107" s="682" t="s">
        <v>515</v>
      </c>
      <c r="C107" s="847"/>
    </row>
    <row r="108" spans="1:3">
      <c r="A108" s="680" t="s">
        <v>70</v>
      </c>
      <c r="B108" s="680" t="s">
        <v>71</v>
      </c>
      <c r="C108" s="847"/>
    </row>
    <row r="109" spans="1:3">
      <c r="A109" s="829" t="s">
        <v>533</v>
      </c>
      <c r="B109" s="680" t="s">
        <v>444</v>
      </c>
      <c r="C109" s="847"/>
    </row>
    <row r="110" spans="1:3" ht="27.6">
      <c r="A110" s="830" t="s">
        <v>534</v>
      </c>
      <c r="B110" s="680" t="s">
        <v>430</v>
      </c>
      <c r="C110" s="847"/>
    </row>
    <row r="111" spans="1:3">
      <c r="A111" s="829" t="s">
        <v>535</v>
      </c>
      <c r="B111" s="680" t="s">
        <v>434</v>
      </c>
      <c r="C111" s="847"/>
    </row>
    <row r="112" spans="1:3">
      <c r="A112" s="829" t="s">
        <v>536</v>
      </c>
      <c r="B112" s="680" t="s">
        <v>438</v>
      </c>
      <c r="C112" s="847"/>
    </row>
    <row r="113" spans="1:3">
      <c r="A113" s="829" t="s">
        <v>538</v>
      </c>
      <c r="B113" s="680" t="s">
        <v>537</v>
      </c>
      <c r="C113" s="847"/>
    </row>
    <row r="114" spans="1:3" ht="27.6">
      <c r="A114" s="830" t="s">
        <v>539</v>
      </c>
      <c r="B114" s="680" t="s">
        <v>445</v>
      </c>
      <c r="C114" s="847"/>
    </row>
    <row r="115" spans="1:3">
      <c r="A115" s="680" t="s">
        <v>24</v>
      </c>
      <c r="B115" s="680" t="s">
        <v>23</v>
      </c>
      <c r="C115" s="847"/>
    </row>
    <row r="116" spans="1:3">
      <c r="A116" s="829" t="s">
        <v>517</v>
      </c>
      <c r="B116" s="680" t="s">
        <v>427</v>
      </c>
      <c r="C116" s="847"/>
    </row>
    <row r="117" spans="1:3">
      <c r="A117" s="829" t="s">
        <v>518</v>
      </c>
      <c r="B117" s="680" t="s">
        <v>431</v>
      </c>
      <c r="C117" s="847"/>
    </row>
    <row r="118" spans="1:3">
      <c r="A118" s="829" t="s">
        <v>519</v>
      </c>
      <c r="B118" s="680" t="s">
        <v>435</v>
      </c>
      <c r="C118" s="847"/>
    </row>
    <row r="119" spans="1:3" ht="27.6">
      <c r="A119" s="830" t="s">
        <v>520</v>
      </c>
      <c r="B119" s="830" t="s">
        <v>439</v>
      </c>
      <c r="C119" s="847"/>
    </row>
    <row r="120" spans="1:3">
      <c r="A120" s="829" t="s">
        <v>521</v>
      </c>
      <c r="B120" s="680" t="s">
        <v>442</v>
      </c>
      <c r="C120" s="847"/>
    </row>
    <row r="121" spans="1:3">
      <c r="A121" s="829" t="s">
        <v>522</v>
      </c>
      <c r="B121" s="680" t="s">
        <v>446</v>
      </c>
      <c r="C121" s="847"/>
    </row>
    <row r="122" spans="1:3">
      <c r="A122" s="680" t="s">
        <v>74</v>
      </c>
      <c r="B122" s="680" t="s">
        <v>74</v>
      </c>
      <c r="C122" s="847"/>
    </row>
    <row r="123" spans="1:3" ht="27.6">
      <c r="A123" s="830" t="s">
        <v>528</v>
      </c>
      <c r="B123" s="680" t="s">
        <v>447</v>
      </c>
      <c r="C123" s="847"/>
    </row>
    <row r="124" spans="1:3">
      <c r="A124" s="829" t="s">
        <v>529</v>
      </c>
      <c r="B124" s="680" t="s">
        <v>429</v>
      </c>
      <c r="C124" s="847"/>
    </row>
    <row r="125" spans="1:3">
      <c r="A125" s="829" t="s">
        <v>530</v>
      </c>
      <c r="B125" s="680" t="s">
        <v>433</v>
      </c>
      <c r="C125" s="847"/>
    </row>
    <row r="126" spans="1:3">
      <c r="A126" s="829" t="s">
        <v>531</v>
      </c>
      <c r="B126" s="680" t="s">
        <v>437</v>
      </c>
      <c r="C126" s="849"/>
    </row>
    <row r="127" spans="1:3">
      <c r="A127" s="829" t="s">
        <v>532</v>
      </c>
      <c r="B127" s="680" t="s">
        <v>441</v>
      </c>
      <c r="C127" s="849"/>
    </row>
    <row r="128" spans="1:3">
      <c r="A128" s="680" t="s">
        <v>72</v>
      </c>
      <c r="B128" s="680" t="s">
        <v>73</v>
      </c>
      <c r="C128" s="847"/>
    </row>
    <row r="129" spans="1:3">
      <c r="A129" s="829" t="s">
        <v>523</v>
      </c>
      <c r="B129" s="680" t="s">
        <v>428</v>
      </c>
      <c r="C129" s="847"/>
    </row>
    <row r="130" spans="1:3">
      <c r="A130" s="829" t="s">
        <v>524</v>
      </c>
      <c r="B130" s="680" t="s">
        <v>432</v>
      </c>
      <c r="C130" s="847"/>
    </row>
    <row r="131" spans="1:3">
      <c r="A131" s="829" t="s">
        <v>525</v>
      </c>
      <c r="B131" s="680" t="s">
        <v>436</v>
      </c>
      <c r="C131" s="847"/>
    </row>
    <row r="132" spans="1:3">
      <c r="A132" s="829" t="s">
        <v>526</v>
      </c>
      <c r="B132" s="680" t="s">
        <v>440</v>
      </c>
      <c r="C132" s="847"/>
    </row>
    <row r="133" spans="1:3">
      <c r="A133" s="829" t="s">
        <v>527</v>
      </c>
      <c r="B133" s="680" t="s">
        <v>443</v>
      </c>
      <c r="C133" s="847"/>
    </row>
    <row r="134" spans="1:3">
      <c r="A134" s="680" t="s">
        <v>909</v>
      </c>
      <c r="B134" s="680" t="s">
        <v>75</v>
      </c>
      <c r="C134" s="847"/>
    </row>
    <row r="135" spans="1:3">
      <c r="A135" s="680" t="s">
        <v>514</v>
      </c>
      <c r="B135" s="680" t="s">
        <v>5</v>
      </c>
      <c r="C135" s="847"/>
    </row>
    <row r="136" spans="1:3">
      <c r="A136" s="681" t="s">
        <v>41</v>
      </c>
      <c r="B136" s="681" t="s">
        <v>46</v>
      </c>
      <c r="C136" s="847"/>
    </row>
    <row r="137" spans="1:3">
      <c r="A137" s="680" t="s">
        <v>871</v>
      </c>
      <c r="B137" s="680" t="s">
        <v>870</v>
      </c>
      <c r="C137" s="847"/>
    </row>
    <row r="138" spans="1:3">
      <c r="A138" s="680" t="s">
        <v>872</v>
      </c>
      <c r="B138" s="680" t="s">
        <v>899</v>
      </c>
      <c r="C138" s="847"/>
    </row>
    <row r="139" spans="1:3">
      <c r="A139" s="680" t="s">
        <v>42</v>
      </c>
      <c r="B139" s="680" t="s">
        <v>47</v>
      </c>
      <c r="C139" s="847"/>
    </row>
    <row r="140" spans="1:3">
      <c r="A140" s="680" t="s">
        <v>44</v>
      </c>
      <c r="B140" s="680" t="s">
        <v>43</v>
      </c>
      <c r="C140" s="847"/>
    </row>
    <row r="141" spans="1:3">
      <c r="A141" s="682" t="s">
        <v>896</v>
      </c>
      <c r="B141" s="680" t="s">
        <v>894</v>
      </c>
      <c r="C141" s="848"/>
    </row>
    <row r="142" spans="1:3" ht="27.6">
      <c r="A142" s="682" t="s">
        <v>898</v>
      </c>
      <c r="B142" s="682" t="s">
        <v>897</v>
      </c>
      <c r="C142" s="850"/>
    </row>
    <row r="143" spans="1:3">
      <c r="A143" s="831" t="s">
        <v>923</v>
      </c>
      <c r="B143" s="681" t="s">
        <v>924</v>
      </c>
      <c r="C143" s="847"/>
    </row>
    <row r="144" spans="1:3">
      <c r="A144" s="829" t="s">
        <v>911</v>
      </c>
      <c r="B144" s="680" t="s">
        <v>910</v>
      </c>
      <c r="C144" s="847"/>
    </row>
    <row r="145" spans="1:3">
      <c r="A145" s="681" t="s">
        <v>912</v>
      </c>
      <c r="B145" s="681" t="s">
        <v>913</v>
      </c>
      <c r="C145" s="847"/>
    </row>
    <row r="146" spans="1:3">
      <c r="A146" s="829" t="s">
        <v>788</v>
      </c>
      <c r="B146" s="829" t="s">
        <v>789</v>
      </c>
      <c r="C146" s="851"/>
    </row>
    <row r="147" spans="1:3">
      <c r="A147" s="829" t="s">
        <v>790</v>
      </c>
      <c r="B147" s="829" t="s">
        <v>795</v>
      </c>
      <c r="C147" s="851"/>
    </row>
    <row r="148" spans="1:3">
      <c r="A148" s="829" t="s">
        <v>791</v>
      </c>
      <c r="B148" s="829" t="s">
        <v>796</v>
      </c>
      <c r="C148" s="851"/>
    </row>
    <row r="149" spans="1:3">
      <c r="A149" s="829" t="s">
        <v>541</v>
      </c>
      <c r="B149" s="680" t="s">
        <v>419</v>
      </c>
      <c r="C149" s="851"/>
    </row>
    <row r="150" spans="1:3">
      <c r="A150" s="829" t="s">
        <v>549</v>
      </c>
      <c r="B150" s="680" t="s">
        <v>548</v>
      </c>
      <c r="C150" s="851"/>
    </row>
    <row r="151" spans="1:3">
      <c r="A151" s="829" t="s">
        <v>580</v>
      </c>
      <c r="B151" s="680" t="s">
        <v>550</v>
      </c>
      <c r="C151" s="851"/>
    </row>
    <row r="152" spans="1:3">
      <c r="A152" s="829" t="s">
        <v>551</v>
      </c>
      <c r="B152" s="680" t="s">
        <v>421</v>
      </c>
      <c r="C152" s="851"/>
    </row>
    <row r="153" spans="1:3">
      <c r="A153" s="829" t="s">
        <v>552</v>
      </c>
      <c r="B153" s="680" t="s">
        <v>422</v>
      </c>
      <c r="C153" s="851"/>
    </row>
    <row r="154" spans="1:3">
      <c r="A154" s="829" t="s">
        <v>543</v>
      </c>
      <c r="B154" s="680" t="s">
        <v>423</v>
      </c>
      <c r="C154" s="851"/>
    </row>
    <row r="155" spans="1:3">
      <c r="A155" s="829" t="s">
        <v>544</v>
      </c>
      <c r="B155" s="680" t="s">
        <v>424</v>
      </c>
      <c r="C155" s="851"/>
    </row>
    <row r="156" spans="1:3">
      <c r="A156" s="829" t="s">
        <v>545</v>
      </c>
      <c r="B156" s="680" t="s">
        <v>425</v>
      </c>
      <c r="C156" s="851"/>
    </row>
    <row r="157" spans="1:3">
      <c r="A157" s="829" t="s">
        <v>994</v>
      </c>
      <c r="B157" s="829" t="s">
        <v>1075</v>
      </c>
      <c r="C157" s="851"/>
    </row>
    <row r="158" spans="1:3">
      <c r="A158" s="829" t="s">
        <v>995</v>
      </c>
      <c r="B158" s="829" t="s">
        <v>1076</v>
      </c>
      <c r="C158" s="851"/>
    </row>
    <row r="159" spans="1:3">
      <c r="A159" s="829" t="s">
        <v>1124</v>
      </c>
      <c r="B159" s="829" t="s">
        <v>1123</v>
      </c>
      <c r="C159" s="851"/>
    </row>
    <row r="160" spans="1:3">
      <c r="A160" s="829" t="s">
        <v>996</v>
      </c>
      <c r="B160" s="829" t="s">
        <v>1077</v>
      </c>
      <c r="C160" s="851"/>
    </row>
    <row r="161" spans="1:3">
      <c r="A161" s="831" t="s">
        <v>540</v>
      </c>
      <c r="B161" s="681" t="s">
        <v>1125</v>
      </c>
      <c r="C161" s="851"/>
    </row>
    <row r="162" spans="1:3">
      <c r="A162" s="831" t="s">
        <v>914</v>
      </c>
      <c r="B162" s="681" t="s">
        <v>840</v>
      </c>
      <c r="C162" s="851"/>
    </row>
    <row r="163" spans="1:3">
      <c r="A163" s="829" t="s">
        <v>542</v>
      </c>
      <c r="B163" s="680" t="s">
        <v>420</v>
      </c>
      <c r="C163" s="851"/>
    </row>
    <row r="164" spans="1:3">
      <c r="A164" s="829" t="s">
        <v>546</v>
      </c>
      <c r="B164" s="680" t="s">
        <v>45</v>
      </c>
      <c r="C164" s="851"/>
    </row>
    <row r="165" spans="1:3">
      <c r="A165" s="829" t="s">
        <v>547</v>
      </c>
      <c r="B165" s="680" t="s">
        <v>584</v>
      </c>
      <c r="C165" s="851"/>
    </row>
    <row r="166" spans="1:3">
      <c r="A166" s="829" t="s">
        <v>581</v>
      </c>
      <c r="B166" s="829" t="s">
        <v>48</v>
      </c>
      <c r="C166" s="851"/>
    </row>
    <row r="167" spans="1:3" ht="27.6">
      <c r="A167" s="834" t="s">
        <v>801</v>
      </c>
      <c r="B167" s="834" t="s">
        <v>802</v>
      </c>
      <c r="C167" s="851"/>
    </row>
    <row r="168" spans="1:3">
      <c r="A168" s="829" t="s">
        <v>585</v>
      </c>
      <c r="B168" s="829" t="s">
        <v>426</v>
      </c>
      <c r="C168" s="851"/>
    </row>
    <row r="169" spans="1:3">
      <c r="A169" s="829" t="s">
        <v>764</v>
      </c>
      <c r="B169" s="680" t="s">
        <v>764</v>
      </c>
      <c r="C169" s="851"/>
    </row>
    <row r="170" spans="1:3" ht="41.4">
      <c r="A170" s="830" t="s">
        <v>765</v>
      </c>
      <c r="B170" s="830" t="s">
        <v>766</v>
      </c>
      <c r="C170" s="851"/>
    </row>
    <row r="171" spans="1:3">
      <c r="A171" s="680" t="s">
        <v>768</v>
      </c>
      <c r="B171" s="829" t="s">
        <v>767</v>
      </c>
      <c r="C171" s="851"/>
    </row>
    <row r="172" spans="1:3">
      <c r="A172" s="680" t="s">
        <v>586</v>
      </c>
      <c r="B172" s="680" t="s">
        <v>779</v>
      </c>
      <c r="C172" s="851"/>
    </row>
    <row r="173" spans="1:3">
      <c r="A173" s="680" t="s">
        <v>770</v>
      </c>
      <c r="B173" s="829" t="s">
        <v>769</v>
      </c>
      <c r="C173" s="851"/>
    </row>
    <row r="174" spans="1:3">
      <c r="A174" s="680" t="s">
        <v>592</v>
      </c>
      <c r="B174" s="829" t="s">
        <v>591</v>
      </c>
      <c r="C174" s="851"/>
    </row>
    <row r="175" spans="1:3">
      <c r="A175" s="829" t="s">
        <v>1154</v>
      </c>
      <c r="B175" s="680" t="s">
        <v>1058</v>
      </c>
      <c r="C175" s="851"/>
    </row>
    <row r="176" spans="1:3" ht="27.6">
      <c r="A176" s="830" t="s">
        <v>1155</v>
      </c>
      <c r="B176" s="830" t="s">
        <v>1059</v>
      </c>
      <c r="C176" s="851"/>
    </row>
    <row r="177" spans="1:3">
      <c r="A177" s="835"/>
      <c r="B177" s="685"/>
      <c r="C177" s="851"/>
    </row>
    <row r="178" spans="1:3">
      <c r="A178" s="681" t="s">
        <v>923</v>
      </c>
      <c r="B178" s="681" t="s">
        <v>1128</v>
      </c>
      <c r="C178" s="851"/>
    </row>
    <row r="179" spans="1:3">
      <c r="A179" s="680" t="s">
        <v>587</v>
      </c>
      <c r="B179" s="682" t="s">
        <v>588</v>
      </c>
      <c r="C179" s="851"/>
    </row>
    <row r="180" spans="1:3">
      <c r="A180" s="680" t="s">
        <v>553</v>
      </c>
      <c r="B180" s="680" t="s">
        <v>455</v>
      </c>
      <c r="C180" s="851"/>
    </row>
    <row r="181" spans="1:3">
      <c r="A181" s="680" t="s">
        <v>554</v>
      </c>
      <c r="B181" s="680" t="s">
        <v>456</v>
      </c>
      <c r="C181" s="851"/>
    </row>
    <row r="182" spans="1:3">
      <c r="A182" s="680" t="s">
        <v>555</v>
      </c>
      <c r="B182" s="680" t="s">
        <v>476</v>
      </c>
      <c r="C182" s="851"/>
    </row>
    <row r="183" spans="1:3">
      <c r="A183" s="680" t="s">
        <v>556</v>
      </c>
      <c r="B183" s="680" t="s">
        <v>477</v>
      </c>
      <c r="C183" s="851"/>
    </row>
    <row r="184" spans="1:3">
      <c r="A184" s="680" t="s">
        <v>557</v>
      </c>
      <c r="B184" s="680" t="s">
        <v>478</v>
      </c>
      <c r="C184" s="851"/>
    </row>
    <row r="185" spans="1:3">
      <c r="A185" s="680" t="s">
        <v>558</v>
      </c>
      <c r="B185" s="680" t="s">
        <v>479</v>
      </c>
      <c r="C185" s="851"/>
    </row>
    <row r="186" spans="1:3">
      <c r="A186" s="680" t="s">
        <v>915</v>
      </c>
      <c r="B186" s="680" t="s">
        <v>595</v>
      </c>
      <c r="C186" s="851"/>
    </row>
    <row r="187" spans="1:3">
      <c r="A187" s="680" t="s">
        <v>1746</v>
      </c>
      <c r="B187" s="680" t="s">
        <v>1747</v>
      </c>
      <c r="C187" s="851"/>
    </row>
    <row r="188" spans="1:3">
      <c r="A188" s="681" t="s">
        <v>1126</v>
      </c>
      <c r="B188" s="681" t="s">
        <v>1127</v>
      </c>
      <c r="C188" s="851"/>
    </row>
    <row r="189" spans="1:3">
      <c r="A189" s="680" t="s">
        <v>916</v>
      </c>
      <c r="B189" s="680" t="s">
        <v>917</v>
      </c>
      <c r="C189" s="851"/>
    </row>
    <row r="190" spans="1:3">
      <c r="A190" s="680" t="s">
        <v>570</v>
      </c>
      <c r="B190" s="680" t="s">
        <v>596</v>
      </c>
      <c r="C190" s="851"/>
    </row>
    <row r="191" spans="1:3">
      <c r="A191" s="680" t="s">
        <v>119</v>
      </c>
      <c r="B191" s="680" t="s">
        <v>367</v>
      </c>
      <c r="C191" s="851"/>
    </row>
    <row r="192" spans="1:3">
      <c r="A192" s="680" t="s">
        <v>1745</v>
      </c>
      <c r="B192" s="680" t="s">
        <v>1744</v>
      </c>
      <c r="C192" s="851"/>
    </row>
    <row r="193" spans="1:3">
      <c r="A193" s="681" t="s">
        <v>1108</v>
      </c>
      <c r="B193" s="681" t="s">
        <v>1109</v>
      </c>
      <c r="C193" s="851"/>
    </row>
    <row r="194" spans="1:3">
      <c r="A194" s="680" t="s">
        <v>562</v>
      </c>
      <c r="B194" s="680" t="s">
        <v>457</v>
      </c>
      <c r="C194" s="851"/>
    </row>
    <row r="195" spans="1:3">
      <c r="A195" s="680" t="s">
        <v>563</v>
      </c>
      <c r="B195" s="680" t="s">
        <v>458</v>
      </c>
      <c r="C195" s="851"/>
    </row>
    <row r="196" spans="1:3">
      <c r="A196" s="680" t="s">
        <v>571</v>
      </c>
      <c r="B196" s="680" t="s">
        <v>2</v>
      </c>
      <c r="C196" s="851"/>
    </row>
    <row r="197" spans="1:3">
      <c r="A197" s="680" t="s">
        <v>0</v>
      </c>
      <c r="B197" s="680" t="s">
        <v>0</v>
      </c>
      <c r="C197" s="851"/>
    </row>
    <row r="198" spans="1:3">
      <c r="A198" s="680" t="s">
        <v>52</v>
      </c>
      <c r="B198" s="680" t="s">
        <v>4</v>
      </c>
      <c r="C198" s="851"/>
    </row>
    <row r="199" spans="1:3">
      <c r="A199" s="680" t="s">
        <v>51</v>
      </c>
      <c r="B199" s="680" t="s">
        <v>3</v>
      </c>
      <c r="C199" s="851"/>
    </row>
    <row r="200" spans="1:3">
      <c r="A200" s="680" t="s">
        <v>564</v>
      </c>
      <c r="B200" s="680" t="s">
        <v>460</v>
      </c>
      <c r="C200" s="851"/>
    </row>
    <row r="201" spans="1:3">
      <c r="A201" s="680" t="s">
        <v>565</v>
      </c>
      <c r="B201" s="680" t="s">
        <v>512</v>
      </c>
      <c r="C201" s="851"/>
    </row>
    <row r="202" spans="1:3">
      <c r="A202" s="680" t="s">
        <v>566</v>
      </c>
      <c r="B202" s="680" t="s">
        <v>463</v>
      </c>
      <c r="C202" s="851"/>
    </row>
    <row r="203" spans="1:3">
      <c r="A203" s="680" t="s">
        <v>567</v>
      </c>
      <c r="B203" s="680" t="s">
        <v>461</v>
      </c>
      <c r="C203" s="851"/>
    </row>
    <row r="204" spans="1:3">
      <c r="A204" s="680" t="s">
        <v>572</v>
      </c>
      <c r="B204" s="680" t="s">
        <v>464</v>
      </c>
      <c r="C204" s="851"/>
    </row>
    <row r="205" spans="1:3">
      <c r="A205" s="680" t="s">
        <v>568</v>
      </c>
      <c r="B205" s="680" t="s">
        <v>462</v>
      </c>
      <c r="C205" s="851"/>
    </row>
    <row r="206" spans="1:3">
      <c r="A206" s="680" t="s">
        <v>807</v>
      </c>
      <c r="B206" s="680" t="s">
        <v>808</v>
      </c>
      <c r="C206" s="851"/>
    </row>
    <row r="207" spans="1:3">
      <c r="A207" s="680" t="s">
        <v>918</v>
      </c>
      <c r="B207" s="680" t="s">
        <v>919</v>
      </c>
      <c r="C207" s="851"/>
    </row>
    <row r="208" spans="1:3">
      <c r="A208" s="680" t="s">
        <v>569</v>
      </c>
      <c r="B208" s="680" t="s">
        <v>560</v>
      </c>
      <c r="C208" s="851"/>
    </row>
    <row r="209" spans="1:3">
      <c r="A209" s="680" t="s">
        <v>920</v>
      </c>
      <c r="B209" s="680" t="s">
        <v>465</v>
      </c>
      <c r="C209" s="851"/>
    </row>
    <row r="210" spans="1:3">
      <c r="A210" s="680" t="s">
        <v>559</v>
      </c>
      <c r="B210" s="680" t="s">
        <v>561</v>
      </c>
      <c r="C210" s="851"/>
    </row>
    <row r="211" spans="1:3">
      <c r="A211" s="680" t="s">
        <v>107</v>
      </c>
      <c r="B211" s="680" t="s">
        <v>798</v>
      </c>
      <c r="C211" s="851"/>
    </row>
    <row r="212" spans="1:3">
      <c r="A212" s="680" t="s">
        <v>920</v>
      </c>
      <c r="B212" s="680" t="s">
        <v>921</v>
      </c>
      <c r="C212" s="851"/>
    </row>
    <row r="213" spans="1:3">
      <c r="A213" s="680" t="s">
        <v>559</v>
      </c>
      <c r="B213" s="680" t="s">
        <v>561</v>
      </c>
      <c r="C213" s="851"/>
    </row>
    <row r="214" spans="1:3">
      <c r="A214" s="681" t="s">
        <v>1110</v>
      </c>
      <c r="B214" s="681" t="s">
        <v>1111</v>
      </c>
      <c r="C214" s="851"/>
    </row>
    <row r="215" spans="1:3">
      <c r="A215" s="680" t="s">
        <v>1112</v>
      </c>
      <c r="B215" s="680" t="s">
        <v>1113</v>
      </c>
      <c r="C215" s="851"/>
    </row>
    <row r="216" spans="1:3">
      <c r="A216" s="680" t="s">
        <v>830</v>
      </c>
      <c r="B216" s="680" t="s">
        <v>831</v>
      </c>
      <c r="C216" s="851"/>
    </row>
    <row r="217" spans="1:3">
      <c r="A217" s="680" t="s">
        <v>111</v>
      </c>
      <c r="B217" s="680" t="s">
        <v>112</v>
      </c>
      <c r="C217" s="851"/>
    </row>
    <row r="218" spans="1:3">
      <c r="A218" s="680" t="s">
        <v>117</v>
      </c>
      <c r="B218" s="680" t="s">
        <v>113</v>
      </c>
      <c r="C218" s="851"/>
    </row>
    <row r="219" spans="1:3">
      <c r="A219" s="680" t="s">
        <v>803</v>
      </c>
      <c r="B219" s="680" t="s">
        <v>804</v>
      </c>
      <c r="C219" s="851"/>
    </row>
    <row r="220" spans="1:3">
      <c r="A220" s="680" t="s">
        <v>832</v>
      </c>
      <c r="B220" s="680" t="s">
        <v>833</v>
      </c>
      <c r="C220" s="851"/>
    </row>
    <row r="221" spans="1:3">
      <c r="A221" s="680" t="s">
        <v>467</v>
      </c>
      <c r="B221" s="680" t="s">
        <v>467</v>
      </c>
      <c r="C221" s="851"/>
    </row>
    <row r="222" spans="1:3">
      <c r="A222" s="680" t="s">
        <v>365</v>
      </c>
      <c r="B222" s="680" t="s">
        <v>365</v>
      </c>
      <c r="C222" s="851"/>
    </row>
    <row r="223" spans="1:3">
      <c r="A223" s="680" t="s">
        <v>53</v>
      </c>
      <c r="B223" s="680" t="s">
        <v>54</v>
      </c>
      <c r="C223" s="851"/>
    </row>
    <row r="224" spans="1:3">
      <c r="A224" s="680" t="s">
        <v>355</v>
      </c>
      <c r="B224" s="680" t="s">
        <v>356</v>
      </c>
      <c r="C224" s="851"/>
    </row>
    <row r="225" spans="1:3">
      <c r="A225" s="680" t="s">
        <v>17</v>
      </c>
      <c r="B225" s="680" t="s">
        <v>800</v>
      </c>
      <c r="C225" s="851"/>
    </row>
    <row r="226" spans="1:3">
      <c r="A226" s="829" t="s">
        <v>799</v>
      </c>
      <c r="B226" s="829" t="s">
        <v>922</v>
      </c>
      <c r="C226" s="851"/>
    </row>
    <row r="227" spans="1:3">
      <c r="A227" s="680" t="s">
        <v>771</v>
      </c>
      <c r="B227" s="829" t="s">
        <v>776</v>
      </c>
      <c r="C227" s="851"/>
    </row>
    <row r="228" spans="1:3">
      <c r="A228" s="680" t="s">
        <v>774</v>
      </c>
      <c r="B228" s="829" t="s">
        <v>775</v>
      </c>
      <c r="C228" s="851"/>
    </row>
    <row r="229" spans="1:3">
      <c r="A229" s="829" t="s">
        <v>772</v>
      </c>
      <c r="B229" s="829" t="s">
        <v>773</v>
      </c>
      <c r="C229" s="851"/>
    </row>
    <row r="230" spans="1:3">
      <c r="A230" s="680" t="s">
        <v>925</v>
      </c>
      <c r="B230" s="680" t="s">
        <v>926</v>
      </c>
      <c r="C230" s="851"/>
    </row>
    <row r="231" spans="1:3">
      <c r="A231" s="680" t="s">
        <v>829</v>
      </c>
      <c r="B231" s="680" t="s">
        <v>828</v>
      </c>
      <c r="C231" s="851"/>
    </row>
    <row r="232" spans="1:3">
      <c r="A232" s="680" t="s">
        <v>1114</v>
      </c>
      <c r="B232" s="680" t="s">
        <v>1084</v>
      </c>
      <c r="C232" s="851"/>
    </row>
    <row r="233" spans="1:3">
      <c r="A233" s="681" t="s">
        <v>1100</v>
      </c>
      <c r="B233" s="681" t="s">
        <v>1101</v>
      </c>
      <c r="C233" s="851"/>
    </row>
    <row r="234" spans="1:3">
      <c r="A234" s="680" t="s">
        <v>1071</v>
      </c>
      <c r="B234" s="680" t="s">
        <v>956</v>
      </c>
      <c r="C234" s="851"/>
    </row>
    <row r="235" spans="1:3">
      <c r="A235" s="680" t="s">
        <v>1070</v>
      </c>
      <c r="B235" s="680" t="s">
        <v>955</v>
      </c>
      <c r="C235" s="851"/>
    </row>
    <row r="236" spans="1:3">
      <c r="A236" s="680" t="s">
        <v>1136</v>
      </c>
      <c r="B236" s="829" t="s">
        <v>1060</v>
      </c>
      <c r="C236" s="851"/>
    </row>
    <row r="237" spans="1:3">
      <c r="A237" s="680" t="s">
        <v>1137</v>
      </c>
      <c r="B237" s="829" t="s">
        <v>1061</v>
      </c>
      <c r="C237" s="851"/>
    </row>
    <row r="238" spans="1:3">
      <c r="A238" s="680" t="s">
        <v>1138</v>
      </c>
      <c r="B238" s="829" t="s">
        <v>1062</v>
      </c>
      <c r="C238" s="851"/>
    </row>
    <row r="239" spans="1:3">
      <c r="A239" s="680" t="s">
        <v>1139</v>
      </c>
      <c r="B239" s="829" t="s">
        <v>1063</v>
      </c>
      <c r="C239" s="851"/>
    </row>
    <row r="240" spans="1:3">
      <c r="A240" s="680" t="s">
        <v>1140</v>
      </c>
      <c r="B240" s="829" t="s">
        <v>1064</v>
      </c>
      <c r="C240" s="851"/>
    </row>
    <row r="241" spans="1:3">
      <c r="A241" s="680" t="s">
        <v>1141</v>
      </c>
      <c r="B241" s="829" t="s">
        <v>1065</v>
      </c>
      <c r="C241" s="851"/>
    </row>
    <row r="242" spans="1:3">
      <c r="A242" s="680" t="s">
        <v>1142</v>
      </c>
      <c r="B242" s="829" t="s">
        <v>1066</v>
      </c>
      <c r="C242" s="851"/>
    </row>
    <row r="243" spans="1:3">
      <c r="A243" s="680" t="s">
        <v>1143</v>
      </c>
      <c r="B243" s="829" t="s">
        <v>1067</v>
      </c>
      <c r="C243" s="851"/>
    </row>
    <row r="244" spans="1:3">
      <c r="A244" s="680" t="s">
        <v>1144</v>
      </c>
      <c r="B244" s="829" t="s">
        <v>1068</v>
      </c>
      <c r="C244" s="851"/>
    </row>
    <row r="245" spans="1:3">
      <c r="A245" s="680" t="s">
        <v>1145</v>
      </c>
      <c r="B245" s="829" t="s">
        <v>1069</v>
      </c>
      <c r="C245" s="851"/>
    </row>
    <row r="246" spans="1:3">
      <c r="A246" s="680" t="s">
        <v>1115</v>
      </c>
      <c r="B246" s="680" t="s">
        <v>939</v>
      </c>
      <c r="C246" s="851"/>
    </row>
    <row r="247" spans="1:3">
      <c r="A247" s="680" t="s">
        <v>1116</v>
      </c>
      <c r="B247" s="829" t="s">
        <v>944</v>
      </c>
      <c r="C247" s="851"/>
    </row>
    <row r="248" spans="1:3">
      <c r="A248" s="680" t="s">
        <v>1117</v>
      </c>
      <c r="B248" s="829" t="s">
        <v>949</v>
      </c>
      <c r="C248" s="851"/>
    </row>
    <row r="249" spans="1:3">
      <c r="A249" s="680" t="s">
        <v>1118</v>
      </c>
      <c r="B249" s="829" t="s">
        <v>950</v>
      </c>
      <c r="C249" s="851"/>
    </row>
    <row r="250" spans="1:3">
      <c r="A250" s="680" t="s">
        <v>1119</v>
      </c>
      <c r="B250" s="829" t="s">
        <v>951</v>
      </c>
      <c r="C250" s="851"/>
    </row>
    <row r="251" spans="1:3">
      <c r="A251" s="680" t="s">
        <v>1146</v>
      </c>
      <c r="B251" s="829" t="s">
        <v>945</v>
      </c>
      <c r="C251" s="851"/>
    </row>
    <row r="252" spans="1:3">
      <c r="A252" s="680" t="s">
        <v>1149</v>
      </c>
      <c r="B252" s="829" t="s">
        <v>952</v>
      </c>
      <c r="C252" s="851"/>
    </row>
    <row r="253" spans="1:3">
      <c r="A253" s="680" t="s">
        <v>1147</v>
      </c>
      <c r="B253" s="829" t="s">
        <v>953</v>
      </c>
      <c r="C253" s="851"/>
    </row>
    <row r="254" spans="1:3">
      <c r="A254" s="680" t="s">
        <v>1148</v>
      </c>
      <c r="B254" s="829" t="s">
        <v>954</v>
      </c>
      <c r="C254" s="851"/>
    </row>
    <row r="255" spans="1:3">
      <c r="A255" s="680" t="s">
        <v>940</v>
      </c>
      <c r="B255" s="680" t="s">
        <v>940</v>
      </c>
      <c r="C255" s="851"/>
    </row>
    <row r="256" spans="1:3">
      <c r="A256" s="680" t="s">
        <v>1120</v>
      </c>
      <c r="B256" s="680" t="s">
        <v>1057</v>
      </c>
      <c r="C256" s="851"/>
    </row>
    <row r="257" spans="1:3">
      <c r="A257" s="680" t="s">
        <v>1121</v>
      </c>
      <c r="B257" s="680" t="s">
        <v>1072</v>
      </c>
      <c r="C257" s="851"/>
    </row>
    <row r="258" spans="1:3">
      <c r="A258" s="680" t="s">
        <v>1150</v>
      </c>
      <c r="B258" s="680" t="s">
        <v>1073</v>
      </c>
      <c r="C258" s="851"/>
    </row>
    <row r="259" spans="1:3">
      <c r="A259" s="680" t="s">
        <v>1129</v>
      </c>
      <c r="B259" s="680" t="s">
        <v>943</v>
      </c>
      <c r="C259" s="851"/>
    </row>
    <row r="260" spans="1:3">
      <c r="A260" s="680" t="s">
        <v>1122</v>
      </c>
      <c r="B260" s="680" t="s">
        <v>1074</v>
      </c>
      <c r="C260" s="851"/>
    </row>
    <row r="261" spans="1:3">
      <c r="A261" s="681"/>
      <c r="B261" s="681"/>
      <c r="C261" s="851"/>
    </row>
    <row r="262" spans="1:3">
      <c r="A262" s="680" t="s">
        <v>1151</v>
      </c>
      <c r="B262" s="680" t="s">
        <v>1130</v>
      </c>
      <c r="C262" s="851"/>
    </row>
    <row r="263" spans="1:3">
      <c r="A263" s="680" t="s">
        <v>1153</v>
      </c>
      <c r="B263" s="680" t="s">
        <v>1131</v>
      </c>
      <c r="C263" s="851"/>
    </row>
    <row r="264" spans="1:3">
      <c r="A264" s="680" t="s">
        <v>1152</v>
      </c>
      <c r="B264" s="680" t="s">
        <v>1132</v>
      </c>
      <c r="C264" s="851"/>
    </row>
    <row r="265" spans="1:3">
      <c r="A265" s="680" t="s">
        <v>1759</v>
      </c>
      <c r="B265" s="680" t="s">
        <v>1758</v>
      </c>
    </row>
    <row r="266" spans="1:3">
      <c r="A266" s="680" t="s">
        <v>1764</v>
      </c>
      <c r="B266" s="680" t="s">
        <v>1760</v>
      </c>
    </row>
    <row r="267" spans="1:3">
      <c r="A267" s="680" t="s">
        <v>1765</v>
      </c>
      <c r="B267" s="680" t="s">
        <v>1761</v>
      </c>
    </row>
    <row r="268" spans="1:3">
      <c r="A268" s="680" t="s">
        <v>1762</v>
      </c>
      <c r="B268" s="680" t="s">
        <v>1763</v>
      </c>
    </row>
    <row r="269" spans="1:3">
      <c r="A269" s="680" t="s">
        <v>2507</v>
      </c>
      <c r="B269" s="680" t="s">
        <v>2508</v>
      </c>
    </row>
    <row r="270" spans="1:3">
      <c r="A270" s="985" t="s">
        <v>3348</v>
      </c>
      <c r="B270" s="985" t="s">
        <v>3349</v>
      </c>
      <c r="C270" s="985" t="s">
        <v>3349</v>
      </c>
    </row>
    <row r="271" spans="1:3">
      <c r="A271" s="985" t="s">
        <v>3346</v>
      </c>
      <c r="B271" s="985" t="s">
        <v>3346</v>
      </c>
      <c r="C271" s="985" t="s">
        <v>3346</v>
      </c>
    </row>
  </sheetData>
  <sheetProtection algorithmName="SHA-512" hashValue="tRluYXRFkh5KVOiRrj69U6laOJ89ibzQPOEHcIF0/pr8wKqAy9Wdv4By7CtY2Uj2stCIm9auksi0O3pHFlA07Q==" saltValue="AcSFrbsaYNzsq2fpnSU5Pg==" spinCount="100000" sheet="1" objects="1" scenarios="1"/>
  <customSheetViews>
    <customSheetView guid="{727552C9-10E3-4948-B2AE-8FE165517887}" state="hidden" topLeftCell="A16">
      <selection activeCell="BB246" sqref="BB246"/>
      <pageMargins left="0.7" right="0.7" top="0.78740157499999996" bottom="0.78740157499999996" header="0.3" footer="0.3"/>
      <pageSetup paperSize="9" orientation="portrait" r:id="rId1"/>
    </customSheetView>
  </customSheetViews>
  <phoneticPr fontId="198" type="noConversion"/>
  <conditionalFormatting sqref="B262:B263 A259:A264 A1 A6:A8 A17:A18 A134 A233:A254">
    <cfRule type="duplicateValues" dxfId="127" priority="132"/>
  </conditionalFormatting>
  <conditionalFormatting sqref="A2">
    <cfRule type="duplicateValues" dxfId="126" priority="131"/>
  </conditionalFormatting>
  <conditionalFormatting sqref="A4:A5">
    <cfRule type="duplicateValues" dxfId="125" priority="130"/>
  </conditionalFormatting>
  <conditionalFormatting sqref="A9">
    <cfRule type="duplicateValues" dxfId="124" priority="129"/>
  </conditionalFormatting>
  <conditionalFormatting sqref="A10:A11">
    <cfRule type="duplicateValues" dxfId="123" priority="128"/>
  </conditionalFormatting>
  <conditionalFormatting sqref="A12">
    <cfRule type="duplicateValues" dxfId="122" priority="127"/>
  </conditionalFormatting>
  <conditionalFormatting sqref="A13">
    <cfRule type="duplicateValues" dxfId="121" priority="126"/>
  </conditionalFormatting>
  <conditionalFormatting sqref="A14:A16">
    <cfRule type="duplicateValues" dxfId="120" priority="125"/>
  </conditionalFormatting>
  <conditionalFormatting sqref="A19:A20">
    <cfRule type="duplicateValues" dxfId="119" priority="124"/>
  </conditionalFormatting>
  <conditionalFormatting sqref="A21">
    <cfRule type="duplicateValues" dxfId="118" priority="123"/>
  </conditionalFormatting>
  <conditionalFormatting sqref="A22">
    <cfRule type="duplicateValues" dxfId="117" priority="122"/>
  </conditionalFormatting>
  <conditionalFormatting sqref="A27">
    <cfRule type="duplicateValues" dxfId="116" priority="121"/>
  </conditionalFormatting>
  <conditionalFormatting sqref="A24">
    <cfRule type="duplicateValues" dxfId="115" priority="120"/>
  </conditionalFormatting>
  <conditionalFormatting sqref="A26">
    <cfRule type="duplicateValues" dxfId="114" priority="119"/>
  </conditionalFormatting>
  <conditionalFormatting sqref="A28">
    <cfRule type="duplicateValues" dxfId="113" priority="118"/>
  </conditionalFormatting>
  <conditionalFormatting sqref="A29:A30">
    <cfRule type="duplicateValues" dxfId="112" priority="117"/>
  </conditionalFormatting>
  <conditionalFormatting sqref="A31">
    <cfRule type="duplicateValues" dxfId="111" priority="116"/>
  </conditionalFormatting>
  <conditionalFormatting sqref="A32">
    <cfRule type="duplicateValues" dxfId="110" priority="115"/>
  </conditionalFormatting>
  <conditionalFormatting sqref="A33">
    <cfRule type="duplicateValues" dxfId="109" priority="114"/>
  </conditionalFormatting>
  <conditionalFormatting sqref="A35:A38">
    <cfRule type="duplicateValues" dxfId="108" priority="113"/>
  </conditionalFormatting>
  <conditionalFormatting sqref="A34">
    <cfRule type="duplicateValues" dxfId="107" priority="112"/>
  </conditionalFormatting>
  <conditionalFormatting sqref="A39">
    <cfRule type="duplicateValues" dxfId="106" priority="111"/>
  </conditionalFormatting>
  <conditionalFormatting sqref="A41:A42">
    <cfRule type="duplicateValues" dxfId="105" priority="110"/>
  </conditionalFormatting>
  <conditionalFormatting sqref="A43:A44 A69">
    <cfRule type="duplicateValues" dxfId="104" priority="109"/>
  </conditionalFormatting>
  <conditionalFormatting sqref="A45:A48">
    <cfRule type="duplicateValues" dxfId="103" priority="108"/>
  </conditionalFormatting>
  <conditionalFormatting sqref="B49:B50">
    <cfRule type="duplicateValues" dxfId="102" priority="107"/>
  </conditionalFormatting>
  <conditionalFormatting sqref="A49:A51">
    <cfRule type="duplicateValues" dxfId="101" priority="106"/>
  </conditionalFormatting>
  <conditionalFormatting sqref="A67">
    <cfRule type="duplicateValues" dxfId="100" priority="105"/>
  </conditionalFormatting>
  <conditionalFormatting sqref="A68">
    <cfRule type="duplicateValues" dxfId="99" priority="104"/>
  </conditionalFormatting>
  <conditionalFormatting sqref="A71">
    <cfRule type="duplicateValues" dxfId="98" priority="103"/>
  </conditionalFormatting>
  <conditionalFormatting sqref="A72">
    <cfRule type="duplicateValues" dxfId="97" priority="102"/>
  </conditionalFormatting>
  <conditionalFormatting sqref="A74:A75">
    <cfRule type="duplicateValues" dxfId="96" priority="101"/>
  </conditionalFormatting>
  <conditionalFormatting sqref="A73">
    <cfRule type="duplicateValues" dxfId="95" priority="100"/>
  </conditionalFormatting>
  <conditionalFormatting sqref="A76">
    <cfRule type="duplicateValues" dxfId="94" priority="99"/>
  </conditionalFormatting>
  <conditionalFormatting sqref="A77">
    <cfRule type="duplicateValues" dxfId="93" priority="98"/>
  </conditionalFormatting>
  <conditionalFormatting sqref="A78:A79">
    <cfRule type="duplicateValues" dxfId="92" priority="97"/>
  </conditionalFormatting>
  <conditionalFormatting sqref="A83">
    <cfRule type="duplicateValues" dxfId="91" priority="96"/>
  </conditionalFormatting>
  <conditionalFormatting sqref="A84">
    <cfRule type="duplicateValues" dxfId="90" priority="95"/>
  </conditionalFormatting>
  <conditionalFormatting sqref="A80:A82">
    <cfRule type="duplicateValues" dxfId="89" priority="94"/>
  </conditionalFormatting>
  <conditionalFormatting sqref="A85:A88">
    <cfRule type="duplicateValues" dxfId="88" priority="93"/>
  </conditionalFormatting>
  <conditionalFormatting sqref="A89">
    <cfRule type="duplicateValues" dxfId="87" priority="92"/>
  </conditionalFormatting>
  <conditionalFormatting sqref="A90">
    <cfRule type="duplicateValues" dxfId="86" priority="91"/>
  </conditionalFormatting>
  <conditionalFormatting sqref="A91:A92">
    <cfRule type="duplicateValues" dxfId="85" priority="90"/>
  </conditionalFormatting>
  <conditionalFormatting sqref="A93:A94">
    <cfRule type="duplicateValues" dxfId="84" priority="89"/>
  </conditionalFormatting>
  <conditionalFormatting sqref="A95">
    <cfRule type="duplicateValues" dxfId="83" priority="88"/>
  </conditionalFormatting>
  <conditionalFormatting sqref="A97">
    <cfRule type="duplicateValues" dxfId="82" priority="87"/>
  </conditionalFormatting>
  <conditionalFormatting sqref="A98">
    <cfRule type="duplicateValues" dxfId="81" priority="86"/>
  </conditionalFormatting>
  <conditionalFormatting sqref="A103">
    <cfRule type="duplicateValues" dxfId="80" priority="85"/>
  </conditionalFormatting>
  <conditionalFormatting sqref="A104">
    <cfRule type="duplicateValues" dxfId="79" priority="84"/>
  </conditionalFormatting>
  <conditionalFormatting sqref="A105">
    <cfRule type="duplicateValues" dxfId="78" priority="83"/>
  </conditionalFormatting>
  <conditionalFormatting sqref="A106">
    <cfRule type="duplicateValues" dxfId="77" priority="82"/>
  </conditionalFormatting>
  <conditionalFormatting sqref="A107">
    <cfRule type="duplicateValues" dxfId="76" priority="81"/>
  </conditionalFormatting>
  <conditionalFormatting sqref="A116:A118 A120:A121">
    <cfRule type="duplicateValues" dxfId="75" priority="80"/>
  </conditionalFormatting>
  <conditionalFormatting sqref="A124:A127">
    <cfRule type="duplicateValues" dxfId="74" priority="79"/>
  </conditionalFormatting>
  <conditionalFormatting sqref="A129:A133">
    <cfRule type="duplicateValues" dxfId="73" priority="133"/>
  </conditionalFormatting>
  <conditionalFormatting sqref="A109 A111:A113">
    <cfRule type="duplicateValues" dxfId="72" priority="78"/>
  </conditionalFormatting>
  <conditionalFormatting sqref="A108">
    <cfRule type="duplicateValues" dxfId="71" priority="77"/>
  </conditionalFormatting>
  <conditionalFormatting sqref="A122">
    <cfRule type="duplicateValues" dxfId="70" priority="76"/>
  </conditionalFormatting>
  <conditionalFormatting sqref="A128">
    <cfRule type="duplicateValues" dxfId="69" priority="75"/>
  </conditionalFormatting>
  <conditionalFormatting sqref="A135">
    <cfRule type="duplicateValues" dxfId="68" priority="74"/>
  </conditionalFormatting>
  <conditionalFormatting sqref="A136">
    <cfRule type="duplicateValues" dxfId="67" priority="73"/>
  </conditionalFormatting>
  <conditionalFormatting sqref="A139:A140">
    <cfRule type="duplicateValues" dxfId="66" priority="72"/>
  </conditionalFormatting>
  <conditionalFormatting sqref="A137:A138">
    <cfRule type="duplicateValues" dxfId="65" priority="71"/>
  </conditionalFormatting>
  <conditionalFormatting sqref="A141">
    <cfRule type="duplicateValues" dxfId="64" priority="70"/>
  </conditionalFormatting>
  <conditionalFormatting sqref="B142">
    <cfRule type="duplicateValues" dxfId="63" priority="69"/>
  </conditionalFormatting>
  <conditionalFormatting sqref="A142">
    <cfRule type="duplicateValues" dxfId="62" priority="68"/>
  </conditionalFormatting>
  <conditionalFormatting sqref="A144">
    <cfRule type="duplicateValues" dxfId="61" priority="67"/>
  </conditionalFormatting>
  <conditionalFormatting sqref="A143">
    <cfRule type="duplicateValues" dxfId="60" priority="66"/>
  </conditionalFormatting>
  <conditionalFormatting sqref="A145">
    <cfRule type="duplicateValues" dxfId="59" priority="65"/>
  </conditionalFormatting>
  <conditionalFormatting sqref="A146">
    <cfRule type="duplicateValues" dxfId="58" priority="64"/>
  </conditionalFormatting>
  <conditionalFormatting sqref="A147:A148">
    <cfRule type="duplicateValues" dxfId="57" priority="63"/>
  </conditionalFormatting>
  <conditionalFormatting sqref="A149:A150">
    <cfRule type="duplicateValues" dxfId="56" priority="62"/>
  </conditionalFormatting>
  <conditionalFormatting sqref="A151">
    <cfRule type="duplicateValues" dxfId="55" priority="61"/>
  </conditionalFormatting>
  <conditionalFormatting sqref="A152:A160">
    <cfRule type="duplicateValues" dxfId="54" priority="60"/>
  </conditionalFormatting>
  <conditionalFormatting sqref="A161">
    <cfRule type="duplicateValues" dxfId="53" priority="59"/>
  </conditionalFormatting>
  <conditionalFormatting sqref="A162">
    <cfRule type="duplicateValues" dxfId="52" priority="58"/>
  </conditionalFormatting>
  <conditionalFormatting sqref="A163">
    <cfRule type="duplicateValues" dxfId="51" priority="57"/>
  </conditionalFormatting>
  <conditionalFormatting sqref="A164:A166">
    <cfRule type="duplicateValues" dxfId="50" priority="56"/>
  </conditionalFormatting>
  <conditionalFormatting sqref="A167">
    <cfRule type="duplicateValues" dxfId="49" priority="55"/>
  </conditionalFormatting>
  <conditionalFormatting sqref="A168">
    <cfRule type="duplicateValues" dxfId="48" priority="54"/>
  </conditionalFormatting>
  <conditionalFormatting sqref="A175">
    <cfRule type="duplicateValues" dxfId="47" priority="53"/>
  </conditionalFormatting>
  <conditionalFormatting sqref="A177">
    <cfRule type="duplicateValues" dxfId="46" priority="52"/>
  </conditionalFormatting>
  <conditionalFormatting sqref="A179">
    <cfRule type="duplicateValues" dxfId="45" priority="51"/>
  </conditionalFormatting>
  <conditionalFormatting sqref="A180:A186">
    <cfRule type="duplicateValues" dxfId="44" priority="50"/>
  </conditionalFormatting>
  <conditionalFormatting sqref="A189">
    <cfRule type="duplicateValues" dxfId="43" priority="49"/>
  </conditionalFormatting>
  <conditionalFormatting sqref="A188">
    <cfRule type="duplicateValues" dxfId="42" priority="48"/>
  </conditionalFormatting>
  <conditionalFormatting sqref="A190">
    <cfRule type="duplicateValues" dxfId="41" priority="47"/>
  </conditionalFormatting>
  <conditionalFormatting sqref="A191">
    <cfRule type="duplicateValues" dxfId="40" priority="46"/>
  </conditionalFormatting>
  <conditionalFormatting sqref="A193">
    <cfRule type="duplicateValues" dxfId="39" priority="44"/>
  </conditionalFormatting>
  <conditionalFormatting sqref="A194">
    <cfRule type="duplicateValues" dxfId="38" priority="43"/>
  </conditionalFormatting>
  <conditionalFormatting sqref="A195">
    <cfRule type="duplicateValues" dxfId="37" priority="42"/>
  </conditionalFormatting>
  <conditionalFormatting sqref="A196">
    <cfRule type="duplicateValues" dxfId="36" priority="41"/>
  </conditionalFormatting>
  <conditionalFormatting sqref="A197">
    <cfRule type="duplicateValues" dxfId="35" priority="40"/>
  </conditionalFormatting>
  <conditionalFormatting sqref="A198">
    <cfRule type="duplicateValues" dxfId="34" priority="39"/>
  </conditionalFormatting>
  <conditionalFormatting sqref="A199">
    <cfRule type="duplicateValues" dxfId="33" priority="38"/>
  </conditionalFormatting>
  <conditionalFormatting sqref="A200">
    <cfRule type="duplicateValues" dxfId="32" priority="37"/>
  </conditionalFormatting>
  <conditionalFormatting sqref="A201">
    <cfRule type="duplicateValues" dxfId="31" priority="36"/>
  </conditionalFormatting>
  <conditionalFormatting sqref="A202">
    <cfRule type="duplicateValues" dxfId="30" priority="35"/>
  </conditionalFormatting>
  <conditionalFormatting sqref="A203">
    <cfRule type="duplicateValues" dxfId="29" priority="34"/>
  </conditionalFormatting>
  <conditionalFormatting sqref="A204:A205">
    <cfRule type="duplicateValues" dxfId="28" priority="33"/>
  </conditionalFormatting>
  <conditionalFormatting sqref="A207:A210">
    <cfRule type="duplicateValues" dxfId="27" priority="32"/>
  </conditionalFormatting>
  <conditionalFormatting sqref="A211">
    <cfRule type="duplicateValues" dxfId="26" priority="31"/>
  </conditionalFormatting>
  <conditionalFormatting sqref="A212:A213">
    <cfRule type="duplicateValues" dxfId="25" priority="30"/>
  </conditionalFormatting>
  <conditionalFormatting sqref="A214:A215">
    <cfRule type="duplicateValues" dxfId="24" priority="29"/>
  </conditionalFormatting>
  <conditionalFormatting sqref="A221:A222">
    <cfRule type="duplicateValues" dxfId="23" priority="28"/>
  </conditionalFormatting>
  <conditionalFormatting sqref="A216">
    <cfRule type="duplicateValues" dxfId="22" priority="27"/>
  </conditionalFormatting>
  <conditionalFormatting sqref="A217">
    <cfRule type="duplicateValues" dxfId="21" priority="26"/>
  </conditionalFormatting>
  <conditionalFormatting sqref="A218:A220">
    <cfRule type="duplicateValues" dxfId="20" priority="134"/>
  </conditionalFormatting>
  <conditionalFormatting sqref="A223 A225">
    <cfRule type="duplicateValues" dxfId="19" priority="25"/>
  </conditionalFormatting>
  <conditionalFormatting sqref="A224">
    <cfRule type="duplicateValues" dxfId="18" priority="24"/>
  </conditionalFormatting>
  <conditionalFormatting sqref="A226">
    <cfRule type="duplicateValues" dxfId="17" priority="23"/>
  </conditionalFormatting>
  <conditionalFormatting sqref="A229">
    <cfRule type="duplicateValues" dxfId="16" priority="22"/>
  </conditionalFormatting>
  <conditionalFormatting sqref="A230">
    <cfRule type="duplicateValues" dxfId="15" priority="21"/>
  </conditionalFormatting>
  <conditionalFormatting sqref="A40">
    <cfRule type="duplicateValues" dxfId="14" priority="20"/>
  </conditionalFormatting>
  <conditionalFormatting sqref="A23">
    <cfRule type="duplicateValues" dxfId="13" priority="19"/>
  </conditionalFormatting>
  <conditionalFormatting sqref="A232">
    <cfRule type="duplicateValues" dxfId="12" priority="18"/>
  </conditionalFormatting>
  <conditionalFormatting sqref="B233:B234">
    <cfRule type="duplicateValues" dxfId="11" priority="17"/>
  </conditionalFormatting>
  <conditionalFormatting sqref="B157:B160">
    <cfRule type="duplicateValues" dxfId="10" priority="16"/>
  </conditionalFormatting>
  <conditionalFormatting sqref="A25">
    <cfRule type="duplicateValues" dxfId="9" priority="15"/>
  </conditionalFormatting>
  <conditionalFormatting sqref="A192">
    <cfRule type="duplicateValues" dxfId="8" priority="14"/>
  </conditionalFormatting>
  <conditionalFormatting sqref="A187">
    <cfRule type="duplicateValues" dxfId="7" priority="13"/>
  </conditionalFormatting>
  <conditionalFormatting sqref="A268 A266">
    <cfRule type="duplicateValues" dxfId="6" priority="10"/>
  </conditionalFormatting>
  <conditionalFormatting sqref="A267">
    <cfRule type="duplicateValues" dxfId="5" priority="9"/>
  </conditionalFormatting>
  <conditionalFormatting sqref="B267">
    <cfRule type="duplicateValues" dxfId="4" priority="8"/>
  </conditionalFormatting>
  <conditionalFormatting sqref="A269">
    <cfRule type="duplicateValues" dxfId="3" priority="7"/>
  </conditionalFormatting>
  <conditionalFormatting sqref="A271">
    <cfRule type="duplicateValues" dxfId="2" priority="3"/>
  </conditionalFormatting>
  <conditionalFormatting sqref="B271">
    <cfRule type="duplicateValues" dxfId="1" priority="2"/>
  </conditionalFormatting>
  <conditionalFormatting sqref="C271">
    <cfRule type="duplicateValues" dxfId="0" priority="1"/>
  </conditionalFormatting>
  <pageMargins left="0.7" right="0.7" top="0.78740157499999996" bottom="0.78740157499999996"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26</vt:i4>
      </vt:variant>
      <vt:variant>
        <vt:lpstr>命名范围</vt:lpstr>
      </vt:variant>
      <vt:variant>
        <vt:i4>18</vt:i4>
      </vt:variant>
    </vt:vector>
  </HeadingPairs>
  <TitlesOfParts>
    <vt:vector size="44" baseType="lpstr">
      <vt:lpstr>D1-D2-D3</vt:lpstr>
      <vt:lpstr>Risk assesment (for D3 &amp; D5)</vt:lpstr>
      <vt:lpstr>D4. Data-Facts-Numbers</vt:lpstr>
      <vt:lpstr>D4. Ishikawa-chart</vt:lpstr>
      <vt:lpstr>D4.5Why's-D5-D6</vt:lpstr>
      <vt:lpstr>D4-D5-D6 Pictures</vt:lpstr>
      <vt:lpstr>D6.Verification-D7-D8</vt:lpstr>
      <vt:lpstr>8D-Report (with link)</vt:lpstr>
      <vt:lpstr>8D-Report (no link)</vt:lpstr>
      <vt:lpstr>DropDown</vt:lpstr>
      <vt:lpstr>Amendments</vt:lpstr>
      <vt:lpstr>Lessons Learned Card</vt:lpstr>
      <vt:lpstr>Fault catalogue</vt:lpstr>
      <vt:lpstr>ENGLISH</vt:lpstr>
      <vt:lpstr>DEUTSCH</vt:lpstr>
      <vt:lpstr>CZECH</vt:lpstr>
      <vt:lpstr>ESPANOL</vt:lpstr>
      <vt:lpstr>FRANÇAIS</vt:lpstr>
      <vt:lpstr>MAGYAR</vt:lpstr>
      <vt:lpstr>Македонски</vt:lpstr>
      <vt:lpstr>PORTUGESE</vt:lpstr>
      <vt:lpstr>ROMANA</vt:lpstr>
      <vt:lpstr>Српски</vt:lpstr>
      <vt:lpstr>SLOVAK</vt:lpstr>
      <vt:lpstr>УКРАЇНСьКА</vt:lpstr>
      <vt:lpstr>中文</vt:lpstr>
      <vt:lpstr>DropDown!_Toc74834714</vt:lpstr>
      <vt:lpstr>AuswahlX</vt:lpstr>
      <vt:lpstr>Fehlerart</vt:lpstr>
      <vt:lpstr>DropDown!KSK_No.</vt:lpstr>
      <vt:lpstr>'8D-Report (no link)'!Print_Area</vt:lpstr>
      <vt:lpstr>'8D-Report (with link)'!Print_Area</vt:lpstr>
      <vt:lpstr>'D1-D2-D3'!Print_Area</vt:lpstr>
      <vt:lpstr>'D4. Data-Facts-Numbers'!Print_Area</vt:lpstr>
      <vt:lpstr>'D4. Ishikawa-chart'!Print_Area</vt:lpstr>
      <vt:lpstr>'D4.5Why''s-D5-D6'!Print_Area</vt:lpstr>
      <vt:lpstr>'D4-D5-D6 Pictures'!Print_Area</vt:lpstr>
      <vt:lpstr>'D6.Verification-D7-D8'!Print_Area</vt:lpstr>
      <vt:lpstr>'Lessons Learned Card'!Print_Area</vt:lpstr>
      <vt:lpstr>'Risk assesment (for D3 &amp; D5)'!Print_Area</vt:lpstr>
      <vt:lpstr>DropDown!Product</vt:lpstr>
      <vt:lpstr>Product</vt:lpstr>
      <vt:lpstr>'D1-D2-D3'!sortingaction</vt:lpstr>
      <vt:lpstr>Sprachen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Problem Solving Sheet</dc:title>
  <dc:creator>Teresa Wittmann</dc:creator>
  <cp:lastModifiedBy>KSD</cp:lastModifiedBy>
  <cp:lastPrinted>2025-02-21T09:07:22Z</cp:lastPrinted>
  <dcterms:created xsi:type="dcterms:W3CDTF">2015-06-16T09:19:52Z</dcterms:created>
  <dcterms:modified xsi:type="dcterms:W3CDTF">2026-07-22T06:07:17Z</dcterms:modified>
</cp:coreProperties>
</file>